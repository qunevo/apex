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bd060aa87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atch plan" sheetId="1" r:id="Ra07b55ac777a440f"/>
    <x:sheet xmlns:r="http://schemas.openxmlformats.org/officeDocument/2006/relationships" name="Skills" sheetId="2" r:id="Rb28f74f8945d4fa1"/>
    <x:sheet xmlns:r="http://schemas.openxmlformats.org/officeDocument/2006/relationships" name="Shift roster" sheetId="3" r:id="Rede817b9848c4f48"/>
    <x:sheet xmlns:r="http://schemas.openxmlformats.org/officeDocument/2006/relationships" name="MES orders" sheetId="4" r:id="R58a5c31fa99540fe"/>
    <x:sheet xmlns:r="http://schemas.openxmlformats.org/officeDocument/2006/relationships" name="Material" sheetId="5" r:id="Rbf5524737e18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 hh:mm"/>
    <x:numFmt numFmtId="201" formatCode="0"/>
    <x:numFmt numFmtId="202" formatCode="0.0"/>
    <x:numFmt numFmtId="203" formatCode="hh:mm"/>
  </x:numFmts>
  <x:fonts count="5">
    <x:font>
      <x:sz val="11"/>
      <x:name val="Carlito"/>
    </x:font>
    <x:font>
      <x:sz val="10"/>
      <x:color rgb="FF334D3C"/>
      <x:name val="Arial"/>
    </x:font>
    <x:font>
      <x:b/>
      <x:sz val="16"/>
      <x:color rgb="FF254C3B"/>
      <x:name val="Arial"/>
    </x:font>
    <x:font>
      <x:i/>
      <x:sz val="10"/>
      <x:color rgb="FF7C8E7E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C3B"/>
      </x:patternFill>
    </x:fill>
    <x:fill>
      <x:patternFill patternType="solid">
        <x:fgColor rgb="FFFFF9E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color rgb="FFA84735"/>
      </x:font>
      <x:fill>
        <x:patternFill patternType="solid">
          <x:bgColor rgb="FFFCEAE4"/>
        </x:patternFill>
      </x:fill>
    </x:dxf>
    <x:dxf>
      <x:font>
        <x:color rgb="FF8B6527"/>
      </x:font>
      <x:fill>
        <x:patternFill patternType="solid">
          <x:bgColor rgb="FFF5E9C8"/>
        </x:patternFill>
      </x:fill>
    </x:dxf>
    <x:dxf>
      <x:font>
        <x:color rgb="FF39704C"/>
      </x:font>
      <x:fill>
        <x:patternFill patternType="solid">
          <x:bgColor rgb="FFEAF3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c24641de5489b" /><Relationship Type="http://schemas.openxmlformats.org/officeDocument/2006/relationships/theme" Target="/xl/theme/theme1.xml" Id="R88ffb2ee10274026" /><Relationship Type="http://schemas.openxmlformats.org/officeDocument/2006/relationships/sharedStrings" Target="/xl/sharedStrings.xml" Id="Ra3324c5406a3457f" /><Relationship Type="http://schemas.openxmlformats.org/officeDocument/2006/relationships/worksheet" Target="/xl/worksheets/sheet1.xml" Id="Ra07b55ac777a440f" /><Relationship Type="http://schemas.openxmlformats.org/officeDocument/2006/relationships/worksheet" Target="/xl/worksheets/sheet2.xml" Id="Rb28f74f8945d4fa1" /><Relationship Type="http://schemas.openxmlformats.org/officeDocument/2006/relationships/worksheet" Target="/xl/worksheets/sheet3.xml" Id="Rede817b9848c4f48" /><Relationship Type="http://schemas.openxmlformats.org/officeDocument/2006/relationships/worksheet" Target="/xl/worksheets/sheet4.xml" Id="R58a5c31fa99540fe" /><Relationship Type="http://schemas.openxmlformats.org/officeDocument/2006/relationships/worksheet" Target="/xl/worksheets/sheet5.xml" Id="Rbf5524737e1847c0" /></Relationships>
</file>

<file path=xl/tables/table1.xml><?xml version="1.0" encoding="utf-8"?>
<x:table xmlns:x="http://schemas.openxmlformats.org/spreadsheetml/2006/main" id="1" name="DispatchplanTable" displayName="DispatchplanTable" ref="A7:T3807" headerRowCount="1" totalsRowCount="0" totalsRowShown="0">
  <x:tableColumns count="20">
    <x:tableColumn id="1" name="Operation ID"/>
    <x:tableColumn id="2" name="Lot"/>
    <x:tableColumn id="3" name="Order"/>
    <x:tableColumn id="4" name="Article"/>
    <x:tableColumn id="5" name="Qty (pcs)"/>
    <x:tableColumn id="6" name="Operation"/>
    <x:tableColumn id="7" name="Workplace"/>
    <x:tableColumn id="8" name="Sequence"/>
    <x:tableColumn id="9" name="Person"/>
    <x:tableColumn id="10" name="Planned start"/>
    <x:tableColumn id="11" name="Setup (min)"/>
    <x:tableColumn id="12" name="Run (min)"/>
    <x:tableColumn id="13" name="Planned finish"/>
    <x:tableColumn id="14" name="Ship due"/>
    <x:tableColumn id="15" name="Past ship due (h)"/>
    <x:tableColumn id="16" name="Fixed"/>
    <x:tableColumn id="17" name="Attendance (min)"/>
    <x:tableColumn id="18" name="Person released"/>
    <x:tableColumn id="19" name="Priority"/>
    <x:tableColumn id="20" name="Planner not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killsTable" displayName="SkillsTable" ref="A7:H31" headerRowCount="1" totalsRowCount="0" totalsRowShown="0">
  <x:tableColumns count="8">
    <x:tableColumn id="1" name="Person"/>
    <x:tableColumn id="2" name="Name"/>
    <x:tableColumn id="3" name="Setup"/>
    <x:tableColumn id="4" name="Mechanical"/>
    <x:tableColumn id="5" name="Precision"/>
    <x:tableColumn id="6" name="Electrical"/>
    <x:tableColumn id="7" name="Calibration"/>
    <x:tableColumn id="8" name="Testing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hiftrosterTable" displayName="ShiftrosterTable" ref="A7:J31" headerRowCount="1" totalsRowCount="0" totalsRowShown="0">
  <x:tableColumns count="10">
    <x:tableColumn id="1" name="Person"/>
    <x:tableColumn id="2" name="Name"/>
    <x:tableColumn id="3" name="Team"/>
    <x:tableColumn id="4" name="Shift"/>
    <x:tableColumn id="5" name="Shift start"/>
    <x:tableColumn id="6" name="Shift end"/>
    <x:tableColumn id="7" name="Break start"/>
    <x:tableColumn id="8" name="Break end"/>
    <x:tableColumn id="9" name="Attendance"/>
    <x:tableColumn id="10" name="Net hours / day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MESordersTable" displayName="MESordersTable" ref="A7:H127" headerRowCount="1" totalsRowCount="0" totalsRowShown="0">
  <x:tableColumns count="8">
    <x:tableColumn id="1" name="Order"/>
    <x:tableColumn id="2" name="Customer"/>
    <x:tableColumn id="3" name="Article"/>
    <x:tableColumn id="4" name="Quantity (pcs)"/>
    <x:tableColumn id="5" name="Ship due"/>
    <x:tableColumn id="6" name="Priority"/>
    <x:tableColumn id="7" name="MES status"/>
    <x:tableColumn id="8" name="Delivery note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MaterialTable" displayName="MaterialTable" ref="A7:G15" headerRowCount="1" totalsRowCount="0" totalsRowShown="0">
  <x:tableColumns count="7">
    <x:tableColumn id="1" name="Material"/>
    <x:tableColumn id="2" name="Description"/>
    <x:tableColumn id="3" name="Supply type"/>
    <x:tableColumn id="4" name="Quantity (pcs)"/>
    <x:tableColumn id="5" name="Available from"/>
    <x:tableColumn id="6" name="Location / receipt"/>
    <x:tableColumn id="7" name="No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78305cd03843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7f0aaa821047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f085d8dbf04d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b5dc844bf44a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a33440d8a640d0" /></Relationships>
</file>

<file path=xl/worksheets/sheet1.xml><?xml version="1.0" encoding="utf-8"?>
<x:worksheet xmlns:x="http://schemas.openxmlformats.org/spreadsheetml/2006/main">
  <x:sheetPr>
    <x:tabColor rgb="FF254C3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5" hidden="0" customWidth="1"/>
    <x:col min="4" max="4" width="15" hidden="0" customWidth="1"/>
    <x:col min="5" max="5" width="12" hidden="0" customWidth="1"/>
    <x:col min="6" max="6" width="27" hidden="0" customWidth="1"/>
    <x:col min="7" max="7" width="15" hidden="0" customWidth="1"/>
    <x:col min="8" max="8" width="12" hidden="0" customWidth="1"/>
    <x:col min="9" max="9" width="12" hidden="0" customWidth="1"/>
    <x:col min="10" max="10" width="22" hidden="0" customWidth="1"/>
    <x:col min="11" max="11" width="14" hidden="0" customWidth="1"/>
    <x:col min="12" max="12" width="14" hidden="0" customWidth="1"/>
    <x:col min="13" max="13" width="22" hidden="0" customWidth="1"/>
    <x:col min="14" max="14" width="22" hidden="0" customWidth="1"/>
    <x:col min="15" max="15" width="18" hidden="0" customWidth="1"/>
    <x:col min="16" max="16" width="12" hidden="0" customWidth="1"/>
    <x:col min="17" max="17" width="19" hidden="0" customWidth="1"/>
    <x:col min="18" max="18" width="22" hidden="0" customWidth="1"/>
    <x:col min="19" max="19" width="14" hidden="0" customWidth="1"/>
    <x:col min="20" max="20" width="3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3" t="str">
        <x:v>Northstar production planning · Weeks 41–42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 t="str">
        <x:v>Synthetic baseline · 05 Oct 2026, 10:00 CEST · MES snapshot revision 0 · Source IDs stay fixed when sorting.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Operations</x:v>
      </x:c>
      <x:c r="B5" s="2" t="n">
        <x:f>COUNTA(A8:A3807)</x:f>
        <x:v>3800</x:v>
      </x:c>
      <x:c r="C5" s="2"/>
      <x:c r="D5" s="2" t="str">
        <x:v>Fixed operations</x:v>
      </x:c>
      <x:c r="E5" s="2"/>
      <x:c r="F5" s="2" t="n">
        <x:f>COUNTIFS(P8:P3807,"Yes")</x:f>
        <x:v>129</x:v>
      </x:c>
      <x:c r="G5" s="2"/>
      <x:c r="H5" s="2"/>
      <x:c r="I5" s="2"/>
      <x:c r="J5" s="2" t="str">
        <x:v>Editable planning fields have pale amber fill. Dates use local plant time.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34" customHeight="1">
      <x:c r="A7" s="8" t="str">
        <x:v>Operation ID</x:v>
      </x:c>
      <x:c r="B7" s="8" t="str">
        <x:v>Lot</x:v>
      </x:c>
      <x:c r="C7" s="8" t="str">
        <x:v>Order</x:v>
      </x:c>
      <x:c r="D7" s="8" t="str">
        <x:v>Article</x:v>
      </x:c>
      <x:c r="E7" s="8" t="str">
        <x:v>Qty (pcs)</x:v>
      </x:c>
      <x:c r="F7" s="8" t="str">
        <x:v>Operation</x:v>
      </x:c>
      <x:c r="G7" s="8" t="str">
        <x:v>Workplace</x:v>
      </x:c>
      <x:c r="H7" s="8" t="str">
        <x:v>Sequence</x:v>
      </x:c>
      <x:c r="I7" s="8" t="str">
        <x:v>Person</x:v>
      </x:c>
      <x:c r="J7" s="8" t="str">
        <x:v>Planned start</x:v>
      </x:c>
      <x:c r="K7" s="8" t="str">
        <x:v>Setup (min)</x:v>
      </x:c>
      <x:c r="L7" s="8" t="str">
        <x:v>Run (min)</x:v>
      </x:c>
      <x:c r="M7" s="8" t="str">
        <x:v>Planned finish</x:v>
      </x:c>
      <x:c r="N7" s="8" t="str">
        <x:v>Ship due</x:v>
      </x:c>
      <x:c r="O7" s="8" t="str">
        <x:v>Past ship due (h)</x:v>
      </x:c>
      <x:c r="P7" s="8" t="str">
        <x:v>Fixed</x:v>
      </x:c>
      <x:c r="Q7" s="8" t="str">
        <x:v>Attendance (min)</x:v>
      </x:c>
      <x:c r="R7" s="8" t="str">
        <x:v>Person released</x:v>
      </x:c>
      <x:c r="S7" s="8" t="str">
        <x:v>Priority</x:v>
      </x:c>
      <x:c r="T7" s="8" t="str">
        <x:v>Planner note</x:v>
      </x:c>
    </x:row>
    <x:row r="8" ht="22" customHeight="1">
      <x:c r="A8" s="2" t="str">
        <x:v>L00001-010</x:v>
      </x:c>
      <x:c r="B8" s="2" t="str">
        <x:v>L00001</x:v>
      </x:c>
      <x:c r="C8" s="2" t="str">
        <x:v>SO-26001</x:v>
      </x:c>
      <x:c r="D8" s="2" t="str">
        <x:v>D-C-AL</x:v>
      </x:c>
      <x:c r="E8" s="14" t="n">
        <x:v>5</x:v>
      </x:c>
      <x:c r="F8" s="2" t="str">
        <x:v>CNC machining</x:v>
      </x:c>
      <x:c r="G8" s="9" t="str">
        <x:v>CNC-01</x:v>
      </x:c>
      <x:c r="H8" s="15" t="n">
        <x:v>1</x:v>
      </x:c>
      <x:c r="I8" s="9" t="str">
        <x:v>P01</x:v>
      </x:c>
      <x:c r="J8" s="11" t="n">
        <x:v>46300.25</x:v>
      </x:c>
      <x:c r="K8" s="15" t="n">
        <x:v>18</x:v>
      </x:c>
      <x:c r="L8" s="15" t="n">
        <x:v>10</x:v>
      </x:c>
      <x:c r="M8" s="13" t="n">
        <x:f>J8+(K8+L8)/1440</x:f>
        <x:v>46300.26944444444</x:v>
      </x:c>
      <x:c r="N8" s="13" t="n">
        <x:f>VLOOKUP(C8,'MES orders'!$A$8:$H$127,5,FALSE)</x:f>
        <x:v>46302.666666666664</x:v>
      </x:c>
      <x:c r="O8" s="16" t="n">
        <x:f>MAX(0,(M8-N8)*24)</x:f>
        <x:v>0</x:v>
      </x:c>
      <x:c r="P8" s="9" t="str">
        <x:v>Yes</x:v>
      </x:c>
      <x:c r="Q8" s="15" t="n">
        <x:v>18</x:v>
      </x:c>
      <x:c r="R8" s="13" t="n">
        <x:f>J8+Q8/1440</x:f>
        <x:v>46300.2625</x:v>
      </x:c>
      <x:c r="S8" s="2" t="str">
        <x:f>VLOOKUP(C8,'MES orders'!$A$8:$H$127,6,FALSE)</x:f>
        <x:v>Urgent</x:v>
      </x:c>
      <x:c r="T8" s="9" t="str"/>
    </x:row>
    <x:row r="9" ht="22" customHeight="1">
      <x:c r="A9" s="2" t="str">
        <x:v>L00002-010</x:v>
      </x:c>
      <x:c r="B9" s="2" t="str">
        <x:v>L00002</x:v>
      </x:c>
      <x:c r="C9" s="2" t="str">
        <x:v>SO-26001</x:v>
      </x:c>
      <x:c r="D9" s="2" t="str">
        <x:v>D-C-AL</x:v>
      </x:c>
      <x:c r="E9" s="14" t="n">
        <x:v>5</x:v>
      </x:c>
      <x:c r="F9" s="2" t="str">
        <x:v>CNC machining</x:v>
      </x:c>
      <x:c r="G9" s="9" t="str">
        <x:v>CNC-02</x:v>
      </x:c>
      <x:c r="H9" s="15" t="n">
        <x:v>1</x:v>
      </x:c>
      <x:c r="I9" s="9" t="str">
        <x:v>P02</x:v>
      </x:c>
      <x:c r="J9" s="11" t="n">
        <x:v>46300.25</x:v>
      </x:c>
      <x:c r="K9" s="15" t="n">
        <x:v>18</x:v>
      </x:c>
      <x:c r="L9" s="15" t="n">
        <x:v>10</x:v>
      </x:c>
      <x:c r="M9" s="13" t="n">
        <x:f>J9+(K9+L9)/1440</x:f>
        <x:v>46300.26944444444</x:v>
      </x:c>
      <x:c r="N9" s="13" t="n">
        <x:f>VLOOKUP(C9,'MES orders'!$A$8:$H$127,5,FALSE)</x:f>
        <x:v>46302.666666666664</x:v>
      </x:c>
      <x:c r="O9" s="16" t="n">
        <x:f>MAX(0,(M9-N9)*24)</x:f>
        <x:v>0</x:v>
      </x:c>
      <x:c r="P9" s="9" t="str">
        <x:v>Yes</x:v>
      </x:c>
      <x:c r="Q9" s="15" t="n">
        <x:v>18</x:v>
      </x:c>
      <x:c r="R9" s="13" t="n">
        <x:f>J9+Q9/1440</x:f>
        <x:v>46300.2625</x:v>
      </x:c>
      <x:c r="S9" s="2" t="str">
        <x:f>VLOOKUP(C9,'MES orders'!$A$8:$H$127,6,FALSE)</x:f>
        <x:v>Urgent</x:v>
      </x:c>
      <x:c r="T9" s="9" t="str"/>
    </x:row>
    <x:row r="10" ht="22" customHeight="1">
      <x:c r="A10" s="2" t="str">
        <x:v>L00003-010</x:v>
      </x:c>
      <x:c r="B10" s="2" t="str">
        <x:v>L00003</x:v>
      </x:c>
      <x:c r="C10" s="2" t="str">
        <x:v>SO-26001</x:v>
      </x:c>
      <x:c r="D10" s="2" t="str">
        <x:v>D-C-AL</x:v>
      </x:c>
      <x:c r="E10" s="14" t="n">
        <x:v>5</x:v>
      </x:c>
      <x:c r="F10" s="2" t="str">
        <x:v>CNC machining</x:v>
      </x:c>
      <x:c r="G10" s="9" t="str">
        <x:v>CNC-03</x:v>
      </x:c>
      <x:c r="H10" s="15" t="n">
        <x:v>1</x:v>
      </x:c>
      <x:c r="I10" s="9" t="str">
        <x:v>P03</x:v>
      </x:c>
      <x:c r="J10" s="11" t="n">
        <x:v>46300.25</x:v>
      </x:c>
      <x:c r="K10" s="15" t="n">
        <x:v>18</x:v>
      </x:c>
      <x:c r="L10" s="15" t="n">
        <x:v>10</x:v>
      </x:c>
      <x:c r="M10" s="13" t="n">
        <x:f>J10+(K10+L10)/1440</x:f>
        <x:v>46300.26944444444</x:v>
      </x:c>
      <x:c r="N10" s="13" t="n">
        <x:f>VLOOKUP(C10,'MES orders'!$A$8:$H$127,5,FALSE)</x:f>
        <x:v>46302.666666666664</x:v>
      </x:c>
      <x:c r="O10" s="16" t="n">
        <x:f>MAX(0,(M10-N10)*24)</x:f>
        <x:v>0</x:v>
      </x:c>
      <x:c r="P10" s="9" t="str">
        <x:v>Yes</x:v>
      </x:c>
      <x:c r="Q10" s="15" t="n">
        <x:v>18</x:v>
      </x:c>
      <x:c r="R10" s="13" t="n">
        <x:f>J10+Q10/1440</x:f>
        <x:v>46300.2625</x:v>
      </x:c>
      <x:c r="S10" s="2" t="str">
        <x:f>VLOOKUP(C10,'MES orders'!$A$8:$H$127,6,FALSE)</x:f>
        <x:v>Urgent</x:v>
      </x:c>
      <x:c r="T10" s="9" t="str"/>
    </x:row>
    <x:row r="11" ht="22" customHeight="1">
      <x:c r="A11" s="2" t="str">
        <x:v>L00004-010</x:v>
      </x:c>
      <x:c r="B11" s="2" t="str">
        <x:v>L00004</x:v>
      </x:c>
      <x:c r="C11" s="2" t="str">
        <x:v>SO-26001</x:v>
      </x:c>
      <x:c r="D11" s="2" t="str">
        <x:v>D-C-AL</x:v>
      </x:c>
      <x:c r="E11" s="14" t="n">
        <x:v>5</x:v>
      </x:c>
      <x:c r="F11" s="2" t="str">
        <x:v>CNC machining</x:v>
      </x:c>
      <x:c r="G11" s="9" t="str">
        <x:v>CNC-04</x:v>
      </x:c>
      <x:c r="H11" s="15" t="n">
        <x:v>1</x:v>
      </x:c>
      <x:c r="I11" s="9" t="str">
        <x:v>P01</x:v>
      </x:c>
      <x:c r="J11" s="11" t="n">
        <x:v>46300.2625</x:v>
      </x:c>
      <x:c r="K11" s="15" t="n">
        <x:v>18</x:v>
      </x:c>
      <x:c r="L11" s="15" t="n">
        <x:v>10</x:v>
      </x:c>
      <x:c r="M11" s="13" t="n">
        <x:f>J11+(K11+L11)/1440</x:f>
        <x:v>46300.28194444444</x:v>
      </x:c>
      <x:c r="N11" s="13" t="n">
        <x:f>VLOOKUP(C11,'MES orders'!$A$8:$H$127,5,FALSE)</x:f>
        <x:v>46302.666666666664</x:v>
      </x:c>
      <x:c r="O11" s="16" t="n">
        <x:f>MAX(0,(M11-N11)*24)</x:f>
        <x:v>0</x:v>
      </x:c>
      <x:c r="P11" s="9" t="str">
        <x:v>Yes</x:v>
      </x:c>
      <x:c r="Q11" s="15" t="n">
        <x:v>18</x:v>
      </x:c>
      <x:c r="R11" s="13" t="n">
        <x:f>J11+Q11/1440</x:f>
        <x:v>46300.274999999994</x:v>
      </x:c>
      <x:c r="S11" s="2" t="str">
        <x:f>VLOOKUP(C11,'MES orders'!$A$8:$H$127,6,FALSE)</x:f>
        <x:v>Urgent</x:v>
      </x:c>
      <x:c r="T11" s="9" t="str"/>
    </x:row>
    <x:row r="12" ht="22" customHeight="1">
      <x:c r="A12" s="2" t="str">
        <x:v>L00005-010</x:v>
      </x:c>
      <x:c r="B12" s="2" t="str">
        <x:v>L00005</x:v>
      </x:c>
      <x:c r="C12" s="2" t="str">
        <x:v>SO-26001</x:v>
      </x:c>
      <x:c r="D12" s="2" t="str">
        <x:v>D-C-AL</x:v>
      </x:c>
      <x:c r="E12" s="14" t="n">
        <x:v>5</x:v>
      </x:c>
      <x:c r="F12" s="2" t="str">
        <x:v>CNC machining</x:v>
      </x:c>
      <x:c r="G12" s="9" t="str">
        <x:v>CNC-05</x:v>
      </x:c>
      <x:c r="H12" s="15" t="n">
        <x:v>1</x:v>
      </x:c>
      <x:c r="I12" s="9" t="str">
        <x:v>P02</x:v>
      </x:c>
      <x:c r="J12" s="11" t="n">
        <x:v>46300.2625</x:v>
      </x:c>
      <x:c r="K12" s="15" t="n">
        <x:v>18</x:v>
      </x:c>
      <x:c r="L12" s="15" t="n">
        <x:v>10</x:v>
      </x:c>
      <x:c r="M12" s="13" t="n">
        <x:f>J12+(K12+L12)/1440</x:f>
        <x:v>46300.28194444444</x:v>
      </x:c>
      <x:c r="N12" s="13" t="n">
        <x:f>VLOOKUP(C12,'MES orders'!$A$8:$H$127,5,FALSE)</x:f>
        <x:v>46302.666666666664</x:v>
      </x:c>
      <x:c r="O12" s="16" t="n">
        <x:f>MAX(0,(M12-N12)*24)</x:f>
        <x:v>0</x:v>
      </x:c>
      <x:c r="P12" s="9" t="str">
        <x:v>Yes</x:v>
      </x:c>
      <x:c r="Q12" s="15" t="n">
        <x:v>18</x:v>
      </x:c>
      <x:c r="R12" s="13" t="n">
        <x:f>J12+Q12/1440</x:f>
        <x:v>46300.274999999994</x:v>
      </x:c>
      <x:c r="S12" s="2" t="str">
        <x:f>VLOOKUP(C12,'MES orders'!$A$8:$H$127,6,FALSE)</x:f>
        <x:v>Urgent</x:v>
      </x:c>
      <x:c r="T12" s="9" t="str"/>
    </x:row>
    <x:row r="13" ht="22" customHeight="1">
      <x:c r="A13" s="2" t="str">
        <x:v>L00281-010</x:v>
      </x:c>
      <x:c r="B13" s="2" t="str">
        <x:v>L00281</x:v>
      </x:c>
      <x:c r="C13" s="2" t="str">
        <x:v>SO-26057</x:v>
      </x:c>
      <x:c r="D13" s="2" t="str">
        <x:v>S-S-AL</x:v>
      </x:c>
      <x:c r="E13" s="14" t="n">
        <x:v>5</x:v>
      </x:c>
      <x:c r="F13" s="2" t="str">
        <x:v>CNC machining</x:v>
      </x:c>
      <x:c r="G13" s="9" t="str">
        <x:v>CNC-06</x:v>
      </x:c>
      <x:c r="H13" s="15" t="n">
        <x:v>1</x:v>
      </x:c>
      <x:c r="I13" s="9" t="str">
        <x:v>P03</x:v>
      </x:c>
      <x:c r="J13" s="11" t="n">
        <x:v>46300.2625</x:v>
      </x:c>
      <x:c r="K13" s="15" t="n">
        <x:v>18</x:v>
      </x:c>
      <x:c r="L13" s="15" t="n">
        <x:v>12</x:v>
      </x:c>
      <x:c r="M13" s="13" t="n">
        <x:f>J13+(K13+L13)/1440</x:f>
        <x:v>46300.28333333333</x:v>
      </x:c>
      <x:c r="N13" s="13" t="n">
        <x:f>VLOOKUP(C13,'MES orders'!$A$8:$H$127,5,FALSE)</x:f>
        <x:v>46302.666666666664</x:v>
      </x:c>
      <x:c r="O13" s="16" t="n">
        <x:f>MAX(0,(M13-N13)*24)</x:f>
        <x:v>0</x:v>
      </x:c>
      <x:c r="P13" s="9" t="str">
        <x:v>Yes</x:v>
      </x:c>
      <x:c r="Q13" s="15" t="n">
        <x:v>18</x:v>
      </x:c>
      <x:c r="R13" s="13" t="n">
        <x:f>J13+Q13/1440</x:f>
        <x:v>46300.274999999994</x:v>
      </x:c>
      <x:c r="S13" s="2" t="str">
        <x:f>VLOOKUP(C13,'MES orders'!$A$8:$H$127,6,FALSE)</x:f>
        <x:v>High</x:v>
      </x:c>
      <x:c r="T13" s="9" t="str"/>
    </x:row>
    <x:row r="14" ht="22" customHeight="1">
      <x:c r="A14" s="2" t="str">
        <x:v>L00001-020</x:v>
      </x:c>
      <x:c r="B14" s="2" t="str">
        <x:v>L00001</x:v>
      </x:c>
      <x:c r="C14" s="2" t="str">
        <x:v>SO-26001</x:v>
      </x:c>
      <x:c r="D14" s="2" t="str">
        <x:v>D-C-AL</x:v>
      </x:c>
      <x:c r="E14" s="14" t="n">
        <x:v>5</x:v>
      </x:c>
      <x:c r="F14" s="2" t="str">
        <x:v>Deburr &amp; inspect</x:v>
      </x:c>
      <x:c r="G14" s="9" t="str">
        <x:v>DB-01</x:v>
      </x:c>
      <x:c r="H14" s="15" t="n">
        <x:v>1</x:v>
      </x:c>
      <x:c r="I14" s="9" t="str">
        <x:v>P04</x:v>
      </x:c>
      <x:c r="J14" s="11" t="n">
        <x:v>46300.26944444444</x:v>
      </x:c>
      <x:c r="K14" s="15" t="n">
        <x:v>4</x:v>
      </x:c>
      <x:c r="L14" s="15" t="n">
        <x:v>3</x:v>
      </x:c>
      <x:c r="M14" s="13" t="n">
        <x:f>J14+(K14+L14)/1440</x:f>
        <x:v>46300.274305555555</x:v>
      </x:c>
      <x:c r="N14" s="13" t="n">
        <x:f>VLOOKUP(C14,'MES orders'!$A$8:$H$127,5,FALSE)</x:f>
        <x:v>46302.666666666664</x:v>
      </x:c>
      <x:c r="O14" s="16" t="n">
        <x:f>MAX(0,(M14-N14)*24)</x:f>
        <x:v>0</x:v>
      </x:c>
      <x:c r="P14" s="9" t="str">
        <x:v>Yes</x:v>
      </x:c>
      <x:c r="Q14" s="15" t="n">
        <x:v>7</x:v>
      </x:c>
      <x:c r="R14" s="13" t="n">
        <x:f>J14+Q14/1440</x:f>
        <x:v>46300.274305555555</x:v>
      </x:c>
      <x:c r="S14" s="2" t="str">
        <x:f>VLOOKUP(C14,'MES orders'!$A$8:$H$127,6,FALSE)</x:f>
        <x:v>Urgent</x:v>
      </x:c>
      <x:c r="T14" s="9" t="str"/>
    </x:row>
    <x:row r="15" ht="22" customHeight="1">
      <x:c r="A15" s="2" t="str">
        <x:v>L00002-020</x:v>
      </x:c>
      <x:c r="B15" s="2" t="str">
        <x:v>L00002</x:v>
      </x:c>
      <x:c r="C15" s="2" t="str">
        <x:v>SO-26001</x:v>
      </x:c>
      <x:c r="D15" s="2" t="str">
        <x:v>D-C-AL</x:v>
      </x:c>
      <x:c r="E15" s="14" t="n">
        <x:v>5</x:v>
      </x:c>
      <x:c r="F15" s="2" t="str">
        <x:v>Deburr &amp; inspect</x:v>
      </x:c>
      <x:c r="G15" s="9" t="str">
        <x:v>DB-02</x:v>
      </x:c>
      <x:c r="H15" s="15" t="n">
        <x:v>1</x:v>
      </x:c>
      <x:c r="I15" s="9" t="str">
        <x:v>P05</x:v>
      </x:c>
      <x:c r="J15" s="11" t="n">
        <x:v>46300.26944444444</x:v>
      </x:c>
      <x:c r="K15" s="15" t="n">
        <x:v>4</x:v>
      </x:c>
      <x:c r="L15" s="15" t="n">
        <x:v>3</x:v>
      </x:c>
      <x:c r="M15" s="13" t="n">
        <x:f>J15+(K15+L15)/1440</x:f>
        <x:v>46300.274305555555</x:v>
      </x:c>
      <x:c r="N15" s="13" t="n">
        <x:f>VLOOKUP(C15,'MES orders'!$A$8:$H$127,5,FALSE)</x:f>
        <x:v>46302.666666666664</x:v>
      </x:c>
      <x:c r="O15" s="16" t="n">
        <x:f>MAX(0,(M15-N15)*24)</x:f>
        <x:v>0</x:v>
      </x:c>
      <x:c r="P15" s="9" t="str">
        <x:v>Yes</x:v>
      </x:c>
      <x:c r="Q15" s="15" t="n">
        <x:v>7</x:v>
      </x:c>
      <x:c r="R15" s="13" t="n">
        <x:f>J15+Q15/1440</x:f>
        <x:v>46300.274305555555</x:v>
      </x:c>
      <x:c r="S15" s="2" t="str">
        <x:f>VLOOKUP(C15,'MES orders'!$A$8:$H$127,6,FALSE)</x:f>
        <x:v>Urgent</x:v>
      </x:c>
      <x:c r="T15" s="9" t="str"/>
    </x:row>
    <x:row r="16" ht="22" customHeight="1">
      <x:c r="A16" s="2" t="str">
        <x:v>L00003-020</x:v>
      </x:c>
      <x:c r="B16" s="2" t="str">
        <x:v>L00003</x:v>
      </x:c>
      <x:c r="C16" s="2" t="str">
        <x:v>SO-26001</x:v>
      </x:c>
      <x:c r="D16" s="2" t="str">
        <x:v>D-C-AL</x:v>
      </x:c>
      <x:c r="E16" s="14" t="n">
        <x:v>5</x:v>
      </x:c>
      <x:c r="F16" s="2" t="str">
        <x:v>Deburr &amp; inspect</x:v>
      </x:c>
      <x:c r="G16" s="9" t="str">
        <x:v>DB-01</x:v>
      </x:c>
      <x:c r="H16" s="15" t="n">
        <x:v>2</x:v>
      </x:c>
      <x:c r="I16" s="9" t="str">
        <x:v>P06</x:v>
      </x:c>
      <x:c r="J16" s="11" t="n">
        <x:v>46300.274305555555</x:v>
      </x:c>
      <x:c r="K16" s="15" t="n">
        <x:v>4</x:v>
      </x:c>
      <x:c r="L16" s="15" t="n">
        <x:v>3</x:v>
      </x:c>
      <x:c r="M16" s="13" t="n">
        <x:f>J16+(K16+L16)/1440</x:f>
        <x:v>46300.27916666667</x:v>
      </x:c>
      <x:c r="N16" s="13" t="n">
        <x:f>VLOOKUP(C16,'MES orders'!$A$8:$H$127,5,FALSE)</x:f>
        <x:v>46302.666666666664</x:v>
      </x:c>
      <x:c r="O16" s="16" t="n">
        <x:f>MAX(0,(M16-N16)*24)</x:f>
        <x:v>0</x:v>
      </x:c>
      <x:c r="P16" s="9" t="str">
        <x:v>Yes</x:v>
      </x:c>
      <x:c r="Q16" s="15" t="n">
        <x:v>7</x:v>
      </x:c>
      <x:c r="R16" s="13" t="n">
        <x:f>J16+Q16/1440</x:f>
        <x:v>46300.27916666667</x:v>
      </x:c>
      <x:c r="S16" s="2" t="str">
        <x:f>VLOOKUP(C16,'MES orders'!$A$8:$H$127,6,FALSE)</x:f>
        <x:v>Urgent</x:v>
      </x:c>
      <x:c r="T16" s="9" t="str"/>
    </x:row>
    <x:row r="17" ht="22" customHeight="1">
      <x:c r="A17" s="2" t="str">
        <x:v>L00001-030</x:v>
      </x:c>
      <x:c r="B17" s="2" t="str">
        <x:v>L00001</x:v>
      </x:c>
      <x:c r="C17" s="2" t="str">
        <x:v>SO-26001</x:v>
      </x:c>
      <x:c r="D17" s="2" t="str">
        <x:v>D-C-AL</x:v>
      </x:c>
      <x:c r="E17" s="14" t="n">
        <x:v>5</x:v>
      </x:c>
      <x:c r="F17" s="2" t="str">
        <x:v>Wash &amp; dry</x:v>
      </x:c>
      <x:c r="G17" s="9" t="str">
        <x:v>WS-01</x:v>
      </x:c>
      <x:c r="H17" s="15" t="n">
        <x:v>1</x:v>
      </x:c>
      <x:c r="I17" s="9" t="str">
        <x:v>P04</x:v>
      </x:c>
      <x:c r="J17" s="11" t="n">
        <x:v>46300.274305555555</x:v>
      </x:c>
      <x:c r="K17" s="15" t="n">
        <x:v>12</x:v>
      </x:c>
      <x:c r="L17" s="15" t="n">
        <x:v>1</x:v>
      </x:c>
      <x:c r="M17" s="13" t="n">
        <x:f>J17+(K17+L17)/1440</x:f>
        <x:v>46300.28333333333</x:v>
      </x:c>
      <x:c r="N17" s="13" t="n">
        <x:f>VLOOKUP(C17,'MES orders'!$A$8:$H$127,5,FALSE)</x:f>
        <x:v>46302.666666666664</x:v>
      </x:c>
      <x:c r="O17" s="16" t="n">
        <x:f>MAX(0,(M17-N17)*24)</x:f>
        <x:v>0</x:v>
      </x:c>
      <x:c r="P17" s="9" t="str">
        <x:v>Yes</x:v>
      </x:c>
      <x:c r="Q17" s="15" t="n">
        <x:v>13</x:v>
      </x:c>
      <x:c r="R17" s="13" t="n">
        <x:f>J17+Q17/1440</x:f>
        <x:v>46300.28333333333</x:v>
      </x:c>
      <x:c r="S17" s="2" t="str">
        <x:f>VLOOKUP(C17,'MES orders'!$A$8:$H$127,6,FALSE)</x:f>
        <x:v>Urgent</x:v>
      </x:c>
      <x:c r="T17" s="9" t="str"/>
    </x:row>
    <x:row r="18" ht="22" customHeight="1">
      <x:c r="A18" s="2" t="str">
        <x:v>L00002-030</x:v>
      </x:c>
      <x:c r="B18" s="2" t="str">
        <x:v>L00002</x:v>
      </x:c>
      <x:c r="C18" s="2" t="str">
        <x:v>SO-26001</x:v>
      </x:c>
      <x:c r="D18" s="2" t="str">
        <x:v>D-C-AL</x:v>
      </x:c>
      <x:c r="E18" s="14" t="n">
        <x:v>5</x:v>
      </x:c>
      <x:c r="F18" s="2" t="str">
        <x:v>Wash &amp; dry</x:v>
      </x:c>
      <x:c r="G18" s="9" t="str">
        <x:v>WS-02</x:v>
      </x:c>
      <x:c r="H18" s="15" t="n">
        <x:v>1</x:v>
      </x:c>
      <x:c r="I18" s="9" t="str">
        <x:v>P05</x:v>
      </x:c>
      <x:c r="J18" s="11" t="n">
        <x:v>46300.274305555555</x:v>
      </x:c>
      <x:c r="K18" s="15" t="n">
        <x:v>12</x:v>
      </x:c>
      <x:c r="L18" s="15" t="n">
        <x:v>1</x:v>
      </x:c>
      <x:c r="M18" s="13" t="n">
        <x:f>J18+(K18+L18)/1440</x:f>
        <x:v>46300.28333333333</x:v>
      </x:c>
      <x:c r="N18" s="13" t="n">
        <x:f>VLOOKUP(C18,'MES orders'!$A$8:$H$127,5,FALSE)</x:f>
        <x:v>46302.666666666664</x:v>
      </x:c>
      <x:c r="O18" s="16" t="n">
        <x:f>MAX(0,(M18-N18)*24)</x:f>
        <x:v>0</x:v>
      </x:c>
      <x:c r="P18" s="9" t="str">
        <x:v>Yes</x:v>
      </x:c>
      <x:c r="Q18" s="15" t="n">
        <x:v>13</x:v>
      </x:c>
      <x:c r="R18" s="13" t="n">
        <x:f>J18+Q18/1440</x:f>
        <x:v>46300.28333333333</x:v>
      </x:c>
      <x:c r="S18" s="2" t="str">
        <x:f>VLOOKUP(C18,'MES orders'!$A$8:$H$127,6,FALSE)</x:f>
        <x:v>Urgent</x:v>
      </x:c>
      <x:c r="T18" s="9" t="str"/>
    </x:row>
    <x:row r="19" ht="22" customHeight="1">
      <x:c r="A19" s="2" t="str">
        <x:v>L00282-010</x:v>
      </x:c>
      <x:c r="B19" s="2" t="str">
        <x:v>L00282</x:v>
      </x:c>
      <x:c r="C19" s="2" t="str">
        <x:v>SO-26057</x:v>
      </x:c>
      <x:c r="D19" s="2" t="str">
        <x:v>S-S-AL</x:v>
      </x:c>
      <x:c r="E19" s="14" t="n">
        <x:v>5</x:v>
      </x:c>
      <x:c r="F19" s="2" t="str">
        <x:v>CNC machining</x:v>
      </x:c>
      <x:c r="G19" s="9" t="str">
        <x:v>CNC-01</x:v>
      </x:c>
      <x:c r="H19" s="15" t="n">
        <x:v>2</x:v>
      </x:c>
      <x:c r="I19" s="9" t="str">
        <x:v>P01</x:v>
      </x:c>
      <x:c r="J19" s="11" t="n">
        <x:v>46300.275</x:v>
      </x:c>
      <x:c r="K19" s="15" t="n">
        <x:v>18</x:v>
      </x:c>
      <x:c r="L19" s="15" t="n">
        <x:v>12</x:v>
      </x:c>
      <x:c r="M19" s="13" t="n">
        <x:f>J19+(K19+L19)/1440</x:f>
        <x:v>46300.29583333334</x:v>
      </x:c>
      <x:c r="N19" s="13" t="n">
        <x:f>VLOOKUP(C19,'MES orders'!$A$8:$H$127,5,FALSE)</x:f>
        <x:v>46302.666666666664</x:v>
      </x:c>
      <x:c r="O19" s="16" t="n">
        <x:f>MAX(0,(M19-N19)*24)</x:f>
        <x:v>0</x:v>
      </x:c>
      <x:c r="P19" s="9" t="str">
        <x:v>Yes</x:v>
      </x:c>
      <x:c r="Q19" s="15" t="n">
        <x:v>18</x:v>
      </x:c>
      <x:c r="R19" s="13" t="n">
        <x:f>J19+Q19/1440</x:f>
        <x:v>46300.2875</x:v>
      </x:c>
      <x:c r="S19" s="2" t="str">
        <x:f>VLOOKUP(C19,'MES orders'!$A$8:$H$127,6,FALSE)</x:f>
        <x:v>High</x:v>
      </x:c>
      <x:c r="T19" s="9" t="str"/>
    </x:row>
    <x:row r="20" ht="22" customHeight="1">
      <x:c r="A20" s="2" t="str">
        <x:v>L00283-010</x:v>
      </x:c>
      <x:c r="B20" s="2" t="str">
        <x:v>L00283</x:v>
      </x:c>
      <x:c r="C20" s="2" t="str">
        <x:v>SO-26057</x:v>
      </x:c>
      <x:c r="D20" s="2" t="str">
        <x:v>S-S-AL</x:v>
      </x:c>
      <x:c r="E20" s="14" t="n">
        <x:v>5</x:v>
      </x:c>
      <x:c r="F20" s="2" t="str">
        <x:v>CNC machining</x:v>
      </x:c>
      <x:c r="G20" s="9" t="str">
        <x:v>CNC-02</x:v>
      </x:c>
      <x:c r="H20" s="15" t="n">
        <x:v>2</x:v>
      </x:c>
      <x:c r="I20" s="9" t="str">
        <x:v>P02</x:v>
      </x:c>
      <x:c r="J20" s="11" t="n">
        <x:v>46300.275</x:v>
      </x:c>
      <x:c r="K20" s="15" t="n">
        <x:v>18</x:v>
      </x:c>
      <x:c r="L20" s="15" t="n">
        <x:v>12</x:v>
      </x:c>
      <x:c r="M20" s="13" t="n">
        <x:f>J20+(K20+L20)/1440</x:f>
        <x:v>46300.29583333334</x:v>
      </x:c>
      <x:c r="N20" s="13" t="n">
        <x:f>VLOOKUP(C20,'MES orders'!$A$8:$H$127,5,FALSE)</x:f>
        <x:v>46302.666666666664</x:v>
      </x:c>
      <x:c r="O20" s="16" t="n">
        <x:f>MAX(0,(M20-N20)*24)</x:f>
        <x:v>0</x:v>
      </x:c>
      <x:c r="P20" s="9" t="str">
        <x:v>Yes</x:v>
      </x:c>
      <x:c r="Q20" s="15" t="n">
        <x:v>18</x:v>
      </x:c>
      <x:c r="R20" s="13" t="n">
        <x:f>J20+Q20/1440</x:f>
        <x:v>46300.2875</x:v>
      </x:c>
      <x:c r="S20" s="2" t="str">
        <x:f>VLOOKUP(C20,'MES orders'!$A$8:$H$127,6,FALSE)</x:f>
        <x:v>High</x:v>
      </x:c>
      <x:c r="T20" s="9" t="str"/>
    </x:row>
    <x:row r="21" ht="22" customHeight="1">
      <x:c r="A21" s="2" t="str">
        <x:v>L00284-010</x:v>
      </x:c>
      <x:c r="B21" s="2" t="str">
        <x:v>L00284</x:v>
      </x:c>
      <x:c r="C21" s="2" t="str">
        <x:v>SO-26057</x:v>
      </x:c>
      <x:c r="D21" s="2" t="str">
        <x:v>S-S-AL</x:v>
      </x:c>
      <x:c r="E21" s="14" t="n">
        <x:v>5</x:v>
      </x:c>
      <x:c r="F21" s="2" t="str">
        <x:v>CNC machining</x:v>
      </x:c>
      <x:c r="G21" s="9" t="str">
        <x:v>CNC-03</x:v>
      </x:c>
      <x:c r="H21" s="15" t="n">
        <x:v>2</x:v>
      </x:c>
      <x:c r="I21" s="9" t="str">
        <x:v>P03</x:v>
      </x:c>
      <x:c r="J21" s="11" t="n">
        <x:v>46300.275</x:v>
      </x:c>
      <x:c r="K21" s="15" t="n">
        <x:v>18</x:v>
      </x:c>
      <x:c r="L21" s="15" t="n">
        <x:v>12</x:v>
      </x:c>
      <x:c r="M21" s="13" t="n">
        <x:f>J21+(K21+L21)/1440</x:f>
        <x:v>46300.29583333334</x:v>
      </x:c>
      <x:c r="N21" s="13" t="n">
        <x:f>VLOOKUP(C21,'MES orders'!$A$8:$H$127,5,FALSE)</x:f>
        <x:v>46302.666666666664</x:v>
      </x:c>
      <x:c r="O21" s="16" t="n">
        <x:f>MAX(0,(M21-N21)*24)</x:f>
        <x:v>0</x:v>
      </x:c>
      <x:c r="P21" s="9" t="str">
        <x:v>Yes</x:v>
      </x:c>
      <x:c r="Q21" s="15" t="n">
        <x:v>18</x:v>
      </x:c>
      <x:c r="R21" s="13" t="n">
        <x:f>J21+Q21/1440</x:f>
        <x:v>46300.2875</x:v>
      </x:c>
      <x:c r="S21" s="2" t="str">
        <x:f>VLOOKUP(C21,'MES orders'!$A$8:$H$127,6,FALSE)</x:f>
        <x:v>High</x:v>
      </x:c>
      <x:c r="T21" s="9" t="str"/>
    </x:row>
    <x:row r="22" ht="22" customHeight="1">
      <x:c r="A22" s="2" t="str">
        <x:v>L00001-040</x:v>
      </x:c>
      <x:c r="B22" s="2" t="str">
        <x:v>L00001</x:v>
      </x:c>
      <x:c r="C22" s="2" t="str">
        <x:v>SO-26001</x:v>
      </x:c>
      <x:c r="D22" s="2" t="str">
        <x:v>D-C-AL</x:v>
      </x:c>
      <x:c r="E22" s="14" t="n">
        <x:v>5</x:v>
      </x:c>
      <x:c r="F22" s="2" t="str">
        <x:v>Mechanical assembly</x:v>
      </x:c>
      <x:c r="G22" s="9" t="str">
        <x:v>AS-01</x:v>
      </x:c>
      <x:c r="H22" s="15" t="n">
        <x:v>1</x:v>
      </x:c>
      <x:c r="I22" s="9" t="str">
        <x:v>P04</x:v>
      </x:c>
      <x:c r="J22" s="11" t="n">
        <x:v>46300.28333333333</x:v>
      </x:c>
      <x:c r="K22" s="15" t="n">
        <x:v>8</x:v>
      </x:c>
      <x:c r="L22" s="15" t="n">
        <x:v>7</x:v>
      </x:c>
      <x:c r="M22" s="13" t="n">
        <x:f>J22+(K22+L22)/1440</x:f>
        <x:v>46300.29375</x:v>
      </x:c>
      <x:c r="N22" s="13" t="n">
        <x:f>VLOOKUP(C22,'MES orders'!$A$8:$H$127,5,FALSE)</x:f>
        <x:v>46302.666666666664</x:v>
      </x:c>
      <x:c r="O22" s="16" t="n">
        <x:f>MAX(0,(M22-N22)*24)</x:f>
        <x:v>0</x:v>
      </x:c>
      <x:c r="P22" s="9" t="str">
        <x:v>Yes</x:v>
      </x:c>
      <x:c r="Q22" s="15" t="n">
        <x:v>15</x:v>
      </x:c>
      <x:c r="R22" s="13" t="n">
        <x:f>J22+Q22/1440</x:f>
        <x:v>46300.29375</x:v>
      </x:c>
      <x:c r="S22" s="2" t="str">
        <x:f>VLOOKUP(C22,'MES orders'!$A$8:$H$127,6,FALSE)</x:f>
        <x:v>Urgent</x:v>
      </x:c>
      <x:c r="T22" s="9" t="str"/>
    </x:row>
    <x:row r="23" ht="22" customHeight="1">
      <x:c r="A23" s="2" t="str">
        <x:v>L00002-040</x:v>
      </x:c>
      <x:c r="B23" s="2" t="str">
        <x:v>L00002</x:v>
      </x:c>
      <x:c r="C23" s="2" t="str">
        <x:v>SO-26001</x:v>
      </x:c>
      <x:c r="D23" s="2" t="str">
        <x:v>D-C-AL</x:v>
      </x:c>
      <x:c r="E23" s="14" t="n">
        <x:v>5</x:v>
      </x:c>
      <x:c r="F23" s="2" t="str">
        <x:v>Mechanical assembly</x:v>
      </x:c>
      <x:c r="G23" s="9" t="str">
        <x:v>AS-02</x:v>
      </x:c>
      <x:c r="H23" s="15" t="n">
        <x:v>1</x:v>
      </x:c>
      <x:c r="I23" s="9" t="str">
        <x:v>P05</x:v>
      </x:c>
      <x:c r="J23" s="11" t="n">
        <x:v>46300.28333333333</x:v>
      </x:c>
      <x:c r="K23" s="15" t="n">
        <x:v>8</x:v>
      </x:c>
      <x:c r="L23" s="15" t="n">
        <x:v>7</x:v>
      </x:c>
      <x:c r="M23" s="13" t="n">
        <x:f>J23+(K23+L23)/1440</x:f>
        <x:v>46300.29375</x:v>
      </x:c>
      <x:c r="N23" s="13" t="n">
        <x:f>VLOOKUP(C23,'MES orders'!$A$8:$H$127,5,FALSE)</x:f>
        <x:v>46302.666666666664</x:v>
      </x:c>
      <x:c r="O23" s="16" t="n">
        <x:f>MAX(0,(M23-N23)*24)</x:f>
        <x:v>0</x:v>
      </x:c>
      <x:c r="P23" s="9" t="str">
        <x:v>Yes</x:v>
      </x:c>
      <x:c r="Q23" s="15" t="n">
        <x:v>15</x:v>
      </x:c>
      <x:c r="R23" s="13" t="n">
        <x:f>J23+Q23/1440</x:f>
        <x:v>46300.29375</x:v>
      </x:c>
      <x:c r="S23" s="2" t="str">
        <x:f>VLOOKUP(C23,'MES orders'!$A$8:$H$127,6,FALSE)</x:f>
        <x:v>Urgent</x:v>
      </x:c>
      <x:c r="T23" s="9" t="str"/>
    </x:row>
    <x:row r="24" ht="22" customHeight="1">
      <x:c r="A24" s="2" t="str">
        <x:v>L00003-030</x:v>
      </x:c>
      <x:c r="B24" s="2" t="str">
        <x:v>L00003</x:v>
      </x:c>
      <x:c r="C24" s="2" t="str">
        <x:v>SO-26001</x:v>
      </x:c>
      <x:c r="D24" s="2" t="str">
        <x:v>D-C-AL</x:v>
      </x:c>
      <x:c r="E24" s="14" t="n">
        <x:v>5</x:v>
      </x:c>
      <x:c r="F24" s="2" t="str">
        <x:v>Wash &amp; dry</x:v>
      </x:c>
      <x:c r="G24" s="9" t="str">
        <x:v>WS-01</x:v>
      </x:c>
      <x:c r="H24" s="15" t="n">
        <x:v>2</x:v>
      </x:c>
      <x:c r="I24" s="9" t="str">
        <x:v>P06</x:v>
      </x:c>
      <x:c r="J24" s="11" t="n">
        <x:v>46300.28333333333</x:v>
      </x:c>
      <x:c r="K24" s="15" t="n">
        <x:v>12</x:v>
      </x:c>
      <x:c r="L24" s="15" t="n">
        <x:v>1</x:v>
      </x:c>
      <x:c r="M24" s="13" t="n">
        <x:f>J24+(K24+L24)/1440</x:f>
        <x:v>46300.29236111111</x:v>
      </x:c>
      <x:c r="N24" s="13" t="n">
        <x:f>VLOOKUP(C24,'MES orders'!$A$8:$H$127,5,FALSE)</x:f>
        <x:v>46302.666666666664</x:v>
      </x:c>
      <x:c r="O24" s="16" t="n">
        <x:f>MAX(0,(M24-N24)*24)</x:f>
        <x:v>0</x:v>
      </x:c>
      <x:c r="P24" s="9" t="str">
        <x:v>Yes</x:v>
      </x:c>
      <x:c r="Q24" s="15" t="n">
        <x:v>13</x:v>
      </x:c>
      <x:c r="R24" s="13" t="n">
        <x:f>J24+Q24/1440</x:f>
        <x:v>46300.29236111111</x:v>
      </x:c>
      <x:c r="S24" s="2" t="str">
        <x:f>VLOOKUP(C24,'MES orders'!$A$8:$H$127,6,FALSE)</x:f>
        <x:v>Urgent</x:v>
      </x:c>
      <x:c r="T24" s="9" t="str"/>
    </x:row>
    <x:row r="25" ht="22" customHeight="1">
      <x:c r="A25" s="2" t="str">
        <x:v>L00285-010</x:v>
      </x:c>
      <x:c r="B25" s="2" t="str">
        <x:v>L00285</x:v>
      </x:c>
      <x:c r="C25" s="2" t="str">
        <x:v>SO-26057</x:v>
      </x:c>
      <x:c r="D25" s="2" t="str">
        <x:v>S-S-AL</x:v>
      </x:c>
      <x:c r="E25" s="14" t="n">
        <x:v>5</x:v>
      </x:c>
      <x:c r="F25" s="2" t="str">
        <x:v>CNC machining</x:v>
      </x:c>
      <x:c r="G25" s="9" t="str">
        <x:v>CNC-04</x:v>
      </x:c>
      <x:c r="H25" s="15" t="n">
        <x:v>2</x:v>
      </x:c>
      <x:c r="I25" s="9" t="str">
        <x:v>P01</x:v>
      </x:c>
      <x:c r="J25" s="11" t="n">
        <x:v>46300.2875</x:v>
      </x:c>
      <x:c r="K25" s="15" t="n">
        <x:v>18</x:v>
      </x:c>
      <x:c r="L25" s="15" t="n">
        <x:v>12</x:v>
      </x:c>
      <x:c r="M25" s="13" t="n">
        <x:f>J25+(K25+L25)/1440</x:f>
        <x:v>46300.308333333334</x:v>
      </x:c>
      <x:c r="N25" s="13" t="n">
        <x:f>VLOOKUP(C25,'MES orders'!$A$8:$H$127,5,FALSE)</x:f>
        <x:v>46302.666666666664</x:v>
      </x:c>
      <x:c r="O25" s="16" t="n">
        <x:f>MAX(0,(M25-N25)*24)</x:f>
        <x:v>0</x:v>
      </x:c>
      <x:c r="P25" s="9" t="str">
        <x:v>Yes</x:v>
      </x:c>
      <x:c r="Q25" s="15" t="n">
        <x:v>18</x:v>
      </x:c>
      <x:c r="R25" s="13" t="n">
        <x:f>J25+Q25/1440</x:f>
        <x:v>46300.299999999996</x:v>
      </x:c>
      <x:c r="S25" s="2" t="str">
        <x:f>VLOOKUP(C25,'MES orders'!$A$8:$H$127,6,FALSE)</x:f>
        <x:v>High</x:v>
      </x:c>
      <x:c r="T25" s="9" t="str"/>
    </x:row>
    <x:row r="26" ht="22" customHeight="1">
      <x:c r="A26" s="2" t="str">
        <x:v>L00561-010</x:v>
      </x:c>
      <x:c r="B26" s="2" t="str">
        <x:v>L00561</x:v>
      </x:c>
      <x:c r="C26" s="2" t="str">
        <x:v>SO-26113</x:v>
      </x:c>
      <x:c r="D26" s="2" t="str">
        <x:v>R-L-AL</x:v>
      </x:c>
      <x:c r="E26" s="14" t="n">
        <x:v>20</x:v>
      </x:c>
      <x:c r="F26" s="2" t="str">
        <x:v>CNC machining</x:v>
      </x:c>
      <x:c r="G26" s="9" t="str">
        <x:v>CNC-05</x:v>
      </x:c>
      <x:c r="H26" s="15" t="n">
        <x:v>2</x:v>
      </x:c>
      <x:c r="I26" s="9" t="str">
        <x:v>P02</x:v>
      </x:c>
      <x:c r="J26" s="11" t="n">
        <x:v>46300.2875</x:v>
      </x:c>
      <x:c r="K26" s="15" t="n">
        <x:v>18</x:v>
      </x:c>
      <x:c r="L26" s="15" t="n">
        <x:v>65</x:v>
      </x:c>
      <x:c r="M26" s="13" t="n">
        <x:f>J26+(K26+L26)/1440</x:f>
        <x:v>46300.345138888886</x:v>
      </x:c>
      <x:c r="N26" s="13" t="n">
        <x:f>VLOOKUP(C26,'MES orders'!$A$8:$H$127,5,FALSE)</x:f>
        <x:v>46302.666666666664</x:v>
      </x:c>
      <x:c r="O26" s="16" t="n">
        <x:f>MAX(0,(M26-N26)*24)</x:f>
        <x:v>0</x:v>
      </x:c>
      <x:c r="P26" s="9" t="str">
        <x:v>Yes</x:v>
      </x:c>
      <x:c r="Q26" s="15" t="n">
        <x:v>18</x:v>
      </x:c>
      <x:c r="R26" s="13" t="n">
        <x:f>J26+Q26/1440</x:f>
        <x:v>46300.299999999996</x:v>
      </x:c>
      <x:c r="S26" s="2" t="str">
        <x:f>VLOOKUP(C26,'MES orders'!$A$8:$H$127,6,FALSE)</x:f>
        <x:v>High</x:v>
      </x:c>
      <x:c r="T26" s="9" t="str"/>
    </x:row>
    <x:row r="27" ht="22" customHeight="1">
      <x:c r="A27" s="2" t="str">
        <x:v>L00562-010</x:v>
      </x:c>
      <x:c r="B27" s="2" t="str">
        <x:v>L00562</x:v>
      </x:c>
      <x:c r="C27" s="2" t="str">
        <x:v>SO-26113</x:v>
      </x:c>
      <x:c r="D27" s="2" t="str">
        <x:v>R-L-AL</x:v>
      </x:c>
      <x:c r="E27" s="14" t="n">
        <x:v>20</x:v>
      </x:c>
      <x:c r="F27" s="2" t="str">
        <x:v>CNC machining</x:v>
      </x:c>
      <x:c r="G27" s="9" t="str">
        <x:v>CNC-06</x:v>
      </x:c>
      <x:c r="H27" s="15" t="n">
        <x:v>2</x:v>
      </x:c>
      <x:c r="I27" s="9" t="str">
        <x:v>P03</x:v>
      </x:c>
      <x:c r="J27" s="11" t="n">
        <x:v>46300.2875</x:v>
      </x:c>
      <x:c r="K27" s="15" t="n">
        <x:v>18</x:v>
      </x:c>
      <x:c r="L27" s="15" t="n">
        <x:v>65</x:v>
      </x:c>
      <x:c r="M27" s="13" t="n">
        <x:f>J27+(K27+L27)/1440</x:f>
        <x:v>46300.345138888886</x:v>
      </x:c>
      <x:c r="N27" s="13" t="n">
        <x:f>VLOOKUP(C27,'MES orders'!$A$8:$H$127,5,FALSE)</x:f>
        <x:v>46302.666666666664</x:v>
      </x:c>
      <x:c r="O27" s="16" t="n">
        <x:f>MAX(0,(M27-N27)*24)</x:f>
        <x:v>0</x:v>
      </x:c>
      <x:c r="P27" s="9" t="str">
        <x:v>Yes</x:v>
      </x:c>
      <x:c r="Q27" s="15" t="n">
        <x:v>18</x:v>
      </x:c>
      <x:c r="R27" s="13" t="n">
        <x:f>J27+Q27/1440</x:f>
        <x:v>46300.299999999996</x:v>
      </x:c>
      <x:c r="S27" s="2" t="str">
        <x:f>VLOOKUP(C27,'MES orders'!$A$8:$H$127,6,FALSE)</x:f>
        <x:v>High</x:v>
      </x:c>
      <x:c r="T27" s="9" t="str"/>
    </x:row>
    <x:row r="28" ht="22" customHeight="1">
      <x:c r="A28" s="2" t="str">
        <x:v>L00003-040</x:v>
      </x:c>
      <x:c r="B28" s="2" t="str">
        <x:v>L00003</x:v>
      </x:c>
      <x:c r="C28" s="2" t="str">
        <x:v>SO-26001</x:v>
      </x:c>
      <x:c r="D28" s="2" t="str">
        <x:v>D-C-AL</x:v>
      </x:c>
      <x:c r="E28" s="14" t="n">
        <x:v>5</x:v>
      </x:c>
      <x:c r="F28" s="2" t="str">
        <x:v>Mechanical assembly</x:v>
      </x:c>
      <x:c r="G28" s="9" t="str">
        <x:v>AS-03</x:v>
      </x:c>
      <x:c r="H28" s="15" t="n">
        <x:v>1</x:v>
      </x:c>
      <x:c r="I28" s="9" t="str">
        <x:v>P06</x:v>
      </x:c>
      <x:c r="J28" s="11" t="n">
        <x:v>46300.29236111111</x:v>
      </x:c>
      <x:c r="K28" s="15" t="n">
        <x:v>8</x:v>
      </x:c>
      <x:c r="L28" s="15" t="n">
        <x:v>7</x:v>
      </x:c>
      <x:c r="M28" s="13" t="n">
        <x:f>J28+(K28+L28)/1440</x:f>
        <x:v>46300.302777777775</x:v>
      </x:c>
      <x:c r="N28" s="13" t="n">
        <x:f>VLOOKUP(C28,'MES orders'!$A$8:$H$127,5,FALSE)</x:f>
        <x:v>46302.666666666664</x:v>
      </x:c>
      <x:c r="O28" s="16" t="n">
        <x:f>MAX(0,(M28-N28)*24)</x:f>
        <x:v>0</x:v>
      </x:c>
      <x:c r="P28" s="9" t="str">
        <x:v>Yes</x:v>
      </x:c>
      <x:c r="Q28" s="15" t="n">
        <x:v>15</x:v>
      </x:c>
      <x:c r="R28" s="13" t="n">
        <x:f>J28+Q28/1440</x:f>
        <x:v>46300.302777777775</x:v>
      </x:c>
      <x:c r="S28" s="2" t="str">
        <x:f>VLOOKUP(C28,'MES orders'!$A$8:$H$127,6,FALSE)</x:f>
        <x:v>Urgent</x:v>
      </x:c>
      <x:c r="T28" s="9" t="str"/>
    </x:row>
    <x:row r="29" ht="22" customHeight="1">
      <x:c r="A29" s="2" t="str">
        <x:v>L00004-020</x:v>
      </x:c>
      <x:c r="B29" s="2" t="str">
        <x:v>L00004</x:v>
      </x:c>
      <x:c r="C29" s="2" t="str">
        <x:v>SO-26001</x:v>
      </x:c>
      <x:c r="D29" s="2" t="str">
        <x:v>D-C-AL</x:v>
      </x:c>
      <x:c r="E29" s="14" t="n">
        <x:v>5</x:v>
      </x:c>
      <x:c r="F29" s="2" t="str">
        <x:v>Deburr &amp; inspect</x:v>
      </x:c>
      <x:c r="G29" s="9" t="str">
        <x:v>DB-01</x:v>
      </x:c>
      <x:c r="H29" s="15" t="n">
        <x:v>3</x:v>
      </x:c>
      <x:c r="I29" s="9" t="str">
        <x:v>P04</x:v>
      </x:c>
      <x:c r="J29" s="11" t="n">
        <x:v>46300.29375</x:v>
      </x:c>
      <x:c r="K29" s="15" t="n">
        <x:v>4</x:v>
      </x:c>
      <x:c r="L29" s="15" t="n">
        <x:v>3</x:v>
      </x:c>
      <x:c r="M29" s="13" t="n">
        <x:f>J29+(K29+L29)/1440</x:f>
        <x:v>46300.29861111111</x:v>
      </x:c>
      <x:c r="N29" s="13" t="n">
        <x:f>VLOOKUP(C29,'MES orders'!$A$8:$H$127,5,FALSE)</x:f>
        <x:v>46302.666666666664</x:v>
      </x:c>
      <x:c r="O29" s="16" t="n">
        <x:f>MAX(0,(M29-N29)*24)</x:f>
        <x:v>0</x:v>
      </x:c>
      <x:c r="P29" s="9" t="str">
        <x:v>Yes</x:v>
      </x:c>
      <x:c r="Q29" s="15" t="n">
        <x:v>7</x:v>
      </x:c>
      <x:c r="R29" s="13" t="n">
        <x:f>J29+Q29/1440</x:f>
        <x:v>46300.29861111111</x:v>
      </x:c>
      <x:c r="S29" s="2" t="str">
        <x:f>VLOOKUP(C29,'MES orders'!$A$8:$H$127,6,FALSE)</x:f>
        <x:v>Urgent</x:v>
      </x:c>
      <x:c r="T29" s="9" t="str"/>
    </x:row>
    <x:row r="30" ht="22" customHeight="1">
      <x:c r="A30" s="2" t="str">
        <x:v>L00005-020</x:v>
      </x:c>
      <x:c r="B30" s="2" t="str">
        <x:v>L00005</x:v>
      </x:c>
      <x:c r="C30" s="2" t="str">
        <x:v>SO-26001</x:v>
      </x:c>
      <x:c r="D30" s="2" t="str">
        <x:v>D-C-AL</x:v>
      </x:c>
      <x:c r="E30" s="14" t="n">
        <x:v>5</x:v>
      </x:c>
      <x:c r="F30" s="2" t="str">
        <x:v>Deburr &amp; inspect</x:v>
      </x:c>
      <x:c r="G30" s="9" t="str">
        <x:v>DB-02</x:v>
      </x:c>
      <x:c r="H30" s="15" t="n">
        <x:v>2</x:v>
      </x:c>
      <x:c r="I30" s="9" t="str">
        <x:v>P05</x:v>
      </x:c>
      <x:c r="J30" s="11" t="n">
        <x:v>46300.29375</x:v>
      </x:c>
      <x:c r="K30" s="15" t="n">
        <x:v>4</x:v>
      </x:c>
      <x:c r="L30" s="15" t="n">
        <x:v>3</x:v>
      </x:c>
      <x:c r="M30" s="13" t="n">
        <x:f>J30+(K30+L30)/1440</x:f>
        <x:v>46300.29861111111</x:v>
      </x:c>
      <x:c r="N30" s="13" t="n">
        <x:f>VLOOKUP(C30,'MES orders'!$A$8:$H$127,5,FALSE)</x:f>
        <x:v>46302.666666666664</x:v>
      </x:c>
      <x:c r="O30" s="16" t="n">
        <x:f>MAX(0,(M30-N30)*24)</x:f>
        <x:v>0</x:v>
      </x:c>
      <x:c r="P30" s="9" t="str">
        <x:v>Yes</x:v>
      </x:c>
      <x:c r="Q30" s="15" t="n">
        <x:v>7</x:v>
      </x:c>
      <x:c r="R30" s="13" t="n">
        <x:f>J30+Q30/1440</x:f>
        <x:v>46300.29861111111</x:v>
      </x:c>
      <x:c r="S30" s="2" t="str">
        <x:f>VLOOKUP(C30,'MES orders'!$A$8:$H$127,6,FALSE)</x:f>
        <x:v>Urgent</x:v>
      </x:c>
      <x:c r="T30" s="9" t="str"/>
    </x:row>
    <x:row r="31" ht="22" customHeight="1">
      <x:c r="A31" s="2" t="str">
        <x:v>L00001-050</x:v>
      </x:c>
      <x:c r="B31" s="2" t="str">
        <x:v>L00001</x:v>
      </x:c>
      <x:c r="C31" s="2" t="str">
        <x:v>SO-26001</x:v>
      </x:c>
      <x:c r="D31" s="2" t="str">
        <x:v>D-C-AL</x:v>
      </x:c>
      <x:c r="E31" s="14" t="n">
        <x:v>5</x:v>
      </x:c>
      <x:c r="F31" s="2" t="str">
        <x:v>Final leak / function test</x:v>
      </x:c>
      <x:c r="G31" s="9" t="str">
        <x:v>QA-01</x:v>
      </x:c>
      <x:c r="H31" s="15" t="n">
        <x:v>1</x:v>
      </x:c>
      <x:c r="I31" s="9" t="str">
        <x:v>P11</x:v>
      </x:c>
      <x:c r="J31" s="11" t="n">
        <x:v>46300.29375</x:v>
      </x:c>
      <x:c r="K31" s="15" t="n">
        <x:v>10</x:v>
      </x:c>
      <x:c r="L31" s="15" t="n">
        <x:v>4</x:v>
      </x:c>
      <x:c r="M31" s="13" t="n">
        <x:f>J31+(K31+L31)/1440</x:f>
        <x:v>46300.30347222222</x:v>
      </x:c>
      <x:c r="N31" s="13" t="n">
        <x:f>VLOOKUP(C31,'MES orders'!$A$8:$H$127,5,FALSE)</x:f>
        <x:v>46302.666666666664</x:v>
      </x:c>
      <x:c r="O31" s="16" t="n">
        <x:f>MAX(0,(M31-N31)*24)</x:f>
        <x:v>0</x:v>
      </x:c>
      <x:c r="P31" s="9" t="str">
        <x:v>Yes</x:v>
      </x:c>
      <x:c r="Q31" s="15" t="n">
        <x:v>14</x:v>
      </x:c>
      <x:c r="R31" s="13" t="n">
        <x:f>J31+Q31/1440</x:f>
        <x:v>46300.30347222222</x:v>
      </x:c>
      <x:c r="S31" s="2" t="str">
        <x:f>VLOOKUP(C31,'MES orders'!$A$8:$H$127,6,FALSE)</x:f>
        <x:v>Urgent</x:v>
      </x:c>
      <x:c r="T31" s="9" t="str"/>
    </x:row>
    <x:row r="32" ht="22" customHeight="1">
      <x:c r="A32" s="2" t="str">
        <x:v>L00002-050</x:v>
      </x:c>
      <x:c r="B32" s="2" t="str">
        <x:v>L00002</x:v>
      </x:c>
      <x:c r="C32" s="2" t="str">
        <x:v>SO-26001</x:v>
      </x:c>
      <x:c r="D32" s="2" t="str">
        <x:v>D-C-AL</x:v>
      </x:c>
      <x:c r="E32" s="14" t="n">
        <x:v>5</x:v>
      </x:c>
      <x:c r="F32" s="2" t="str">
        <x:v>Final leak / function test</x:v>
      </x:c>
      <x:c r="G32" s="9" t="str">
        <x:v>QA-02</x:v>
      </x:c>
      <x:c r="H32" s="15" t="n">
        <x:v>1</x:v>
      </x:c>
      <x:c r="I32" s="9" t="str">
        <x:v>P12</x:v>
      </x:c>
      <x:c r="J32" s="11" t="n">
        <x:v>46300.29375</x:v>
      </x:c>
      <x:c r="K32" s="15" t="n">
        <x:v>10</x:v>
      </x:c>
      <x:c r="L32" s="15" t="n">
        <x:v>4</x:v>
      </x:c>
      <x:c r="M32" s="13" t="n">
        <x:f>J32+(K32+L32)/1440</x:f>
        <x:v>46300.30347222222</x:v>
      </x:c>
      <x:c r="N32" s="13" t="n">
        <x:f>VLOOKUP(C32,'MES orders'!$A$8:$H$127,5,FALSE)</x:f>
        <x:v>46302.666666666664</x:v>
      </x:c>
      <x:c r="O32" s="16" t="n">
        <x:f>MAX(0,(M32-N32)*24)</x:f>
        <x:v>0</x:v>
      </x:c>
      <x:c r="P32" s="9" t="str">
        <x:v>Yes</x:v>
      </x:c>
      <x:c r="Q32" s="15" t="n">
        <x:v>14</x:v>
      </x:c>
      <x:c r="R32" s="13" t="n">
        <x:f>J32+Q32/1440</x:f>
        <x:v>46300.30347222222</x:v>
      </x:c>
      <x:c r="S32" s="2" t="str">
        <x:f>VLOOKUP(C32,'MES orders'!$A$8:$H$127,6,FALSE)</x:f>
        <x:v>Urgent</x:v>
      </x:c>
      <x:c r="T32" s="9" t="str"/>
    </x:row>
    <x:row r="33" ht="22" customHeight="1">
      <x:c r="A33" s="2" t="str">
        <x:v>L00004-030</x:v>
      </x:c>
      <x:c r="B33" s="2" t="str">
        <x:v>L00004</x:v>
      </x:c>
      <x:c r="C33" s="2" t="str">
        <x:v>SO-26001</x:v>
      </x:c>
      <x:c r="D33" s="2" t="str">
        <x:v>D-C-AL</x:v>
      </x:c>
      <x:c r="E33" s="14" t="n">
        <x:v>5</x:v>
      </x:c>
      <x:c r="F33" s="2" t="str">
        <x:v>Wash &amp; dry</x:v>
      </x:c>
      <x:c r="G33" s="9" t="str">
        <x:v>WS-01</x:v>
      </x:c>
      <x:c r="H33" s="15" t="n">
        <x:v>3</x:v>
      </x:c>
      <x:c r="I33" s="9" t="str">
        <x:v>P04</x:v>
      </x:c>
      <x:c r="J33" s="11" t="n">
        <x:v>46300.29861111111</x:v>
      </x:c>
      <x:c r="K33" s="15" t="n">
        <x:v>12</x:v>
      </x:c>
      <x:c r="L33" s="15" t="n">
        <x:v>1</x:v>
      </x:c>
      <x:c r="M33" s="13" t="n">
        <x:f>J33+(K33+L33)/1440</x:f>
        <x:v>46300.30763888889</x:v>
      </x:c>
      <x:c r="N33" s="13" t="n">
        <x:f>VLOOKUP(C33,'MES orders'!$A$8:$H$127,5,FALSE)</x:f>
        <x:v>46302.666666666664</x:v>
      </x:c>
      <x:c r="O33" s="16" t="n">
        <x:f>MAX(0,(M33-N33)*24)</x:f>
        <x:v>0</x:v>
      </x:c>
      <x:c r="P33" s="9" t="str">
        <x:v>Yes</x:v>
      </x:c>
      <x:c r="Q33" s="15" t="n">
        <x:v>13</x:v>
      </x:c>
      <x:c r="R33" s="13" t="n">
        <x:f>J33+Q33/1440</x:f>
        <x:v>46300.30763888889</x:v>
      </x:c>
      <x:c r="S33" s="2" t="str">
        <x:f>VLOOKUP(C33,'MES orders'!$A$8:$H$127,6,FALSE)</x:f>
        <x:v>Urgent</x:v>
      </x:c>
      <x:c r="T33" s="9" t="str"/>
    </x:row>
    <x:row r="34" ht="22" customHeight="1">
      <x:c r="A34" s="2" t="str">
        <x:v>L00005-030</x:v>
      </x:c>
      <x:c r="B34" s="2" t="str">
        <x:v>L00005</x:v>
      </x:c>
      <x:c r="C34" s="2" t="str">
        <x:v>SO-26001</x:v>
      </x:c>
      <x:c r="D34" s="2" t="str">
        <x:v>D-C-AL</x:v>
      </x:c>
      <x:c r="E34" s="14" t="n">
        <x:v>5</x:v>
      </x:c>
      <x:c r="F34" s="2" t="str">
        <x:v>Wash &amp; dry</x:v>
      </x:c>
      <x:c r="G34" s="9" t="str">
        <x:v>WS-02</x:v>
      </x:c>
      <x:c r="H34" s="15" t="n">
        <x:v>2</x:v>
      </x:c>
      <x:c r="I34" s="9" t="str">
        <x:v>P05</x:v>
      </x:c>
      <x:c r="J34" s="11" t="n">
        <x:v>46300.29861111111</x:v>
      </x:c>
      <x:c r="K34" s="15" t="n">
        <x:v>12</x:v>
      </x:c>
      <x:c r="L34" s="15" t="n">
        <x:v>1</x:v>
      </x:c>
      <x:c r="M34" s="13" t="n">
        <x:f>J34+(K34+L34)/1440</x:f>
        <x:v>46300.30763888889</x:v>
      </x:c>
      <x:c r="N34" s="13" t="n">
        <x:f>VLOOKUP(C34,'MES orders'!$A$8:$H$127,5,FALSE)</x:f>
        <x:v>46302.666666666664</x:v>
      </x:c>
      <x:c r="O34" s="16" t="n">
        <x:f>MAX(0,(M34-N34)*24)</x:f>
        <x:v>0</x:v>
      </x:c>
      <x:c r="P34" s="9" t="str">
        <x:v>Yes</x:v>
      </x:c>
      <x:c r="Q34" s="15" t="n">
        <x:v>13</x:v>
      </x:c>
      <x:c r="R34" s="13" t="n">
        <x:f>J34+Q34/1440</x:f>
        <x:v>46300.30763888889</x:v>
      </x:c>
      <x:c r="S34" s="2" t="str">
        <x:f>VLOOKUP(C34,'MES orders'!$A$8:$H$127,6,FALSE)</x:f>
        <x:v>Urgent</x:v>
      </x:c>
      <x:c r="T34" s="9" t="str"/>
    </x:row>
    <x:row r="35" ht="22" customHeight="1">
      <x:c r="A35" s="2" t="str">
        <x:v>L00041-010</x:v>
      </x:c>
      <x:c r="B35" s="2" t="str">
        <x:v>L00041</x:v>
      </x:c>
      <x:c r="C35" s="2" t="str">
        <x:v>SO-26009</x:v>
      </x:c>
      <x:c r="D35" s="2" t="str">
        <x:v>D-S-AL</x:v>
      </x:c>
      <x:c r="E35" s="14" t="n">
        <x:v>5</x:v>
      </x:c>
      <x:c r="F35" s="2" t="str">
        <x:v>CNC machining</x:v>
      </x:c>
      <x:c r="G35" s="9" t="str">
        <x:v>CNC-01</x:v>
      </x:c>
      <x:c r="H35" s="15" t="n">
        <x:v>3</x:v>
      </x:c>
      <x:c r="I35" s="9" t="str">
        <x:v>P03</x:v>
      </x:c>
      <x:c r="J35" s="11" t="n">
        <x:v>46300.3</x:v>
      </x:c>
      <x:c r="K35" s="15" t="n">
        <x:v>18</x:v>
      </x:c>
      <x:c r="L35" s="15" t="n">
        <x:v>12</x:v>
      </x:c>
      <x:c r="M35" s="13" t="n">
        <x:f>J35+(K35+L35)/1440</x:f>
        <x:v>46300.32083333334</x:v>
      </x:c>
      <x:c r="N35" s="13" t="n">
        <x:f>VLOOKUP(C35,'MES orders'!$A$8:$H$127,5,FALSE)</x:f>
        <x:v>46302.666666666664</x:v>
      </x:c>
      <x:c r="O35" s="16" t="n">
        <x:f>MAX(0,(M35-N35)*24)</x:f>
        <x:v>0</x:v>
      </x:c>
      <x:c r="P35" s="9" t="str">
        <x:v>Yes</x:v>
      </x:c>
      <x:c r="Q35" s="15" t="n">
        <x:v>18</x:v>
      </x:c>
      <x:c r="R35" s="13" t="n">
        <x:f>J35+Q35/1440</x:f>
        <x:v>46300.3125</x:v>
      </x:c>
      <x:c r="S35" s="2" t="str">
        <x:f>VLOOKUP(C35,'MES orders'!$A$8:$H$127,6,FALSE)</x:f>
        <x:v>Normal</x:v>
      </x:c>
      <x:c r="T35" s="9" t="str"/>
    </x:row>
    <x:row r="36" ht="22" customHeight="1">
      <x:c r="A36" s="2" t="str">
        <x:v>L00563-010</x:v>
      </x:c>
      <x:c r="B36" s="2" t="str">
        <x:v>L00563</x:v>
      </x:c>
      <x:c r="C36" s="2" t="str">
        <x:v>SO-26113</x:v>
      </x:c>
      <x:c r="D36" s="2" t="str">
        <x:v>R-L-AL</x:v>
      </x:c>
      <x:c r="E36" s="14" t="n">
        <x:v>20</x:v>
      </x:c>
      <x:c r="F36" s="2" t="str">
        <x:v>CNC machining</x:v>
      </x:c>
      <x:c r="G36" s="9" t="str">
        <x:v>CNC-03</x:v>
      </x:c>
      <x:c r="H36" s="15" t="n">
        <x:v>3</x:v>
      </x:c>
      <x:c r="I36" s="9" t="str">
        <x:v>P01</x:v>
      </x:c>
      <x:c r="J36" s="11" t="n">
        <x:v>46300.3</x:v>
      </x:c>
      <x:c r="K36" s="15" t="n">
        <x:v>18</x:v>
      </x:c>
      <x:c r="L36" s="15" t="n">
        <x:v>65</x:v>
      </x:c>
      <x:c r="M36" s="13" t="n">
        <x:f>J36+(K36+L36)/1440</x:f>
        <x:v>46300.35763888889</x:v>
      </x:c>
      <x:c r="N36" s="13" t="n">
        <x:f>VLOOKUP(C36,'MES orders'!$A$8:$H$127,5,FALSE)</x:f>
        <x:v>46302.666666666664</x:v>
      </x:c>
      <x:c r="O36" s="16" t="n">
        <x:f>MAX(0,(M36-N36)*24)</x:f>
        <x:v>0</x:v>
      </x:c>
      <x:c r="P36" s="9" t="str">
        <x:v>Yes</x:v>
      </x:c>
      <x:c r="Q36" s="15" t="n">
        <x:v>18</x:v>
      </x:c>
      <x:c r="R36" s="13" t="n">
        <x:f>J36+Q36/1440</x:f>
        <x:v>46300.3125</x:v>
      </x:c>
      <x:c r="S36" s="2" t="str">
        <x:f>VLOOKUP(C36,'MES orders'!$A$8:$H$127,6,FALSE)</x:f>
        <x:v>High</x:v>
      </x:c>
      <x:c r="T36" s="9" t="str"/>
    </x:row>
    <x:row r="37" ht="22" customHeight="1">
      <x:c r="A37" s="2" t="str">
        <x:v>L00281-020</x:v>
      </x:c>
      <x:c r="B37" s="2" t="str">
        <x:v>L00281</x:v>
      </x:c>
      <x:c r="C37" s="2" t="str">
        <x:v>SO-26057</x:v>
      </x:c>
      <x:c r="D37" s="2" t="str">
        <x:v>S-S-AL</x:v>
      </x:c>
      <x:c r="E37" s="14" t="n">
        <x:v>5</x:v>
      </x:c>
      <x:c r="F37" s="2" t="str">
        <x:v>Deburr &amp; inspect</x:v>
      </x:c>
      <x:c r="G37" s="9" t="str">
        <x:v>DB-01</x:v>
      </x:c>
      <x:c r="H37" s="15" t="n">
        <x:v>4</x:v>
      </x:c>
      <x:c r="I37" s="9" t="str">
        <x:v>P06</x:v>
      </x:c>
      <x:c r="J37" s="11" t="n">
        <x:v>46300.302777777775</x:v>
      </x:c>
      <x:c r="K37" s="15" t="n">
        <x:v>4</x:v>
      </x:c>
      <x:c r="L37" s="15" t="n">
        <x:v>4</x:v>
      </x:c>
      <x:c r="M37" s="13" t="n">
        <x:f>J37+(K37+L37)/1440</x:f>
        <x:v>46300.308333333334</x:v>
      </x:c>
      <x:c r="N37" s="13" t="n">
        <x:f>VLOOKUP(C37,'MES orders'!$A$8:$H$127,5,FALSE)</x:f>
        <x:v>46302.666666666664</x:v>
      </x:c>
      <x:c r="O37" s="16" t="n">
        <x:f>MAX(0,(M37-N37)*24)</x:f>
        <x:v>0</x:v>
      </x:c>
      <x:c r="P37" s="9" t="str">
        <x:v>Yes</x:v>
      </x:c>
      <x:c r="Q37" s="15" t="n">
        <x:v>8</x:v>
      </x:c>
      <x:c r="R37" s="13" t="n">
        <x:f>J37+Q37/1440</x:f>
        <x:v>46300.308333333334</x:v>
      </x:c>
      <x:c r="S37" s="2" t="str">
        <x:f>VLOOKUP(C37,'MES orders'!$A$8:$H$127,6,FALSE)</x:f>
        <x:v>High</x:v>
      </x:c>
      <x:c r="T37" s="9" t="str"/>
    </x:row>
    <x:row r="38" ht="22" customHeight="1">
      <x:c r="A38" s="2" t="str">
        <x:v>L00003-050</x:v>
      </x:c>
      <x:c r="B38" s="2" t="str">
        <x:v>L00003</x:v>
      </x:c>
      <x:c r="C38" s="2" t="str">
        <x:v>SO-26001</x:v>
      </x:c>
      <x:c r="D38" s="2" t="str">
        <x:v>D-C-AL</x:v>
      </x:c>
      <x:c r="E38" s="14" t="n">
        <x:v>5</x:v>
      </x:c>
      <x:c r="F38" s="2" t="str">
        <x:v>Final leak / function test</x:v>
      </x:c>
      <x:c r="G38" s="9" t="str">
        <x:v>QA-01</x:v>
      </x:c>
      <x:c r="H38" s="15" t="n">
        <x:v>2</x:v>
      </x:c>
      <x:c r="I38" s="9" t="str">
        <x:v>P11</x:v>
      </x:c>
      <x:c r="J38" s="11" t="n">
        <x:v>46300.30347222222</x:v>
      </x:c>
      <x:c r="K38" s="15" t="n">
        <x:v>10</x:v>
      </x:c>
      <x:c r="L38" s="15" t="n">
        <x:v>4</x:v>
      </x:c>
      <x:c r="M38" s="13" t="n">
        <x:f>J38+(K38+L38)/1440</x:f>
        <x:v>46300.31319444445</x:v>
      </x:c>
      <x:c r="N38" s="13" t="n">
        <x:f>VLOOKUP(C38,'MES orders'!$A$8:$H$127,5,FALSE)</x:f>
        <x:v>46302.666666666664</x:v>
      </x:c>
      <x:c r="O38" s="16" t="n">
        <x:f>MAX(0,(M38-N38)*24)</x:f>
        <x:v>0</x:v>
      </x:c>
      <x:c r="P38" s="9" t="str">
        <x:v>Yes</x:v>
      </x:c>
      <x:c r="Q38" s="15" t="n">
        <x:v>14</x:v>
      </x:c>
      <x:c r="R38" s="13" t="n">
        <x:f>J38+Q38/1440</x:f>
        <x:v>46300.31319444445</x:v>
      </x:c>
      <x:c r="S38" s="2" t="str">
        <x:f>VLOOKUP(C38,'MES orders'!$A$8:$H$127,6,FALSE)</x:f>
        <x:v>Urgent</x:v>
      </x:c>
      <x:c r="T38" s="9" t="str"/>
    </x:row>
    <x:row r="39" ht="22" customHeight="1">
      <x:c r="A39" s="2" t="str">
        <x:v>L00004-040</x:v>
      </x:c>
      <x:c r="B39" s="2" t="str">
        <x:v>L00004</x:v>
      </x:c>
      <x:c r="C39" s="2" t="str">
        <x:v>SO-26001</x:v>
      </x:c>
      <x:c r="D39" s="2" t="str">
        <x:v>D-C-AL</x:v>
      </x:c>
      <x:c r="E39" s="14" t="n">
        <x:v>5</x:v>
      </x:c>
      <x:c r="F39" s="2" t="str">
        <x:v>Mechanical assembly</x:v>
      </x:c>
      <x:c r="G39" s="9" t="str">
        <x:v>AS-01</x:v>
      </x:c>
      <x:c r="H39" s="15" t="n">
        <x:v>2</x:v>
      </x:c>
      <x:c r="I39" s="9" t="str">
        <x:v>P04</x:v>
      </x:c>
      <x:c r="J39" s="11" t="n">
        <x:v>46300.30763888889</x:v>
      </x:c>
      <x:c r="K39" s="15" t="n">
        <x:v>8</x:v>
      </x:c>
      <x:c r="L39" s="15" t="n">
        <x:v>7</x:v>
      </x:c>
      <x:c r="M39" s="13" t="n">
        <x:f>J39+(K39+L39)/1440</x:f>
        <x:v>46300.31805555555</x:v>
      </x:c>
      <x:c r="N39" s="13" t="n">
        <x:f>VLOOKUP(C39,'MES orders'!$A$8:$H$127,5,FALSE)</x:f>
        <x:v>46302.666666666664</x:v>
      </x:c>
      <x:c r="O39" s="16" t="n">
        <x:f>MAX(0,(M39-N39)*24)</x:f>
        <x:v>0</x:v>
      </x:c>
      <x:c r="P39" s="9" t="str">
        <x:v>Yes</x:v>
      </x:c>
      <x:c r="Q39" s="15" t="n">
        <x:v>15</x:v>
      </x:c>
      <x:c r="R39" s="13" t="n">
        <x:f>J39+Q39/1440</x:f>
        <x:v>46300.31805555555</x:v>
      </x:c>
      <x:c r="S39" s="2" t="str">
        <x:f>VLOOKUP(C39,'MES orders'!$A$8:$H$127,6,FALSE)</x:f>
        <x:v>Urgent</x:v>
      </x:c>
      <x:c r="T39" s="9" t="str"/>
    </x:row>
    <x:row r="40" ht="22" customHeight="1">
      <x:c r="A40" s="2" t="str">
        <x:v>L00005-040</x:v>
      </x:c>
      <x:c r="B40" s="2" t="str">
        <x:v>L00005</x:v>
      </x:c>
      <x:c r="C40" s="2" t="str">
        <x:v>SO-26001</x:v>
      </x:c>
      <x:c r="D40" s="2" t="str">
        <x:v>D-C-AL</x:v>
      </x:c>
      <x:c r="E40" s="14" t="n">
        <x:v>5</x:v>
      </x:c>
      <x:c r="F40" s="2" t="str">
        <x:v>Mechanical assembly</x:v>
      </x:c>
      <x:c r="G40" s="9" t="str">
        <x:v>AS-02</x:v>
      </x:c>
      <x:c r="H40" s="15" t="n">
        <x:v>2</x:v>
      </x:c>
      <x:c r="I40" s="9" t="str">
        <x:v>P05</x:v>
      </x:c>
      <x:c r="J40" s="11" t="n">
        <x:v>46300.30763888889</x:v>
      </x:c>
      <x:c r="K40" s="15" t="n">
        <x:v>8</x:v>
      </x:c>
      <x:c r="L40" s="15" t="n">
        <x:v>7</x:v>
      </x:c>
      <x:c r="M40" s="13" t="n">
        <x:f>J40+(K40+L40)/1440</x:f>
        <x:v>46300.31805555555</x:v>
      </x:c>
      <x:c r="N40" s="13" t="n">
        <x:f>VLOOKUP(C40,'MES orders'!$A$8:$H$127,5,FALSE)</x:f>
        <x:v>46302.666666666664</x:v>
      </x:c>
      <x:c r="O40" s="16" t="n">
        <x:f>MAX(0,(M40-N40)*24)</x:f>
        <x:v>0</x:v>
      </x:c>
      <x:c r="P40" s="9" t="str">
        <x:v>Yes</x:v>
      </x:c>
      <x:c r="Q40" s="15" t="n">
        <x:v>15</x:v>
      </x:c>
      <x:c r="R40" s="13" t="n">
        <x:f>J40+Q40/1440</x:f>
        <x:v>46300.31805555555</x:v>
      </x:c>
      <x:c r="S40" s="2" t="str">
        <x:f>VLOOKUP(C40,'MES orders'!$A$8:$H$127,6,FALSE)</x:f>
        <x:v>Urgent</x:v>
      </x:c>
      <x:c r="T40" s="9" t="str"/>
    </x:row>
    <x:row r="41" ht="22" customHeight="1">
      <x:c r="A41" s="2" t="str">
        <x:v>L00564-010</x:v>
      </x:c>
      <x:c r="B41" s="2" t="str">
        <x:v>L00564</x:v>
      </x:c>
      <x:c r="C41" s="2" t="str">
        <x:v>SO-26113</x:v>
      </x:c>
      <x:c r="D41" s="2" t="str">
        <x:v>R-L-AL</x:v>
      </x:c>
      <x:c r="E41" s="14" t="n">
        <x:v>20</x:v>
      </x:c>
      <x:c r="F41" s="2" t="str">
        <x:v>CNC machining</x:v>
      </x:c>
      <x:c r="G41" s="9" t="str">
        <x:v>CNC-04</x:v>
      </x:c>
      <x:c r="H41" s="15" t="n">
        <x:v>3</x:v>
      </x:c>
      <x:c r="I41" s="9" t="str">
        <x:v>P02</x:v>
      </x:c>
      <x:c r="J41" s="11" t="n">
        <x:v>46300.308333333334</x:v>
      </x:c>
      <x:c r="K41" s="15" t="n">
        <x:v>18</x:v>
      </x:c>
      <x:c r="L41" s="15" t="n">
        <x:v>65</x:v>
      </x:c>
      <x:c r="M41" s="13" t="n">
        <x:f>J41+(K41+L41)/1440</x:f>
        <x:v>46300.36597222222</x:v>
      </x:c>
      <x:c r="N41" s="13" t="n">
        <x:f>VLOOKUP(C41,'MES orders'!$A$8:$H$127,5,FALSE)</x:f>
        <x:v>46302.666666666664</x:v>
      </x:c>
      <x:c r="O41" s="16" t="n">
        <x:f>MAX(0,(M41-N41)*24)</x:f>
        <x:v>0</x:v>
      </x:c>
      <x:c r="P41" s="9" t="str">
        <x:v>Yes</x:v>
      </x:c>
      <x:c r="Q41" s="15" t="n">
        <x:v>18</x:v>
      </x:c>
      <x:c r="R41" s="13" t="n">
        <x:f>J41+Q41/1440</x:f>
        <x:v>46300.32083333333</x:v>
      </x:c>
      <x:c r="S41" s="2" t="str">
        <x:f>VLOOKUP(C41,'MES orders'!$A$8:$H$127,6,FALSE)</x:f>
        <x:v>High</x:v>
      </x:c>
      <x:c r="T41" s="9" t="str"/>
    </x:row>
    <x:row r="42" ht="22" customHeight="1">
      <x:c r="A42" s="2" t="str">
        <x:v>L00281-030</x:v>
      </x:c>
      <x:c r="B42" s="2" t="str">
        <x:v>L00281</x:v>
      </x:c>
      <x:c r="C42" s="2" t="str">
        <x:v>SO-26057</x:v>
      </x:c>
      <x:c r="D42" s="2" t="str">
        <x:v>S-S-AL</x:v>
      </x:c>
      <x:c r="E42" s="14" t="n">
        <x:v>5</x:v>
      </x:c>
      <x:c r="F42" s="2" t="str">
        <x:v>Wash &amp; dry</x:v>
      </x:c>
      <x:c r="G42" s="9" t="str">
        <x:v>WS-01</x:v>
      </x:c>
      <x:c r="H42" s="15" t="n">
        <x:v>4</x:v>
      </x:c>
      <x:c r="I42" s="9" t="str">
        <x:v>P06</x:v>
      </x:c>
      <x:c r="J42" s="11" t="n">
        <x:v>46300.308333333334</x:v>
      </x:c>
      <x:c r="K42" s="15" t="n">
        <x:v>12</x:v>
      </x:c>
      <x:c r="L42" s="15" t="n">
        <x:v>2</x:v>
      </x:c>
      <x:c r="M42" s="13" t="n">
        <x:f>J42+(K42+L42)/1440</x:f>
        <x:v>46300.31805555556</x:v>
      </x:c>
      <x:c r="N42" s="13" t="n">
        <x:f>VLOOKUP(C42,'MES orders'!$A$8:$H$127,5,FALSE)</x:f>
        <x:v>46302.666666666664</x:v>
      </x:c>
      <x:c r="O42" s="16" t="n">
        <x:f>MAX(0,(M42-N42)*24)</x:f>
        <x:v>0</x:v>
      </x:c>
      <x:c r="P42" s="9" t="str">
        <x:v>Yes</x:v>
      </x:c>
      <x:c r="Q42" s="15" t="n">
        <x:v>14</x:v>
      </x:c>
      <x:c r="R42" s="13" t="n">
        <x:f>J42+Q42/1440</x:f>
        <x:v>46300.31805555556</x:v>
      </x:c>
      <x:c r="S42" s="2" t="str">
        <x:f>VLOOKUP(C42,'MES orders'!$A$8:$H$127,6,FALSE)</x:f>
        <x:v>High</x:v>
      </x:c>
      <x:c r="T42" s="9" t="str"/>
    </x:row>
    <x:row r="43" ht="22" customHeight="1">
      <x:c r="A43" s="2" t="str">
        <x:v>L00042-010</x:v>
      </x:c>
      <x:c r="B43" s="2" t="str">
        <x:v>L00042</x:v>
      </x:c>
      <x:c r="C43" s="2" t="str">
        <x:v>SO-26009</x:v>
      </x:c>
      <x:c r="D43" s="2" t="str">
        <x:v>D-S-AL</x:v>
      </x:c>
      <x:c r="E43" s="14" t="n">
        <x:v>5</x:v>
      </x:c>
      <x:c r="F43" s="2" t="str">
        <x:v>CNC machining</x:v>
      </x:c>
      <x:c r="G43" s="9" t="str">
        <x:v>CNC-02</x:v>
      </x:c>
      <x:c r="H43" s="15" t="n">
        <x:v>3</x:v>
      </x:c>
      <x:c r="I43" s="9" t="str">
        <x:v>P01</x:v>
      </x:c>
      <x:c r="J43" s="11" t="n">
        <x:v>46300.3125</x:v>
      </x:c>
      <x:c r="K43" s="15" t="n">
        <x:v>18</x:v>
      </x:c>
      <x:c r="L43" s="15" t="n">
        <x:v>12</x:v>
      </x:c>
      <x:c r="M43" s="13" t="n">
        <x:f>J43+(K43+L43)/1440</x:f>
        <x:v>46300.333333333336</x:v>
      </x:c>
      <x:c r="N43" s="13" t="n">
        <x:f>VLOOKUP(C43,'MES orders'!$A$8:$H$127,5,FALSE)</x:f>
        <x:v>46302.666666666664</x:v>
      </x:c>
      <x:c r="O43" s="16" t="n">
        <x:f>MAX(0,(M43-N43)*24)</x:f>
        <x:v>0</x:v>
      </x:c>
      <x:c r="P43" s="9" t="str">
        <x:v>Yes</x:v>
      </x:c>
      <x:c r="Q43" s="15" t="n">
        <x:v>18</x:v>
      </x:c>
      <x:c r="R43" s="13" t="n">
        <x:f>J43+Q43/1440</x:f>
        <x:v>46300.325</x:v>
      </x:c>
      <x:c r="S43" s="2" t="str">
        <x:f>VLOOKUP(C43,'MES orders'!$A$8:$H$127,6,FALSE)</x:f>
        <x:v>Normal</x:v>
      </x:c>
      <x:c r="T43" s="9" t="str"/>
    </x:row>
    <x:row r="44" ht="22" customHeight="1">
      <x:c r="A44" s="2" t="str">
        <x:v>L00281-040</x:v>
      </x:c>
      <x:c r="B44" s="2" t="str">
        <x:v>L00281</x:v>
      </x:c>
      <x:c r="C44" s="2" t="str">
        <x:v>SO-26057</x:v>
      </x:c>
      <x:c r="D44" s="2" t="str">
        <x:v>S-S-AL</x:v>
      </x:c>
      <x:c r="E44" s="14" t="n">
        <x:v>5</x:v>
      </x:c>
      <x:c r="F44" s="2" t="str">
        <x:v>Mechanical preassembly</x:v>
      </x:c>
      <x:c r="G44" s="9" t="str">
        <x:v>AS-01</x:v>
      </x:c>
      <x:c r="H44" s="15" t="n">
        <x:v>3</x:v>
      </x:c>
      <x:c r="I44" s="9" t="str">
        <x:v>P04</x:v>
      </x:c>
      <x:c r="J44" s="11" t="n">
        <x:v>46300.31805555556</x:v>
      </x:c>
      <x:c r="K44" s="15" t="n">
        <x:v>6</x:v>
      </x:c>
      <x:c r="L44" s="15" t="n">
        <x:v>6</x:v>
      </x:c>
      <x:c r="M44" s="13" t="n">
        <x:f>J44+(K44+L44)/1440</x:f>
        <x:v>46300.32638888889</x:v>
      </x:c>
      <x:c r="N44" s="13" t="n">
        <x:f>VLOOKUP(C44,'MES orders'!$A$8:$H$127,5,FALSE)</x:f>
        <x:v>46302.666666666664</x:v>
      </x:c>
      <x:c r="O44" s="16" t="n">
        <x:f>MAX(0,(M44-N44)*24)</x:f>
        <x:v>0</x:v>
      </x:c>
      <x:c r="P44" s="9" t="str">
        <x:v>Yes</x:v>
      </x:c>
      <x:c r="Q44" s="15" t="n">
        <x:v>12</x:v>
      </x:c>
      <x:c r="R44" s="13" t="n">
        <x:f>J44+Q44/1440</x:f>
        <x:v>46300.32638888889</x:v>
      </x:c>
      <x:c r="S44" s="2" t="str">
        <x:f>VLOOKUP(C44,'MES orders'!$A$8:$H$127,6,FALSE)</x:f>
        <x:v>High</x:v>
      </x:c>
      <x:c r="T44" s="9" t="str"/>
    </x:row>
    <x:row r="45" ht="22" customHeight="1">
      <x:c r="A45" s="2" t="str">
        <x:v>L00282-020</x:v>
      </x:c>
      <x:c r="B45" s="2" t="str">
        <x:v>L00282</x:v>
      </x:c>
      <x:c r="C45" s="2" t="str">
        <x:v>SO-26057</x:v>
      </x:c>
      <x:c r="D45" s="2" t="str">
        <x:v>S-S-AL</x:v>
      </x:c>
      <x:c r="E45" s="14" t="n">
        <x:v>5</x:v>
      </x:c>
      <x:c r="F45" s="2" t="str">
        <x:v>Deburr &amp; inspect</x:v>
      </x:c>
      <x:c r="G45" s="9" t="str">
        <x:v>DB-01</x:v>
      </x:c>
      <x:c r="H45" s="15" t="n">
        <x:v>5</x:v>
      </x:c>
      <x:c r="I45" s="9" t="str">
        <x:v>P05</x:v>
      </x:c>
      <x:c r="J45" s="11" t="n">
        <x:v>46300.31805555556</x:v>
      </x:c>
      <x:c r="K45" s="15" t="n">
        <x:v>4</x:v>
      </x:c>
      <x:c r="L45" s="15" t="n">
        <x:v>4</x:v>
      </x:c>
      <x:c r="M45" s="13" t="n">
        <x:f>J45+(K45+L45)/1440</x:f>
        <x:v>46300.32361111112</x:v>
      </x:c>
      <x:c r="N45" s="13" t="n">
        <x:f>VLOOKUP(C45,'MES orders'!$A$8:$H$127,5,FALSE)</x:f>
        <x:v>46302.666666666664</x:v>
      </x:c>
      <x:c r="O45" s="16" t="n">
        <x:f>MAX(0,(M45-N45)*24)</x:f>
        <x:v>0</x:v>
      </x:c>
      <x:c r="P45" s="9" t="str">
        <x:v>Yes</x:v>
      </x:c>
      <x:c r="Q45" s="15" t="n">
        <x:v>8</x:v>
      </x:c>
      <x:c r="R45" s="13" t="n">
        <x:f>J45+Q45/1440</x:f>
        <x:v>46300.32361111112</x:v>
      </x:c>
      <x:c r="S45" s="2" t="str">
        <x:f>VLOOKUP(C45,'MES orders'!$A$8:$H$127,6,FALSE)</x:f>
        <x:v>High</x:v>
      </x:c>
      <x:c r="T45" s="9" t="str"/>
    </x:row>
    <x:row r="46" ht="22" customHeight="1">
      <x:c r="A46" s="2" t="str">
        <x:v>L00283-020</x:v>
      </x:c>
      <x:c r="B46" s="2" t="str">
        <x:v>L00283</x:v>
      </x:c>
      <x:c r="C46" s="2" t="str">
        <x:v>SO-26057</x:v>
      </x:c>
      <x:c r="D46" s="2" t="str">
        <x:v>S-S-AL</x:v>
      </x:c>
      <x:c r="E46" s="14" t="n">
        <x:v>5</x:v>
      </x:c>
      <x:c r="F46" s="2" t="str">
        <x:v>Deburr &amp; inspect</x:v>
      </x:c>
      <x:c r="G46" s="9" t="str">
        <x:v>DB-02</x:v>
      </x:c>
      <x:c r="H46" s="15" t="n">
        <x:v>3</x:v>
      </x:c>
      <x:c r="I46" s="9" t="str">
        <x:v>P06</x:v>
      </x:c>
      <x:c r="J46" s="11" t="n">
        <x:v>46300.31805555556</x:v>
      </x:c>
      <x:c r="K46" s="15" t="n">
        <x:v>4</x:v>
      </x:c>
      <x:c r="L46" s="15" t="n">
        <x:v>4</x:v>
      </x:c>
      <x:c r="M46" s="13" t="n">
        <x:f>J46+(K46+L46)/1440</x:f>
        <x:v>46300.32361111112</x:v>
      </x:c>
      <x:c r="N46" s="13" t="n">
        <x:f>VLOOKUP(C46,'MES orders'!$A$8:$H$127,5,FALSE)</x:f>
        <x:v>46302.666666666664</x:v>
      </x:c>
      <x:c r="O46" s="16" t="n">
        <x:f>MAX(0,(M46-N46)*24)</x:f>
        <x:v>0</x:v>
      </x:c>
      <x:c r="P46" s="9" t="str">
        <x:v>Yes</x:v>
      </x:c>
      <x:c r="Q46" s="15" t="n">
        <x:v>8</x:v>
      </x:c>
      <x:c r="R46" s="13" t="n">
        <x:f>J46+Q46/1440</x:f>
        <x:v>46300.32361111112</x:v>
      </x:c>
      <x:c r="S46" s="2" t="str">
        <x:f>VLOOKUP(C46,'MES orders'!$A$8:$H$127,6,FALSE)</x:f>
        <x:v>High</x:v>
      </x:c>
      <x:c r="T46" s="9" t="str"/>
    </x:row>
    <x:row r="47" ht="22" customHeight="1">
      <x:c r="A47" s="2" t="str">
        <x:v>L00004-050</x:v>
      </x:c>
      <x:c r="B47" s="2" t="str">
        <x:v>L00004</x:v>
      </x:c>
      <x:c r="C47" s="2" t="str">
        <x:v>SO-26001</x:v>
      </x:c>
      <x:c r="D47" s="2" t="str">
        <x:v>D-C-AL</x:v>
      </x:c>
      <x:c r="E47" s="14" t="n">
        <x:v>5</x:v>
      </x:c>
      <x:c r="F47" s="2" t="str">
        <x:v>Final leak / function test</x:v>
      </x:c>
      <x:c r="G47" s="9" t="str">
        <x:v>QA-01</x:v>
      </x:c>
      <x:c r="H47" s="15" t="n">
        <x:v>3</x:v>
      </x:c>
      <x:c r="I47" s="9" t="str">
        <x:v>P11</x:v>
      </x:c>
      <x:c r="J47" s="11" t="n">
        <x:v>46300.31805555556</x:v>
      </x:c>
      <x:c r="K47" s="15" t="n">
        <x:v>10</x:v>
      </x:c>
      <x:c r="L47" s="15" t="n">
        <x:v>4</x:v>
      </x:c>
      <x:c r="M47" s="13" t="n">
        <x:f>J47+(K47+L47)/1440</x:f>
        <x:v>46300.327777777784</x:v>
      </x:c>
      <x:c r="N47" s="13" t="n">
        <x:f>VLOOKUP(C47,'MES orders'!$A$8:$H$127,5,FALSE)</x:f>
        <x:v>46302.666666666664</x:v>
      </x:c>
      <x:c r="O47" s="16" t="n">
        <x:f>MAX(0,(M47-N47)*24)</x:f>
        <x:v>0</x:v>
      </x:c>
      <x:c r="P47" s="9" t="str">
        <x:v>Yes</x:v>
      </x:c>
      <x:c r="Q47" s="15" t="n">
        <x:v>14</x:v>
      </x:c>
      <x:c r="R47" s="13" t="n">
        <x:f>J47+Q47/1440</x:f>
        <x:v>46300.327777777784</x:v>
      </x:c>
      <x:c r="S47" s="2" t="str">
        <x:f>VLOOKUP(C47,'MES orders'!$A$8:$H$127,6,FALSE)</x:f>
        <x:v>Urgent</x:v>
      </x:c>
      <x:c r="T47" s="9" t="str"/>
    </x:row>
    <x:row r="48" ht="22" customHeight="1">
      <x:c r="A48" s="2" t="str">
        <x:v>L00005-050</x:v>
      </x:c>
      <x:c r="B48" s="2" t="str">
        <x:v>L00005</x:v>
      </x:c>
      <x:c r="C48" s="2" t="str">
        <x:v>SO-26001</x:v>
      </x:c>
      <x:c r="D48" s="2" t="str">
        <x:v>D-C-AL</x:v>
      </x:c>
      <x:c r="E48" s="14" t="n">
        <x:v>5</x:v>
      </x:c>
      <x:c r="F48" s="2" t="str">
        <x:v>Final leak / function test</x:v>
      </x:c>
      <x:c r="G48" s="9" t="str">
        <x:v>QA-02</x:v>
      </x:c>
      <x:c r="H48" s="15" t="n">
        <x:v>2</x:v>
      </x:c>
      <x:c r="I48" s="9" t="str">
        <x:v>P12</x:v>
      </x:c>
      <x:c r="J48" s="11" t="n">
        <x:v>46300.31805555556</x:v>
      </x:c>
      <x:c r="K48" s="15" t="n">
        <x:v>10</x:v>
      </x:c>
      <x:c r="L48" s="15" t="n">
        <x:v>4</x:v>
      </x:c>
      <x:c r="M48" s="13" t="n">
        <x:f>J48+(K48+L48)/1440</x:f>
        <x:v>46300.327777777784</x:v>
      </x:c>
      <x:c r="N48" s="13" t="n">
        <x:f>VLOOKUP(C48,'MES orders'!$A$8:$H$127,5,FALSE)</x:f>
        <x:v>46302.666666666664</x:v>
      </x:c>
      <x:c r="O48" s="16" t="n">
        <x:f>MAX(0,(M48-N48)*24)</x:f>
        <x:v>0</x:v>
      </x:c>
      <x:c r="P48" s="9" t="str">
        <x:v>Yes</x:v>
      </x:c>
      <x:c r="Q48" s="15" t="n">
        <x:v>14</x:v>
      </x:c>
      <x:c r="R48" s="13" t="n">
        <x:f>J48+Q48/1440</x:f>
        <x:v>46300.327777777784</x:v>
      </x:c>
      <x:c r="S48" s="2" t="str">
        <x:f>VLOOKUP(C48,'MES orders'!$A$8:$H$127,6,FALSE)</x:f>
        <x:v>Urgent</x:v>
      </x:c>
      <x:c r="T48" s="9" t="str"/>
    </x:row>
    <x:row r="49" ht="22" customHeight="1">
      <x:c r="A49" s="2" t="str">
        <x:v>L00043-010</x:v>
      </x:c>
      <x:c r="B49" s="2" t="str">
        <x:v>L00043</x:v>
      </x:c>
      <x:c r="C49" s="2" t="str">
        <x:v>SO-26009</x:v>
      </x:c>
      <x:c r="D49" s="2" t="str">
        <x:v>D-S-AL</x:v>
      </x:c>
      <x:c r="E49" s="14" t="n">
        <x:v>5</x:v>
      </x:c>
      <x:c r="F49" s="2" t="str">
        <x:v>CNC machining</x:v>
      </x:c>
      <x:c r="G49" s="9" t="str">
        <x:v>CNC-01</x:v>
      </x:c>
      <x:c r="H49" s="15" t="n">
        <x:v>4</x:v>
      </x:c>
      <x:c r="I49" s="9" t="str">
        <x:v>P02</x:v>
      </x:c>
      <x:c r="J49" s="11" t="n">
        <x:v>46300.32083333333</x:v>
      </x:c>
      <x:c r="K49" s="15" t="n">
        <x:v>18</x:v>
      </x:c>
      <x:c r="L49" s="15" t="n">
        <x:v>12</x:v>
      </x:c>
      <x:c r="M49" s="13" t="n">
        <x:f>J49+(K49+L49)/1440</x:f>
        <x:v>46300.34166666667</x:v>
      </x:c>
      <x:c r="N49" s="13" t="n">
        <x:f>VLOOKUP(C49,'MES orders'!$A$8:$H$127,5,FALSE)</x:f>
        <x:v>46302.666666666664</x:v>
      </x:c>
      <x:c r="O49" s="16" t="n">
        <x:f>MAX(0,(M49-N49)*24)</x:f>
        <x:v>0</x:v>
      </x:c>
      <x:c r="P49" s="9" t="str">
        <x:v>Yes</x:v>
      </x:c>
      <x:c r="Q49" s="15" t="n">
        <x:v>18</x:v>
      </x:c>
      <x:c r="R49" s="13" t="n">
        <x:f>J49+Q49/1440</x:f>
        <x:v>46300.33333333333</x:v>
      </x:c>
      <x:c r="S49" s="2" t="str">
        <x:f>VLOOKUP(C49,'MES orders'!$A$8:$H$127,6,FALSE)</x:f>
        <x:v>Normal</x:v>
      </x:c>
      <x:c r="T49" s="9" t="str"/>
    </x:row>
    <x:row r="50" ht="22" customHeight="1">
      <x:c r="A50" s="2" t="str">
        <x:v>L00282-030</x:v>
      </x:c>
      <x:c r="B50" s="2" t="str">
        <x:v>L00282</x:v>
      </x:c>
      <x:c r="C50" s="2" t="str">
        <x:v>SO-26057</x:v>
      </x:c>
      <x:c r="D50" s="2" t="str">
        <x:v>S-S-AL</x:v>
      </x:c>
      <x:c r="E50" s="14" t="n">
        <x:v>5</x:v>
      </x:c>
      <x:c r="F50" s="2" t="str">
        <x:v>Wash &amp; dry</x:v>
      </x:c>
      <x:c r="G50" s="9" t="str">
        <x:v>WS-01</x:v>
      </x:c>
      <x:c r="H50" s="15" t="n">
        <x:v>5</x:v>
      </x:c>
      <x:c r="I50" s="9" t="str">
        <x:v>P05</x:v>
      </x:c>
      <x:c r="J50" s="11" t="n">
        <x:v>46300.32361111111</x:v>
      </x:c>
      <x:c r="K50" s="15" t="n">
        <x:v>12</x:v>
      </x:c>
      <x:c r="L50" s="15" t="n">
        <x:v>2</x:v>
      </x:c>
      <x:c r="M50" s="13" t="n">
        <x:f>J50+(K50+L50)/1440</x:f>
        <x:v>46300.333333333336</x:v>
      </x:c>
      <x:c r="N50" s="13" t="n">
        <x:f>VLOOKUP(C50,'MES orders'!$A$8:$H$127,5,FALSE)</x:f>
        <x:v>46302.666666666664</x:v>
      </x:c>
      <x:c r="O50" s="16" t="n">
        <x:f>MAX(0,(M50-N50)*24)</x:f>
        <x:v>0</x:v>
      </x:c>
      <x:c r="P50" s="9" t="str">
        <x:v>Yes</x:v>
      </x:c>
      <x:c r="Q50" s="15" t="n">
        <x:v>14</x:v>
      </x:c>
      <x:c r="R50" s="13" t="n">
        <x:f>J50+Q50/1440</x:f>
        <x:v>46300.333333333336</x:v>
      </x:c>
      <x:c r="S50" s="2" t="str">
        <x:f>VLOOKUP(C50,'MES orders'!$A$8:$H$127,6,FALSE)</x:f>
        <x:v>High</x:v>
      </x:c>
      <x:c r="T50" s="9" t="str"/>
    </x:row>
    <x:row r="51" ht="22" customHeight="1">
      <x:c r="A51" s="2" t="str">
        <x:v>L00283-030</x:v>
      </x:c>
      <x:c r="B51" s="2" t="str">
        <x:v>L00283</x:v>
      </x:c>
      <x:c r="C51" s="2" t="str">
        <x:v>SO-26057</x:v>
      </x:c>
      <x:c r="D51" s="2" t="str">
        <x:v>S-S-AL</x:v>
      </x:c>
      <x:c r="E51" s="14" t="n">
        <x:v>5</x:v>
      </x:c>
      <x:c r="F51" s="2" t="str">
        <x:v>Wash &amp; dry</x:v>
      </x:c>
      <x:c r="G51" s="9" t="str">
        <x:v>WS-02</x:v>
      </x:c>
      <x:c r="H51" s="15" t="n">
        <x:v>3</x:v>
      </x:c>
      <x:c r="I51" s="9" t="str">
        <x:v>P06</x:v>
      </x:c>
      <x:c r="J51" s="11" t="n">
        <x:v>46300.32361111111</x:v>
      </x:c>
      <x:c r="K51" s="15" t="n">
        <x:v>12</x:v>
      </x:c>
      <x:c r="L51" s="15" t="n">
        <x:v>2</x:v>
      </x:c>
      <x:c r="M51" s="13" t="n">
        <x:f>J51+(K51+L51)/1440</x:f>
        <x:v>46300.333333333336</x:v>
      </x:c>
      <x:c r="N51" s="13" t="n">
        <x:f>VLOOKUP(C51,'MES orders'!$A$8:$H$127,5,FALSE)</x:f>
        <x:v>46302.666666666664</x:v>
      </x:c>
      <x:c r="O51" s="16" t="n">
        <x:f>MAX(0,(M51-N51)*24)</x:f>
        <x:v>0</x:v>
      </x:c>
      <x:c r="P51" s="9" t="str">
        <x:v>Yes</x:v>
      </x:c>
      <x:c r="Q51" s="15" t="n">
        <x:v>14</x:v>
      </x:c>
      <x:c r="R51" s="13" t="n">
        <x:f>J51+Q51/1440</x:f>
        <x:v>46300.333333333336</x:v>
      </x:c>
      <x:c r="S51" s="2" t="str">
        <x:f>VLOOKUP(C51,'MES orders'!$A$8:$H$127,6,FALSE)</x:f>
        <x:v>High</x:v>
      </x:c>
      <x:c r="T51" s="9" t="str"/>
    </x:row>
    <x:row r="52" ht="22" customHeight="1">
      <x:c r="A52" s="2" t="str">
        <x:v>L00284-020</x:v>
      </x:c>
      <x:c r="B52" s="2" t="str">
        <x:v>L00284</x:v>
      </x:c>
      <x:c r="C52" s="2" t="str">
        <x:v>SO-26057</x:v>
      </x:c>
      <x:c r="D52" s="2" t="str">
        <x:v>S-S-AL</x:v>
      </x:c>
      <x:c r="E52" s="14" t="n">
        <x:v>5</x:v>
      </x:c>
      <x:c r="F52" s="2" t="str">
        <x:v>Deburr &amp; inspect</x:v>
      </x:c>
      <x:c r="G52" s="9" t="str">
        <x:v>DB-01</x:v>
      </x:c>
      <x:c r="H52" s="15" t="n">
        <x:v>6</x:v>
      </x:c>
      <x:c r="I52" s="9" t="str">
        <x:v>P04</x:v>
      </x:c>
      <x:c r="J52" s="11" t="n">
        <x:v>46300.32638888889</x:v>
      </x:c>
      <x:c r="K52" s="15" t="n">
        <x:v>4</x:v>
      </x:c>
      <x:c r="L52" s="15" t="n">
        <x:v>4</x:v>
      </x:c>
      <x:c r="M52" s="13" t="n">
        <x:f>J52+(K52+L52)/1440</x:f>
        <x:v>46300.33194444445</x:v>
      </x:c>
      <x:c r="N52" s="13" t="n">
        <x:f>VLOOKUP(C52,'MES orders'!$A$8:$H$127,5,FALSE)</x:f>
        <x:v>46302.666666666664</x:v>
      </x:c>
      <x:c r="O52" s="16" t="n">
        <x:f>MAX(0,(M52-N52)*24)</x:f>
        <x:v>0</x:v>
      </x:c>
      <x:c r="P52" s="9" t="str">
        <x:v>Yes</x:v>
      </x:c>
      <x:c r="Q52" s="15" t="n">
        <x:v>8</x:v>
      </x:c>
      <x:c r="R52" s="13" t="n">
        <x:f>J52+Q52/1440</x:f>
        <x:v>46300.33194444445</x:v>
      </x:c>
      <x:c r="S52" s="2" t="str">
        <x:f>VLOOKUP(C52,'MES orders'!$A$8:$H$127,6,FALSE)</x:f>
        <x:v>High</x:v>
      </x:c>
      <x:c r="T52" s="9" t="str"/>
    </x:row>
    <x:row r="53" ht="22" customHeight="1">
      <x:c r="A53" s="2" t="str">
        <x:v>L00281-050</x:v>
      </x:c>
      <x:c r="B53" s="2" t="str">
        <x:v>L00281</x:v>
      </x:c>
      <x:c r="C53" s="2" t="str">
        <x:v>SO-26057</x:v>
      </x:c>
      <x:c r="D53" s="2" t="str">
        <x:v>S-S-AL</x:v>
      </x:c>
      <x:c r="E53" s="14" t="n">
        <x:v>5</x:v>
      </x:c>
      <x:c r="F53" s="2" t="str">
        <x:v>Sensor installation</x:v>
      </x:c>
      <x:c r="G53" s="9" t="str">
        <x:v>EL-01</x:v>
      </x:c>
      <x:c r="H53" s="15" t="n">
        <x:v>1</x:v>
      </x:c>
      <x:c r="I53" s="9" t="str">
        <x:v>P07</x:v>
      </x:c>
      <x:c r="J53" s="11" t="n">
        <x:v>46300.32638888889</x:v>
      </x:c>
      <x:c r="K53" s="15" t="n">
        <x:v>8</x:v>
      </x:c>
      <x:c r="L53" s="15" t="n">
        <x:v>6</x:v>
      </x:c>
      <x:c r="M53" s="13" t="n">
        <x:f>J53+(K53+L53)/1440</x:f>
        <x:v>46300.336111111115</x:v>
      </x:c>
      <x:c r="N53" s="13" t="n">
        <x:f>VLOOKUP(C53,'MES orders'!$A$8:$H$127,5,FALSE)</x:f>
        <x:v>46302.666666666664</x:v>
      </x:c>
      <x:c r="O53" s="16" t="n">
        <x:f>MAX(0,(M53-N53)*24)</x:f>
        <x:v>0</x:v>
      </x:c>
      <x:c r="P53" s="9" t="str">
        <x:v>Yes</x:v>
      </x:c>
      <x:c r="Q53" s="15" t="n">
        <x:v>14</x:v>
      </x:c>
      <x:c r="R53" s="13" t="n">
        <x:f>J53+Q53/1440</x:f>
        <x:v>46300.336111111115</x:v>
      </x:c>
      <x:c r="S53" s="2" t="str">
        <x:f>VLOOKUP(C53,'MES orders'!$A$8:$H$127,6,FALSE)</x:f>
        <x:v>High</x:v>
      </x:c>
      <x:c r="T53" s="9" t="str"/>
    </x:row>
    <x:row r="54" ht="22" customHeight="1">
      <x:c r="A54" s="2" t="str">
        <x:v>L00282-040</x:v>
      </x:c>
      <x:c r="B54" s="2" t="str">
        <x:v>L00282</x:v>
      </x:c>
      <x:c r="C54" s="2" t="str">
        <x:v>SO-26057</x:v>
      </x:c>
      <x:c r="D54" s="2" t="str">
        <x:v>S-S-AL</x:v>
      </x:c>
      <x:c r="E54" s="14" t="n">
        <x:v>5</x:v>
      </x:c>
      <x:c r="F54" s="2" t="str">
        <x:v>Mechanical preassembly</x:v>
      </x:c>
      <x:c r="G54" s="9" t="str">
        <x:v>AS-01</x:v>
      </x:c>
      <x:c r="H54" s="15" t="n">
        <x:v>4</x:v>
      </x:c>
      <x:c r="I54" s="9" t="str">
        <x:v>P04</x:v>
      </x:c>
      <x:c r="J54" s="11" t="n">
        <x:v>46300.333333333336</x:v>
      </x:c>
      <x:c r="K54" s="15" t="n">
        <x:v>6</x:v>
      </x:c>
      <x:c r="L54" s="15" t="n">
        <x:v>6</x:v>
      </x:c>
      <x:c r="M54" s="13" t="n">
        <x:f>J54+(K54+L54)/1440</x:f>
        <x:v>46300.34166666667</x:v>
      </x:c>
      <x:c r="N54" s="13" t="n">
        <x:f>VLOOKUP(C54,'MES orders'!$A$8:$H$127,5,FALSE)</x:f>
        <x:v>46302.666666666664</x:v>
      </x:c>
      <x:c r="O54" s="16" t="n">
        <x:f>MAX(0,(M54-N54)*24)</x:f>
        <x:v>0</x:v>
      </x:c>
      <x:c r="P54" s="9" t="str">
        <x:v>Yes</x:v>
      </x:c>
      <x:c r="Q54" s="15" t="n">
        <x:v>12</x:v>
      </x:c>
      <x:c r="R54" s="13" t="n">
        <x:f>J54+Q54/1440</x:f>
        <x:v>46300.34166666667</x:v>
      </x:c>
      <x:c r="S54" s="2" t="str">
        <x:f>VLOOKUP(C54,'MES orders'!$A$8:$H$127,6,FALSE)</x:f>
        <x:v>High</x:v>
      </x:c>
      <x:c r="T54" s="9" t="str"/>
    </x:row>
    <x:row r="55" ht="22" customHeight="1">
      <x:c r="A55" s="2" t="str">
        <x:v>L00283-040</x:v>
      </x:c>
      <x:c r="B55" s="2" t="str">
        <x:v>L00283</x:v>
      </x:c>
      <x:c r="C55" s="2" t="str">
        <x:v>SO-26057</x:v>
      </x:c>
      <x:c r="D55" s="2" t="str">
        <x:v>S-S-AL</x:v>
      </x:c>
      <x:c r="E55" s="14" t="n">
        <x:v>5</x:v>
      </x:c>
      <x:c r="F55" s="2" t="str">
        <x:v>Mechanical preassembly</x:v>
      </x:c>
      <x:c r="G55" s="9" t="str">
        <x:v>AS-02</x:v>
      </x:c>
      <x:c r="H55" s="15" t="n">
        <x:v>3</x:v>
      </x:c>
      <x:c r="I55" s="9" t="str">
        <x:v>P05</x:v>
      </x:c>
      <x:c r="J55" s="11" t="n">
        <x:v>46300.333333333336</x:v>
      </x:c>
      <x:c r="K55" s="15" t="n">
        <x:v>6</x:v>
      </x:c>
      <x:c r="L55" s="15" t="n">
        <x:v>6</x:v>
      </x:c>
      <x:c r="M55" s="13" t="n">
        <x:f>J55+(K55+L55)/1440</x:f>
        <x:v>46300.34166666667</x:v>
      </x:c>
      <x:c r="N55" s="13" t="n">
        <x:f>VLOOKUP(C55,'MES orders'!$A$8:$H$127,5,FALSE)</x:f>
        <x:v>46302.666666666664</x:v>
      </x:c>
      <x:c r="O55" s="16" t="n">
        <x:f>MAX(0,(M55-N55)*24)</x:f>
        <x:v>0</x:v>
      </x:c>
      <x:c r="P55" s="9" t="str">
        <x:v>Yes</x:v>
      </x:c>
      <x:c r="Q55" s="15" t="n">
        <x:v>12</x:v>
      </x:c>
      <x:c r="R55" s="13" t="n">
        <x:f>J55+Q55/1440</x:f>
        <x:v>46300.34166666667</x:v>
      </x:c>
      <x:c r="S55" s="2" t="str">
        <x:f>VLOOKUP(C55,'MES orders'!$A$8:$H$127,6,FALSE)</x:f>
        <x:v>High</x:v>
      </x:c>
      <x:c r="T55" s="9" t="str"/>
    </x:row>
    <x:row r="56" ht="22" customHeight="1">
      <x:c r="A56" s="2" t="str">
        <x:v>L00044-010</x:v>
      </x:c>
      <x:c r="B56" s="2" t="str">
        <x:v>L00044</x:v>
      </x:c>
      <x:c r="C56" s="2" t="str">
        <x:v>SO-26009</x:v>
      </x:c>
      <x:c r="D56" s="2" t="str">
        <x:v>D-S-AL</x:v>
      </x:c>
      <x:c r="E56" s="14" t="n">
        <x:v>5</x:v>
      </x:c>
      <x:c r="F56" s="2" t="str">
        <x:v>CNC machining</x:v>
      </x:c>
      <x:c r="G56" s="9" t="str">
        <x:v>CNC-02</x:v>
      </x:c>
      <x:c r="H56" s="15" t="n">
        <x:v>4</x:v>
      </x:c>
      <x:c r="I56" s="9" t="str">
        <x:v>P03</x:v>
      </x:c>
      <x:c r="J56" s="11" t="n">
        <x:v>46300.333333333336</x:v>
      </x:c>
      <x:c r="K56" s="15" t="n">
        <x:v>18</x:v>
      </x:c>
      <x:c r="L56" s="15" t="n">
        <x:v>12</x:v>
      </x:c>
      <x:c r="M56" s="13" t="n">
        <x:f>J56+(K56+L56)/1440</x:f>
        <x:v>46300.35416666667</x:v>
      </x:c>
      <x:c r="N56" s="13" t="n">
        <x:f>VLOOKUP(C56,'MES orders'!$A$8:$H$127,5,FALSE)</x:f>
        <x:v>46302.666666666664</x:v>
      </x:c>
      <x:c r="O56" s="16" t="n">
        <x:f>MAX(0,(M56-N56)*24)</x:f>
        <x:v>0</x:v>
      </x:c>
      <x:c r="P56" s="9" t="str">
        <x:v>Yes</x:v>
      </x:c>
      <x:c r="Q56" s="15" t="n">
        <x:v>18</x:v>
      </x:c>
      <x:c r="R56" s="13" t="n">
        <x:f>J56+Q56/1440</x:f>
        <x:v>46300.34583333333</x:v>
      </x:c>
      <x:c r="S56" s="2" t="str">
        <x:f>VLOOKUP(C56,'MES orders'!$A$8:$H$127,6,FALSE)</x:f>
        <x:v>Normal</x:v>
      </x:c>
      <x:c r="T56" s="9" t="str"/>
    </x:row>
    <x:row r="57" ht="22" customHeight="1">
      <x:c r="A57" s="2" t="str">
        <x:v>L00284-030</x:v>
      </x:c>
      <x:c r="B57" s="2" t="str">
        <x:v>L00284</x:v>
      </x:c>
      <x:c r="C57" s="2" t="str">
        <x:v>SO-26057</x:v>
      </x:c>
      <x:c r="D57" s="2" t="str">
        <x:v>S-S-AL</x:v>
      </x:c>
      <x:c r="E57" s="14" t="n">
        <x:v>5</x:v>
      </x:c>
      <x:c r="F57" s="2" t="str">
        <x:v>Wash &amp; dry</x:v>
      </x:c>
      <x:c r="G57" s="9" t="str">
        <x:v>WS-01</x:v>
      </x:c>
      <x:c r="H57" s="15" t="n">
        <x:v>6</x:v>
      </x:c>
      <x:c r="I57" s="9" t="str">
        <x:v>P06</x:v>
      </x:c>
      <x:c r="J57" s="11" t="n">
        <x:v>46300.333333333336</x:v>
      </x:c>
      <x:c r="K57" s="15" t="n">
        <x:v>12</x:v>
      </x:c>
      <x:c r="L57" s="15" t="n">
        <x:v>2</x:v>
      </x:c>
      <x:c r="M57" s="13" t="n">
        <x:f>J57+(K57+L57)/1440</x:f>
        <x:v>46300.34305555556</x:v>
      </x:c>
      <x:c r="N57" s="13" t="n">
        <x:f>VLOOKUP(C57,'MES orders'!$A$8:$H$127,5,FALSE)</x:f>
        <x:v>46302.666666666664</x:v>
      </x:c>
      <x:c r="O57" s="16" t="n">
        <x:f>MAX(0,(M57-N57)*24)</x:f>
        <x:v>0</x:v>
      </x:c>
      <x:c r="P57" s="9" t="str">
        <x:v>Yes</x:v>
      </x:c>
      <x:c r="Q57" s="15" t="n">
        <x:v>14</x:v>
      </x:c>
      <x:c r="R57" s="13" t="n">
        <x:f>J57+Q57/1440</x:f>
        <x:v>46300.34305555556</x:v>
      </x:c>
      <x:c r="S57" s="2" t="str">
        <x:f>VLOOKUP(C57,'MES orders'!$A$8:$H$127,6,FALSE)</x:f>
        <x:v>High</x:v>
      </x:c>
      <x:c r="T57" s="9" t="str"/>
    </x:row>
    <x:row r="58" ht="22" customHeight="1">
      <x:c r="A58" s="2" t="str">
        <x:v>L00281-060</x:v>
      </x:c>
      <x:c r="B58" s="2" t="str">
        <x:v>L00281</x:v>
      </x:c>
      <x:c r="C58" s="2" t="str">
        <x:v>SO-26057</x:v>
      </x:c>
      <x:c r="D58" s="2" t="str">
        <x:v>S-S-AL</x:v>
      </x:c>
      <x:c r="E58" s="14" t="n">
        <x:v>5</x:v>
      </x:c>
      <x:c r="F58" s="2" t="str">
        <x:v>Sensor calibration</x:v>
      </x:c>
      <x:c r="G58" s="9" t="str">
        <x:v>CAL-01</x:v>
      </x:c>
      <x:c r="H58" s="15" t="n">
        <x:v>1</x:v>
      </x:c>
      <x:c r="I58" s="9" t="str">
        <x:v>P09</x:v>
      </x:c>
      <x:c r="J58" s="11" t="n">
        <x:v>46300.33611111111</x:v>
      </x:c>
      <x:c r="K58" s="15" t="n">
        <x:v>10</x:v>
      </x:c>
      <x:c r="L58" s="15" t="n">
        <x:v>6</x:v>
      </x:c>
      <x:c r="M58" s="13" t="n">
        <x:f>J58+(K58+L58)/1440</x:f>
        <x:v>46300.34722222222</x:v>
      </x:c>
      <x:c r="N58" s="13" t="n">
        <x:f>VLOOKUP(C58,'MES orders'!$A$8:$H$127,5,FALSE)</x:f>
        <x:v>46302.666666666664</x:v>
      </x:c>
      <x:c r="O58" s="16" t="n">
        <x:f>MAX(0,(M58-N58)*24)</x:f>
        <x:v>0</x:v>
      </x:c>
      <x:c r="P58" s="9" t="str">
        <x:v>Yes</x:v>
      </x:c>
      <x:c r="Q58" s="15" t="n">
        <x:v>16</x:v>
      </x:c>
      <x:c r="R58" s="13" t="n">
        <x:f>J58+Q58/1440</x:f>
        <x:v>46300.34722222222</x:v>
      </x:c>
      <x:c r="S58" s="2" t="str">
        <x:f>VLOOKUP(C58,'MES orders'!$A$8:$H$127,6,FALSE)</x:f>
        <x:v>High</x:v>
      </x:c>
      <x:c r="T58" s="9" t="str"/>
    </x:row>
    <x:row r="59" ht="22" customHeight="1">
      <x:c r="A59" s="2" t="str">
        <x:v>L00285-020</x:v>
      </x:c>
      <x:c r="B59" s="2" t="str">
        <x:v>L00285</x:v>
      </x:c>
      <x:c r="C59" s="2" t="str">
        <x:v>SO-26057</x:v>
      </x:c>
      <x:c r="D59" s="2" t="str">
        <x:v>S-S-AL</x:v>
      </x:c>
      <x:c r="E59" s="14" t="n">
        <x:v>5</x:v>
      </x:c>
      <x:c r="F59" s="2" t="str">
        <x:v>Deburr &amp; inspect</x:v>
      </x:c>
      <x:c r="G59" s="9" t="str">
        <x:v>DB-01</x:v>
      </x:c>
      <x:c r="H59" s="15" t="n">
        <x:v>7</x:v>
      </x:c>
      <x:c r="I59" s="9" t="str">
        <x:v>P05</x:v>
      </x:c>
      <x:c r="J59" s="11" t="n">
        <x:v>46300.34166666667</x:v>
      </x:c>
      <x:c r="K59" s="15" t="n">
        <x:v>4</x:v>
      </x:c>
      <x:c r="L59" s="15" t="n">
        <x:v>4</x:v>
      </x:c>
      <x:c r="M59" s="13" t="n">
        <x:f>J59+(K59+L59)/1440</x:f>
        <x:v>46300.347222222226</x:v>
      </x:c>
      <x:c r="N59" s="13" t="n">
        <x:f>VLOOKUP(C59,'MES orders'!$A$8:$H$127,5,FALSE)</x:f>
        <x:v>46302.666666666664</x:v>
      </x:c>
      <x:c r="O59" s="16" t="n">
        <x:f>MAX(0,(M59-N59)*24)</x:f>
        <x:v>0</x:v>
      </x:c>
      <x:c r="P59" s="9" t="str">
        <x:v>Yes</x:v>
      </x:c>
      <x:c r="Q59" s="15" t="n">
        <x:v>8</x:v>
      </x:c>
      <x:c r="R59" s="13" t="n">
        <x:f>J59+Q59/1440</x:f>
        <x:v>46300.347222222226</x:v>
      </x:c>
      <x:c r="S59" s="2" t="str">
        <x:f>VLOOKUP(C59,'MES orders'!$A$8:$H$127,6,FALSE)</x:f>
        <x:v>High</x:v>
      </x:c>
      <x:c r="T59" s="9" t="str"/>
    </x:row>
    <x:row r="60" ht="22" customHeight="1">
      <x:c r="A60" s="2" t="str">
        <x:v>L00043-020</x:v>
      </x:c>
      <x:c r="B60" s="2" t="str">
        <x:v>L00043</x:v>
      </x:c>
      <x:c r="C60" s="2" t="str">
        <x:v>SO-26009</x:v>
      </x:c>
      <x:c r="D60" s="2" t="str">
        <x:v>D-S-AL</x:v>
      </x:c>
      <x:c r="E60" s="14" t="n">
        <x:v>5</x:v>
      </x:c>
      <x:c r="F60" s="2" t="str">
        <x:v>Deburr &amp; inspect</x:v>
      </x:c>
      <x:c r="G60" s="9" t="str">
        <x:v>DB-02</x:v>
      </x:c>
      <x:c r="H60" s="15" t="n">
        <x:v>4</x:v>
      </x:c>
      <x:c r="I60" s="9" t="str">
        <x:v>P02</x:v>
      </x:c>
      <x:c r="J60" s="11" t="n">
        <x:v>46300.34166666667</x:v>
      </x:c>
      <x:c r="K60" s="15" t="n">
        <x:v>4</x:v>
      </x:c>
      <x:c r="L60" s="15" t="n">
        <x:v>4</x:v>
      </x:c>
      <x:c r="M60" s="13" t="n">
        <x:f>J60+(K60+L60)/1440</x:f>
        <x:v>46300.347222222226</x:v>
      </x:c>
      <x:c r="N60" s="13" t="n">
        <x:f>VLOOKUP(C60,'MES orders'!$A$8:$H$127,5,FALSE)</x:f>
        <x:v>46302.666666666664</x:v>
      </x:c>
      <x:c r="O60" s="16" t="n">
        <x:f>MAX(0,(M60-N60)*24)</x:f>
        <x:v>0</x:v>
      </x:c>
      <x:c r="P60" s="9" t="str">
        <x:v>Yes</x:v>
      </x:c>
      <x:c r="Q60" s="15" t="n">
        <x:v>8</x:v>
      </x:c>
      <x:c r="R60" s="13" t="n">
        <x:f>J60+Q60/1440</x:f>
        <x:v>46300.347222222226</x:v>
      </x:c>
      <x:c r="S60" s="2" t="str">
        <x:f>VLOOKUP(C60,'MES orders'!$A$8:$H$127,6,FALSE)</x:f>
        <x:v>Normal</x:v>
      </x:c>
      <x:c r="T60" s="9" t="str"/>
    </x:row>
    <x:row r="61" ht="22" customHeight="1">
      <x:c r="A61" s="2" t="str">
        <x:v>L00282-050</x:v>
      </x:c>
      <x:c r="B61" s="2" t="str">
        <x:v>L00282</x:v>
      </x:c>
      <x:c r="C61" s="2" t="str">
        <x:v>SO-26057</x:v>
      </x:c>
      <x:c r="D61" s="2" t="str">
        <x:v>S-S-AL</x:v>
      </x:c>
      <x:c r="E61" s="14" t="n">
        <x:v>5</x:v>
      </x:c>
      <x:c r="F61" s="2" t="str">
        <x:v>Sensor installation</x:v>
      </x:c>
      <x:c r="G61" s="9" t="str">
        <x:v>EL-01</x:v>
      </x:c>
      <x:c r="H61" s="15" t="n">
        <x:v>2</x:v>
      </x:c>
      <x:c r="I61" s="9" t="str">
        <x:v>P07</x:v>
      </x:c>
      <x:c r="J61" s="11" t="n">
        <x:v>46300.34166666667</x:v>
      </x:c>
      <x:c r="K61" s="15" t="n">
        <x:v>8</x:v>
      </x:c>
      <x:c r="L61" s="15" t="n">
        <x:v>6</x:v>
      </x:c>
      <x:c r="M61" s="13" t="n">
        <x:f>J61+(K61+L61)/1440</x:f>
        <x:v>46300.35138888889</x:v>
      </x:c>
      <x:c r="N61" s="13" t="n">
        <x:f>VLOOKUP(C61,'MES orders'!$A$8:$H$127,5,FALSE)</x:f>
        <x:v>46302.666666666664</x:v>
      </x:c>
      <x:c r="O61" s="16" t="n">
        <x:f>MAX(0,(M61-N61)*24)</x:f>
        <x:v>0</x:v>
      </x:c>
      <x:c r="P61" s="9" t="str">
        <x:v>Yes</x:v>
      </x:c>
      <x:c r="Q61" s="15" t="n">
        <x:v>14</x:v>
      </x:c>
      <x:c r="R61" s="13" t="n">
        <x:f>J61+Q61/1440</x:f>
        <x:v>46300.35138888889</x:v>
      </x:c>
      <x:c r="S61" s="2" t="str">
        <x:f>VLOOKUP(C61,'MES orders'!$A$8:$H$127,6,FALSE)</x:f>
        <x:v>High</x:v>
      </x:c>
      <x:c r="T61" s="9" t="str"/>
    </x:row>
    <x:row r="62" ht="22" customHeight="1">
      <x:c r="A62" s="2" t="str">
        <x:v>L00283-050</x:v>
      </x:c>
      <x:c r="B62" s="2" t="str">
        <x:v>L00283</x:v>
      </x:c>
      <x:c r="C62" s="2" t="str">
        <x:v>SO-26057</x:v>
      </x:c>
      <x:c r="D62" s="2" t="str">
        <x:v>S-S-AL</x:v>
      </x:c>
      <x:c r="E62" s="14" t="n">
        <x:v>5</x:v>
      </x:c>
      <x:c r="F62" s="2" t="str">
        <x:v>Sensor installation</x:v>
      </x:c>
      <x:c r="G62" s="9" t="str">
        <x:v>EL-02</x:v>
      </x:c>
      <x:c r="H62" s="15" t="n">
        <x:v>1</x:v>
      </x:c>
      <x:c r="I62" s="9" t="str">
        <x:v>P08</x:v>
      </x:c>
      <x:c r="J62" s="11" t="n">
        <x:v>46300.34166666667</x:v>
      </x:c>
      <x:c r="K62" s="15" t="n">
        <x:v>8</x:v>
      </x:c>
      <x:c r="L62" s="15" t="n">
        <x:v>6</x:v>
      </x:c>
      <x:c r="M62" s="13" t="n">
        <x:f>J62+(K62+L62)/1440</x:f>
        <x:v>46300.35138888889</x:v>
      </x:c>
      <x:c r="N62" s="13" t="n">
        <x:f>VLOOKUP(C62,'MES orders'!$A$8:$H$127,5,FALSE)</x:f>
        <x:v>46302.666666666664</x:v>
      </x:c>
      <x:c r="O62" s="16" t="n">
        <x:f>MAX(0,(M62-N62)*24)</x:f>
        <x:v>0</x:v>
      </x:c>
      <x:c r="P62" s="9" t="str">
        <x:v>Yes</x:v>
      </x:c>
      <x:c r="Q62" s="15" t="n">
        <x:v>14</x:v>
      </x:c>
      <x:c r="R62" s="13" t="n">
        <x:f>J62+Q62/1440</x:f>
        <x:v>46300.35138888889</x:v>
      </x:c>
      <x:c r="S62" s="2" t="str">
        <x:f>VLOOKUP(C62,'MES orders'!$A$8:$H$127,6,FALSE)</x:f>
        <x:v>High</x:v>
      </x:c>
      <x:c r="T62" s="9" t="str"/>
    </x:row>
    <x:row r="63" ht="22" customHeight="1">
      <x:c r="A63" s="2" t="str">
        <x:v>L00284-040</x:v>
      </x:c>
      <x:c r="B63" s="2" t="str">
        <x:v>L00284</x:v>
      </x:c>
      <x:c r="C63" s="2" t="str">
        <x:v>SO-26057</x:v>
      </x:c>
      <x:c r="D63" s="2" t="str">
        <x:v>S-S-AL</x:v>
      </x:c>
      <x:c r="E63" s="14" t="n">
        <x:v>5</x:v>
      </x:c>
      <x:c r="F63" s="2" t="str">
        <x:v>Mechanical preassembly</x:v>
      </x:c>
      <x:c r="G63" s="9" t="str">
        <x:v>AS-02</x:v>
      </x:c>
      <x:c r="H63" s="15" t="n">
        <x:v>4</x:v>
      </x:c>
      <x:c r="I63" s="9" t="str">
        <x:v>P04</x:v>
      </x:c>
      <x:c r="J63" s="11" t="n">
        <x:v>46300.34305555555</x:v>
      </x:c>
      <x:c r="K63" s="15" t="n">
        <x:v>6</x:v>
      </x:c>
      <x:c r="L63" s="15" t="n">
        <x:v>6</x:v>
      </x:c>
      <x:c r="M63" s="13" t="n">
        <x:f>J63+(K63+L63)/1440</x:f>
        <x:v>46300.351388888885</x:v>
      </x:c>
      <x:c r="N63" s="13" t="n">
        <x:f>VLOOKUP(C63,'MES orders'!$A$8:$H$127,5,FALSE)</x:f>
        <x:v>46302.666666666664</x:v>
      </x:c>
      <x:c r="O63" s="16" t="n">
        <x:f>MAX(0,(M63-N63)*24)</x:f>
        <x:v>0</x:v>
      </x:c>
      <x:c r="P63" s="9" t="str">
        <x:v>Yes</x:v>
      </x:c>
      <x:c r="Q63" s="15" t="n">
        <x:v>12</x:v>
      </x:c>
      <x:c r="R63" s="13" t="n">
        <x:f>J63+Q63/1440</x:f>
        <x:v>46300.351388888885</x:v>
      </x:c>
      <x:c r="S63" s="2" t="str">
        <x:f>VLOOKUP(C63,'MES orders'!$A$8:$H$127,6,FALSE)</x:f>
        <x:v>High</x:v>
      </x:c>
      <x:c r="T63" s="9" t="str"/>
    </x:row>
    <x:row r="64" ht="22" customHeight="1">
      <x:c r="A64" s="2" t="str">
        <x:v>L00565-010</x:v>
      </x:c>
      <x:c r="B64" s="2" t="str">
        <x:v>L00565</x:v>
      </x:c>
      <x:c r="C64" s="2" t="str">
        <x:v>SO-26113</x:v>
      </x:c>
      <x:c r="D64" s="2" t="str">
        <x:v>R-L-AL</x:v>
      </x:c>
      <x:c r="E64" s="14" t="n">
        <x:v>20</x:v>
      </x:c>
      <x:c r="F64" s="2" t="str">
        <x:v>CNC machining</x:v>
      </x:c>
      <x:c r="G64" s="9" t="str">
        <x:v>CNC-05</x:v>
      </x:c>
      <x:c r="H64" s="15" t="n">
        <x:v>3</x:v>
      </x:c>
      <x:c r="I64" s="9" t="str">
        <x:v>P01</x:v>
      </x:c>
      <x:c r="J64" s="11" t="n">
        <x:v>46300.345138888886</x:v>
      </x:c>
      <x:c r="K64" s="15" t="n">
        <x:v>18</x:v>
      </x:c>
      <x:c r="L64" s="15" t="n">
        <x:v>65</x:v>
      </x:c>
      <x:c r="M64" s="13" t="n">
        <x:f>J64+(K64+L64)/1440</x:f>
        <x:v>46300.402777777774</x:v>
      </x:c>
      <x:c r="N64" s="13" t="n">
        <x:f>VLOOKUP(C64,'MES orders'!$A$8:$H$127,5,FALSE)</x:f>
        <x:v>46302.666666666664</x:v>
      </x:c>
      <x:c r="O64" s="16" t="n">
        <x:f>MAX(0,(M64-N64)*24)</x:f>
        <x:v>0</x:v>
      </x:c>
      <x:c r="P64" s="9" t="str">
        <x:v>Yes</x:v>
      </x:c>
      <x:c r="Q64" s="15" t="n">
        <x:v>18</x:v>
      </x:c>
      <x:c r="R64" s="13" t="n">
        <x:f>J64+Q64/1440</x:f>
        <x:v>46300.35763888888</x:v>
      </x:c>
      <x:c r="S64" s="2" t="str">
        <x:f>VLOOKUP(C64,'MES orders'!$A$8:$H$127,6,FALSE)</x:f>
        <x:v>High</x:v>
      </x:c>
      <x:c r="T64" s="9" t="str"/>
    </x:row>
    <x:row r="65" ht="22" customHeight="1">
      <x:c r="A65" s="2" t="str">
        <x:v>L00281-070</x:v>
      </x:c>
      <x:c r="B65" s="2" t="str">
        <x:v>L00281</x:v>
      </x:c>
      <x:c r="C65" s="2" t="str">
        <x:v>SO-26057</x:v>
      </x:c>
      <x:c r="D65" s="2" t="str">
        <x:v>S-S-AL</x:v>
      </x:c>
      <x:c r="E65" s="14" t="n">
        <x:v>5</x:v>
      </x:c>
      <x:c r="F65" s="2" t="str">
        <x:v>Final assembly</x:v>
      </x:c>
      <x:c r="G65" s="9" t="str">
        <x:v>AS-01</x:v>
      </x:c>
      <x:c r="H65" s="15" t="n">
        <x:v>5</x:v>
      </x:c>
      <x:c r="I65" s="9" t="str">
        <x:v>P05</x:v>
      </x:c>
      <x:c r="J65" s="11" t="n">
        <x:v>46300.34722222222</x:v>
      </x:c>
      <x:c r="K65" s="15" t="n">
        <x:v>5</x:v>
      </x:c>
      <x:c r="L65" s="15" t="n">
        <x:v>4</x:v>
      </x:c>
      <x:c r="M65" s="13" t="n">
        <x:f>J65+(K65+L65)/1440</x:f>
        <x:v>46300.35347222222</x:v>
      </x:c>
      <x:c r="N65" s="13" t="n">
        <x:f>VLOOKUP(C65,'MES orders'!$A$8:$H$127,5,FALSE)</x:f>
        <x:v>46302.666666666664</x:v>
      </x:c>
      <x:c r="O65" s="16" t="n">
        <x:f>MAX(0,(M65-N65)*24)</x:f>
        <x:v>0</x:v>
      </x:c>
      <x:c r="P65" s="9" t="str">
        <x:v>Yes</x:v>
      </x:c>
      <x:c r="Q65" s="15" t="n">
        <x:v>9</x:v>
      </x:c>
      <x:c r="R65" s="13" t="n">
        <x:f>J65+Q65/1440</x:f>
        <x:v>46300.35347222222</x:v>
      </x:c>
      <x:c r="S65" s="2" t="str">
        <x:f>VLOOKUP(C65,'MES orders'!$A$8:$H$127,6,FALSE)</x:f>
        <x:v>High</x:v>
      </x:c>
      <x:c r="T65" s="9" t="str"/>
    </x:row>
    <x:row r="66" ht="22" customHeight="1">
      <x:c r="A66" s="2" t="str">
        <x:v>L00285-030</x:v>
      </x:c>
      <x:c r="B66" s="2" t="str">
        <x:v>L00285</x:v>
      </x:c>
      <x:c r="C66" s="2" t="str">
        <x:v>SO-26057</x:v>
      </x:c>
      <x:c r="D66" s="2" t="str">
        <x:v>S-S-AL</x:v>
      </x:c>
      <x:c r="E66" s="14" t="n">
        <x:v>5</x:v>
      </x:c>
      <x:c r="F66" s="2" t="str">
        <x:v>Wash &amp; dry</x:v>
      </x:c>
      <x:c r="G66" s="9" t="str">
        <x:v>WS-01</x:v>
      </x:c>
      <x:c r="H66" s="15" t="n">
        <x:v>7</x:v>
      </x:c>
      <x:c r="I66" s="9" t="str">
        <x:v>P06</x:v>
      </x:c>
      <x:c r="J66" s="11" t="n">
        <x:v>46300.34722222222</x:v>
      </x:c>
      <x:c r="K66" s="15" t="n">
        <x:v>12</x:v>
      </x:c>
      <x:c r="L66" s="15" t="n">
        <x:v>2</x:v>
      </x:c>
      <x:c r="M66" s="13" t="n">
        <x:f>J66+(K66+L66)/1440</x:f>
        <x:v>46300.356944444444</x:v>
      </x:c>
      <x:c r="N66" s="13" t="n">
        <x:f>VLOOKUP(C66,'MES orders'!$A$8:$H$127,5,FALSE)</x:f>
        <x:v>46302.666666666664</x:v>
      </x:c>
      <x:c r="O66" s="16" t="n">
        <x:f>MAX(0,(M66-N66)*24)</x:f>
        <x:v>0</x:v>
      </x:c>
      <x:c r="P66" s="9" t="str">
        <x:v>Yes</x:v>
      </x:c>
      <x:c r="Q66" s="15" t="n">
        <x:v>14</x:v>
      </x:c>
      <x:c r="R66" s="13" t="n">
        <x:f>J66+Q66/1440</x:f>
        <x:v>46300.356944444444</x:v>
      </x:c>
      <x:c r="S66" s="2" t="str">
        <x:f>VLOOKUP(C66,'MES orders'!$A$8:$H$127,6,FALSE)</x:f>
        <x:v>High</x:v>
      </x:c>
      <x:c r="T66" s="9" t="str"/>
    </x:row>
    <x:row r="67" ht="22" customHeight="1">
      <x:c r="A67" s="2" t="str">
        <x:v>L00043-030</x:v>
      </x:c>
      <x:c r="B67" s="2" t="str">
        <x:v>L00043</x:v>
      </x:c>
      <x:c r="C67" s="2" t="str">
        <x:v>SO-26009</x:v>
      </x:c>
      <x:c r="D67" s="2" t="str">
        <x:v>D-S-AL</x:v>
      </x:c>
      <x:c r="E67" s="14" t="n">
        <x:v>5</x:v>
      </x:c>
      <x:c r="F67" s="2" t="str">
        <x:v>Wash &amp; dry</x:v>
      </x:c>
      <x:c r="G67" s="9" t="str">
        <x:v>WS-02</x:v>
      </x:c>
      <x:c r="H67" s="15" t="n">
        <x:v>4</x:v>
      </x:c>
      <x:c r="I67" s="9" t="str">
        <x:v>P02</x:v>
      </x:c>
      <x:c r="J67" s="11" t="n">
        <x:v>46300.34722222222</x:v>
      </x:c>
      <x:c r="K67" s="15" t="n">
        <x:v>12</x:v>
      </x:c>
      <x:c r="L67" s="15" t="n">
        <x:v>2</x:v>
      </x:c>
      <x:c r="M67" s="13" t="n">
        <x:f>J67+(K67+L67)/1440</x:f>
        <x:v>46300.356944444444</x:v>
      </x:c>
      <x:c r="N67" s="13" t="n">
        <x:f>VLOOKUP(C67,'MES orders'!$A$8:$H$127,5,FALSE)</x:f>
        <x:v>46302.666666666664</x:v>
      </x:c>
      <x:c r="O67" s="16" t="n">
        <x:f>MAX(0,(M67-N67)*24)</x:f>
        <x:v>0</x:v>
      </x:c>
      <x:c r="P67" s="9" t="str">
        <x:v>Yes</x:v>
      </x:c>
      <x:c r="Q67" s="15" t="n">
        <x:v>14</x:v>
      </x:c>
      <x:c r="R67" s="13" t="n">
        <x:f>J67+Q67/1440</x:f>
        <x:v>46300.356944444444</x:v>
      </x:c>
      <x:c r="S67" s="2" t="str">
        <x:f>VLOOKUP(C67,'MES orders'!$A$8:$H$127,6,FALSE)</x:f>
        <x:v>Normal</x:v>
      </x:c>
      <x:c r="T67" s="9" t="str"/>
    </x:row>
    <x:row r="68" ht="22" customHeight="1">
      <x:c r="A68" s="2" t="str">
        <x:v>L00282-060</x:v>
      </x:c>
      <x:c r="B68" s="2" t="str">
        <x:v>L00282</x:v>
      </x:c>
      <x:c r="C68" s="2" t="str">
        <x:v>SO-26057</x:v>
      </x:c>
      <x:c r="D68" s="2" t="str">
        <x:v>S-S-AL</x:v>
      </x:c>
      <x:c r="E68" s="14" t="n">
        <x:v>5</x:v>
      </x:c>
      <x:c r="F68" s="2" t="str">
        <x:v>Sensor calibration</x:v>
      </x:c>
      <x:c r="G68" s="9" t="str">
        <x:v>CAL-01</x:v>
      </x:c>
      <x:c r="H68" s="15" t="n">
        <x:v>2</x:v>
      </x:c>
      <x:c r="I68" s="9" t="str">
        <x:v>P09</x:v>
      </x:c>
      <x:c r="J68" s="11" t="n">
        <x:v>46300.35138888889</x:v>
      </x:c>
      <x:c r="K68" s="15" t="n">
        <x:v>10</x:v>
      </x:c>
      <x:c r="L68" s="15" t="n">
        <x:v>6</x:v>
      </x:c>
      <x:c r="M68" s="13" t="n">
        <x:f>J68+(K68+L68)/1440</x:f>
        <x:v>46300.3625</x:v>
      </x:c>
      <x:c r="N68" s="13" t="n">
        <x:f>VLOOKUP(C68,'MES orders'!$A$8:$H$127,5,FALSE)</x:f>
        <x:v>46302.666666666664</x:v>
      </x:c>
      <x:c r="O68" s="16" t="n">
        <x:f>MAX(0,(M68-N68)*24)</x:f>
        <x:v>0</x:v>
      </x:c>
      <x:c r="P68" s="9" t="str">
        <x:v>Yes</x:v>
      </x:c>
      <x:c r="Q68" s="15" t="n">
        <x:v>16</x:v>
      </x:c>
      <x:c r="R68" s="13" t="n">
        <x:f>J68+Q68/1440</x:f>
        <x:v>46300.3625</x:v>
      </x:c>
      <x:c r="S68" s="2" t="str">
        <x:f>VLOOKUP(C68,'MES orders'!$A$8:$H$127,6,FALSE)</x:f>
        <x:v>High</x:v>
      </x:c>
      <x:c r="T68" s="9" t="str"/>
    </x:row>
    <x:row r="69" ht="22" customHeight="1">
      <x:c r="A69" s="2" t="str">
        <x:v>L00041-020</x:v>
      </x:c>
      <x:c r="B69" s="2" t="str">
        <x:v>L00041</x:v>
      </x:c>
      <x:c r="C69" s="2" t="str">
        <x:v>SO-26009</x:v>
      </x:c>
      <x:c r="D69" s="2" t="str">
        <x:v>D-S-AL</x:v>
      </x:c>
      <x:c r="E69" s="14" t="n">
        <x:v>5</x:v>
      </x:c>
      <x:c r="F69" s="2" t="str">
        <x:v>Deburr &amp; inspect</x:v>
      </x:c>
      <x:c r="G69" s="9" t="str">
        <x:v>DB-01</x:v>
      </x:c>
      <x:c r="H69" s="15" t="n">
        <x:v>8</x:v>
      </x:c>
      <x:c r="I69" s="9" t="str">
        <x:v>P04</x:v>
      </x:c>
      <x:c r="J69" s="11" t="n">
        <x:v>46300.35138888889</x:v>
      </x:c>
      <x:c r="K69" s="15" t="n">
        <x:v>4</x:v>
      </x:c>
      <x:c r="L69" s="15" t="n">
        <x:v>4</x:v>
      </x:c>
      <x:c r="M69" s="13" t="n">
        <x:f>J69+(K69+L69)/1440</x:f>
        <x:v>46300.35694444445</x:v>
      </x:c>
      <x:c r="N69" s="13" t="n">
        <x:f>VLOOKUP(C69,'MES orders'!$A$8:$H$127,5,FALSE)</x:f>
        <x:v>46302.666666666664</x:v>
      </x:c>
      <x:c r="O69" s="16" t="n">
        <x:f>MAX(0,(M69-N69)*24)</x:f>
        <x:v>0</x:v>
      </x:c>
      <x:c r="P69" s="9" t="str">
        <x:v>Yes</x:v>
      </x:c>
      <x:c r="Q69" s="15" t="n">
        <x:v>8</x:v>
      </x:c>
      <x:c r="R69" s="13" t="n">
        <x:f>J69+Q69/1440</x:f>
        <x:v>46300.35694444445</x:v>
      </x:c>
      <x:c r="S69" s="2" t="str">
        <x:f>VLOOKUP(C69,'MES orders'!$A$8:$H$127,6,FALSE)</x:f>
        <x:v>Normal</x:v>
      </x:c>
      <x:c r="T69" s="9" t="str"/>
    </x:row>
    <x:row r="70" ht="22" customHeight="1">
      <x:c r="A70" s="2" t="str">
        <x:v>L00284-050</x:v>
      </x:c>
      <x:c r="B70" s="2" t="str">
        <x:v>L00284</x:v>
      </x:c>
      <x:c r="C70" s="2" t="str">
        <x:v>SO-26057</x:v>
      </x:c>
      <x:c r="D70" s="2" t="str">
        <x:v>S-S-AL</x:v>
      </x:c>
      <x:c r="E70" s="14" t="n">
        <x:v>5</x:v>
      </x:c>
      <x:c r="F70" s="2" t="str">
        <x:v>Sensor installation</x:v>
      </x:c>
      <x:c r="G70" s="9" t="str">
        <x:v>EL-01</x:v>
      </x:c>
      <x:c r="H70" s="15" t="n">
        <x:v>3</x:v>
      </x:c>
      <x:c r="I70" s="9" t="str">
        <x:v>P07</x:v>
      </x:c>
      <x:c r="J70" s="11" t="n">
        <x:v>46300.35138888889</x:v>
      </x:c>
      <x:c r="K70" s="15" t="n">
        <x:v>8</x:v>
      </x:c>
      <x:c r="L70" s="15" t="n">
        <x:v>6</x:v>
      </x:c>
      <x:c r="M70" s="13" t="n">
        <x:f>J70+(K70+L70)/1440</x:f>
        <x:v>46300.36111111112</x:v>
      </x:c>
      <x:c r="N70" s="13" t="n">
        <x:f>VLOOKUP(C70,'MES orders'!$A$8:$H$127,5,FALSE)</x:f>
        <x:v>46302.666666666664</x:v>
      </x:c>
      <x:c r="O70" s="16" t="n">
        <x:f>MAX(0,(M70-N70)*24)</x:f>
        <x:v>0</x:v>
      </x:c>
      <x:c r="P70" s="9" t="str">
        <x:v>Yes</x:v>
      </x:c>
      <x:c r="Q70" s="15" t="n">
        <x:v>14</x:v>
      </x:c>
      <x:c r="R70" s="13" t="n">
        <x:f>J70+Q70/1440</x:f>
        <x:v>46300.36111111112</x:v>
      </x:c>
      <x:c r="S70" s="2" t="str">
        <x:f>VLOOKUP(C70,'MES orders'!$A$8:$H$127,6,FALSE)</x:f>
        <x:v>High</x:v>
      </x:c>
      <x:c r="T70" s="9" t="str"/>
    </x:row>
    <x:row r="71" ht="22" customHeight="1">
      <x:c r="A71" s="2" t="str">
        <x:v>L00042-020</x:v>
      </x:c>
      <x:c r="B71" s="2" t="str">
        <x:v>L00042</x:v>
      </x:c>
      <x:c r="C71" s="2" t="str">
        <x:v>SO-26009</x:v>
      </x:c>
      <x:c r="D71" s="2" t="str">
        <x:v>D-S-AL</x:v>
      </x:c>
      <x:c r="E71" s="14" t="n">
        <x:v>5</x:v>
      </x:c>
      <x:c r="F71" s="2" t="str">
        <x:v>Deburr &amp; inspect</x:v>
      </x:c>
      <x:c r="G71" s="9" t="str">
        <x:v>DB-02</x:v>
      </x:c>
      <x:c r="H71" s="15" t="n">
        <x:v>5</x:v>
      </x:c>
      <x:c r="I71" s="9" t="str">
        <x:v>P05</x:v>
      </x:c>
      <x:c r="J71" s="11" t="n">
        <x:v>46300.353472222225</x:v>
      </x:c>
      <x:c r="K71" s="15" t="n">
        <x:v>4</x:v>
      </x:c>
      <x:c r="L71" s="15" t="n">
        <x:v>4</x:v>
      </x:c>
      <x:c r="M71" s="13" t="n">
        <x:f>J71+(K71+L71)/1440</x:f>
        <x:v>46300.359027777784</x:v>
      </x:c>
      <x:c r="N71" s="13" t="n">
        <x:f>VLOOKUP(C71,'MES orders'!$A$8:$H$127,5,FALSE)</x:f>
        <x:v>46302.666666666664</x:v>
      </x:c>
      <x:c r="O71" s="16" t="n">
        <x:f>MAX(0,(M71-N71)*24)</x:f>
        <x:v>0</x:v>
      </x:c>
      <x:c r="P71" s="9" t="str">
        <x:v>Yes</x:v>
      </x:c>
      <x:c r="Q71" s="15" t="n">
        <x:v>8</x:v>
      </x:c>
      <x:c r="R71" s="13" t="n">
        <x:f>J71+Q71/1440</x:f>
        <x:v>46300.359027777784</x:v>
      </x:c>
      <x:c r="S71" s="2" t="str">
        <x:f>VLOOKUP(C71,'MES orders'!$A$8:$H$127,6,FALSE)</x:f>
        <x:v>Normal</x:v>
      </x:c>
      <x:c r="T71" s="9" t="str"/>
    </x:row>
    <x:row r="72" ht="22" customHeight="1">
      <x:c r="A72" s="2" t="str">
        <x:v>L00281-080</x:v>
      </x:c>
      <x:c r="B72" s="2" t="str">
        <x:v>L00281</x:v>
      </x:c>
      <x:c r="C72" s="2" t="str">
        <x:v>SO-26057</x:v>
      </x:c>
      <x:c r="D72" s="2" t="str">
        <x:v>S-S-AL</x:v>
      </x:c>
      <x:c r="E72" s="14" t="n">
        <x:v>5</x:v>
      </x:c>
      <x:c r="F72" s="2" t="str">
        <x:v>Final leak / function test</x:v>
      </x:c>
      <x:c r="G72" s="9" t="str">
        <x:v>QA-02</x:v>
      </x:c>
      <x:c r="H72" s="15" t="n">
        <x:v>3</x:v>
      </x:c>
      <x:c r="I72" s="9" t="str">
        <x:v>P11</x:v>
      </x:c>
      <x:c r="J72" s="11" t="n">
        <x:v>46300.353472222225</x:v>
      </x:c>
      <x:c r="K72" s="15" t="n">
        <x:v>10</x:v>
      </x:c>
      <x:c r="L72" s="15" t="n">
        <x:v>4</x:v>
      </x:c>
      <x:c r="M72" s="13" t="n">
        <x:f>J72+(K72+L72)/1440</x:f>
        <x:v>46300.36319444445</x:v>
      </x:c>
      <x:c r="N72" s="13" t="n">
        <x:f>VLOOKUP(C72,'MES orders'!$A$8:$H$127,5,FALSE)</x:f>
        <x:v>46302.666666666664</x:v>
      </x:c>
      <x:c r="O72" s="16" t="n">
        <x:f>MAX(0,(M72-N72)*24)</x:f>
        <x:v>0</x:v>
      </x:c>
      <x:c r="P72" s="9" t="str">
        <x:v>Yes</x:v>
      </x:c>
      <x:c r="Q72" s="15" t="n">
        <x:v>14</x:v>
      </x:c>
      <x:c r="R72" s="13" t="n">
        <x:f>J72+Q72/1440</x:f>
        <x:v>46300.36319444445</x:v>
      </x:c>
      <x:c r="S72" s="2" t="str">
        <x:f>VLOOKUP(C72,'MES orders'!$A$8:$H$127,6,FALSE)</x:f>
        <x:v>High</x:v>
      </x:c>
      <x:c r="T72" s="9" t="str"/>
    </x:row>
    <x:row r="73" ht="22" customHeight="1">
      <x:c r="A73" s="2" t="str">
        <x:v>L00285-040</x:v>
      </x:c>
      <x:c r="B73" s="2" t="str">
        <x:v>L00285</x:v>
      </x:c>
      <x:c r="C73" s="2" t="str">
        <x:v>SO-26057</x:v>
      </x:c>
      <x:c r="D73" s="2" t="str">
        <x:v>S-S-AL</x:v>
      </x:c>
      <x:c r="E73" s="14" t="n">
        <x:v>5</x:v>
      </x:c>
      <x:c r="F73" s="2" t="str">
        <x:v>Mechanical preassembly</x:v>
      </x:c>
      <x:c r="G73" s="9" t="str">
        <x:v>AS-02</x:v>
      </x:c>
      <x:c r="H73" s="15" t="n">
        <x:v>5</x:v>
      </x:c>
      <x:c r="I73" s="9" t="str">
        <x:v>P04</x:v>
      </x:c>
      <x:c r="J73" s="11" t="n">
        <x:v>46300.356944444444</x:v>
      </x:c>
      <x:c r="K73" s="15" t="n">
        <x:v>6</x:v>
      </x:c>
      <x:c r="L73" s="15" t="n">
        <x:v>6</x:v>
      </x:c>
      <x:c r="M73" s="13" t="n">
        <x:f>J73+(K73+L73)/1440</x:f>
        <x:v>46300.365277777775</x:v>
      </x:c>
      <x:c r="N73" s="13" t="n">
        <x:f>VLOOKUP(C73,'MES orders'!$A$8:$H$127,5,FALSE)</x:f>
        <x:v>46302.666666666664</x:v>
      </x:c>
      <x:c r="O73" s="16" t="n">
        <x:f>MAX(0,(M73-N73)*24)</x:f>
        <x:v>0</x:v>
      </x:c>
      <x:c r="P73" s="9" t="str">
        <x:v>Yes</x:v>
      </x:c>
      <x:c r="Q73" s="15" t="n">
        <x:v>12</x:v>
      </x:c>
      <x:c r="R73" s="13" t="n">
        <x:f>J73+Q73/1440</x:f>
        <x:v>46300.365277777775</x:v>
      </x:c>
      <x:c r="S73" s="2" t="str">
        <x:f>VLOOKUP(C73,'MES orders'!$A$8:$H$127,6,FALSE)</x:f>
        <x:v>High</x:v>
      </x:c>
      <x:c r="T73" s="9" t="str"/>
    </x:row>
    <x:row r="74" ht="22" customHeight="1">
      <x:c r="A74" s="2" t="str">
        <x:v>L00043-040</x:v>
      </x:c>
      <x:c r="B74" s="2" t="str">
        <x:v>L00043</x:v>
      </x:c>
      <x:c r="C74" s="2" t="str">
        <x:v>SO-26009</x:v>
      </x:c>
      <x:c r="D74" s="2" t="str">
        <x:v>D-S-AL</x:v>
      </x:c>
      <x:c r="E74" s="14" t="n">
        <x:v>5</x:v>
      </x:c>
      <x:c r="F74" s="2" t="str">
        <x:v>Mechanical assembly</x:v>
      </x:c>
      <x:c r="G74" s="9" t="str">
        <x:v>AS-03</x:v>
      </x:c>
      <x:c r="H74" s="15" t="n">
        <x:v>2</x:v>
      </x:c>
      <x:c r="I74" s="9" t="str">
        <x:v>P03</x:v>
      </x:c>
      <x:c r="J74" s="11" t="n">
        <x:v>46300.356944444444</x:v>
      </x:c>
      <x:c r="K74" s="15" t="n">
        <x:v>8</x:v>
      </x:c>
      <x:c r="L74" s="15" t="n">
        <x:v>9</x:v>
      </x:c>
      <x:c r="M74" s="13" t="n">
        <x:f>J74+(K74+L74)/1440</x:f>
        <x:v>46300.36875</x:v>
      </x:c>
      <x:c r="N74" s="13" t="n">
        <x:f>VLOOKUP(C74,'MES orders'!$A$8:$H$127,5,FALSE)</x:f>
        <x:v>46302.666666666664</x:v>
      </x:c>
      <x:c r="O74" s="16" t="n">
        <x:f>MAX(0,(M74-N74)*24)</x:f>
        <x:v>0</x:v>
      </x:c>
      <x:c r="P74" s="9" t="str">
        <x:v>Yes</x:v>
      </x:c>
      <x:c r="Q74" s="15" t="n">
        <x:v>17</x:v>
      </x:c>
      <x:c r="R74" s="13" t="n">
        <x:f>J74+Q74/1440</x:f>
        <x:v>46300.36875</x:v>
      </x:c>
      <x:c r="S74" s="2" t="str">
        <x:f>VLOOKUP(C74,'MES orders'!$A$8:$H$127,6,FALSE)</x:f>
        <x:v>Normal</x:v>
      </x:c>
      <x:c r="T74" s="9" t="str"/>
    </x:row>
    <x:row r="75" ht="22" customHeight="1">
      <x:c r="A75" s="2" t="str">
        <x:v>L00561-020</x:v>
      </x:c>
      <x:c r="B75" s="2" t="str">
        <x:v>L00561</x:v>
      </x:c>
      <x:c r="C75" s="2" t="str">
        <x:v>SO-26113</x:v>
      </x:c>
      <x:c r="D75" s="2" t="str">
        <x:v>R-L-AL</x:v>
      </x:c>
      <x:c r="E75" s="14" t="n">
        <x:v>20</x:v>
      </x:c>
      <x:c r="F75" s="2" t="str">
        <x:v>Deburr &amp; inspect</x:v>
      </x:c>
      <x:c r="G75" s="9" t="str">
        <x:v>DB-01</x:v>
      </x:c>
      <x:c r="H75" s="15" t="n">
        <x:v>9</x:v>
      </x:c>
      <x:c r="I75" s="9" t="str">
        <x:v>P06</x:v>
      </x:c>
      <x:c r="J75" s="11" t="n">
        <x:v>46300.356944444444</x:v>
      </x:c>
      <x:c r="K75" s="15" t="n">
        <x:v>4</x:v>
      </x:c>
      <x:c r="L75" s="15" t="n">
        <x:v>19</x:v>
      </x:c>
      <x:c r="M75" s="13" t="n">
        <x:f>J75+(K75+L75)/1440</x:f>
        <x:v>46300.37291666667</x:v>
      </x:c>
      <x:c r="N75" s="13" t="n">
        <x:f>VLOOKUP(C75,'MES orders'!$A$8:$H$127,5,FALSE)</x:f>
        <x:v>46302.666666666664</x:v>
      </x:c>
      <x:c r="O75" s="16" t="n">
        <x:f>MAX(0,(M75-N75)*24)</x:f>
        <x:v>0</x:v>
      </x:c>
      <x:c r="P75" s="9" t="str">
        <x:v>Yes</x:v>
      </x:c>
      <x:c r="Q75" s="15" t="n">
        <x:v>23</x:v>
      </x:c>
      <x:c r="R75" s="13" t="n">
        <x:f>J75+Q75/1440</x:f>
        <x:v>46300.37291666667</x:v>
      </x:c>
      <x:c r="S75" s="2" t="str">
        <x:f>VLOOKUP(C75,'MES orders'!$A$8:$H$127,6,FALSE)</x:f>
        <x:v>High</x:v>
      </x:c>
      <x:c r="T75" s="9" t="str"/>
    </x:row>
    <x:row r="76" ht="22" customHeight="1">
      <x:c r="A76" s="2" t="str">
        <x:v>L00044-020</x:v>
      </x:c>
      <x:c r="B76" s="2" t="str">
        <x:v>L00044</x:v>
      </x:c>
      <x:c r="C76" s="2" t="str">
        <x:v>SO-26009</x:v>
      </x:c>
      <x:c r="D76" s="2" t="str">
        <x:v>D-S-AL</x:v>
      </x:c>
      <x:c r="E76" s="14" t="n">
        <x:v>5</x:v>
      </x:c>
      <x:c r="F76" s="2" t="str">
        <x:v>Deburr &amp; inspect</x:v>
      </x:c>
      <x:c r="G76" s="9" t="str">
        <x:v>DB-02</x:v>
      </x:c>
      <x:c r="H76" s="15" t="n">
        <x:v>6</x:v>
      </x:c>
      <x:c r="I76" s="9" t="str">
        <x:v>P01</x:v>
      </x:c>
      <x:c r="J76" s="11" t="n">
        <x:v>46300.35902777778</x:v>
      </x:c>
      <x:c r="K76" s="15" t="n">
        <x:v>4</x:v>
      </x:c>
      <x:c r="L76" s="15" t="n">
        <x:v>4</x:v>
      </x:c>
      <x:c r="M76" s="13" t="n">
        <x:f>J76+(K76+L76)/1440</x:f>
        <x:v>46300.364583333336</x:v>
      </x:c>
      <x:c r="N76" s="13" t="n">
        <x:f>VLOOKUP(C76,'MES orders'!$A$8:$H$127,5,FALSE)</x:f>
        <x:v>46302.666666666664</x:v>
      </x:c>
      <x:c r="O76" s="16" t="n">
        <x:f>MAX(0,(M76-N76)*24)</x:f>
        <x:v>0</x:v>
      </x:c>
      <x:c r="P76" s="9" t="str">
        <x:v>Yes</x:v>
      </x:c>
      <x:c r="Q76" s="15" t="n">
        <x:v>8</x:v>
      </x:c>
      <x:c r="R76" s="13" t="n">
        <x:f>J76+Q76/1440</x:f>
        <x:v>46300.364583333336</x:v>
      </x:c>
      <x:c r="S76" s="2" t="str">
        <x:f>VLOOKUP(C76,'MES orders'!$A$8:$H$127,6,FALSE)</x:f>
        <x:v>Normal</x:v>
      </x:c>
      <x:c r="T76" s="9" t="str"/>
    </x:row>
    <x:row r="77" ht="22" customHeight="1">
      <x:c r="A77" s="2" t="str">
        <x:v>L00042-030</x:v>
      </x:c>
      <x:c r="B77" s="2" t="str">
        <x:v>L00042</x:v>
      </x:c>
      <x:c r="C77" s="2" t="str">
        <x:v>SO-26009</x:v>
      </x:c>
      <x:c r="D77" s="2" t="str">
        <x:v>D-S-AL</x:v>
      </x:c>
      <x:c r="E77" s="14" t="n">
        <x:v>5</x:v>
      </x:c>
      <x:c r="F77" s="2" t="str">
        <x:v>Wash &amp; dry</x:v>
      </x:c>
      <x:c r="G77" s="9" t="str">
        <x:v>WS-01</x:v>
      </x:c>
      <x:c r="H77" s="15" t="n">
        <x:v>8</x:v>
      </x:c>
      <x:c r="I77" s="9" t="str">
        <x:v>P02</x:v>
      </x:c>
      <x:c r="J77" s="11" t="n">
        <x:v>46300.35902777778</x:v>
      </x:c>
      <x:c r="K77" s="15" t="n">
        <x:v>12</x:v>
      </x:c>
      <x:c r="L77" s="15" t="n">
        <x:v>2</x:v>
      </x:c>
      <x:c r="M77" s="13" t="n">
        <x:f>J77+(K77+L77)/1440</x:f>
        <x:v>46300.36875</x:v>
      </x:c>
      <x:c r="N77" s="13" t="n">
        <x:f>VLOOKUP(C77,'MES orders'!$A$8:$H$127,5,FALSE)</x:f>
        <x:v>46302.666666666664</x:v>
      </x:c>
      <x:c r="O77" s="16" t="n">
        <x:f>MAX(0,(M77-N77)*24)</x:f>
        <x:v>0</x:v>
      </x:c>
      <x:c r="P77" s="9" t="str">
        <x:v>Yes</x:v>
      </x:c>
      <x:c r="Q77" s="15" t="n">
        <x:v>14</x:v>
      </x:c>
      <x:c r="R77" s="13" t="n">
        <x:f>J77+Q77/1440</x:f>
        <x:v>46300.36875</x:v>
      </x:c>
      <x:c r="S77" s="2" t="str">
        <x:f>VLOOKUP(C77,'MES orders'!$A$8:$H$127,6,FALSE)</x:f>
        <x:v>Normal</x:v>
      </x:c>
      <x:c r="T77" s="9" t="str"/>
    </x:row>
    <x:row r="78" ht="22" customHeight="1">
      <x:c r="A78" s="2" t="str">
        <x:v>L00282-070</x:v>
      </x:c>
      <x:c r="B78" s="2" t="str">
        <x:v>L00282</x:v>
      </x:c>
      <x:c r="C78" s="2" t="str">
        <x:v>SO-26057</x:v>
      </x:c>
      <x:c r="D78" s="2" t="str">
        <x:v>S-S-AL</x:v>
      </x:c>
      <x:c r="E78" s="14" t="n">
        <x:v>5</x:v>
      </x:c>
      <x:c r="F78" s="2" t="str">
        <x:v>Final assembly</x:v>
      </x:c>
      <x:c r="G78" s="9" t="str">
        <x:v>AS-01</x:v>
      </x:c>
      <x:c r="H78" s="15" t="n">
        <x:v>6</x:v>
      </x:c>
      <x:c r="I78" s="9" t="str">
        <x:v>P05</x:v>
      </x:c>
      <x:c r="J78" s="11" t="n">
        <x:v>46300.3625</x:v>
      </x:c>
      <x:c r="K78" s="15" t="n">
        <x:v>5</x:v>
      </x:c>
      <x:c r="L78" s="15" t="n">
        <x:v>4</x:v>
      </x:c>
      <x:c r="M78" s="13" t="n">
        <x:f>J78+(K78+L78)/1440</x:f>
        <x:v>46300.36875</x:v>
      </x:c>
      <x:c r="N78" s="13" t="n">
        <x:f>VLOOKUP(C78,'MES orders'!$A$8:$H$127,5,FALSE)</x:f>
        <x:v>46302.666666666664</x:v>
      </x:c>
      <x:c r="O78" s="16" t="n">
        <x:f>MAX(0,(M78-N78)*24)</x:f>
        <x:v>0</x:v>
      </x:c>
      <x:c r="P78" s="9" t="str">
        <x:v>Yes</x:v>
      </x:c>
      <x:c r="Q78" s="15" t="n">
        <x:v>9</x:v>
      </x:c>
      <x:c r="R78" s="13" t="n">
        <x:f>J78+Q78/1440</x:f>
        <x:v>46300.36875</x:v>
      </x:c>
      <x:c r="S78" s="2" t="str">
        <x:f>VLOOKUP(C78,'MES orders'!$A$8:$H$127,6,FALSE)</x:f>
        <x:v>High</x:v>
      </x:c>
      <x:c r="T78" s="9" t="str"/>
    </x:row>
    <x:row r="79" ht="22" customHeight="1">
      <x:c r="A79" s="2" t="str">
        <x:v>L00283-060</x:v>
      </x:c>
      <x:c r="B79" s="2" t="str">
        <x:v>L00283</x:v>
      </x:c>
      <x:c r="C79" s="2" t="str">
        <x:v>SO-26057</x:v>
      </x:c>
      <x:c r="D79" s="2" t="str">
        <x:v>S-S-AL</x:v>
      </x:c>
      <x:c r="E79" s="14" t="n">
        <x:v>5</x:v>
      </x:c>
      <x:c r="F79" s="2" t="str">
        <x:v>Sensor calibration</x:v>
      </x:c>
      <x:c r="G79" s="9" t="str">
        <x:v>CAL-01</x:v>
      </x:c>
      <x:c r="H79" s="15" t="n">
        <x:v>3</x:v>
      </x:c>
      <x:c r="I79" s="9" t="str">
        <x:v>P09</x:v>
      </x:c>
      <x:c r="J79" s="11" t="n">
        <x:v>46300.3625</x:v>
      </x:c>
      <x:c r="K79" s="15" t="n">
        <x:v>10</x:v>
      </x:c>
      <x:c r="L79" s="15" t="n">
        <x:v>6</x:v>
      </x:c>
      <x:c r="M79" s="13" t="n">
        <x:f>J79+(K79+L79)/1440</x:f>
        <x:v>46300.373611111114</x:v>
      </x:c>
      <x:c r="N79" s="13" t="n">
        <x:f>VLOOKUP(C79,'MES orders'!$A$8:$H$127,5,FALSE)</x:f>
        <x:v>46302.666666666664</x:v>
      </x:c>
      <x:c r="O79" s="16" t="n">
        <x:f>MAX(0,(M79-N79)*24)</x:f>
        <x:v>0</x:v>
      </x:c>
      <x:c r="P79" s="9" t="str">
        <x:v>Yes</x:v>
      </x:c>
      <x:c r="Q79" s="15" t="n">
        <x:v>16</x:v>
      </x:c>
      <x:c r="R79" s="13" t="n">
        <x:f>J79+Q79/1440</x:f>
        <x:v>46300.373611111114</x:v>
      </x:c>
      <x:c r="S79" s="2" t="str">
        <x:f>VLOOKUP(C79,'MES orders'!$A$8:$H$127,6,FALSE)</x:f>
        <x:v>High</x:v>
      </x:c>
      <x:c r="T79" s="9" t="str"/>
    </x:row>
    <x:row r="80" ht="22" customHeight="1">
      <x:c r="A80" s="2" t="str">
        <x:v>L00044-030</x:v>
      </x:c>
      <x:c r="B80" s="2" t="str">
        <x:v>L00044</x:v>
      </x:c>
      <x:c r="C80" s="2" t="str">
        <x:v>SO-26009</x:v>
      </x:c>
      <x:c r="D80" s="2" t="str">
        <x:v>D-S-AL</x:v>
      </x:c>
      <x:c r="E80" s="14" t="n">
        <x:v>5</x:v>
      </x:c>
      <x:c r="F80" s="2" t="str">
        <x:v>Wash &amp; dry</x:v>
      </x:c>
      <x:c r="G80" s="9" t="str">
        <x:v>WS-02</x:v>
      </x:c>
      <x:c r="H80" s="15" t="n">
        <x:v>5</x:v>
      </x:c>
      <x:c r="I80" s="9" t="str">
        <x:v>P08</x:v>
      </x:c>
      <x:c r="J80" s="11" t="n">
        <x:v>46300.364583333336</x:v>
      </x:c>
      <x:c r="K80" s="15" t="n">
        <x:v>12</x:v>
      </x:c>
      <x:c r="L80" s="15" t="n">
        <x:v>2</x:v>
      </x:c>
      <x:c r="M80" s="13" t="n">
        <x:f>J80+(K80+L80)/1440</x:f>
        <x:v>46300.37430555556</x:v>
      </x:c>
      <x:c r="N80" s="13" t="n">
        <x:f>VLOOKUP(C80,'MES orders'!$A$8:$H$127,5,FALSE)</x:f>
        <x:v>46302.666666666664</x:v>
      </x:c>
      <x:c r="O80" s="16" t="n">
        <x:f>MAX(0,(M80-N80)*24)</x:f>
        <x:v>0</x:v>
      </x:c>
      <x:c r="P80" s="9" t="str">
        <x:v>Yes</x:v>
      </x:c>
      <x:c r="Q80" s="15" t="n">
        <x:v>14</x:v>
      </x:c>
      <x:c r="R80" s="13" t="n">
        <x:f>J80+Q80/1440</x:f>
        <x:v>46300.37430555556</x:v>
      </x:c>
      <x:c r="S80" s="2" t="str">
        <x:f>VLOOKUP(C80,'MES orders'!$A$8:$H$127,6,FALSE)</x:f>
        <x:v>Normal</x:v>
      </x:c>
      <x:c r="T80" s="9" t="str"/>
    </x:row>
    <x:row r="81" ht="22" customHeight="1">
      <x:c r="A81" s="2" t="str">
        <x:v>L00285-050</x:v>
      </x:c>
      <x:c r="B81" s="2" t="str">
        <x:v>L00285</x:v>
      </x:c>
      <x:c r="C81" s="2" t="str">
        <x:v>SO-26057</x:v>
      </x:c>
      <x:c r="D81" s="2" t="str">
        <x:v>S-S-AL</x:v>
      </x:c>
      <x:c r="E81" s="14" t="n">
        <x:v>5</x:v>
      </x:c>
      <x:c r="F81" s="2" t="str">
        <x:v>Sensor installation</x:v>
      </x:c>
      <x:c r="G81" s="9" t="str">
        <x:v>EL-01</x:v>
      </x:c>
      <x:c r="H81" s="15" t="n">
        <x:v>4</x:v>
      </x:c>
      <x:c r="I81" s="9" t="str">
        <x:v>P07</x:v>
      </x:c>
      <x:c r="J81" s="11" t="n">
        <x:v>46300.365277777775</x:v>
      </x:c>
      <x:c r="K81" s="15" t="n">
        <x:v>8</x:v>
      </x:c>
      <x:c r="L81" s="15" t="n">
        <x:v>6</x:v>
      </x:c>
      <x:c r="M81" s="13" t="n">
        <x:f>J81+(K81+L81)/1440</x:f>
        <x:v>46300.375</x:v>
      </x:c>
      <x:c r="N81" s="13" t="n">
        <x:f>VLOOKUP(C81,'MES orders'!$A$8:$H$127,5,FALSE)</x:f>
        <x:v>46302.666666666664</x:v>
      </x:c>
      <x:c r="O81" s="16" t="n">
        <x:f>MAX(0,(M81-N81)*24)</x:f>
        <x:v>0</x:v>
      </x:c>
      <x:c r="P81" s="9" t="str">
        <x:v>Yes</x:v>
      </x:c>
      <x:c r="Q81" s="15" t="n">
        <x:v>14</x:v>
      </x:c>
      <x:c r="R81" s="13" t="n">
        <x:f>J81+Q81/1440</x:f>
        <x:v>46300.375</x:v>
      </x:c>
      <x:c r="S81" s="2" t="str">
        <x:f>VLOOKUP(C81,'MES orders'!$A$8:$H$127,6,FALSE)</x:f>
        <x:v>High</x:v>
      </x:c>
      <x:c r="T81" s="9" t="str"/>
    </x:row>
    <x:row r="82" ht="22" customHeight="1">
      <x:c r="A82" s="2" t="str">
        <x:v>L00564-020</x:v>
      </x:c>
      <x:c r="B82" s="2" t="str">
        <x:v>L00564</x:v>
      </x:c>
      <x:c r="C82" s="2" t="str">
        <x:v>SO-26113</x:v>
      </x:c>
      <x:c r="D82" s="2" t="str">
        <x:v>R-L-AL</x:v>
      </x:c>
      <x:c r="E82" s="14" t="n">
        <x:v>20</x:v>
      </x:c>
      <x:c r="F82" s="2" t="str">
        <x:v>Deburr &amp; inspect</x:v>
      </x:c>
      <x:c r="G82" s="9" t="str">
        <x:v>DB-02</x:v>
      </x:c>
      <x:c r="H82" s="15" t="n">
        <x:v>7</x:v>
      </x:c>
      <x:c r="I82" s="9" t="str">
        <x:v>P01</x:v>
      </x:c>
      <x:c r="J82" s="11" t="n">
        <x:v>46300.36597222222</x:v>
      </x:c>
      <x:c r="K82" s="15" t="n">
        <x:v>4</x:v>
      </x:c>
      <x:c r="L82" s="15" t="n">
        <x:v>19</x:v>
      </x:c>
      <x:c r="M82" s="13" t="n">
        <x:f>J82+(K82+L82)/1440</x:f>
        <x:v>46300.381944444445</x:v>
      </x:c>
      <x:c r="N82" s="13" t="n">
        <x:f>VLOOKUP(C82,'MES orders'!$A$8:$H$127,5,FALSE)</x:f>
        <x:v>46302.666666666664</x:v>
      </x:c>
      <x:c r="O82" s="16" t="n">
        <x:f>MAX(0,(M82-N82)*24)</x:f>
        <x:v>0</x:v>
      </x:c>
      <x:c r="P82" s="9" t="str">
        <x:v>Yes</x:v>
      </x:c>
      <x:c r="Q82" s="15" t="n">
        <x:v>23</x:v>
      </x:c>
      <x:c r="R82" s="13" t="n">
        <x:f>J82+Q82/1440</x:f>
        <x:v>46300.381944444445</x:v>
      </x:c>
      <x:c r="S82" s="2" t="str">
        <x:f>VLOOKUP(C82,'MES orders'!$A$8:$H$127,6,FALSE)</x:f>
        <x:v>High</x:v>
      </x:c>
      <x:c r="T82" s="9" t="str"/>
    </x:row>
    <x:row r="83" ht="22" customHeight="1">
      <x:c r="A83" s="2" t="str">
        <x:v>L00045-010</x:v>
      </x:c>
      <x:c r="B83" s="2" t="str">
        <x:v>L00045</x:v>
      </x:c>
      <x:c r="C83" s="2" t="str">
        <x:v>SO-26009</x:v>
      </x:c>
      <x:c r="D83" s="2" t="str">
        <x:v>D-S-AL</x:v>
      </x:c>
      <x:c r="E83" s="14" t="n">
        <x:v>5</x:v>
      </x:c>
      <x:c r="F83" s="2" t="str">
        <x:v>CNC machining</x:v>
      </x:c>
      <x:c r="G83" s="9" t="str">
        <x:v>CNC-01</x:v>
      </x:c>
      <x:c r="H83" s="15" t="n">
        <x:v>5</x:v>
      </x:c>
      <x:c r="I83" s="9" t="str">
        <x:v>P03</x:v>
      </x:c>
      <x:c r="J83" s="11" t="n">
        <x:v>46300.36875</x:v>
      </x:c>
      <x:c r="K83" s="15" t="n">
        <x:v>18</x:v>
      </x:c>
      <x:c r="L83" s="15" t="n">
        <x:v>12</x:v>
      </x:c>
      <x:c r="M83" s="13" t="n">
        <x:f>J83+(K83+L83)/1440</x:f>
        <x:v>46300.38958333334</x:v>
      </x:c>
      <x:c r="N83" s="13" t="n">
        <x:f>VLOOKUP(C83,'MES orders'!$A$8:$H$127,5,FALSE)</x:f>
        <x:v>46302.666666666664</x:v>
      </x:c>
      <x:c r="O83" s="16" t="n">
        <x:f>MAX(0,(M83-N83)*24)</x:f>
        <x:v>0</x:v>
      </x:c>
      <x:c r="P83" s="9" t="str">
        <x:v>Yes</x:v>
      </x:c>
      <x:c r="Q83" s="15" t="n">
        <x:v>18</x:v>
      </x:c>
      <x:c r="R83" s="13" t="n">
        <x:f>J83+Q83/1440</x:f>
        <x:v>46300.38125</x:v>
      </x:c>
      <x:c r="S83" s="2" t="str">
        <x:f>VLOOKUP(C83,'MES orders'!$A$8:$H$127,6,FALSE)</x:f>
        <x:v>Normal</x:v>
      </x:c>
      <x:c r="T83" s="9" t="str"/>
    </x:row>
    <x:row r="84" ht="22" customHeight="1">
      <x:c r="A84" s="2" t="str">
        <x:v>L00043-050</x:v>
      </x:c>
      <x:c r="B84" s="2" t="str">
        <x:v>L00043</x:v>
      </x:c>
      <x:c r="C84" s="2" t="str">
        <x:v>SO-26009</x:v>
      </x:c>
      <x:c r="D84" s="2" t="str">
        <x:v>D-S-AL</x:v>
      </x:c>
      <x:c r="E84" s="14" t="n">
        <x:v>5</x:v>
      </x:c>
      <x:c r="F84" s="2" t="str">
        <x:v>Final leak / function test</x:v>
      </x:c>
      <x:c r="G84" s="9" t="str">
        <x:v>QA-01</x:v>
      </x:c>
      <x:c r="H84" s="15" t="n">
        <x:v>4</x:v>
      </x:c>
      <x:c r="I84" s="9" t="str">
        <x:v>P12</x:v>
      </x:c>
      <x:c r="J84" s="11" t="n">
        <x:v>46300.36875</x:v>
      </x:c>
      <x:c r="K84" s="15" t="n">
        <x:v>10</x:v>
      </x:c>
      <x:c r="L84" s="15" t="n">
        <x:v>4</x:v>
      </x:c>
      <x:c r="M84" s="13" t="n">
        <x:f>J84+(K84+L84)/1440</x:f>
        <x:v>46300.378472222226</x:v>
      </x:c>
      <x:c r="N84" s="13" t="n">
        <x:f>VLOOKUP(C84,'MES orders'!$A$8:$H$127,5,FALSE)</x:f>
        <x:v>46302.666666666664</x:v>
      </x:c>
      <x:c r="O84" s="16" t="n">
        <x:f>MAX(0,(M84-N84)*24)</x:f>
        <x:v>0</x:v>
      </x:c>
      <x:c r="P84" s="9" t="str">
        <x:v>Yes</x:v>
      </x:c>
      <x:c r="Q84" s="15" t="n">
        <x:v>14</x:v>
      </x:c>
      <x:c r="R84" s="13" t="n">
        <x:f>J84+Q84/1440</x:f>
        <x:v>46300.378472222226</x:v>
      </x:c>
      <x:c r="S84" s="2" t="str">
        <x:f>VLOOKUP(C84,'MES orders'!$A$8:$H$127,6,FALSE)</x:f>
        <x:v>Normal</x:v>
      </x:c>
      <x:c r="T84" s="9" t="str"/>
    </x:row>
    <x:row r="85" ht="22" customHeight="1">
      <x:c r="A85" s="2" t="str">
        <x:v>L00282-080</x:v>
      </x:c>
      <x:c r="B85" s="2" t="str">
        <x:v>L00282</x:v>
      </x:c>
      <x:c r="C85" s="2" t="str">
        <x:v>SO-26057</x:v>
      </x:c>
      <x:c r="D85" s="2" t="str">
        <x:v>S-S-AL</x:v>
      </x:c>
      <x:c r="E85" s="14" t="n">
        <x:v>5</x:v>
      </x:c>
      <x:c r="F85" s="2" t="str">
        <x:v>Final leak / function test</x:v>
      </x:c>
      <x:c r="G85" s="9" t="str">
        <x:v>QA-02</x:v>
      </x:c>
      <x:c r="H85" s="15" t="n">
        <x:v>4</x:v>
      </x:c>
      <x:c r="I85" s="9" t="str">
        <x:v>P11</x:v>
      </x:c>
      <x:c r="J85" s="11" t="n">
        <x:v>46300.36875</x:v>
      </x:c>
      <x:c r="K85" s="15" t="n">
        <x:v>10</x:v>
      </x:c>
      <x:c r="L85" s="15" t="n">
        <x:v>4</x:v>
      </x:c>
      <x:c r="M85" s="13" t="n">
        <x:f>J85+(K85+L85)/1440</x:f>
        <x:v>46300.378472222226</x:v>
      </x:c>
      <x:c r="N85" s="13" t="n">
        <x:f>VLOOKUP(C85,'MES orders'!$A$8:$H$127,5,FALSE)</x:f>
        <x:v>46302.666666666664</x:v>
      </x:c>
      <x:c r="O85" s="16" t="n">
        <x:f>MAX(0,(M85-N85)*24)</x:f>
        <x:v>0</x:v>
      </x:c>
      <x:c r="P85" s="9" t="str">
        <x:v>Yes</x:v>
      </x:c>
      <x:c r="Q85" s="15" t="n">
        <x:v>14</x:v>
      </x:c>
      <x:c r="R85" s="13" t="n">
        <x:f>J85+Q85/1440</x:f>
        <x:v>46300.378472222226</x:v>
      </x:c>
      <x:c r="S85" s="2" t="str">
        <x:f>VLOOKUP(C85,'MES orders'!$A$8:$H$127,6,FALSE)</x:f>
        <x:v>High</x:v>
      </x:c>
      <x:c r="T85" s="9" t="str"/>
    </x:row>
    <x:row r="86" ht="22" customHeight="1">
      <x:c r="A86" s="2" t="str">
        <x:v>L00562-020</x:v>
      </x:c>
      <x:c r="B86" s="2" t="str">
        <x:v>L00562</x:v>
      </x:c>
      <x:c r="C86" s="2" t="str">
        <x:v>SO-26113</x:v>
      </x:c>
      <x:c r="D86" s="2" t="str">
        <x:v>R-L-AL</x:v>
      </x:c>
      <x:c r="E86" s="14" t="n">
        <x:v>20</x:v>
      </x:c>
      <x:c r="F86" s="2" t="str">
        <x:v>Deburr &amp; inspect</x:v>
      </x:c>
      <x:c r="G86" s="9" t="str">
        <x:v>DB-01</x:v>
      </x:c>
      <x:c r="H86" s="15" t="n">
        <x:v>10</x:v>
      </x:c>
      <x:c r="I86" s="9" t="str">
        <x:v>P06</x:v>
      </x:c>
      <x:c r="J86" s="11" t="n">
        <x:v>46300.37291666667</x:v>
      </x:c>
      <x:c r="K86" s="15" t="n">
        <x:v>4</x:v>
      </x:c>
      <x:c r="L86" s="15" t="n">
        <x:v>19</x:v>
      </x:c>
      <x:c r="M86" s="13" t="n">
        <x:f>J86+(K86+L86)/1440</x:f>
        <x:v>46300.38888888889</x:v>
      </x:c>
      <x:c r="N86" s="13" t="n">
        <x:f>VLOOKUP(C86,'MES orders'!$A$8:$H$127,5,FALSE)</x:f>
        <x:v>46302.666666666664</x:v>
      </x:c>
      <x:c r="O86" s="16" t="n">
        <x:f>MAX(0,(M86-N86)*24)</x:f>
        <x:v>0</x:v>
      </x:c>
      <x:c r="P86" s="9" t="str">
        <x:v>Yes</x:v>
      </x:c>
      <x:c r="Q86" s="15" t="n">
        <x:v>23</x:v>
      </x:c>
      <x:c r="R86" s="13" t="n">
        <x:f>J86+Q86/1440</x:f>
        <x:v>46300.38888888889</x:v>
      </x:c>
      <x:c r="S86" s="2" t="str">
        <x:f>VLOOKUP(C86,'MES orders'!$A$8:$H$127,6,FALSE)</x:f>
        <x:v>High</x:v>
      </x:c>
      <x:c r="T86" s="9" t="str"/>
    </x:row>
    <x:row r="87" ht="22" customHeight="1">
      <x:c r="A87" s="2" t="str">
        <x:v>L00561-030</x:v>
      </x:c>
      <x:c r="B87" s="2" t="str">
        <x:v>L00561</x:v>
      </x:c>
      <x:c r="C87" s="2" t="str">
        <x:v>SO-26113</x:v>
      </x:c>
      <x:c r="D87" s="2" t="str">
        <x:v>R-L-AL</x:v>
      </x:c>
      <x:c r="E87" s="14" t="n">
        <x:v>20</x:v>
      </x:c>
      <x:c r="F87" s="2" t="str">
        <x:v>Wash &amp; dry</x:v>
      </x:c>
      <x:c r="G87" s="9" t="str">
        <x:v>WS-01</x:v>
      </x:c>
      <x:c r="H87" s="15" t="n">
        <x:v>9</x:v>
      </x:c>
      <x:c r="I87" s="9" t="str">
        <x:v>P04</x:v>
      </x:c>
      <x:c r="J87" s="11" t="n">
        <x:v>46300.37291666667</x:v>
      </x:c>
      <x:c r="K87" s="15" t="n">
        <x:v>12</x:v>
      </x:c>
      <x:c r="L87" s="15" t="n">
        <x:v>9</x:v>
      </x:c>
      <x:c r="M87" s="13" t="n">
        <x:f>J87+(K87+L87)/1440</x:f>
        <x:v>46300.3875</x:v>
      </x:c>
      <x:c r="N87" s="13" t="n">
        <x:f>VLOOKUP(C87,'MES orders'!$A$8:$H$127,5,FALSE)</x:f>
        <x:v>46302.666666666664</x:v>
      </x:c>
      <x:c r="O87" s="16" t="n">
        <x:f>MAX(0,(M87-N87)*24)</x:f>
        <x:v>0</x:v>
      </x:c>
      <x:c r="P87" s="9" t="str">
        <x:v>Yes</x:v>
      </x:c>
      <x:c r="Q87" s="15" t="n">
        <x:v>21</x:v>
      </x:c>
      <x:c r="R87" s="13" t="n">
        <x:f>J87+Q87/1440</x:f>
        <x:v>46300.3875</x:v>
      </x:c>
      <x:c r="S87" s="2" t="str">
        <x:f>VLOOKUP(C87,'MES orders'!$A$8:$H$127,6,FALSE)</x:f>
        <x:v>High</x:v>
      </x:c>
      <x:c r="T87" s="9" t="str"/>
    </x:row>
    <x:row r="88" ht="22" customHeight="1">
      <x:c r="A88" s="2" t="str">
        <x:v>L00283-070</x:v>
      </x:c>
      <x:c r="B88" s="2" t="str">
        <x:v>L00283</x:v>
      </x:c>
      <x:c r="C88" s="2" t="str">
        <x:v>SO-26057</x:v>
      </x:c>
      <x:c r="D88" s="2" t="str">
        <x:v>S-S-AL</x:v>
      </x:c>
      <x:c r="E88" s="14" t="n">
        <x:v>5</x:v>
      </x:c>
      <x:c r="F88" s="2" t="str">
        <x:v>Final assembly</x:v>
      </x:c>
      <x:c r="G88" s="9" t="str">
        <x:v>AS-01</x:v>
      </x:c>
      <x:c r="H88" s="15" t="n">
        <x:v>7</x:v>
      </x:c>
      <x:c r="I88" s="9" t="str">
        <x:v>P05</x:v>
      </x:c>
      <x:c r="J88" s="11" t="n">
        <x:v>46300.373611111114</x:v>
      </x:c>
      <x:c r="K88" s="15" t="n">
        <x:v>5</x:v>
      </x:c>
      <x:c r="L88" s="15" t="n">
        <x:v>4</x:v>
      </x:c>
      <x:c r="M88" s="13" t="n">
        <x:f>J88+(K88+L88)/1440</x:f>
        <x:v>46300.37986111111</x:v>
      </x:c>
      <x:c r="N88" s="13" t="n">
        <x:f>VLOOKUP(C88,'MES orders'!$A$8:$H$127,5,FALSE)</x:f>
        <x:v>46302.666666666664</x:v>
      </x:c>
      <x:c r="O88" s="16" t="n">
        <x:f>MAX(0,(M88-N88)*24)</x:f>
        <x:v>0</x:v>
      </x:c>
      <x:c r="P88" s="9" t="str">
        <x:v>Yes</x:v>
      </x:c>
      <x:c r="Q88" s="15" t="n">
        <x:v>9</x:v>
      </x:c>
      <x:c r="R88" s="13" t="n">
        <x:f>J88+Q88/1440</x:f>
        <x:v>46300.37986111111</x:v>
      </x:c>
      <x:c r="S88" s="2" t="str">
        <x:f>VLOOKUP(C88,'MES orders'!$A$8:$H$127,6,FALSE)</x:f>
        <x:v>High</x:v>
      </x:c>
      <x:c r="T88" s="9" t="str"/>
    </x:row>
    <x:row r="89" ht="22" customHeight="1">
      <x:c r="A89" s="2" t="str">
        <x:v>L00284-060</x:v>
      </x:c>
      <x:c r="B89" s="2" t="str">
        <x:v>L00284</x:v>
      </x:c>
      <x:c r="C89" s="2" t="str">
        <x:v>SO-26057</x:v>
      </x:c>
      <x:c r="D89" s="2" t="str">
        <x:v>S-S-AL</x:v>
      </x:c>
      <x:c r="E89" s="14" t="n">
        <x:v>5</x:v>
      </x:c>
      <x:c r="F89" s="2" t="str">
        <x:v>Sensor calibration</x:v>
      </x:c>
      <x:c r="G89" s="9" t="str">
        <x:v>CAL-01</x:v>
      </x:c>
      <x:c r="H89" s="15" t="n">
        <x:v>4</x:v>
      </x:c>
      <x:c r="I89" s="9" t="str">
        <x:v>P09</x:v>
      </x:c>
      <x:c r="J89" s="11" t="n">
        <x:v>46300.373611111114</x:v>
      </x:c>
      <x:c r="K89" s="15" t="n">
        <x:v>10</x:v>
      </x:c>
      <x:c r="L89" s="15" t="n">
        <x:v>6</x:v>
      </x:c>
      <x:c r="M89" s="13" t="n">
        <x:f>J89+(K89+L89)/1440</x:f>
        <x:v>46300.384722222225</x:v>
      </x:c>
      <x:c r="N89" s="13" t="n">
        <x:f>VLOOKUP(C89,'MES orders'!$A$8:$H$127,5,FALSE)</x:f>
        <x:v>46302.666666666664</x:v>
      </x:c>
      <x:c r="O89" s="16" t="n">
        <x:f>MAX(0,(M89-N89)*24)</x:f>
        <x:v>0</x:v>
      </x:c>
      <x:c r="P89" s="9" t="str">
        <x:v>Yes</x:v>
      </x:c>
      <x:c r="Q89" s="15" t="n">
        <x:v>16</x:v>
      </x:c>
      <x:c r="R89" s="13" t="n">
        <x:f>J89+Q89/1440</x:f>
        <x:v>46300.384722222225</x:v>
      </x:c>
      <x:c r="S89" s="2" t="str">
        <x:f>VLOOKUP(C89,'MES orders'!$A$8:$H$127,6,FALSE)</x:f>
        <x:v>High</x:v>
      </x:c>
      <x:c r="T89" s="9" t="str"/>
    </x:row>
    <x:row r="90" ht="22" customHeight="1">
      <x:c r="A90" s="2" t="str">
        <x:v>L00044-040</x:v>
      </x:c>
      <x:c r="B90" s="2" t="str">
        <x:v>L00044</x:v>
      </x:c>
      <x:c r="C90" s="2" t="str">
        <x:v>SO-26009</x:v>
      </x:c>
      <x:c r="D90" s="2" t="str">
        <x:v>D-S-AL</x:v>
      </x:c>
      <x:c r="E90" s="14" t="n">
        <x:v>5</x:v>
      </x:c>
      <x:c r="F90" s="2" t="str">
        <x:v>Mechanical assembly</x:v>
      </x:c>
      <x:c r="G90" s="9" t="str">
        <x:v>AS-02</x:v>
      </x:c>
      <x:c r="H90" s="15" t="n">
        <x:v>6</x:v>
      </x:c>
      <x:c r="I90" s="9" t="str">
        <x:v>P02</x:v>
      </x:c>
      <x:c r="J90" s="11" t="n">
        <x:v>46300.37430555555</x:v>
      </x:c>
      <x:c r="K90" s="15" t="n">
        <x:v>8</x:v>
      </x:c>
      <x:c r="L90" s="15" t="n">
        <x:v>9</x:v>
      </x:c>
      <x:c r="M90" s="13" t="n">
        <x:f>J90+(K90+L90)/1440</x:f>
        <x:v>46300.38611111111</x:v>
      </x:c>
      <x:c r="N90" s="13" t="n">
        <x:f>VLOOKUP(C90,'MES orders'!$A$8:$H$127,5,FALSE)</x:f>
        <x:v>46302.666666666664</x:v>
      </x:c>
      <x:c r="O90" s="16" t="n">
        <x:f>MAX(0,(M90-N90)*24)</x:f>
        <x:v>0</x:v>
      </x:c>
      <x:c r="P90" s="9" t="str">
        <x:v>Yes</x:v>
      </x:c>
      <x:c r="Q90" s="15" t="n">
        <x:v>17</x:v>
      </x:c>
      <x:c r="R90" s="13" t="n">
        <x:f>J90+Q90/1440</x:f>
        <x:v>46300.38611111111</x:v>
      </x:c>
      <x:c r="S90" s="2" t="str">
        <x:f>VLOOKUP(C90,'MES orders'!$A$8:$H$127,6,FALSE)</x:f>
        <x:v>Normal</x:v>
      </x:c>
      <x:c r="T90" s="9" t="str"/>
    </x:row>
    <x:row r="91" ht="22" customHeight="1">
      <x:c r="A91" s="2" t="str">
        <x:v>L00283-080</x:v>
      </x:c>
      <x:c r="B91" s="2" t="str">
        <x:v>L00283</x:v>
      </x:c>
      <x:c r="C91" s="2" t="str">
        <x:v>SO-26057</x:v>
      </x:c>
      <x:c r="D91" s="2" t="str">
        <x:v>S-S-AL</x:v>
      </x:c>
      <x:c r="E91" s="14" t="n">
        <x:v>5</x:v>
      </x:c>
      <x:c r="F91" s="2" t="str">
        <x:v>Final leak / function test</x:v>
      </x:c>
      <x:c r="G91" s="9" t="str">
        <x:v>QA-02</x:v>
      </x:c>
      <x:c r="H91" s="15" t="n">
        <x:v>5</x:v>
      </x:c>
      <x:c r="I91" s="9" t="str">
        <x:v>P11</x:v>
      </x:c>
      <x:c r="J91" s="11" t="n">
        <x:v>46300.37986111111</x:v>
      </x:c>
      <x:c r="K91" s="15" t="n">
        <x:v>10</x:v>
      </x:c>
      <x:c r="L91" s="15" t="n">
        <x:v>4</x:v>
      </x:c>
      <x:c r="M91" s="13" t="n">
        <x:f>J91+(K91+L91)/1440</x:f>
        <x:v>46300.38958333334</x:v>
      </x:c>
      <x:c r="N91" s="13" t="n">
        <x:f>VLOOKUP(C91,'MES orders'!$A$8:$H$127,5,FALSE)</x:f>
        <x:v>46302.666666666664</x:v>
      </x:c>
      <x:c r="O91" s="16" t="n">
        <x:f>MAX(0,(M91-N91)*24)</x:f>
        <x:v>0</x:v>
      </x:c>
      <x:c r="P91" s="9" t="str">
        <x:v>Yes</x:v>
      </x:c>
      <x:c r="Q91" s="15" t="n">
        <x:v>14</x:v>
      </x:c>
      <x:c r="R91" s="13" t="n">
        <x:f>J91+Q91/1440</x:f>
        <x:v>46300.38958333334</x:v>
      </x:c>
      <x:c r="S91" s="2" t="str">
        <x:f>VLOOKUP(C91,'MES orders'!$A$8:$H$127,6,FALSE)</x:f>
        <x:v>High</x:v>
      </x:c>
      <x:c r="T91" s="9" t="str"/>
    </x:row>
    <x:row r="92" ht="22" customHeight="1">
      <x:c r="A92" s="2" t="str">
        <x:v>L00081-010</x:v>
      </x:c>
      <x:c r="B92" s="2" t="str">
        <x:v>L00081</x:v>
      </x:c>
      <x:c r="C92" s="2" t="str">
        <x:v>SO-26017</x:v>
      </x:c>
      <x:c r="D92" s="2" t="str">
        <x:v>D-L-AL</x:v>
      </x:c>
      <x:c r="E92" s="14" t="n">
        <x:v>25</x:v>
      </x:c>
      <x:c r="F92" s="2" t="str">
        <x:v>CNC machining</x:v>
      </x:c>
      <x:c r="G92" s="9" t="str">
        <x:v>CNC-03</x:v>
      </x:c>
      <x:c r="H92" s="15" t="n">
        <x:v>4</x:v>
      </x:c>
      <x:c r="I92" s="9" t="str">
        <x:v>P03</x:v>
      </x:c>
      <x:c r="J92" s="11" t="n">
        <x:v>46300.38125</x:v>
      </x:c>
      <x:c r="K92" s="15" t="n">
        <x:v>18</x:v>
      </x:c>
      <x:c r="L92" s="15" t="n">
        <x:v>81</x:v>
      </x:c>
      <x:c r="M92" s="13" t="n">
        <x:f>J92+(K92+L92)/1440</x:f>
        <x:v>46300.45</x:v>
      </x:c>
      <x:c r="N92" s="13" t="n">
        <x:f>VLOOKUP(C92,'MES orders'!$A$8:$H$127,5,FALSE)</x:f>
        <x:v>46302.666666666664</x:v>
      </x:c>
      <x:c r="O92" s="16" t="n">
        <x:f>MAX(0,(M92-N92)*24)</x:f>
        <x:v>0</x:v>
      </x:c>
      <x:c r="P92" s="9" t="str">
        <x:v>Yes</x:v>
      </x:c>
      <x:c r="Q92" s="15" t="n">
        <x:v>18</x:v>
      </x:c>
      <x:c r="R92" s="13" t="n">
        <x:f>J92+Q92/1440</x:f>
        <x:v>46300.393749999996</x:v>
      </x:c>
      <x:c r="S92" s="2" t="str">
        <x:f>VLOOKUP(C92,'MES orders'!$A$8:$H$127,6,FALSE)</x:f>
        <x:v>Normal</x:v>
      </x:c>
      <x:c r="T92" s="9" t="str"/>
    </x:row>
    <x:row r="93" ht="22" customHeight="1">
      <x:c r="A93" s="2" t="str">
        <x:v>L00082-010</x:v>
      </x:c>
      <x:c r="B93" s="2" t="str">
        <x:v>L00082</x:v>
      </x:c>
      <x:c r="C93" s="2" t="str">
        <x:v>SO-26017</x:v>
      </x:c>
      <x:c r="D93" s="2" t="str">
        <x:v>D-L-AL</x:v>
      </x:c>
      <x:c r="E93" s="14" t="n">
        <x:v>25</x:v>
      </x:c>
      <x:c r="F93" s="2" t="str">
        <x:v>CNC machining</x:v>
      </x:c>
      <x:c r="G93" s="9" t="str">
        <x:v>CNC-04</x:v>
      </x:c>
      <x:c r="H93" s="15" t="n">
        <x:v>4</x:v>
      </x:c>
      <x:c r="I93" s="9" t="str">
        <x:v>P01</x:v>
      </x:c>
      <x:c r="J93" s="11" t="n">
        <x:v>46300.381944444445</x:v>
      </x:c>
      <x:c r="K93" s="15" t="n">
        <x:v>18</x:v>
      </x:c>
      <x:c r="L93" s="15" t="n">
        <x:v>81</x:v>
      </x:c>
      <x:c r="M93" s="13" t="n">
        <x:f>J93+(K93+L93)/1440</x:f>
        <x:v>46300.450694444444</x:v>
      </x:c>
      <x:c r="N93" s="13" t="n">
        <x:f>VLOOKUP(C93,'MES orders'!$A$8:$H$127,5,FALSE)</x:f>
        <x:v>46302.666666666664</x:v>
      </x:c>
      <x:c r="O93" s="16" t="n">
        <x:f>MAX(0,(M93-N93)*24)</x:f>
        <x:v>0</x:v>
      </x:c>
      <x:c r="P93" s="9" t="str">
        <x:v>Yes</x:v>
      </x:c>
      <x:c r="Q93" s="15" t="n">
        <x:v>18</x:v>
      </x:c>
      <x:c r="R93" s="13" t="n">
        <x:f>J93+Q93/1440</x:f>
        <x:v>46300.39444444444</x:v>
      </x:c>
      <x:c r="S93" s="2" t="str">
        <x:f>VLOOKUP(C93,'MES orders'!$A$8:$H$127,6,FALSE)</x:f>
        <x:v>Normal</x:v>
      </x:c>
      <x:c r="T93" s="9" t="str"/>
    </x:row>
    <x:row r="94" ht="22" customHeight="1">
      <x:c r="A94" s="2" t="str">
        <x:v>L00284-070</x:v>
      </x:c>
      <x:c r="B94" s="2" t="str">
        <x:v>L00284</x:v>
      </x:c>
      <x:c r="C94" s="2" t="str">
        <x:v>SO-26057</x:v>
      </x:c>
      <x:c r="D94" s="2" t="str">
        <x:v>S-S-AL</x:v>
      </x:c>
      <x:c r="E94" s="14" t="n">
        <x:v>5</x:v>
      </x:c>
      <x:c r="F94" s="2" t="str">
        <x:v>Final assembly</x:v>
      </x:c>
      <x:c r="G94" s="9" t="str">
        <x:v>AS-01</x:v>
      </x:c>
      <x:c r="H94" s="15" t="n">
        <x:v>8</x:v>
      </x:c>
      <x:c r="I94" s="9" t="str">
        <x:v>P05</x:v>
      </x:c>
      <x:c r="J94" s="11" t="n">
        <x:v>46300.384722222225</x:v>
      </x:c>
      <x:c r="K94" s="15" t="n">
        <x:v>5</x:v>
      </x:c>
      <x:c r="L94" s="15" t="n">
        <x:v>4</x:v>
      </x:c>
      <x:c r="M94" s="13" t="n">
        <x:f>J94+(K94+L94)/1440</x:f>
        <x:v>46300.39097222222</x:v>
      </x:c>
      <x:c r="N94" s="13" t="n">
        <x:f>VLOOKUP(C94,'MES orders'!$A$8:$H$127,5,FALSE)</x:f>
        <x:v>46302.666666666664</x:v>
      </x:c>
      <x:c r="O94" s="16" t="n">
        <x:f>MAX(0,(M94-N94)*24)</x:f>
        <x:v>0</x:v>
      </x:c>
      <x:c r="P94" s="9" t="str">
        <x:v>Yes</x:v>
      </x:c>
      <x:c r="Q94" s="15" t="n">
        <x:v>9</x:v>
      </x:c>
      <x:c r="R94" s="13" t="n">
        <x:f>J94+Q94/1440</x:f>
        <x:v>46300.39097222222</x:v>
      </x:c>
      <x:c r="S94" s="2" t="str">
        <x:f>VLOOKUP(C94,'MES orders'!$A$8:$H$127,6,FALSE)</x:f>
        <x:v>High</x:v>
      </x:c>
      <x:c r="T94" s="9" t="str"/>
    </x:row>
    <x:row r="95" ht="22" customHeight="1">
      <x:c r="A95" s="2" t="str">
        <x:v>L00285-060</x:v>
      </x:c>
      <x:c r="B95" s="2" t="str">
        <x:v>L00285</x:v>
      </x:c>
      <x:c r="C95" s="2" t="str">
        <x:v>SO-26057</x:v>
      </x:c>
      <x:c r="D95" s="2" t="str">
        <x:v>S-S-AL</x:v>
      </x:c>
      <x:c r="E95" s="14" t="n">
        <x:v>5</x:v>
      </x:c>
      <x:c r="F95" s="2" t="str">
        <x:v>Sensor calibration</x:v>
      </x:c>
      <x:c r="G95" s="9" t="str">
        <x:v>CAL-01</x:v>
      </x:c>
      <x:c r="H95" s="15" t="n">
        <x:v>5</x:v>
      </x:c>
      <x:c r="I95" s="9" t="str">
        <x:v>P09</x:v>
      </x:c>
      <x:c r="J95" s="11" t="n">
        <x:v>46300.384722222225</x:v>
      </x:c>
      <x:c r="K95" s="15" t="n">
        <x:v>10</x:v>
      </x:c>
      <x:c r="L95" s="15" t="n">
        <x:v>6</x:v>
      </x:c>
      <x:c r="M95" s="13" t="n">
        <x:f>J95+(K95+L95)/1440</x:f>
        <x:v>46300.395833333336</x:v>
      </x:c>
      <x:c r="N95" s="13" t="n">
        <x:f>VLOOKUP(C95,'MES orders'!$A$8:$H$127,5,FALSE)</x:f>
        <x:v>46302.666666666664</x:v>
      </x:c>
      <x:c r="O95" s="16" t="n">
        <x:f>MAX(0,(M95-N95)*24)</x:f>
        <x:v>0</x:v>
      </x:c>
      <x:c r="P95" s="9" t="str">
        <x:v>Yes</x:v>
      </x:c>
      <x:c r="Q95" s="15" t="n">
        <x:v>16</x:v>
      </x:c>
      <x:c r="R95" s="13" t="n">
        <x:f>J95+Q95/1440</x:f>
        <x:v>46300.395833333336</x:v>
      </x:c>
      <x:c r="S95" s="2" t="str">
        <x:f>VLOOKUP(C95,'MES orders'!$A$8:$H$127,6,FALSE)</x:f>
        <x:v>High</x:v>
      </x:c>
      <x:c r="T95" s="9" t="str"/>
    </x:row>
    <x:row r="96" ht="22" customHeight="1">
      <x:c r="A96" s="2" t="str">
        <x:v>L00083-010</x:v>
      </x:c>
      <x:c r="B96" s="2" t="str">
        <x:v>L00083</x:v>
      </x:c>
      <x:c r="C96" s="2" t="str">
        <x:v>SO-26017</x:v>
      </x:c>
      <x:c r="D96" s="2" t="str">
        <x:v>D-L-AL</x:v>
      </x:c>
      <x:c r="E96" s="14" t="n">
        <x:v>25</x:v>
      </x:c>
      <x:c r="F96" s="2" t="str">
        <x:v>CNC machining</x:v>
      </x:c>
      <x:c r="G96" s="9" t="str">
        <x:v>CNC-06</x:v>
      </x:c>
      <x:c r="H96" s="15" t="n">
        <x:v>3</x:v>
      </x:c>
      <x:c r="I96" s="9" t="str">
        <x:v>P02</x:v>
      </x:c>
      <x:c r="J96" s="11" t="n">
        <x:v>46300.38611111111</x:v>
      </x:c>
      <x:c r="K96" s="15" t="n">
        <x:v>18</x:v>
      </x:c>
      <x:c r="L96" s="15" t="n">
        <x:v>81</x:v>
      </x:c>
      <x:c r="M96" s="13" t="n">
        <x:f>J96+(K96+L96)/1440</x:f>
        <x:v>46300.45486111111</x:v>
      </x:c>
      <x:c r="N96" s="13" t="n">
        <x:f>VLOOKUP(C96,'MES orders'!$A$8:$H$127,5,FALSE)</x:f>
        <x:v>46302.666666666664</x:v>
      </x:c>
      <x:c r="O96" s="16" t="n">
        <x:f>MAX(0,(M96-N96)*24)</x:f>
        <x:v>0</x:v>
      </x:c>
      <x:c r="P96" s="9" t="str">
        <x:v>Yes</x:v>
      </x:c>
      <x:c r="Q96" s="15" t="n">
        <x:v>18</x:v>
      </x:c>
      <x:c r="R96" s="13" t="n">
        <x:f>J96+Q96/1440</x:f>
        <x:v>46300.39861111111</x:v>
      </x:c>
      <x:c r="S96" s="2" t="str">
        <x:f>VLOOKUP(C96,'MES orders'!$A$8:$H$127,6,FALSE)</x:f>
        <x:v>Normal</x:v>
      </x:c>
      <x:c r="T96" s="9" t="str"/>
    </x:row>
    <x:row r="97" ht="22" customHeight="1">
      <x:c r="A97" s="2" t="str">
        <x:v>L00044-050</x:v>
      </x:c>
      <x:c r="B97" s="2" t="str">
        <x:v>L00044</x:v>
      </x:c>
      <x:c r="C97" s="2" t="str">
        <x:v>SO-26009</x:v>
      </x:c>
      <x:c r="D97" s="2" t="str">
        <x:v>D-S-AL</x:v>
      </x:c>
      <x:c r="E97" s="14" t="n">
        <x:v>5</x:v>
      </x:c>
      <x:c r="F97" s="2" t="str">
        <x:v>Final leak / function test</x:v>
      </x:c>
      <x:c r="G97" s="9" t="str">
        <x:v>QA-01</x:v>
      </x:c>
      <x:c r="H97" s="15" t="n">
        <x:v>5</x:v>
      </x:c>
      <x:c r="I97" s="9" t="str">
        <x:v>P12</x:v>
      </x:c>
      <x:c r="J97" s="11" t="n">
        <x:v>46300.38611111111</x:v>
      </x:c>
      <x:c r="K97" s="15" t="n">
        <x:v>10</x:v>
      </x:c>
      <x:c r="L97" s="15" t="n">
        <x:v>4</x:v>
      </x:c>
      <x:c r="M97" s="13" t="n">
        <x:f>J97+(K97+L97)/1440</x:f>
        <x:v>46300.395833333336</x:v>
      </x:c>
      <x:c r="N97" s="13" t="n">
        <x:f>VLOOKUP(C97,'MES orders'!$A$8:$H$127,5,FALSE)</x:f>
        <x:v>46302.666666666664</x:v>
      </x:c>
      <x:c r="O97" s="16" t="n">
        <x:f>MAX(0,(M97-N97)*24)</x:f>
        <x:v>0</x:v>
      </x:c>
      <x:c r="P97" s="9" t="str">
        <x:v>Yes</x:v>
      </x:c>
      <x:c r="Q97" s="15" t="n">
        <x:v>14</x:v>
      </x:c>
      <x:c r="R97" s="13" t="n">
        <x:f>J97+Q97/1440</x:f>
        <x:v>46300.395833333336</x:v>
      </x:c>
      <x:c r="S97" s="2" t="str">
        <x:f>VLOOKUP(C97,'MES orders'!$A$8:$H$127,6,FALSE)</x:f>
        <x:v>Normal</x:v>
      </x:c>
      <x:c r="T97" s="9" t="str"/>
    </x:row>
    <x:row r="98" ht="22" customHeight="1">
      <x:c r="A98" s="2" t="str">
        <x:v>L00563-020</x:v>
      </x:c>
      <x:c r="B98" s="2" t="str">
        <x:v>L00563</x:v>
      </x:c>
      <x:c r="C98" s="2" t="str">
        <x:v>SO-26113</x:v>
      </x:c>
      <x:c r="D98" s="2" t="str">
        <x:v>R-L-AL</x:v>
      </x:c>
      <x:c r="E98" s="14" t="n">
        <x:v>20</x:v>
      </x:c>
      <x:c r="F98" s="2" t="str">
        <x:v>Deburr &amp; inspect</x:v>
      </x:c>
      <x:c r="G98" s="9" t="str">
        <x:v>DB-01</x:v>
      </x:c>
      <x:c r="H98" s="15" t="n">
        <x:v>11</x:v>
      </x:c>
      <x:c r="I98" s="9" t="str">
        <x:v>P06</x:v>
      </x:c>
      <x:c r="J98" s="11" t="n">
        <x:v>46300.38888888889</x:v>
      </x:c>
      <x:c r="K98" s="15" t="n">
        <x:v>4</x:v>
      </x:c>
      <x:c r="L98" s="15" t="n">
        <x:v>19</x:v>
      </x:c>
      <x:c r="M98" s="13" t="n">
        <x:f>J98+(K98+L98)/1440</x:f>
        <x:v>46300.404861111114</x:v>
      </x:c>
      <x:c r="N98" s="13" t="n">
        <x:f>VLOOKUP(C98,'MES orders'!$A$8:$H$127,5,FALSE)</x:f>
        <x:v>46302.666666666664</x:v>
      </x:c>
      <x:c r="O98" s="16" t="n">
        <x:f>MAX(0,(M98-N98)*24)</x:f>
        <x:v>0</x:v>
      </x:c>
      <x:c r="P98" s="9" t="str">
        <x:v>Yes</x:v>
      </x:c>
      <x:c r="Q98" s="15" t="n">
        <x:v>23</x:v>
      </x:c>
      <x:c r="R98" s="13" t="n">
        <x:f>J98+Q98/1440</x:f>
        <x:v>46300.404861111114</x:v>
      </x:c>
      <x:c r="S98" s="2" t="str">
        <x:f>VLOOKUP(C98,'MES orders'!$A$8:$H$127,6,FALSE)</x:f>
        <x:v>High</x:v>
      </x:c>
      <x:c r="T98" s="9" t="str"/>
    </x:row>
    <x:row r="99" ht="22" customHeight="1">
      <x:c r="A99" s="2" t="str">
        <x:v>L00562-030</x:v>
      </x:c>
      <x:c r="B99" s="2" t="str">
        <x:v>L00562</x:v>
      </x:c>
      <x:c r="C99" s="2" t="str">
        <x:v>SO-26113</x:v>
      </x:c>
      <x:c r="D99" s="2" t="str">
        <x:v>R-L-AL</x:v>
      </x:c>
      <x:c r="E99" s="14" t="n">
        <x:v>20</x:v>
      </x:c>
      <x:c r="F99" s="2" t="str">
        <x:v>Wash &amp; dry</x:v>
      </x:c>
      <x:c r="G99" s="9" t="str">
        <x:v>WS-01</x:v>
      </x:c>
      <x:c r="H99" s="15" t="n">
        <x:v>10</x:v>
      </x:c>
      <x:c r="I99" s="9" t="str">
        <x:v>P04</x:v>
      </x:c>
      <x:c r="J99" s="11" t="n">
        <x:v>46300.38888888889</x:v>
      </x:c>
      <x:c r="K99" s="15" t="n">
        <x:v>12</x:v>
      </x:c>
      <x:c r="L99" s="15" t="n">
        <x:v>9</x:v>
      </x:c>
      <x:c r="M99" s="13" t="n">
        <x:f>J99+(K99+L99)/1440</x:f>
        <x:v>46300.40347222222</x:v>
      </x:c>
      <x:c r="N99" s="13" t="n">
        <x:f>VLOOKUP(C99,'MES orders'!$A$8:$H$127,5,FALSE)</x:f>
        <x:v>46302.666666666664</x:v>
      </x:c>
      <x:c r="O99" s="16" t="n">
        <x:f>MAX(0,(M99-N99)*24)</x:f>
        <x:v>0</x:v>
      </x:c>
      <x:c r="P99" s="9" t="str">
        <x:v>Yes</x:v>
      </x:c>
      <x:c r="Q99" s="15" t="n">
        <x:v>21</x:v>
      </x:c>
      <x:c r="R99" s="13" t="n">
        <x:f>J99+Q99/1440</x:f>
        <x:v>46300.40347222222</x:v>
      </x:c>
      <x:c r="S99" s="2" t="str">
        <x:f>VLOOKUP(C99,'MES orders'!$A$8:$H$127,6,FALSE)</x:f>
        <x:v>High</x:v>
      </x:c>
      <x:c r="T99" s="9" t="str"/>
    </x:row>
    <x:row r="100" ht="22" customHeight="1">
      <x:c r="A100" s="2" t="str">
        <x:v>L00284-080</x:v>
      </x:c>
      <x:c r="B100" s="2" t="str">
        <x:v>L00284</x:v>
      </x:c>
      <x:c r="C100" s="2" t="str">
        <x:v>SO-26057</x:v>
      </x:c>
      <x:c r="D100" s="2" t="str">
        <x:v>S-S-AL</x:v>
      </x:c>
      <x:c r="E100" s="14" t="n">
        <x:v>5</x:v>
      </x:c>
      <x:c r="F100" s="2" t="str">
        <x:v>Final leak / function test</x:v>
      </x:c>
      <x:c r="G100" s="9" t="str">
        <x:v>QA-02</x:v>
      </x:c>
      <x:c r="H100" s="15" t="n">
        <x:v>6</x:v>
      </x:c>
      <x:c r="I100" s="9" t="str">
        <x:v>P11</x:v>
      </x:c>
      <x:c r="J100" s="11" t="n">
        <x:v>46300.39097222222</x:v>
      </x:c>
      <x:c r="K100" s="15" t="n">
        <x:v>10</x:v>
      </x:c>
      <x:c r="L100" s="15" t="n">
        <x:v>4</x:v>
      </x:c>
      <x:c r="M100" s="13" t="n">
        <x:f>J100+(K100+L100)/1440</x:f>
        <x:v>46300.40069444445</x:v>
      </x:c>
      <x:c r="N100" s="13" t="n">
        <x:f>VLOOKUP(C100,'MES orders'!$A$8:$H$127,5,FALSE)</x:f>
        <x:v>46302.666666666664</x:v>
      </x:c>
      <x:c r="O100" s="16" t="n">
        <x:f>MAX(0,(M100-N100)*24)</x:f>
        <x:v>0</x:v>
      </x:c>
      <x:c r="P100" s="9" t="str">
        <x:v>Yes</x:v>
      </x:c>
      <x:c r="Q100" s="15" t="n">
        <x:v>14</x:v>
      </x:c>
      <x:c r="R100" s="13" t="n">
        <x:f>J100+Q100/1440</x:f>
        <x:v>46300.40069444445</x:v>
      </x:c>
      <x:c r="S100" s="2" t="str">
        <x:f>VLOOKUP(C100,'MES orders'!$A$8:$H$127,6,FALSE)</x:f>
        <x:v>High</x:v>
      </x:c>
      <x:c r="T100" s="9" t="str"/>
    </x:row>
    <x:row r="101" ht="22" customHeight="1">
      <x:c r="A101" s="2" t="str">
        <x:v>L00121-010</x:v>
      </x:c>
      <x:c r="B101" s="2" t="str">
        <x:v>L00121</x:v>
      </x:c>
      <x:c r="C101" s="2" t="str">
        <x:v>SO-26025</x:v>
      </x:c>
      <x:c r="D101" s="2" t="str">
        <x:v>R-C-AL</x:v>
      </x:c>
      <x:c r="E101" s="14" t="n">
        <x:v>20</x:v>
      </x:c>
      <x:c r="F101" s="2" t="str">
        <x:v>CNC machining</x:v>
      </x:c>
      <x:c r="G101" s="9" t="str">
        <x:v>CNC-01</x:v>
      </x:c>
      <x:c r="H101" s="15" t="n">
        <x:v>6</x:v>
      </x:c>
      <x:c r="I101" s="9" t="str">
        <x:v>P03</x:v>
      </x:c>
      <x:c r="J101" s="11" t="n">
        <x:v>46300.39375</x:v>
      </x:c>
      <x:c r="K101" s="15" t="n">
        <x:v>18</x:v>
      </x:c>
      <x:c r="L101" s="15" t="n">
        <x:v>38</x:v>
      </x:c>
      <x:c r="M101" s="13" t="n">
        <x:f>J101+(K101+L101)/1440</x:f>
        <x:v>46300.432638888895</x:v>
      </x:c>
      <x:c r="N101" s="13" t="n">
        <x:f>VLOOKUP(C101,'MES orders'!$A$8:$H$127,5,FALSE)</x:f>
        <x:v>46302.666666666664</x:v>
      </x:c>
      <x:c r="O101" s="16" t="n">
        <x:f>MAX(0,(M101-N101)*24)</x:f>
        <x:v>0</x:v>
      </x:c>
      <x:c r="P101" s="9" t="str">
        <x:v>Yes</x:v>
      </x:c>
      <x:c r="Q101" s="15" t="n">
        <x:v>18</x:v>
      </x:c>
      <x:c r="R101" s="13" t="n">
        <x:f>J101+Q101/1440</x:f>
        <x:v>46300.40625</x:v>
      </x:c>
      <x:c r="S101" s="2" t="str">
        <x:f>VLOOKUP(C101,'MES orders'!$A$8:$H$127,6,FALSE)</x:f>
        <x:v>Normal</x:v>
      </x:c>
      <x:c r="T101" s="9" t="str"/>
    </x:row>
    <x:row r="102" ht="22" customHeight="1">
      <x:c r="A102" s="2" t="str">
        <x:v>L00285-070</x:v>
      </x:c>
      <x:c r="B102" s="2" t="str">
        <x:v>L00285</x:v>
      </x:c>
      <x:c r="C102" s="2" t="str">
        <x:v>SO-26057</x:v>
      </x:c>
      <x:c r="D102" s="2" t="str">
        <x:v>S-S-AL</x:v>
      </x:c>
      <x:c r="E102" s="14" t="n">
        <x:v>5</x:v>
      </x:c>
      <x:c r="F102" s="2" t="str">
        <x:v>Final assembly</x:v>
      </x:c>
      <x:c r="G102" s="9" t="str">
        <x:v>AS-01</x:v>
      </x:c>
      <x:c r="H102" s="15" t="n">
        <x:v>9</x:v>
      </x:c>
      <x:c r="I102" s="9" t="str">
        <x:v>P05</x:v>
      </x:c>
      <x:c r="J102" s="11" t="n">
        <x:v>46300.395833333336</x:v>
      </x:c>
      <x:c r="K102" s="15" t="n">
        <x:v>5</x:v>
      </x:c>
      <x:c r="L102" s="15" t="n">
        <x:v>4</x:v>
      </x:c>
      <x:c r="M102" s="13" t="n">
        <x:f>J102+(K102+L102)/1440</x:f>
        <x:v>46300.402083333334</x:v>
      </x:c>
      <x:c r="N102" s="13" t="n">
        <x:f>VLOOKUP(C102,'MES orders'!$A$8:$H$127,5,FALSE)</x:f>
        <x:v>46302.666666666664</x:v>
      </x:c>
      <x:c r="O102" s="16" t="n">
        <x:f>MAX(0,(M102-N102)*24)</x:f>
        <x:v>0</x:v>
      </x:c>
      <x:c r="P102" s="9" t="str">
        <x:v>Yes</x:v>
      </x:c>
      <x:c r="Q102" s="15" t="n">
        <x:v>9</x:v>
      </x:c>
      <x:c r="R102" s="13" t="n">
        <x:f>J102+Q102/1440</x:f>
        <x:v>46300.402083333334</x:v>
      </x:c>
      <x:c r="S102" s="2" t="str">
        <x:f>VLOOKUP(C102,'MES orders'!$A$8:$H$127,6,FALSE)</x:f>
        <x:v>High</x:v>
      </x:c>
      <x:c r="T102" s="9" t="str"/>
    </x:row>
    <x:row r="103" ht="22" customHeight="1">
      <x:c r="A103" s="2" t="str">
        <x:v>L00122-010</x:v>
      </x:c>
      <x:c r="B103" s="2" t="str">
        <x:v>L00122</x:v>
      </x:c>
      <x:c r="C103" s="2" t="str">
        <x:v>SO-26025</x:v>
      </x:c>
      <x:c r="D103" s="2" t="str">
        <x:v>R-C-AL</x:v>
      </x:c>
      <x:c r="E103" s="14" t="n">
        <x:v>20</x:v>
      </x:c>
      <x:c r="F103" s="2" t="str">
        <x:v>CNC machining</x:v>
      </x:c>
      <x:c r="G103" s="9" t="str">
        <x:v>CNC-02</x:v>
      </x:c>
      <x:c r="H103" s="15" t="n">
        <x:v>5</x:v>
      </x:c>
      <x:c r="I103" s="9" t="str">
        <x:v>P02</x:v>
      </x:c>
      <x:c r="J103" s="11" t="n">
        <x:v>46300.39861111111</x:v>
      </x:c>
      <x:c r="K103" s="15" t="n">
        <x:v>18</x:v>
      </x:c>
      <x:c r="L103" s="15" t="n">
        <x:v>38</x:v>
      </x:c>
      <x:c r="M103" s="13" t="n">
        <x:f>J103+(K103+L103)/1440</x:f>
        <x:v>46300.4375</x:v>
      </x:c>
      <x:c r="N103" s="13" t="n">
        <x:f>VLOOKUP(C103,'MES orders'!$A$8:$H$127,5,FALSE)</x:f>
        <x:v>46302.666666666664</x:v>
      </x:c>
      <x:c r="O103" s="16" t="n">
        <x:f>MAX(0,(M103-N103)*24)</x:f>
        <x:v>0</x:v>
      </x:c>
      <x:c r="P103" s="9" t="str">
        <x:v>Yes</x:v>
      </x:c>
      <x:c r="Q103" s="15" t="n">
        <x:v>18</x:v>
      </x:c>
      <x:c r="R103" s="13" t="n">
        <x:f>J103+Q103/1440</x:f>
        <x:v>46300.411111111105</x:v>
      </x:c>
      <x:c r="S103" s="2" t="str">
        <x:f>VLOOKUP(C103,'MES orders'!$A$8:$H$127,6,FALSE)</x:f>
        <x:v>Normal</x:v>
      </x:c>
      <x:c r="T103" s="9" t="str"/>
    </x:row>
    <x:row r="104" ht="22" customHeight="1">
      <x:c r="A104" s="2" t="str">
        <x:v>L00285-080</x:v>
      </x:c>
      <x:c r="B104" s="2" t="str">
        <x:v>L00285</x:v>
      </x:c>
      <x:c r="C104" s="2" t="str">
        <x:v>SO-26057</x:v>
      </x:c>
      <x:c r="D104" s="2" t="str">
        <x:v>S-S-AL</x:v>
      </x:c>
      <x:c r="E104" s="14" t="n">
        <x:v>5</x:v>
      </x:c>
      <x:c r="F104" s="2" t="str">
        <x:v>Final leak / function test</x:v>
      </x:c>
      <x:c r="G104" s="9" t="str">
        <x:v>QA-02</x:v>
      </x:c>
      <x:c r="H104" s="15" t="n">
        <x:v>7</x:v>
      </x:c>
      <x:c r="I104" s="9" t="str">
        <x:v>P11</x:v>
      </x:c>
      <x:c r="J104" s="11" t="n">
        <x:v>46300.402083333334</x:v>
      </x:c>
      <x:c r="K104" s="15" t="n">
        <x:v>10</x:v>
      </x:c>
      <x:c r="L104" s="15" t="n">
        <x:v>4</x:v>
      </x:c>
      <x:c r="M104" s="13" t="n">
        <x:f>J104+(K104+L104)/1440</x:f>
        <x:v>46300.41180555556</x:v>
      </x:c>
      <x:c r="N104" s="13" t="n">
        <x:f>VLOOKUP(C104,'MES orders'!$A$8:$H$127,5,FALSE)</x:f>
        <x:v>46302.666666666664</x:v>
      </x:c>
      <x:c r="O104" s="16" t="n">
        <x:f>MAX(0,(M104-N104)*24)</x:f>
        <x:v>0</x:v>
      </x:c>
      <x:c r="P104" s="9" t="str">
        <x:v>Yes</x:v>
      </x:c>
      <x:c r="Q104" s="15" t="n">
        <x:v>14</x:v>
      </x:c>
      <x:c r="R104" s="13" t="n">
        <x:f>J104+Q104/1440</x:f>
        <x:v>46300.41180555556</x:v>
      </x:c>
      <x:c r="S104" s="2" t="str">
        <x:f>VLOOKUP(C104,'MES orders'!$A$8:$H$127,6,FALSE)</x:f>
        <x:v>High</x:v>
      </x:c>
      <x:c r="T104" s="9" t="str"/>
    </x:row>
    <x:row r="105" ht="22" customHeight="1">
      <x:c r="A105" s="2" t="str">
        <x:v>L00564-030</x:v>
      </x:c>
      <x:c r="B105" s="2" t="str">
        <x:v>L00564</x:v>
      </x:c>
      <x:c r="C105" s="2" t="str">
        <x:v>SO-26113</x:v>
      </x:c>
      <x:c r="D105" s="2" t="str">
        <x:v>R-L-AL</x:v>
      </x:c>
      <x:c r="E105" s="14" t="n">
        <x:v>20</x:v>
      </x:c>
      <x:c r="F105" s="2" t="str">
        <x:v>Wash &amp; dry</x:v>
      </x:c>
      <x:c r="G105" s="9" t="str">
        <x:v>WS-02</x:v>
      </x:c>
      <x:c r="H105" s="15" t="n">
        <x:v>6</x:v>
      </x:c>
      <x:c r="I105" s="9" t="str">
        <x:v>P05</x:v>
      </x:c>
      <x:c r="J105" s="11" t="n">
        <x:v>46300.402083333334</x:v>
      </x:c>
      <x:c r="K105" s="15" t="n">
        <x:v>12</x:v>
      </x:c>
      <x:c r="L105" s="15" t="n">
        <x:v>9</x:v>
      </x:c>
      <x:c r="M105" s="13" t="n">
        <x:f>J105+(K105+L105)/1440</x:f>
        <x:v>46300.416666666664</x:v>
      </x:c>
      <x:c r="N105" s="13" t="n">
        <x:f>VLOOKUP(C105,'MES orders'!$A$8:$H$127,5,FALSE)</x:f>
        <x:v>46302.666666666664</x:v>
      </x:c>
      <x:c r="O105" s="16" t="n">
        <x:f>MAX(0,(M105-N105)*24)</x:f>
        <x:v>0</x:v>
      </x:c>
      <x:c r="P105" s="9" t="str">
        <x:v>Yes</x:v>
      </x:c>
      <x:c r="Q105" s="15" t="n">
        <x:v>21</x:v>
      </x:c>
      <x:c r="R105" s="13" t="n">
        <x:f>J105+Q105/1440</x:f>
        <x:v>46300.416666666664</x:v>
      </x:c>
      <x:c r="S105" s="2" t="str">
        <x:f>VLOOKUP(C105,'MES orders'!$A$8:$H$127,6,FALSE)</x:f>
        <x:v>High</x:v>
      </x:c>
      <x:c r="T105" s="9" t="str"/>
    </x:row>
    <x:row r="106" ht="22" customHeight="1">
      <x:c r="A106" s="2" t="str">
        <x:v>L00084-010</x:v>
      </x:c>
      <x:c r="B106" s="2" t="str">
        <x:v>L00084</x:v>
      </x:c>
      <x:c r="C106" s="2" t="str">
        <x:v>SO-26017</x:v>
      </x:c>
      <x:c r="D106" s="2" t="str">
        <x:v>D-L-AL</x:v>
      </x:c>
      <x:c r="E106" s="14" t="n">
        <x:v>25</x:v>
      </x:c>
      <x:c r="F106" s="2" t="str">
        <x:v>CNC machining</x:v>
      </x:c>
      <x:c r="G106" s="9" t="str">
        <x:v>CNC-05</x:v>
      </x:c>
      <x:c r="H106" s="15" t="n">
        <x:v>4</x:v>
      </x:c>
      <x:c r="I106" s="9" t="str">
        <x:v>P01</x:v>
      </x:c>
      <x:c r="J106" s="11" t="n">
        <x:v>46300.40277777778</x:v>
      </x:c>
      <x:c r="K106" s="15" t="n">
        <x:v>18</x:v>
      </x:c>
      <x:c r="L106" s="15" t="n">
        <x:v>81</x:v>
      </x:c>
      <x:c r="M106" s="13" t="n">
        <x:f>J106+(K106+L106)/1440</x:f>
        <x:v>46300.47152777778</x:v>
      </x:c>
      <x:c r="N106" s="13" t="n">
        <x:f>VLOOKUP(C106,'MES orders'!$A$8:$H$127,5,FALSE)</x:f>
        <x:v>46302.666666666664</x:v>
      </x:c>
      <x:c r="O106" s="16" t="n">
        <x:f>MAX(0,(M106-N106)*24)</x:f>
        <x:v>0</x:v>
      </x:c>
      <x:c r="P106" s="9" t="str">
        <x:v>Yes</x:v>
      </x:c>
      <x:c r="Q106" s="15" t="n">
        <x:v>18</x:v>
      </x:c>
      <x:c r="R106" s="13" t="n">
        <x:f>J106+Q106/1440</x:f>
        <x:v>46300.41527777778</x:v>
      </x:c>
      <x:c r="S106" s="2" t="str">
        <x:f>VLOOKUP(C106,'MES orders'!$A$8:$H$127,6,FALSE)</x:f>
        <x:v>Normal</x:v>
      </x:c>
      <x:c r="T106" s="9" t="str"/>
    </x:row>
    <x:row r="107" ht="22" customHeight="1">
      <x:c r="A107" s="2" t="str">
        <x:v>L00041-030</x:v>
      </x:c>
      <x:c r="B107" s="2" t="str">
        <x:v>L00041</x:v>
      </x:c>
      <x:c r="C107" s="2" t="str">
        <x:v>SO-26009</x:v>
      </x:c>
      <x:c r="D107" s="2" t="str">
        <x:v>D-S-AL</x:v>
      </x:c>
      <x:c r="E107" s="14" t="n">
        <x:v>5</x:v>
      </x:c>
      <x:c r="F107" s="2" t="str">
        <x:v>Wash &amp; dry</x:v>
      </x:c>
      <x:c r="G107" s="9" t="str">
        <x:v>WS-01</x:v>
      </x:c>
      <x:c r="H107" s="15" t="n">
        <x:v>11</x:v>
      </x:c>
      <x:c r="I107" s="9" t="str">
        <x:v>P04</x:v>
      </x:c>
      <x:c r="J107" s="11" t="n">
        <x:v>46300.40347222222</x:v>
      </x:c>
      <x:c r="K107" s="15" t="n">
        <x:v>12</x:v>
      </x:c>
      <x:c r="L107" s="15" t="n">
        <x:v>2</x:v>
      </x:c>
      <x:c r="M107" s="13" t="n">
        <x:f>J107+(K107+L107)/1440</x:f>
        <x:v>46300.413194444445</x:v>
      </x:c>
      <x:c r="N107" s="13" t="n">
        <x:f>VLOOKUP(C107,'MES orders'!$A$8:$H$127,5,FALSE)</x:f>
        <x:v>46302.666666666664</x:v>
      </x:c>
      <x:c r="O107" s="16" t="n">
        <x:f>MAX(0,(M107-N107)*24)</x:f>
        <x:v>0</x:v>
      </x:c>
      <x:c r="P107" s="9" t="str">
        <x:v>Yes</x:v>
      </x:c>
      <x:c r="Q107" s="15" t="n">
        <x:v>14</x:v>
      </x:c>
      <x:c r="R107" s="13" t="n">
        <x:f>J107+Q107/1440</x:f>
        <x:v>46300.413194444445</x:v>
      </x:c>
      <x:c r="S107" s="2" t="str">
        <x:f>VLOOKUP(C107,'MES orders'!$A$8:$H$127,6,FALSE)</x:f>
        <x:v>Normal</x:v>
      </x:c>
      <x:c r="T107" s="9" t="str"/>
    </x:row>
    <x:row r="108" ht="22" customHeight="1">
      <x:c r="A108" s="2" t="str">
        <x:v>L00042-040</x:v>
      </x:c>
      <x:c r="B108" s="2" t="str">
        <x:v>L00042</x:v>
      </x:c>
      <x:c r="C108" s="2" t="str">
        <x:v>SO-26009</x:v>
      </x:c>
      <x:c r="D108" s="2" t="str">
        <x:v>D-S-AL</x:v>
      </x:c>
      <x:c r="E108" s="14" t="n">
        <x:v>5</x:v>
      </x:c>
      <x:c r="F108" s="2" t="str">
        <x:v>Mechanical assembly</x:v>
      </x:c>
      <x:c r="G108" s="9" t="str">
        <x:v>AS-01</x:v>
      </x:c>
      <x:c r="H108" s="15" t="n">
        <x:v>10</x:v>
      </x:c>
      <x:c r="I108" s="9" t="str">
        <x:v>P06</x:v>
      </x:c>
      <x:c r="J108" s="11" t="n">
        <x:v>46300.404861111114</x:v>
      </x:c>
      <x:c r="K108" s="15" t="n">
        <x:v>8</x:v>
      </x:c>
      <x:c r="L108" s="15" t="n">
        <x:v>9</x:v>
      </x:c>
      <x:c r="M108" s="13" t="n">
        <x:f>J108+(K108+L108)/1440</x:f>
        <x:v>46300.41666666667</x:v>
      </x:c>
      <x:c r="N108" s="13" t="n">
        <x:f>VLOOKUP(C108,'MES orders'!$A$8:$H$127,5,FALSE)</x:f>
        <x:v>46302.666666666664</x:v>
      </x:c>
      <x:c r="O108" s="16" t="n">
        <x:f>MAX(0,(M108-N108)*24)</x:f>
        <x:v>0</x:v>
      </x:c>
      <x:c r="P108" s="9" t="str">
        <x:v>Yes</x:v>
      </x:c>
      <x:c r="Q108" s="15" t="n">
        <x:v>17</x:v>
      </x:c>
      <x:c r="R108" s="13" t="n">
        <x:f>J108+Q108/1440</x:f>
        <x:v>46300.41666666667</x:v>
      </x:c>
      <x:c r="S108" s="2" t="str">
        <x:f>VLOOKUP(C108,'MES orders'!$A$8:$H$127,6,FALSE)</x:f>
        <x:v>Normal</x:v>
      </x:c>
      <x:c r="T108" s="9" t="str"/>
    </x:row>
    <x:row r="109" ht="22" customHeight="1">
      <x:c r="A109" s="2" t="str">
        <x:v>L00561-040</x:v>
      </x:c>
      <x:c r="B109" s="2" t="str">
        <x:v>L00561</x:v>
      </x:c>
      <x:c r="C109" s="2" t="str">
        <x:v>SO-26113</x:v>
      </x:c>
      <x:c r="D109" s="2" t="str">
        <x:v>R-L-AL</x:v>
      </x:c>
      <x:c r="E109" s="14" t="n">
        <x:v>20</x:v>
      </x:c>
      <x:c r="F109" s="2" t="str">
        <x:v>Mechanical assembly</x:v>
      </x:c>
      <x:c r="G109" s="9" t="str">
        <x:v>AS-01</x:v>
      </x:c>
      <x:c r="H109" s="15" t="n">
        <x:v>11</x:v>
      </x:c>
      <x:c r="I109" s="9" t="str">
        <x:v>P04</x:v>
      </x:c>
      <x:c r="J109" s="11" t="n">
        <x:v>46300.4375</x:v>
      </x:c>
      <x:c r="K109" s="15" t="n">
        <x:v>8</x:v>
      </x:c>
      <x:c r="L109" s="15" t="n">
        <x:v>49</x:v>
      </x:c>
      <x:c r="M109" s="13" t="n">
        <x:f>J109+(K109+L109)/1440</x:f>
        <x:v>46300.47708333333</x:v>
      </x:c>
      <x:c r="N109" s="13" t="n">
        <x:f>VLOOKUP(C109,'MES orders'!$A$8:$H$127,5,FALSE)</x:f>
        <x:v>46302.666666666664</x:v>
      </x:c>
      <x:c r="O109" s="16" t="n">
        <x:f>MAX(0,(M109-N109)*24)</x:f>
        <x:v>0</x:v>
      </x:c>
      <x:c r="P109" s="9" t="str">
        <x:v>Yes</x:v>
      </x:c>
      <x:c r="Q109" s="15" t="n">
        <x:v>57</x:v>
      </x:c>
      <x:c r="R109" s="13" t="n">
        <x:f>J109+Q109/1440</x:f>
        <x:v>46300.47708333333</x:v>
      </x:c>
      <x:c r="S109" s="2" t="str">
        <x:f>VLOOKUP(C109,'MES orders'!$A$8:$H$127,6,FALSE)</x:f>
        <x:v>High</x:v>
      </x:c>
      <x:c r="T109" s="9" t="str"/>
    </x:row>
    <x:row r="110" ht="22" customHeight="1">
      <x:c r="A110" s="2" t="str">
        <x:v>L00562-040</x:v>
      </x:c>
      <x:c r="B110" s="2" t="str">
        <x:v>L00562</x:v>
      </x:c>
      <x:c r="C110" s="2" t="str">
        <x:v>SO-26113</x:v>
      </x:c>
      <x:c r="D110" s="2" t="str">
        <x:v>R-L-AL</x:v>
      </x:c>
      <x:c r="E110" s="14" t="n">
        <x:v>20</x:v>
      </x:c>
      <x:c r="F110" s="2" t="str">
        <x:v>Mechanical assembly</x:v>
      </x:c>
      <x:c r="G110" s="9" t="str">
        <x:v>AS-02</x:v>
      </x:c>
      <x:c r="H110" s="15" t="n">
        <x:v>7</x:v>
      </x:c>
      <x:c r="I110" s="9" t="str">
        <x:v>P05</x:v>
      </x:c>
      <x:c r="J110" s="11" t="n">
        <x:v>46300.4375</x:v>
      </x:c>
      <x:c r="K110" s="15" t="n">
        <x:v>8</x:v>
      </x:c>
      <x:c r="L110" s="15" t="n">
        <x:v>49</x:v>
      </x:c>
      <x:c r="M110" s="13" t="n">
        <x:f>J110+(K110+L110)/1440</x:f>
        <x:v>46300.47708333333</x:v>
      </x:c>
      <x:c r="N110" s="13" t="n">
        <x:f>VLOOKUP(C110,'MES orders'!$A$8:$H$127,5,FALSE)</x:f>
        <x:v>46302.666666666664</x:v>
      </x:c>
      <x:c r="O110" s="16" t="n">
        <x:f>MAX(0,(M110-N110)*24)</x:f>
        <x:v>0</x:v>
      </x:c>
      <x:c r="P110" s="9" t="str">
        <x:v>Yes</x:v>
      </x:c>
      <x:c r="Q110" s="15" t="n">
        <x:v>57</x:v>
      </x:c>
      <x:c r="R110" s="13" t="n">
        <x:f>J110+Q110/1440</x:f>
        <x:v>46300.47708333333</x:v>
      </x:c>
      <x:c r="S110" s="2" t="str">
        <x:f>VLOOKUP(C110,'MES orders'!$A$8:$H$127,6,FALSE)</x:f>
        <x:v>High</x:v>
      </x:c>
      <x:c r="T110" s="9" t="str"/>
    </x:row>
    <x:row r="111" ht="22" customHeight="1">
      <x:c r="A111" s="2" t="str">
        <x:v>L00041-040</x:v>
      </x:c>
      <x:c r="B111" s="2" t="str">
        <x:v>L00041</x:v>
      </x:c>
      <x:c r="C111" s="2" t="str">
        <x:v>SO-26009</x:v>
      </x:c>
      <x:c r="D111" s="2" t="str">
        <x:v>D-S-AL</x:v>
      </x:c>
      <x:c r="E111" s="14" t="n">
        <x:v>5</x:v>
      </x:c>
      <x:c r="F111" s="2" t="str">
        <x:v>Mechanical assembly</x:v>
      </x:c>
      <x:c r="G111" s="9" t="str">
        <x:v>AS-03</x:v>
      </x:c>
      <x:c r="H111" s="15" t="n">
        <x:v>3</x:v>
      </x:c>
      <x:c r="I111" s="9" t="str">
        <x:v>P01</x:v>
      </x:c>
      <x:c r="J111" s="11" t="n">
        <x:v>46300.4375</x:v>
      </x:c>
      <x:c r="K111" s="15" t="n">
        <x:v>8</x:v>
      </x:c>
      <x:c r="L111" s="15" t="n">
        <x:v>9</x:v>
      </x:c>
      <x:c r="M111" s="13" t="n">
        <x:f>J111+(K111+L111)/1440</x:f>
        <x:v>46300.44930555556</x:v>
      </x:c>
      <x:c r="N111" s="13" t="n">
        <x:f>VLOOKUP(C111,'MES orders'!$A$8:$H$127,5,FALSE)</x:f>
        <x:v>46302.666666666664</x:v>
      </x:c>
      <x:c r="O111" s="16" t="n">
        <x:f>MAX(0,(M111-N111)*24)</x:f>
        <x:v>0</x:v>
      </x:c>
      <x:c r="P111" s="9" t="str">
        <x:v>Yes</x:v>
      </x:c>
      <x:c r="Q111" s="15" t="n">
        <x:v>17</x:v>
      </x:c>
      <x:c r="R111" s="13" t="n">
        <x:f>J111+Q111/1440</x:f>
        <x:v>46300.44930555556</x:v>
      </x:c>
      <x:c r="S111" s="2" t="str">
        <x:f>VLOOKUP(C111,'MES orders'!$A$8:$H$127,6,FALSE)</x:f>
        <x:v>Normal</x:v>
      </x:c>
      <x:c r="T111" s="9" t="str"/>
    </x:row>
    <x:row r="112" ht="22" customHeight="1">
      <x:c r="A112" s="2" t="str">
        <x:v>L00121-020</x:v>
      </x:c>
      <x:c r="B112" s="2" t="str">
        <x:v>L00121</x:v>
      </x:c>
      <x:c r="C112" s="2" t="str">
        <x:v>SO-26025</x:v>
      </x:c>
      <x:c r="D112" s="2" t="str">
        <x:v>R-C-AL</x:v>
      </x:c>
      <x:c r="E112" s="14" t="n">
        <x:v>20</x:v>
      </x:c>
      <x:c r="F112" s="2" t="str">
        <x:v>Deburr &amp; inspect</x:v>
      </x:c>
      <x:c r="G112" s="9" t="str">
        <x:v>DB-01</x:v>
      </x:c>
      <x:c r="H112" s="15" t="n">
        <x:v>12</x:v>
      </x:c>
      <x:c r="I112" s="9" t="str">
        <x:v>P02</x:v>
      </x:c>
      <x:c r="J112" s="11" t="n">
        <x:v>46300.4375</x:v>
      </x:c>
      <x:c r="K112" s="15" t="n">
        <x:v>4</x:v>
      </x:c>
      <x:c r="L112" s="15" t="n">
        <x:v>11</x:v>
      </x:c>
      <x:c r="M112" s="13" t="n">
        <x:f>J112+(K112+L112)/1440</x:f>
        <x:v>46300.447916666664</x:v>
      </x:c>
      <x:c r="N112" s="13" t="n">
        <x:f>VLOOKUP(C112,'MES orders'!$A$8:$H$127,5,FALSE)</x:f>
        <x:v>46302.666666666664</x:v>
      </x:c>
      <x:c r="O112" s="16" t="n">
        <x:f>MAX(0,(M112-N112)*24)</x:f>
        <x:v>0</x:v>
      </x:c>
      <x:c r="P112" s="9" t="str">
        <x:v>Yes</x:v>
      </x:c>
      <x:c r="Q112" s="15" t="n">
        <x:v>15</x:v>
      </x:c>
      <x:c r="R112" s="13" t="n">
        <x:f>J112+Q112/1440</x:f>
        <x:v>46300.447916666664</x:v>
      </x:c>
      <x:c r="S112" s="2" t="str">
        <x:f>VLOOKUP(C112,'MES orders'!$A$8:$H$127,6,FALSE)</x:f>
        <x:v>Normal</x:v>
      </x:c>
      <x:c r="T112" s="9" t="str"/>
    </x:row>
    <x:row r="113" ht="22" customHeight="1">
      <x:c r="A113" s="2" t="str">
        <x:v>L00122-020</x:v>
      </x:c>
      <x:c r="B113" s="2" t="str">
        <x:v>L00122</x:v>
      </x:c>
      <x:c r="C113" s="2" t="str">
        <x:v>SO-26025</x:v>
      </x:c>
      <x:c r="D113" s="2" t="str">
        <x:v>R-C-AL</x:v>
      </x:c>
      <x:c r="E113" s="14" t="n">
        <x:v>20</x:v>
      </x:c>
      <x:c r="F113" s="2" t="str">
        <x:v>Deburr &amp; inspect</x:v>
      </x:c>
      <x:c r="G113" s="9" t="str">
        <x:v>DB-02</x:v>
      </x:c>
      <x:c r="H113" s="15" t="n">
        <x:v>8</x:v>
      </x:c>
      <x:c r="I113" s="9" t="str">
        <x:v>P03</x:v>
      </x:c>
      <x:c r="J113" s="11" t="n">
        <x:v>46300.4375</x:v>
      </x:c>
      <x:c r="K113" s="15" t="n">
        <x:v>4</x:v>
      </x:c>
      <x:c r="L113" s="15" t="n">
        <x:v>11</x:v>
      </x:c>
      <x:c r="M113" s="13" t="n">
        <x:f>J113+(K113+L113)/1440</x:f>
        <x:v>46300.447916666664</x:v>
      </x:c>
      <x:c r="N113" s="13" t="n">
        <x:f>VLOOKUP(C113,'MES orders'!$A$8:$H$127,5,FALSE)</x:f>
        <x:v>46302.666666666664</x:v>
      </x:c>
      <x:c r="O113" s="16" t="n">
        <x:f>MAX(0,(M113-N113)*24)</x:f>
        <x:v>0</x:v>
      </x:c>
      <x:c r="P113" s="9" t="str">
        <x:v>Yes</x:v>
      </x:c>
      <x:c r="Q113" s="15" t="n">
        <x:v>15</x:v>
      </x:c>
      <x:c r="R113" s="13" t="n">
        <x:f>J113+Q113/1440</x:f>
        <x:v>46300.447916666664</x:v>
      </x:c>
      <x:c r="S113" s="2" t="str">
        <x:f>VLOOKUP(C113,'MES orders'!$A$8:$H$127,6,FALSE)</x:f>
        <x:v>Normal</x:v>
      </x:c>
      <x:c r="T113" s="9" t="str"/>
    </x:row>
    <x:row r="114" ht="22" customHeight="1">
      <x:c r="A114" s="2" t="str">
        <x:v>L00042-050</x:v>
      </x:c>
      <x:c r="B114" s="2" t="str">
        <x:v>L00042</x:v>
      </x:c>
      <x:c r="C114" s="2" t="str">
        <x:v>SO-26009</x:v>
      </x:c>
      <x:c r="D114" s="2" t="str">
        <x:v>D-S-AL</x:v>
      </x:c>
      <x:c r="E114" s="14" t="n">
        <x:v>5</x:v>
      </x:c>
      <x:c r="F114" s="2" t="str">
        <x:v>Final leak / function test</x:v>
      </x:c>
      <x:c r="G114" s="9" t="str">
        <x:v>QA-01</x:v>
      </x:c>
      <x:c r="H114" s="15" t="n">
        <x:v>6</x:v>
      </x:c>
      <x:c r="I114" s="9" t="str">
        <x:v>P11</x:v>
      </x:c>
      <x:c r="J114" s="11" t="n">
        <x:v>46300.4375</x:v>
      </x:c>
      <x:c r="K114" s="15" t="n">
        <x:v>10</x:v>
      </x:c>
      <x:c r="L114" s="15" t="n">
        <x:v>4</x:v>
      </x:c>
      <x:c r="M114" s="13" t="n">
        <x:f>J114+(K114+L114)/1440</x:f>
        <x:v>46300.447222222225</x:v>
      </x:c>
      <x:c r="N114" s="13" t="n">
        <x:f>VLOOKUP(C114,'MES orders'!$A$8:$H$127,5,FALSE)</x:f>
        <x:v>46302.666666666664</x:v>
      </x:c>
      <x:c r="O114" s="16" t="n">
        <x:f>MAX(0,(M114-N114)*24)</x:f>
        <x:v>0</x:v>
      </x:c>
      <x:c r="P114" s="9" t="str">
        <x:v>Yes</x:v>
      </x:c>
      <x:c r="Q114" s="15" t="n">
        <x:v>14</x:v>
      </x:c>
      <x:c r="R114" s="13" t="n">
        <x:f>J114+Q114/1440</x:f>
        <x:v>46300.447222222225</x:v>
      </x:c>
      <x:c r="S114" s="2" t="str">
        <x:f>VLOOKUP(C114,'MES orders'!$A$8:$H$127,6,FALSE)</x:f>
        <x:v>Normal</x:v>
      </x:c>
      <x:c r="T114" s="9" t="str"/>
    </x:row>
    <x:row r="115" ht="22" customHeight="1">
      <x:c r="A115" s="2" t="str">
        <x:v>L00563-030</x:v>
      </x:c>
      <x:c r="B115" s="2" t="str">
        <x:v>L00563</x:v>
      </x:c>
      <x:c r="C115" s="2" t="str">
        <x:v>SO-26113</x:v>
      </x:c>
      <x:c r="D115" s="2" t="str">
        <x:v>R-L-AL</x:v>
      </x:c>
      <x:c r="E115" s="14" t="n">
        <x:v>20</x:v>
      </x:c>
      <x:c r="F115" s="2" t="str">
        <x:v>Wash &amp; dry</x:v>
      </x:c>
      <x:c r="G115" s="9" t="str">
        <x:v>WS-01</x:v>
      </x:c>
      <x:c r="H115" s="15" t="n">
        <x:v>12</x:v>
      </x:c>
      <x:c r="I115" s="9" t="str">
        <x:v>P06</x:v>
      </x:c>
      <x:c r="J115" s="11" t="n">
        <x:v>46300.4375</x:v>
      </x:c>
      <x:c r="K115" s="15" t="n">
        <x:v>12</x:v>
      </x:c>
      <x:c r="L115" s="15" t="n">
        <x:v>9</x:v>
      </x:c>
      <x:c r="M115" s="13" t="n">
        <x:f>J115+(K115+L115)/1440</x:f>
        <x:v>46300.45208333333</x:v>
      </x:c>
      <x:c r="N115" s="13" t="n">
        <x:f>VLOOKUP(C115,'MES orders'!$A$8:$H$127,5,FALSE)</x:f>
        <x:v>46302.666666666664</x:v>
      </x:c>
      <x:c r="O115" s="16" t="n">
        <x:f>MAX(0,(M115-N115)*24)</x:f>
        <x:v>0</x:v>
      </x:c>
      <x:c r="P115" s="9" t="str">
        <x:v>Yes</x:v>
      </x:c>
      <x:c r="Q115" s="15" t="n">
        <x:v>21</x:v>
      </x:c>
      <x:c r="R115" s="13" t="n">
        <x:f>J115+Q115/1440</x:f>
        <x:v>46300.45208333333</x:v>
      </x:c>
      <x:c r="S115" s="2" t="str">
        <x:f>VLOOKUP(C115,'MES orders'!$A$8:$H$127,6,FALSE)</x:f>
        <x:v>High</x:v>
      </x:c>
      <x:c r="T115" s="9" t="str"/>
    </x:row>
    <x:row r="116" ht="22" customHeight="1">
      <x:c r="A116" s="2" t="str">
        <x:v>L00121-030</x:v>
      </x:c>
      <x:c r="B116" s="2" t="str">
        <x:v>L00121</x:v>
      </x:c>
      <x:c r="C116" s="2" t="str">
        <x:v>SO-26025</x:v>
      </x:c>
      <x:c r="D116" s="2" t="str">
        <x:v>R-C-AL</x:v>
      </x:c>
      <x:c r="E116" s="14" t="n">
        <x:v>20</x:v>
      </x:c>
      <x:c r="F116" s="2" t="str">
        <x:v>Wash &amp; dry</x:v>
      </x:c>
      <x:c r="G116" s="9" t="str">
        <x:v>WS-02</x:v>
      </x:c>
      <x:c r="H116" s="15" t="n">
        <x:v>7</x:v>
      </x:c>
      <x:c r="I116" s="9" t="str">
        <x:v>P03</x:v>
      </x:c>
      <x:c r="J116" s="11" t="n">
        <x:v>46300.447916666664</x:v>
      </x:c>
      <x:c r="K116" s="15" t="n">
        <x:v>12</x:v>
      </x:c>
      <x:c r="L116" s="15" t="n">
        <x:v>6</x:v>
      </x:c>
      <x:c r="M116" s="13" t="n">
        <x:f>J116+(K116+L116)/1440</x:f>
        <x:v>46300.46041666666</x:v>
      </x:c>
      <x:c r="N116" s="13" t="n">
        <x:f>VLOOKUP(C116,'MES orders'!$A$8:$H$127,5,FALSE)</x:f>
        <x:v>46302.666666666664</x:v>
      </x:c>
      <x:c r="O116" s="16" t="n">
        <x:f>MAX(0,(M116-N116)*24)</x:f>
        <x:v>0</x:v>
      </x:c>
      <x:c r="P116" s="9" t="str">
        <x:v>Yes</x:v>
      </x:c>
      <x:c r="Q116" s="15" t="n">
        <x:v>18</x:v>
      </x:c>
      <x:c r="R116" s="13" t="n">
        <x:f>J116+Q116/1440</x:f>
        <x:v>46300.46041666666</x:v>
      </x:c>
      <x:c r="S116" s="2" t="str">
        <x:f>VLOOKUP(C116,'MES orders'!$A$8:$H$127,6,FALSE)</x:f>
        <x:v>Normal</x:v>
      </x:c>
      <x:c r="T116" s="9" t="str"/>
    </x:row>
    <x:row r="117" ht="22" customHeight="1">
      <x:c r="A117" s="2" t="str">
        <x:v>L00041-050</x:v>
      </x:c>
      <x:c r="B117" s="2" t="str">
        <x:v>L00041</x:v>
      </x:c>
      <x:c r="C117" s="2" t="str">
        <x:v>SO-26009</x:v>
      </x:c>
      <x:c r="D117" s="2" t="str">
        <x:v>D-S-AL</x:v>
      </x:c>
      <x:c r="E117" s="14" t="n">
        <x:v>5</x:v>
      </x:c>
      <x:c r="F117" s="2" t="str">
        <x:v>Final leak / function test</x:v>
      </x:c>
      <x:c r="G117" s="9" t="str">
        <x:v>QA-01</x:v>
      </x:c>
      <x:c r="H117" s="15" t="n">
        <x:v>7</x:v>
      </x:c>
      <x:c r="I117" s="9" t="str">
        <x:v>P11</x:v>
      </x:c>
      <x:c r="J117" s="11" t="n">
        <x:v>46300.44930555556</x:v>
      </x:c>
      <x:c r="K117" s="15" t="n">
        <x:v>10</x:v>
      </x:c>
      <x:c r="L117" s="15" t="n">
        <x:v>4</x:v>
      </x:c>
      <x:c r="M117" s="13" t="n">
        <x:f>J117+(K117+L117)/1440</x:f>
        <x:v>46300.45902777778</x:v>
      </x:c>
      <x:c r="N117" s="13" t="n">
        <x:f>VLOOKUP(C117,'MES orders'!$A$8:$H$127,5,FALSE)</x:f>
        <x:v>46302.666666666664</x:v>
      </x:c>
      <x:c r="O117" s="16" t="n">
        <x:f>MAX(0,(M117-N117)*24)</x:f>
        <x:v>0</x:v>
      </x:c>
      <x:c r="P117" s="9" t="str">
        <x:v>Yes</x:v>
      </x:c>
      <x:c r="Q117" s="15" t="n">
        <x:v>14</x:v>
      </x:c>
      <x:c r="R117" s="13" t="n">
        <x:f>J117+Q117/1440</x:f>
        <x:v>46300.45902777778</x:v>
      </x:c>
      <x:c r="S117" s="2" t="str">
        <x:f>VLOOKUP(C117,'MES orders'!$A$8:$H$127,6,FALSE)</x:f>
        <x:v>Normal</x:v>
      </x:c>
      <x:c r="T117" s="9" t="str"/>
    </x:row>
    <x:row r="118" ht="22" customHeight="1">
      <x:c r="A118" s="2" t="str">
        <x:v>L00085-010</x:v>
      </x:c>
      <x:c r="B118" s="2" t="str">
        <x:v>L00085</x:v>
      </x:c>
      <x:c r="C118" s="2" t="str">
        <x:v>SO-26017</x:v>
      </x:c>
      <x:c r="D118" s="2" t="str">
        <x:v>D-L-AL</x:v>
      </x:c>
      <x:c r="E118" s="14" t="n">
        <x:v>25</x:v>
      </x:c>
      <x:c r="F118" s="2" t="str">
        <x:v>CNC machining</x:v>
      </x:c>
      <x:c r="G118" s="9" t="str">
        <x:v>CNC-03</x:v>
      </x:c>
      <x:c r="H118" s="15" t="n">
        <x:v>5</x:v>
      </x:c>
      <x:c r="I118" s="9" t="str">
        <x:v>P02</x:v>
      </x:c>
      <x:c r="J118" s="11" t="n">
        <x:v>46300.45</x:v>
      </x:c>
      <x:c r="K118" s="15" t="n">
        <x:v>18</x:v>
      </x:c>
      <x:c r="L118" s="15" t="n">
        <x:v>81</x:v>
      </x:c>
      <x:c r="M118" s="13" t="n">
        <x:f>J118+(K118+L118)/1440</x:f>
        <x:v>46300.518749999996</x:v>
      </x:c>
      <x:c r="N118" s="13" t="n">
        <x:f>VLOOKUP(C118,'MES orders'!$A$8:$H$127,5,FALSE)</x:f>
        <x:v>46302.666666666664</x:v>
      </x:c>
      <x:c r="O118" s="16" t="n">
        <x:f>MAX(0,(M118-N118)*24)</x:f>
        <x:v>0</x:v>
      </x:c>
      <x:c r="P118" s="9" t="str">
        <x:v>Yes</x:v>
      </x:c>
      <x:c r="Q118" s="15" t="n">
        <x:v>18</x:v>
      </x:c>
      <x:c r="R118" s="13" t="n">
        <x:f>J118+Q118/1440</x:f>
        <x:v>46300.462499999994</x:v>
      </x:c>
      <x:c r="S118" s="2" t="str">
        <x:f>VLOOKUP(C118,'MES orders'!$A$8:$H$127,6,FALSE)</x:f>
        <x:v>Normal</x:v>
      </x:c>
      <x:c r="T118" s="9" t="str"/>
    </x:row>
    <x:row r="119" ht="22" customHeight="1">
      <x:c r="A119" s="2" t="str">
        <x:v>L00081-020</x:v>
      </x:c>
      <x:c r="B119" s="2" t="str">
        <x:v>L00081</x:v>
      </x:c>
      <x:c r="C119" s="2" t="str">
        <x:v>SO-26017</x:v>
      </x:c>
      <x:c r="D119" s="2" t="str">
        <x:v>D-L-AL</x:v>
      </x:c>
      <x:c r="E119" s="14" t="n">
        <x:v>25</x:v>
      </x:c>
      <x:c r="F119" s="2" t="str">
        <x:v>Deburr &amp; inspect</x:v>
      </x:c>
      <x:c r="G119" s="9" t="str">
        <x:v>DB-02</x:v>
      </x:c>
      <x:c r="H119" s="15" t="n">
        <x:v>9</x:v>
      </x:c>
      <x:c r="I119" s="9" t="str">
        <x:v>P01</x:v>
      </x:c>
      <x:c r="J119" s="11" t="n">
        <x:v>46300.45</x:v>
      </x:c>
      <x:c r="K119" s="15" t="n">
        <x:v>4</x:v>
      </x:c>
      <x:c r="L119" s="15" t="n">
        <x:v>24</x:v>
      </x:c>
      <x:c r="M119" s="13" t="n">
        <x:f>J119+(K119+L119)/1440</x:f>
        <x:v>46300.46944444444</x:v>
      </x:c>
      <x:c r="N119" s="13" t="n">
        <x:f>VLOOKUP(C119,'MES orders'!$A$8:$H$127,5,FALSE)</x:f>
        <x:v>46302.666666666664</x:v>
      </x:c>
      <x:c r="O119" s="16" t="n">
        <x:f>MAX(0,(M119-N119)*24)</x:f>
        <x:v>0</x:v>
      </x:c>
      <x:c r="P119" s="9" t="str">
        <x:v>Yes</x:v>
      </x:c>
      <x:c r="Q119" s="15" t="n">
        <x:v>28</x:v>
      </x:c>
      <x:c r="R119" s="13" t="n">
        <x:f>J119+Q119/1440</x:f>
        <x:v>46300.46944444444</x:v>
      </x:c>
      <x:c r="S119" s="2" t="str">
        <x:f>VLOOKUP(C119,'MES orders'!$A$8:$H$127,6,FALSE)</x:f>
        <x:v>Normal</x:v>
      </x:c>
      <x:c r="T119" s="9" t="str"/>
    </x:row>
    <x:row r="120" ht="22" customHeight="1">
      <x:c r="A120" s="2" t="str">
        <x:v>L00565-020</x:v>
      </x:c>
      <x:c r="B120" s="2" t="str">
        <x:v>L00565</x:v>
      </x:c>
      <x:c r="C120" s="2" t="str">
        <x:v>SO-26113</x:v>
      </x:c>
      <x:c r="D120" s="2" t="str">
        <x:v>R-L-AL</x:v>
      </x:c>
      <x:c r="E120" s="14" t="n">
        <x:v>20</x:v>
      </x:c>
      <x:c r="F120" s="2" t="str">
        <x:v>Deburr &amp; inspect</x:v>
      </x:c>
      <x:c r="G120" s="9" t="str">
        <x:v>DB-01</x:v>
      </x:c>
      <x:c r="H120" s="15" t="n">
        <x:v>13</x:v>
      </x:c>
      <x:c r="I120" s="9" t="str">
        <x:v>P06</x:v>
      </x:c>
      <x:c r="J120" s="11" t="n">
        <x:v>46300.45208333333</x:v>
      </x:c>
      <x:c r="K120" s="15" t="n">
        <x:v>4</x:v>
      </x:c>
      <x:c r="L120" s="15" t="n">
        <x:v>19</x:v>
      </x:c>
      <x:c r="M120" s="13" t="n">
        <x:f>J120+(K120+L120)/1440</x:f>
        <x:v>46300.46805555555</x:v>
      </x:c>
      <x:c r="N120" s="13" t="n">
        <x:f>VLOOKUP(C120,'MES orders'!$A$8:$H$127,5,FALSE)</x:f>
        <x:v>46302.666666666664</x:v>
      </x:c>
      <x:c r="O120" s="16" t="n">
        <x:f>MAX(0,(M120-N120)*24)</x:f>
        <x:v>0</x:v>
      </x:c>
      <x:c r="P120" s="9" t="str">
        <x:v>Yes</x:v>
      </x:c>
      <x:c r="Q120" s="15" t="n">
        <x:v>23</x:v>
      </x:c>
      <x:c r="R120" s="13" t="n">
        <x:f>J120+Q120/1440</x:f>
        <x:v>46300.46805555555</x:v>
      </x:c>
      <x:c r="S120" s="2" t="str">
        <x:f>VLOOKUP(C120,'MES orders'!$A$8:$H$127,6,FALSE)</x:f>
        <x:v>High</x:v>
      </x:c>
      <x:c r="T120" s="9" t="str"/>
    </x:row>
    <x:row r="121" ht="22" customHeight="1">
      <x:c r="A121" s="2" t="str">
        <x:v>L00122-030</x:v>
      </x:c>
      <x:c r="B121" s="2" t="str">
        <x:v>L00122</x:v>
      </x:c>
      <x:c r="C121" s="2" t="str">
        <x:v>SO-26025</x:v>
      </x:c>
      <x:c r="D121" s="2" t="str">
        <x:v>R-C-AL</x:v>
      </x:c>
      <x:c r="E121" s="14" t="n">
        <x:v>20</x:v>
      </x:c>
      <x:c r="F121" s="2" t="str">
        <x:v>Wash &amp; dry</x:v>
      </x:c>
      <x:c r="G121" s="9" t="str">
        <x:v>WS-01</x:v>
      </x:c>
      <x:c r="H121" s="15" t="n">
        <x:v>13</x:v>
      </x:c>
      <x:c r="I121" s="9" t="str">
        <x:v>P08</x:v>
      </x:c>
      <x:c r="J121" s="11" t="n">
        <x:v>46300.45208333333</x:v>
      </x:c>
      <x:c r="K121" s="15" t="n">
        <x:v>12</x:v>
      </x:c>
      <x:c r="L121" s="15" t="n">
        <x:v>6</x:v>
      </x:c>
      <x:c r="M121" s="13" t="n">
        <x:f>J121+(K121+L121)/1440</x:f>
        <x:v>46300.46458333333</x:v>
      </x:c>
      <x:c r="N121" s="13" t="n">
        <x:f>VLOOKUP(C121,'MES orders'!$A$8:$H$127,5,FALSE)</x:f>
        <x:v>46302.666666666664</x:v>
      </x:c>
      <x:c r="O121" s="16" t="n">
        <x:f>MAX(0,(M121-N121)*24)</x:f>
        <x:v>0</x:v>
      </x:c>
      <x:c r="P121" s="9" t="str">
        <x:v>Yes</x:v>
      </x:c>
      <x:c r="Q121" s="15" t="n">
        <x:v>18</x:v>
      </x:c>
      <x:c r="R121" s="13" t="n">
        <x:f>J121+Q121/1440</x:f>
        <x:v>46300.46458333333</x:v>
      </x:c>
      <x:c r="S121" s="2" t="str">
        <x:f>VLOOKUP(C121,'MES orders'!$A$8:$H$127,6,FALSE)</x:f>
        <x:v>Normal</x:v>
      </x:c>
      <x:c r="T121" s="9" t="str"/>
    </x:row>
    <x:row r="122" ht="22" customHeight="1">
      <x:c r="A122" s="2" t="str">
        <x:v>L00121-040</x:v>
      </x:c>
      <x:c r="B122" s="2" t="str">
        <x:v>L00121</x:v>
      </x:c>
      <x:c r="C122" s="2" t="str">
        <x:v>SO-26025</x:v>
      </x:c>
      <x:c r="D122" s="2" t="str">
        <x:v>R-C-AL</x:v>
      </x:c>
      <x:c r="E122" s="14" t="n">
        <x:v>20</x:v>
      </x:c>
      <x:c r="F122" s="2" t="str">
        <x:v>Mechanical assembly</x:v>
      </x:c>
      <x:c r="G122" s="9" t="str">
        <x:v>AS-04</x:v>
      </x:c>
      <x:c r="H122" s="15" t="n">
        <x:v>1</x:v>
      </x:c>
      <x:c r="I122" s="9" t="str">
        <x:v>P07</x:v>
      </x:c>
      <x:c r="J122" s="11" t="n">
        <x:v>46300.46041666667</x:v>
      </x:c>
      <x:c r="K122" s="15" t="n">
        <x:v>8</x:v>
      </x:c>
      <x:c r="L122" s="15" t="n">
        <x:v>29</x:v>
      </x:c>
      <x:c r="M122" s="13" t="n">
        <x:f>J122+(K122+L122)/1440</x:f>
        <x:v>46300.48611111111</x:v>
      </x:c>
      <x:c r="N122" s="13" t="n">
        <x:f>VLOOKUP(C122,'MES orders'!$A$8:$H$127,5,FALSE)</x:f>
        <x:v>46302.666666666664</x:v>
      </x:c>
      <x:c r="O122" s="16" t="n">
        <x:f>MAX(0,(M122-N122)*24)</x:f>
        <x:v>0</x:v>
      </x:c>
      <x:c r="P122" s="9" t="str">
        <x:v>Yes</x:v>
      </x:c>
      <x:c r="Q122" s="15" t="n">
        <x:v>37</x:v>
      </x:c>
      <x:c r="R122" s="13" t="n">
        <x:f>J122+Q122/1440</x:f>
        <x:v>46300.48611111111</x:v>
      </x:c>
      <x:c r="S122" s="2" t="str">
        <x:f>VLOOKUP(C122,'MES orders'!$A$8:$H$127,6,FALSE)</x:f>
        <x:v>Normal</x:v>
      </x:c>
      <x:c r="T122" s="9" t="str"/>
    </x:row>
    <x:row r="123" ht="22" customHeight="1">
      <x:c r="A123" s="2" t="str">
        <x:v>L00123-010</x:v>
      </x:c>
      <x:c r="B123" s="2" t="str">
        <x:v>L00123</x:v>
      </x:c>
      <x:c r="C123" s="2" t="str">
        <x:v>SO-26025</x:v>
      </x:c>
      <x:c r="D123" s="2" t="str">
        <x:v>R-C-AL</x:v>
      </x:c>
      <x:c r="E123" s="14" t="n">
        <x:v>20</x:v>
      </x:c>
      <x:c r="F123" s="2" t="str">
        <x:v>CNC machining</x:v>
      </x:c>
      <x:c r="G123" s="9" t="str">
        <x:v>CNC-01</x:v>
      </x:c>
      <x:c r="H123" s="15" t="n">
        <x:v>7</x:v>
      </x:c>
      <x:c r="I123" s="9" t="str">
        <x:v>P03</x:v>
      </x:c>
      <x:c r="J123" s="11" t="n">
        <x:v>46300.46041666667</x:v>
      </x:c>
      <x:c r="K123" s="15" t="n">
        <x:v>18</x:v>
      </x:c>
      <x:c r="L123" s="15" t="n">
        <x:v>38</x:v>
      </x:c>
      <x:c r="M123" s="13" t="n">
        <x:f>J123+(K123+L123)/1440</x:f>
        <x:v>46300.49930555556</x:v>
      </x:c>
      <x:c r="N123" s="13" t="n">
        <x:f>VLOOKUP(C123,'MES orders'!$A$8:$H$127,5,FALSE)</x:f>
        <x:v>46302.666666666664</x:v>
      </x:c>
      <x:c r="O123" s="16" t="n">
        <x:f>MAX(0,(M123-N123)*24)</x:f>
        <x:v>0</x:v>
      </x:c>
      <x:c r="P123" s="9" t="str">
        <x:v>Yes</x:v>
      </x:c>
      <x:c r="Q123" s="15" t="n">
        <x:v>18</x:v>
      </x:c>
      <x:c r="R123" s="13" t="n">
        <x:f>J123+Q123/1440</x:f>
        <x:v>46300.472916666666</x:v>
      </x:c>
      <x:c r="S123" s="2" t="str">
        <x:f>VLOOKUP(C123,'MES orders'!$A$8:$H$127,6,FALSE)</x:f>
        <x:v>Normal</x:v>
      </x:c>
      <x:c r="T123" s="9" t="str"/>
    </x:row>
    <x:row r="124" ht="22" customHeight="1">
      <x:c r="A124" s="2" t="str">
        <x:v>L00122-040</x:v>
      </x:c>
      <x:c r="B124" s="2" t="str">
        <x:v>L00122</x:v>
      </x:c>
      <x:c r="C124" s="2" t="str">
        <x:v>SO-26025</x:v>
      </x:c>
      <x:c r="D124" s="2" t="str">
        <x:v>R-C-AL</x:v>
      </x:c>
      <x:c r="E124" s="14" t="n">
        <x:v>20</x:v>
      </x:c>
      <x:c r="F124" s="2" t="str">
        <x:v>Mechanical assembly</x:v>
      </x:c>
      <x:c r="G124" s="9" t="str">
        <x:v>AS-06</x:v>
      </x:c>
      <x:c r="H124" s="15" t="n">
        <x:v>1</x:v>
      </x:c>
      <x:c r="I124" s="9" t="str">
        <x:v>P11</x:v>
      </x:c>
      <x:c r="J124" s="11" t="n">
        <x:v>46300.464583333334</x:v>
      </x:c>
      <x:c r="K124" s="15" t="n">
        <x:v>8</x:v>
      </x:c>
      <x:c r="L124" s="15" t="n">
        <x:v>29</x:v>
      </x:c>
      <x:c r="M124" s="13" t="n">
        <x:f>J124+(K124+L124)/1440</x:f>
        <x:v>46300.490277777775</x:v>
      </x:c>
      <x:c r="N124" s="13" t="n">
        <x:f>VLOOKUP(C124,'MES orders'!$A$8:$H$127,5,FALSE)</x:f>
        <x:v>46302.666666666664</x:v>
      </x:c>
      <x:c r="O124" s="16" t="n">
        <x:f>MAX(0,(M124-N124)*24)</x:f>
        <x:v>0</x:v>
      </x:c>
      <x:c r="P124" s="9" t="str">
        <x:v>Yes</x:v>
      </x:c>
      <x:c r="Q124" s="15" t="n">
        <x:v>37</x:v>
      </x:c>
      <x:c r="R124" s="13" t="n">
        <x:f>J124+Q124/1440</x:f>
        <x:v>46300.490277777775</x:v>
      </x:c>
      <x:c r="S124" s="2" t="str">
        <x:f>VLOOKUP(C124,'MES orders'!$A$8:$H$127,6,FALSE)</x:f>
        <x:v>Normal</x:v>
      </x:c>
      <x:c r="T124" s="9" t="str"/>
    </x:row>
    <x:row r="125" ht="22" customHeight="1">
      <x:c r="A125" s="2" t="str">
        <x:v>L00045-020</x:v>
      </x:c>
      <x:c r="B125" s="2" t="str">
        <x:v>L00045</x:v>
      </x:c>
      <x:c r="C125" s="2" t="str">
        <x:v>SO-26009</x:v>
      </x:c>
      <x:c r="D125" s="2" t="str">
        <x:v>D-S-AL</x:v>
      </x:c>
      <x:c r="E125" s="14" t="n">
        <x:v>5</x:v>
      </x:c>
      <x:c r="F125" s="2" t="str">
        <x:v>Deburr &amp; inspect</x:v>
      </x:c>
      <x:c r="G125" s="9" t="str">
        <x:v>DB-01</x:v>
      </x:c>
      <x:c r="H125" s="15" t="n">
        <x:v>14</x:v>
      </x:c>
      <x:c r="I125" s="9" t="str">
        <x:v>P06</x:v>
      </x:c>
      <x:c r="J125" s="11" t="n">
        <x:v>46300.46805555555</x:v>
      </x:c>
      <x:c r="K125" s="15" t="n">
        <x:v>4</x:v>
      </x:c>
      <x:c r="L125" s="15" t="n">
        <x:v>4</x:v>
      </x:c>
      <x:c r="M125" s="13" t="n">
        <x:f>J125+(K125+L125)/1440</x:f>
        <x:v>46300.47361111111</x:v>
      </x:c>
      <x:c r="N125" s="13" t="n">
        <x:f>VLOOKUP(C125,'MES orders'!$A$8:$H$127,5,FALSE)</x:f>
        <x:v>46302.666666666664</x:v>
      </x:c>
      <x:c r="O125" s="16" t="n">
        <x:f>MAX(0,(M125-N125)*24)</x:f>
        <x:v>0</x:v>
      </x:c>
      <x:c r="P125" s="9" t="str">
        <x:v>Yes</x:v>
      </x:c>
      <x:c r="Q125" s="15" t="n">
        <x:v>8</x:v>
      </x:c>
      <x:c r="R125" s="13" t="n">
        <x:f>J125+Q125/1440</x:f>
        <x:v>46300.47361111111</x:v>
      </x:c>
      <x:c r="S125" s="2" t="str">
        <x:f>VLOOKUP(C125,'MES orders'!$A$8:$H$127,6,FALSE)</x:f>
        <x:v>Normal</x:v>
      </x:c>
      <x:c r="T125" s="9" t="str"/>
    </x:row>
    <x:row r="126" ht="22" customHeight="1">
      <x:c r="A126" s="2" t="str">
        <x:v>L00082-020</x:v>
      </x:c>
      <x:c r="B126" s="2" t="str">
        <x:v>L00082</x:v>
      </x:c>
      <x:c r="C126" s="2" t="str">
        <x:v>SO-26017</x:v>
      </x:c>
      <x:c r="D126" s="2" t="str">
        <x:v>D-L-AL</x:v>
      </x:c>
      <x:c r="E126" s="14" t="n">
        <x:v>25</x:v>
      </x:c>
      <x:c r="F126" s="2" t="str">
        <x:v>Deburr &amp; inspect</x:v>
      </x:c>
      <x:c r="G126" s="9" t="str">
        <x:v>DB-02</x:v>
      </x:c>
      <x:c r="H126" s="15" t="n">
        <x:v>10</x:v>
      </x:c>
      <x:c r="I126" s="9" t="str">
        <x:v>P02</x:v>
      </x:c>
      <x:c r="J126" s="11" t="n">
        <x:v>46300.46944444445</x:v>
      </x:c>
      <x:c r="K126" s="15" t="n">
        <x:v>4</x:v>
      </x:c>
      <x:c r="L126" s="15" t="n">
        <x:v>24</x:v>
      </x:c>
      <x:c r="M126" s="13" t="n">
        <x:f>J126+(K126+L126)/1440</x:f>
        <x:v>46300.48888888889</x:v>
      </x:c>
      <x:c r="N126" s="13" t="n">
        <x:f>VLOOKUP(C126,'MES orders'!$A$8:$H$127,5,FALSE)</x:f>
        <x:v>46302.666666666664</x:v>
      </x:c>
      <x:c r="O126" s="16" t="n">
        <x:f>MAX(0,(M126-N126)*24)</x:f>
        <x:v>0</x:v>
      </x:c>
      <x:c r="P126" s="9" t="str">
        <x:v>Yes</x:v>
      </x:c>
      <x:c r="Q126" s="15" t="n">
        <x:v>28</x:v>
      </x:c>
      <x:c r="R126" s="13" t="n">
        <x:f>J126+Q126/1440</x:f>
        <x:v>46300.48888888889</x:v>
      </x:c>
      <x:c r="S126" s="2" t="str">
        <x:f>VLOOKUP(C126,'MES orders'!$A$8:$H$127,6,FALSE)</x:f>
        <x:v>Normal</x:v>
      </x:c>
      <x:c r="T126" s="9" t="str"/>
    </x:row>
    <x:row r="127" ht="22" customHeight="1">
      <x:c r="A127" s="2" t="str">
        <x:v>L00081-030</x:v>
      </x:c>
      <x:c r="B127" s="2" t="str">
        <x:v>L00081</x:v>
      </x:c>
      <x:c r="C127" s="2" t="str">
        <x:v>SO-26017</x:v>
      </x:c>
      <x:c r="D127" s="2" t="str">
        <x:v>D-L-AL</x:v>
      </x:c>
      <x:c r="E127" s="14" t="n">
        <x:v>25</x:v>
      </x:c>
      <x:c r="F127" s="2" t="str">
        <x:v>Wash &amp; dry</x:v>
      </x:c>
      <x:c r="G127" s="9" t="str">
        <x:v>WS-01</x:v>
      </x:c>
      <x:c r="H127" s="15" t="n">
        <x:v>14</x:v>
      </x:c>
      <x:c r="I127" s="9" t="str">
        <x:v>P01</x:v>
      </x:c>
      <x:c r="J127" s="11" t="n">
        <x:v>46300.46944444445</x:v>
      </x:c>
      <x:c r="K127" s="15" t="n">
        <x:v>12</x:v>
      </x:c>
      <x:c r="L127" s="15" t="n">
        <x:v>12</x:v>
      </x:c>
      <x:c r="M127" s="13" t="n">
        <x:f>J127+(K127+L127)/1440</x:f>
        <x:v>46300.48611111112</x:v>
      </x:c>
      <x:c r="N127" s="13" t="n">
        <x:f>VLOOKUP(C127,'MES orders'!$A$8:$H$127,5,FALSE)</x:f>
        <x:v>46302.666666666664</x:v>
      </x:c>
      <x:c r="O127" s="16" t="n">
        <x:f>MAX(0,(M127-N127)*24)</x:f>
        <x:v>0</x:v>
      </x:c>
      <x:c r="P127" s="9" t="str">
        <x:v>Yes</x:v>
      </x:c>
      <x:c r="Q127" s="15" t="n">
        <x:v>24</x:v>
      </x:c>
      <x:c r="R127" s="13" t="n">
        <x:f>J127+Q127/1440</x:f>
        <x:v>46300.48611111112</x:v>
      </x:c>
      <x:c r="S127" s="2" t="str">
        <x:f>VLOOKUP(C127,'MES orders'!$A$8:$H$127,6,FALSE)</x:f>
        <x:v>Normal</x:v>
      </x:c>
      <x:c r="T127" s="9" t="str"/>
    </x:row>
    <x:row r="128" ht="22" customHeight="1">
      <x:c r="A128" s="2" t="str">
        <x:v>L00083-020</x:v>
      </x:c>
      <x:c r="B128" s="2" t="str">
        <x:v>L00083</x:v>
      </x:c>
      <x:c r="C128" s="2" t="str">
        <x:v>SO-26017</x:v>
      </x:c>
      <x:c r="D128" s="2" t="str">
        <x:v>D-L-AL</x:v>
      </x:c>
      <x:c r="E128" s="14" t="n">
        <x:v>25</x:v>
      </x:c>
      <x:c r="F128" s="2" t="str">
        <x:v>Deburr &amp; inspect</x:v>
      </x:c>
      <x:c r="G128" s="9" t="str">
        <x:v>DB-01</x:v>
      </x:c>
      <x:c r="H128" s="15" t="n">
        <x:v>15</x:v>
      </x:c>
      <x:c r="I128" s="9" t="str">
        <x:v>P03</x:v>
      </x:c>
      <x:c r="J128" s="11" t="n">
        <x:v>46300.47361111111</x:v>
      </x:c>
      <x:c r="K128" s="15" t="n">
        <x:v>4</x:v>
      </x:c>
      <x:c r="L128" s="15" t="n">
        <x:v>24</x:v>
      </x:c>
      <x:c r="M128" s="13" t="n">
        <x:f>J128+(K128+L128)/1440</x:f>
        <x:v>46300.493055555555</x:v>
      </x:c>
      <x:c r="N128" s="13" t="n">
        <x:f>VLOOKUP(C128,'MES orders'!$A$8:$H$127,5,FALSE)</x:f>
        <x:v>46302.666666666664</x:v>
      </x:c>
      <x:c r="O128" s="16" t="n">
        <x:f>MAX(0,(M128-N128)*24)</x:f>
        <x:v>0</x:v>
      </x:c>
      <x:c r="P128" s="9" t="str">
        <x:v>Yes</x:v>
      </x:c>
      <x:c r="Q128" s="15" t="n">
        <x:v>28</x:v>
      </x:c>
      <x:c r="R128" s="13" t="n">
        <x:f>J128+Q128/1440</x:f>
        <x:v>46300.493055555555</x:v>
      </x:c>
      <x:c r="S128" s="2" t="str">
        <x:f>VLOOKUP(C128,'MES orders'!$A$8:$H$127,6,FALSE)</x:f>
        <x:v>Normal</x:v>
      </x:c>
      <x:c r="T128" s="9" t="str"/>
    </x:row>
    <x:row r="129" ht="22" customHeight="1">
      <x:c r="A129" s="2" t="str">
        <x:v>L00561-050</x:v>
      </x:c>
      <x:c r="B129" s="2" t="str">
        <x:v>L00561</x:v>
      </x:c>
      <x:c r="C129" s="2" t="str">
        <x:v>SO-26113</x:v>
      </x:c>
      <x:c r="D129" s="2" t="str">
        <x:v>R-L-AL</x:v>
      </x:c>
      <x:c r="E129" s="14" t="n">
        <x:v>20</x:v>
      </x:c>
      <x:c r="F129" s="2" t="str">
        <x:v>Valve adjustment</x:v>
      </x:c>
      <x:c r="G129" s="9" t="str">
        <x:v>AS-01</x:v>
      </x:c>
      <x:c r="H129" s="15" t="n">
        <x:v>12</x:v>
      </x:c>
      <x:c r="I129" s="9" t="str">
        <x:v>P05</x:v>
      </x:c>
      <x:c r="J129" s="11" t="n">
        <x:v>46300.47708333333</x:v>
      </x:c>
      <x:c r="K129" s="15" t="n">
        <x:v>6</x:v>
      </x:c>
      <x:c r="L129" s="15" t="n">
        <x:v>30</x:v>
      </x:c>
      <x:c r="M129" s="13" t="n">
        <x:f>J129+(K129+L129)/1440</x:f>
        <x:v>46300.50208333333</x:v>
      </x:c>
      <x:c r="N129" s="13" t="n">
        <x:f>VLOOKUP(C129,'MES orders'!$A$8:$H$127,5,FALSE)</x:f>
        <x:v>46302.666666666664</x:v>
      </x:c>
      <x:c r="O129" s="16" t="n">
        <x:f>MAX(0,(M129-N129)*24)</x:f>
        <x:v>0</x:v>
      </x:c>
      <x:c r="P129" s="9" t="str">
        <x:v>Yes</x:v>
      </x:c>
      <x:c r="Q129" s="15" t="n">
        <x:v>36</x:v>
      </x:c>
      <x:c r="R129" s="13" t="n">
        <x:f>J129+Q129/1440</x:f>
        <x:v>46300.50208333333</x:v>
      </x:c>
      <x:c r="S129" s="2" t="str">
        <x:f>VLOOKUP(C129,'MES orders'!$A$8:$H$127,6,FALSE)</x:f>
        <x:v>High</x:v>
      </x:c>
      <x:c r="T129" s="9" t="str"/>
    </x:row>
    <x:row r="130" ht="22" customHeight="1">
      <x:c r="A130" s="2" t="str">
        <x:v>L00562-050</x:v>
      </x:c>
      <x:c r="B130" s="2" t="str">
        <x:v>L00562</x:v>
      </x:c>
      <x:c r="C130" s="2" t="str">
        <x:v>SO-26113</x:v>
      </x:c>
      <x:c r="D130" s="2" t="str">
        <x:v>R-L-AL</x:v>
      </x:c>
      <x:c r="E130" s="14" t="n">
        <x:v>20</x:v>
      </x:c>
      <x:c r="F130" s="2" t="str">
        <x:v>Valve adjustment</x:v>
      </x:c>
      <x:c r="G130" s="9" t="str">
        <x:v>AS-02</x:v>
      </x:c>
      <x:c r="H130" s="15" t="n">
        <x:v>8</x:v>
      </x:c>
      <x:c r="I130" s="9" t="str">
        <x:v>P06</x:v>
      </x:c>
      <x:c r="J130" s="11" t="n">
        <x:v>46300.47708333333</x:v>
      </x:c>
      <x:c r="K130" s="15" t="n">
        <x:v>6</x:v>
      </x:c>
      <x:c r="L130" s="15" t="n">
        <x:v>30</x:v>
      </x:c>
      <x:c r="M130" s="13" t="n">
        <x:f>J130+(K130+L130)/1440</x:f>
        <x:v>46300.50208333333</x:v>
      </x:c>
      <x:c r="N130" s="13" t="n">
        <x:f>VLOOKUP(C130,'MES orders'!$A$8:$H$127,5,FALSE)</x:f>
        <x:v>46302.666666666664</x:v>
      </x:c>
      <x:c r="O130" s="16" t="n">
        <x:f>MAX(0,(M130-N130)*24)</x:f>
        <x:v>0</x:v>
      </x:c>
      <x:c r="P130" s="9" t="str">
        <x:v>Yes</x:v>
      </x:c>
      <x:c r="Q130" s="15" t="n">
        <x:v>36</x:v>
      </x:c>
      <x:c r="R130" s="13" t="n">
        <x:f>J130+Q130/1440</x:f>
        <x:v>46300.50208333333</x:v>
      </x:c>
      <x:c r="S130" s="2" t="str">
        <x:f>VLOOKUP(C130,'MES orders'!$A$8:$H$127,6,FALSE)</x:f>
        <x:v>High</x:v>
      </x:c>
      <x:c r="T130" s="9" t="str"/>
    </x:row>
    <x:row r="131" ht="22" customHeight="1">
      <x:c r="A131" s="2" t="str">
        <x:v>L00563-040</x:v>
      </x:c>
      <x:c r="B131" s="2" t="str">
        <x:v>L00563</x:v>
      </x:c>
      <x:c r="C131" s="2" t="str">
        <x:v>SO-26113</x:v>
      </x:c>
      <x:c r="D131" s="2" t="str">
        <x:v>R-L-AL</x:v>
      </x:c>
      <x:c r="E131" s="14" t="n">
        <x:v>20</x:v>
      </x:c>
      <x:c r="F131" s="2" t="str">
        <x:v>Mechanical assembly</x:v>
      </x:c>
      <x:c r="G131" s="9" t="str">
        <x:v>AS-03</x:v>
      </x:c>
      <x:c r="H131" s="15" t="n">
        <x:v>4</x:v>
      </x:c>
      <x:c r="I131" s="9" t="str">
        <x:v>P04</x:v>
      </x:c>
      <x:c r="J131" s="11" t="n">
        <x:v>46300.47708333333</x:v>
      </x:c>
      <x:c r="K131" s="15" t="n">
        <x:v>8</x:v>
      </x:c>
      <x:c r="L131" s="15" t="n">
        <x:v>49</x:v>
      </x:c>
      <x:c r="M131" s="13" t="n">
        <x:f>J131+(K131+L131)/1440</x:f>
        <x:v>46300.51666666666</x:v>
      </x:c>
      <x:c r="N131" s="13" t="n">
        <x:f>VLOOKUP(C131,'MES orders'!$A$8:$H$127,5,FALSE)</x:f>
        <x:v>46302.666666666664</x:v>
      </x:c>
      <x:c r="O131" s="16" t="n">
        <x:f>MAX(0,(M131-N131)*24)</x:f>
        <x:v>0</x:v>
      </x:c>
      <x:c r="P131" s="9" t="str">
        <x:v>Yes</x:v>
      </x:c>
      <x:c r="Q131" s="15" t="n">
        <x:v>57</x:v>
      </x:c>
      <x:c r="R131" s="13" t="n">
        <x:f>J131+Q131/1440</x:f>
        <x:v>46300.51666666666</x:v>
      </x:c>
      <x:c r="S131" s="2" t="str">
        <x:f>VLOOKUP(C131,'MES orders'!$A$8:$H$127,6,FALSE)</x:f>
        <x:v>High</x:v>
      </x:c>
      <x:c r="T131" s="9" t="str"/>
    </x:row>
    <x:row r="132" ht="22" customHeight="1">
      <x:c r="A132" s="2" t="str">
        <x:v>L00081-040</x:v>
      </x:c>
      <x:c r="B132" s="2" t="str">
        <x:v>L00081</x:v>
      </x:c>
      <x:c r="C132" s="2" t="str">
        <x:v>SO-26017</x:v>
      </x:c>
      <x:c r="D132" s="2" t="str">
        <x:v>D-L-AL</x:v>
      </x:c>
      <x:c r="E132" s="14" t="n">
        <x:v>25</x:v>
      </x:c>
      <x:c r="F132" s="2" t="str">
        <x:v>Mechanical assembly</x:v>
      </x:c>
      <x:c r="G132" s="9" t="str">
        <x:v>AS-04</x:v>
      </x:c>
      <x:c r="H132" s="15" t="n">
        <x:v>2</x:v>
      </x:c>
      <x:c r="I132" s="9" t="str">
        <x:v>P01</x:v>
      </x:c>
      <x:c r="J132" s="11" t="n">
        <x:v>46300.48611111111</x:v>
      </x:c>
      <x:c r="K132" s="15" t="n">
        <x:v>8</x:v>
      </x:c>
      <x:c r="L132" s="15" t="n">
        <x:v>61</x:v>
      </x:c>
      <x:c r="M132" s="13" t="n">
        <x:f>J132+(K132+L132)/1440</x:f>
        <x:v>46300.53402777778</x:v>
      </x:c>
      <x:c r="N132" s="13" t="n">
        <x:f>VLOOKUP(C132,'MES orders'!$A$8:$H$127,5,FALSE)</x:f>
        <x:v>46302.666666666664</x:v>
      </x:c>
      <x:c r="O132" s="16" t="n">
        <x:f>MAX(0,(M132-N132)*24)</x:f>
        <x:v>0</x:v>
      </x:c>
      <x:c r="P132" s="9" t="str">
        <x:v>Yes</x:v>
      </x:c>
      <x:c r="Q132" s="15" t="n">
        <x:v>69</x:v>
      </x:c>
      <x:c r="R132" s="13" t="n">
        <x:f>J132+Q132/1440</x:f>
        <x:v>46300.53402777778</x:v>
      </x:c>
      <x:c r="S132" s="2" t="str">
        <x:f>VLOOKUP(C132,'MES orders'!$A$8:$H$127,6,FALSE)</x:f>
        <x:v>Normal</x:v>
      </x:c>
      <x:c r="T132" s="9" t="str"/>
    </x:row>
    <x:row r="133" ht="22" customHeight="1">
      <x:c r="A133" s="2" t="str">
        <x:v>L00121-050</x:v>
      </x:c>
      <x:c r="B133" s="2" t="str">
        <x:v>L00121</x:v>
      </x:c>
      <x:c r="C133" s="2" t="str">
        <x:v>SO-26025</x:v>
      </x:c>
      <x:c r="D133" s="2" t="str">
        <x:v>R-C-AL</x:v>
      </x:c>
      <x:c r="E133" s="14" t="n">
        <x:v>20</x:v>
      </x:c>
      <x:c r="F133" s="2" t="str">
        <x:v>Valve adjustment</x:v>
      </x:c>
      <x:c r="G133" s="9" t="str">
        <x:v>AS-05</x:v>
      </x:c>
      <x:c r="H133" s="15" t="n">
        <x:v>1</x:v>
      </x:c>
      <x:c r="I133" s="9" t="str">
        <x:v>P08</x:v>
      </x:c>
      <x:c r="J133" s="11" t="n">
        <x:v>46300.48611111111</x:v>
      </x:c>
      <x:c r="K133" s="15" t="n">
        <x:v>6</x:v>
      </x:c>
      <x:c r="L133" s="15" t="n">
        <x:v>18</x:v>
      </x:c>
      <x:c r="M133" s="13" t="n">
        <x:f>J133+(K133+L133)/1440</x:f>
        <x:v>46300.50277777778</x:v>
      </x:c>
      <x:c r="N133" s="13" t="n">
        <x:f>VLOOKUP(C133,'MES orders'!$A$8:$H$127,5,FALSE)</x:f>
        <x:v>46302.666666666664</x:v>
      </x:c>
      <x:c r="O133" s="16" t="n">
        <x:f>MAX(0,(M133-N133)*24)</x:f>
        <x:v>0</x:v>
      </x:c>
      <x:c r="P133" s="9" t="str">
        <x:v>Yes</x:v>
      </x:c>
      <x:c r="Q133" s="15" t="n">
        <x:v>24</x:v>
      </x:c>
      <x:c r="R133" s="13" t="n">
        <x:f>J133+Q133/1440</x:f>
        <x:v>46300.50277777778</x:v>
      </x:c>
      <x:c r="S133" s="2" t="str">
        <x:f>VLOOKUP(C133,'MES orders'!$A$8:$H$127,6,FALSE)</x:f>
        <x:v>Normal</x:v>
      </x:c>
      <x:c r="T133" s="9" t="str"/>
    </x:row>
    <x:row r="134" ht="22" customHeight="1">
      <x:c r="A134" s="2" t="str">
        <x:v>L00084-020</x:v>
      </x:c>
      <x:c r="B134" s="2" t="str">
        <x:v>L00084</x:v>
      </x:c>
      <x:c r="C134" s="2" t="str">
        <x:v>SO-26017</x:v>
      </x:c>
      <x:c r="D134" s="2" t="str">
        <x:v>D-L-AL</x:v>
      </x:c>
      <x:c r="E134" s="14" t="n">
        <x:v>25</x:v>
      </x:c>
      <x:c r="F134" s="2" t="str">
        <x:v>Deburr &amp; inspect</x:v>
      </x:c>
      <x:c r="G134" s="9" t="str">
        <x:v>DB-02</x:v>
      </x:c>
      <x:c r="H134" s="15" t="n">
        <x:v>11</x:v>
      </x:c>
      <x:c r="I134" s="9" t="str">
        <x:v>P07</x:v>
      </x:c>
      <x:c r="J134" s="11" t="n">
        <x:v>46300.48888888889</x:v>
      </x:c>
      <x:c r="K134" s="15" t="n">
        <x:v>4</x:v>
      </x:c>
      <x:c r="L134" s="15" t="n">
        <x:v>24</x:v>
      </x:c>
      <x:c r="M134" s="13" t="n">
        <x:f>J134+(K134+L134)/1440</x:f>
        <x:v>46300.50833333333</x:v>
      </x:c>
      <x:c r="N134" s="13" t="n">
        <x:f>VLOOKUP(C134,'MES orders'!$A$8:$H$127,5,FALSE)</x:f>
        <x:v>46302.666666666664</x:v>
      </x:c>
      <x:c r="O134" s="16" t="n">
        <x:f>MAX(0,(M134-N134)*24)</x:f>
        <x:v>0</x:v>
      </x:c>
      <x:c r="P134" s="9" t="str">
        <x:v>Yes</x:v>
      </x:c>
      <x:c r="Q134" s="15" t="n">
        <x:v>28</x:v>
      </x:c>
      <x:c r="R134" s="13" t="n">
        <x:f>J134+Q134/1440</x:f>
        <x:v>46300.50833333333</x:v>
      </x:c>
      <x:c r="S134" s="2" t="str">
        <x:f>VLOOKUP(C134,'MES orders'!$A$8:$H$127,6,FALSE)</x:f>
        <x:v>Normal</x:v>
      </x:c>
      <x:c r="T134" s="9" t="str"/>
    </x:row>
    <x:row r="135" ht="22" customHeight="1">
      <x:c r="A135" s="2" t="str">
        <x:v>L00124-010</x:v>
      </x:c>
      <x:c r="B135" s="2" t="str">
        <x:v>L00124</x:v>
      </x:c>
      <x:c r="C135" s="2" t="str">
        <x:v>SO-26025</x:v>
      </x:c>
      <x:c r="D135" s="2" t="str">
        <x:v>R-C-AL</x:v>
      </x:c>
      <x:c r="E135" s="14" t="n">
        <x:v>20</x:v>
      </x:c>
      <x:c r="F135" s="2" t="str">
        <x:v>CNC machining</x:v>
      </x:c>
      <x:c r="G135" s="9" t="str">
        <x:v>CNC-02</x:v>
      </x:c>
      <x:c r="H135" s="15" t="n">
        <x:v>6</x:v>
      </x:c>
      <x:c r="I135" s="9" t="str">
        <x:v>P03</x:v>
      </x:c>
      <x:c r="J135" s="11" t="n">
        <x:v>46300.493055555555</x:v>
      </x:c>
      <x:c r="K135" s="15" t="n">
        <x:v>18</x:v>
      </x:c>
      <x:c r="L135" s="15" t="n">
        <x:v>38</x:v>
      </x:c>
      <x:c r="M135" s="13" t="n">
        <x:f>J135+(K135+L135)/1440</x:f>
        <x:v>46300.53194444445</x:v>
      </x:c>
      <x:c r="N135" s="13" t="n">
        <x:f>VLOOKUP(C135,'MES orders'!$A$8:$H$127,5,FALSE)</x:f>
        <x:v>46302.666666666664</x:v>
      </x:c>
      <x:c r="O135" s="16" t="n">
        <x:f>MAX(0,(M135-N135)*24)</x:f>
        <x:v>0</x:v>
      </x:c>
      <x:c r="P135" s="9" t="str">
        <x:v>Yes</x:v>
      </x:c>
      <x:c r="Q135" s="15" t="n">
        <x:v>18</x:v>
      </x:c>
      <x:c r="R135" s="13" t="n">
        <x:f>J135+Q135/1440</x:f>
        <x:v>46300.50555555555</x:v>
      </x:c>
      <x:c r="S135" s="2" t="str">
        <x:f>VLOOKUP(C135,'MES orders'!$A$8:$H$127,6,FALSE)</x:f>
        <x:v>Normal</x:v>
      </x:c>
      <x:c r="T135" s="9" t="str"/>
    </x:row>
    <x:row r="136" ht="22" customHeight="1">
      <x:c r="A136" s="2" t="str">
        <x:v>L00083-030</x:v>
      </x:c>
      <x:c r="B136" s="2" t="str">
        <x:v>L00083</x:v>
      </x:c>
      <x:c r="C136" s="2" t="str">
        <x:v>SO-26017</x:v>
      </x:c>
      <x:c r="D136" s="2" t="str">
        <x:v>D-L-AL</x:v>
      </x:c>
      <x:c r="E136" s="14" t="n">
        <x:v>25</x:v>
      </x:c>
      <x:c r="F136" s="2" t="str">
        <x:v>Wash &amp; dry</x:v>
      </x:c>
      <x:c r="G136" s="9" t="str">
        <x:v>WS-02</x:v>
      </x:c>
      <x:c r="H136" s="15" t="n">
        <x:v>8</x:v>
      </x:c>
      <x:c r="I136" s="9" t="str">
        <x:v>P02</x:v>
      </x:c>
      <x:c r="J136" s="11" t="n">
        <x:v>46300.493055555555</x:v>
      </x:c>
      <x:c r="K136" s="15" t="n">
        <x:v>12</x:v>
      </x:c>
      <x:c r="L136" s="15" t="n">
        <x:v>12</x:v>
      </x:c>
      <x:c r="M136" s="13" t="n">
        <x:f>J136+(K136+L136)/1440</x:f>
        <x:v>46300.509722222225</x:v>
      </x:c>
      <x:c r="N136" s="13" t="n">
        <x:f>VLOOKUP(C136,'MES orders'!$A$8:$H$127,5,FALSE)</x:f>
        <x:v>46302.666666666664</x:v>
      </x:c>
      <x:c r="O136" s="16" t="n">
        <x:f>MAX(0,(M136-N136)*24)</x:f>
        <x:v>0</x:v>
      </x:c>
      <x:c r="P136" s="9" t="str">
        <x:v>Yes</x:v>
      </x:c>
      <x:c r="Q136" s="15" t="n">
        <x:v>24</x:v>
      </x:c>
      <x:c r="R136" s="13" t="n">
        <x:f>J136+Q136/1440</x:f>
        <x:v>46300.509722222225</x:v>
      </x:c>
      <x:c r="S136" s="2" t="str">
        <x:f>VLOOKUP(C136,'MES orders'!$A$8:$H$127,6,FALSE)</x:f>
        <x:v>Normal</x:v>
      </x:c>
      <x:c r="T136" s="9" t="str"/>
    </x:row>
    <x:row r="137" ht="22" customHeight="1">
      <x:c r="A137" s="2" t="str">
        <x:v>L00564-040</x:v>
      </x:c>
      <x:c r="B137" s="2" t="str">
        <x:v>L00564</x:v>
      </x:c>
      <x:c r="C137" s="2" t="str">
        <x:v>SO-26113</x:v>
      </x:c>
      <x:c r="D137" s="2" t="str">
        <x:v>R-L-AL</x:v>
      </x:c>
      <x:c r="E137" s="14" t="n">
        <x:v>20</x:v>
      </x:c>
      <x:c r="F137" s="2" t="str">
        <x:v>Mechanical assembly</x:v>
      </x:c>
      <x:c r="G137" s="9" t="str">
        <x:v>AS-02</x:v>
      </x:c>
      <x:c r="H137" s="15" t="n">
        <x:v>9</x:v>
      </x:c>
      <x:c r="I137" s="9" t="str">
        <x:v>P06</x:v>
      </x:c>
      <x:c r="J137" s="11" t="n">
        <x:v>46300.50208333333</x:v>
      </x:c>
      <x:c r="K137" s="15" t="n">
        <x:v>8</x:v>
      </x:c>
      <x:c r="L137" s="15" t="n">
        <x:v>49</x:v>
      </x:c>
      <x:c r="M137" s="13" t="n">
        <x:f>J137+(K137+L137)/1440</x:f>
        <x:v>46300.541666666664</x:v>
      </x:c>
      <x:c r="N137" s="13" t="n">
        <x:f>VLOOKUP(C137,'MES orders'!$A$8:$H$127,5,FALSE)</x:f>
        <x:v>46302.666666666664</x:v>
      </x:c>
      <x:c r="O137" s="16" t="n">
        <x:f>MAX(0,(M137-N137)*24)</x:f>
        <x:v>0</x:v>
      </x:c>
      <x:c r="P137" s="9" t="str">
        <x:v>No</x:v>
      </x:c>
      <x:c r="Q137" s="15" t="n">
        <x:v>57</x:v>
      </x:c>
      <x:c r="R137" s="13" t="n">
        <x:f>J137+Q137/1440</x:f>
        <x:v>46300.541666666664</x:v>
      </x:c>
      <x:c r="S137" s="2" t="str">
        <x:f>VLOOKUP(C137,'MES orders'!$A$8:$H$127,6,FALSE)</x:f>
        <x:v>High</x:v>
      </x:c>
      <x:c r="T137" s="9" t="str"/>
    </x:row>
    <x:row r="138" ht="22" customHeight="1">
      <x:c r="A138" s="2" t="str">
        <x:v>L00561-060</x:v>
      </x:c>
      <x:c r="B138" s="2" t="str">
        <x:v>L00561</x:v>
      </x:c>
      <x:c r="C138" s="2" t="str">
        <x:v>SO-26113</x:v>
      </x:c>
      <x:c r="D138" s="2" t="str">
        <x:v>R-L-AL</x:v>
      </x:c>
      <x:c r="E138" s="14" t="n">
        <x:v>20</x:v>
      </x:c>
      <x:c r="F138" s="2" t="str">
        <x:v>Final leak / function test</x:v>
      </x:c>
      <x:c r="G138" s="9" t="str">
        <x:v>QA-02</x:v>
      </x:c>
      <x:c r="H138" s="15" t="n">
        <x:v>8</x:v>
      </x:c>
      <x:c r="I138" s="9" t="str">
        <x:v>P11</x:v>
      </x:c>
      <x:c r="J138" s="11" t="n">
        <x:v>46300.50208333333</x:v>
      </x:c>
      <x:c r="K138" s="15" t="n">
        <x:v>10</x:v>
      </x:c>
      <x:c r="L138" s="15" t="n">
        <x:v>24</x:v>
      </x:c>
      <x:c r="M138" s="13" t="n">
        <x:f>J138+(K138+L138)/1440</x:f>
        <x:v>46300.52569444444</x:v>
      </x:c>
      <x:c r="N138" s="13" t="n">
        <x:f>VLOOKUP(C138,'MES orders'!$A$8:$H$127,5,FALSE)</x:f>
        <x:v>46302.666666666664</x:v>
      </x:c>
      <x:c r="O138" s="16" t="n">
        <x:f>MAX(0,(M138-N138)*24)</x:f>
        <x:v>0</x:v>
      </x:c>
      <x:c r="P138" s="9" t="str">
        <x:v>No</x:v>
      </x:c>
      <x:c r="Q138" s="15" t="n">
        <x:v>34</x:v>
      </x:c>
      <x:c r="R138" s="13" t="n">
        <x:f>J138+Q138/1440</x:f>
        <x:v>46300.52569444444</x:v>
      </x:c>
      <x:c r="S138" s="2" t="str">
        <x:f>VLOOKUP(C138,'MES orders'!$A$8:$H$127,6,FALSE)</x:f>
        <x:v>High</x:v>
      </x:c>
      <x:c r="T138" s="9" t="str"/>
    </x:row>
    <x:row r="139" ht="22" customHeight="1">
      <x:c r="A139" s="2" t="str">
        <x:v>L00562-060</x:v>
      </x:c>
      <x:c r="B139" s="2" t="str">
        <x:v>L00562</x:v>
      </x:c>
      <x:c r="C139" s="2" t="str">
        <x:v>SO-26113</x:v>
      </x:c>
      <x:c r="D139" s="2" t="str">
        <x:v>R-L-AL</x:v>
      </x:c>
      <x:c r="E139" s="14" t="n">
        <x:v>20</x:v>
      </x:c>
      <x:c r="F139" s="2" t="str">
        <x:v>Final leak / function test</x:v>
      </x:c>
      <x:c r="G139" s="9" t="str">
        <x:v>QA-03</x:v>
      </x:c>
      <x:c r="H139" s="15" t="n">
        <x:v>1</x:v>
      </x:c>
      <x:c r="I139" s="9" t="str">
        <x:v>P12</x:v>
      </x:c>
      <x:c r="J139" s="11" t="n">
        <x:v>46300.50208333333</x:v>
      </x:c>
      <x:c r="K139" s="15" t="n">
        <x:v>10</x:v>
      </x:c>
      <x:c r="L139" s="15" t="n">
        <x:v>24</x:v>
      </x:c>
      <x:c r="M139" s="13" t="n">
        <x:f>J139+(K139+L139)/1440</x:f>
        <x:v>46300.52569444444</x:v>
      </x:c>
      <x:c r="N139" s="13" t="n">
        <x:f>VLOOKUP(C139,'MES orders'!$A$8:$H$127,5,FALSE)</x:f>
        <x:v>46302.666666666664</x:v>
      </x:c>
      <x:c r="O139" s="16" t="n">
        <x:f>MAX(0,(M139-N139)*24)</x:f>
        <x:v>0</x:v>
      </x:c>
      <x:c r="P139" s="9" t="str">
        <x:v>No</x:v>
      </x:c>
      <x:c r="Q139" s="15" t="n">
        <x:v>34</x:v>
      </x:c>
      <x:c r="R139" s="13" t="n">
        <x:f>J139+Q139/1440</x:f>
        <x:v>46300.52569444444</x:v>
      </x:c>
      <x:c r="S139" s="2" t="str">
        <x:f>VLOOKUP(C139,'MES orders'!$A$8:$H$127,6,FALSE)</x:f>
        <x:v>High</x:v>
      </x:c>
      <x:c r="T139" s="9" t="str"/>
    </x:row>
    <x:row r="140" ht="22" customHeight="1">
      <x:c r="A140" s="2" t="str">
        <x:v>L00565-030</x:v>
      </x:c>
      <x:c r="B140" s="2" t="str">
        <x:v>L00565</x:v>
      </x:c>
      <x:c r="C140" s="2" t="str">
        <x:v>SO-26113</x:v>
      </x:c>
      <x:c r="D140" s="2" t="str">
        <x:v>R-L-AL</x:v>
      </x:c>
      <x:c r="E140" s="14" t="n">
        <x:v>20</x:v>
      </x:c>
      <x:c r="F140" s="2" t="str">
        <x:v>Wash &amp; dry</x:v>
      </x:c>
      <x:c r="G140" s="9" t="str">
        <x:v>WS-01</x:v>
      </x:c>
      <x:c r="H140" s="15" t="n">
        <x:v>15</x:v>
      </x:c>
      <x:c r="I140" s="9" t="str">
        <x:v>P05</x:v>
      </x:c>
      <x:c r="J140" s="11" t="n">
        <x:v>46300.50208333333</x:v>
      </x:c>
      <x:c r="K140" s="15" t="n">
        <x:v>12</x:v>
      </x:c>
      <x:c r="L140" s="15" t="n">
        <x:v>9</x:v>
      </x:c>
      <x:c r="M140" s="13" t="n">
        <x:f>J140+(K140+L140)/1440</x:f>
        <x:v>46300.51666666666</x:v>
      </x:c>
      <x:c r="N140" s="13" t="n">
        <x:f>VLOOKUP(C140,'MES orders'!$A$8:$H$127,5,FALSE)</x:f>
        <x:v>46302.666666666664</x:v>
      </x:c>
      <x:c r="O140" s="16" t="n">
        <x:f>MAX(0,(M140-N140)*24)</x:f>
        <x:v>0</x:v>
      </x:c>
      <x:c r="P140" s="9" t="str">
        <x:v>No</x:v>
      </x:c>
      <x:c r="Q140" s="15" t="n">
        <x:v>21</x:v>
      </x:c>
      <x:c r="R140" s="13" t="n">
        <x:f>J140+Q140/1440</x:f>
        <x:v>46300.51666666666</x:v>
      </x:c>
      <x:c r="S140" s="2" t="str">
        <x:f>VLOOKUP(C140,'MES orders'!$A$8:$H$127,6,FALSE)</x:f>
        <x:v>High</x:v>
      </x:c>
      <x:c r="T140" s="9" t="str"/>
    </x:row>
    <x:row r="141" ht="22" customHeight="1">
      <x:c r="A141" s="2" t="str">
        <x:v>L00122-050</x:v>
      </x:c>
      <x:c r="B141" s="2" t="str">
        <x:v>L00122</x:v>
      </x:c>
      <x:c r="C141" s="2" t="str">
        <x:v>SO-26025</x:v>
      </x:c>
      <x:c r="D141" s="2" t="str">
        <x:v>R-C-AL</x:v>
      </x:c>
      <x:c r="E141" s="14" t="n">
        <x:v>20</x:v>
      </x:c>
      <x:c r="F141" s="2" t="str">
        <x:v>Valve adjustment</x:v>
      </x:c>
      <x:c r="G141" s="9" t="str">
        <x:v>AS-05</x:v>
      </x:c>
      <x:c r="H141" s="15" t="n">
        <x:v>2</x:v>
      </x:c>
      <x:c r="I141" s="9" t="str">
        <x:v>P08</x:v>
      </x:c>
      <x:c r="J141" s="11" t="n">
        <x:v>46300.50277777778</x:v>
      </x:c>
      <x:c r="K141" s="15" t="n">
        <x:v>6</x:v>
      </x:c>
      <x:c r="L141" s="15" t="n">
        <x:v>18</x:v>
      </x:c>
      <x:c r="M141" s="13" t="n">
        <x:f>J141+(K141+L141)/1440</x:f>
        <x:v>46300.51944444445</x:v>
      </x:c>
      <x:c r="N141" s="13" t="n">
        <x:f>VLOOKUP(C141,'MES orders'!$A$8:$H$127,5,FALSE)</x:f>
        <x:v>46302.666666666664</x:v>
      </x:c>
      <x:c r="O141" s="16" t="n">
        <x:f>MAX(0,(M141-N141)*24)</x:f>
        <x:v>0</x:v>
      </x:c>
      <x:c r="P141" s="9" t="str">
        <x:v>No</x:v>
      </x:c>
      <x:c r="Q141" s="15" t="n">
        <x:v>24</x:v>
      </x:c>
      <x:c r="R141" s="13" t="n">
        <x:f>J141+Q141/1440</x:f>
        <x:v>46300.51944444445</x:v>
      </x:c>
      <x:c r="S141" s="2" t="str">
        <x:f>VLOOKUP(C141,'MES orders'!$A$8:$H$127,6,FALSE)</x:f>
        <x:v>Normal</x:v>
      </x:c>
      <x:c r="T141" s="9" t="str"/>
    </x:row>
    <x:row r="142" ht="22" customHeight="1">
      <x:c r="A142" s="2" t="str">
        <x:v>L00125-010</x:v>
      </x:c>
      <x:c r="B142" s="2" t="str">
        <x:v>L00125</x:v>
      </x:c>
      <x:c r="C142" s="2" t="str">
        <x:v>SO-26025</x:v>
      </x:c>
      <x:c r="D142" s="2" t="str">
        <x:v>R-C-AL</x:v>
      </x:c>
      <x:c r="E142" s="14" t="n">
        <x:v>20</x:v>
      </x:c>
      <x:c r="F142" s="2" t="str">
        <x:v>CNC machining</x:v>
      </x:c>
      <x:c r="G142" s="9" t="str">
        <x:v>CNC-01</x:v>
      </x:c>
      <x:c r="H142" s="15" t="n">
        <x:v>8</x:v>
      </x:c>
      <x:c r="I142" s="9" t="str">
        <x:v>P03</x:v>
      </x:c>
      <x:c r="J142" s="11" t="n">
        <x:v>46300.50555555556</x:v>
      </x:c>
      <x:c r="K142" s="15" t="n">
        <x:v>18</x:v>
      </x:c>
      <x:c r="L142" s="15" t="n">
        <x:v>38</x:v>
      </x:c>
      <x:c r="M142" s="13" t="n">
        <x:f>J142+(K142+L142)/1440</x:f>
        <x:v>46300.54444444445</x:v>
      </x:c>
      <x:c r="N142" s="13" t="n">
        <x:f>VLOOKUP(C142,'MES orders'!$A$8:$H$127,5,FALSE)</x:f>
        <x:v>46302.666666666664</x:v>
      </x:c>
      <x:c r="O142" s="16" t="n">
        <x:f>MAX(0,(M142-N142)*24)</x:f>
        <x:v>0</x:v>
      </x:c>
      <x:c r="P142" s="9" t="str">
        <x:v>No</x:v>
      </x:c>
      <x:c r="Q142" s="15" t="n">
        <x:v>18</x:v>
      </x:c>
      <x:c r="R142" s="13" t="n">
        <x:f>J142+Q142/1440</x:f>
        <x:v>46300.518055555556</x:v>
      </x:c>
      <x:c r="S142" s="2" t="str">
        <x:f>VLOOKUP(C142,'MES orders'!$A$8:$H$127,6,FALSE)</x:f>
        <x:v>Normal</x:v>
      </x:c>
      <x:c r="T142" s="9" t="str"/>
    </x:row>
    <x:row r="143" ht="22" customHeight="1">
      <x:c r="A143" s="2" t="str">
        <x:v>L00563-050</x:v>
      </x:c>
      <x:c r="B143" s="2" t="str">
        <x:v>L00563</x:v>
      </x:c>
      <x:c r="C143" s="2" t="str">
        <x:v>SO-26113</x:v>
      </x:c>
      <x:c r="D143" s="2" t="str">
        <x:v>R-L-AL</x:v>
      </x:c>
      <x:c r="E143" s="14" t="n">
        <x:v>20</x:v>
      </x:c>
      <x:c r="F143" s="2" t="str">
        <x:v>Valve adjustment</x:v>
      </x:c>
      <x:c r="G143" s="9" t="str">
        <x:v>AS-01</x:v>
      </x:c>
      <x:c r="H143" s="15" t="n">
        <x:v>13</x:v>
      </x:c>
      <x:c r="I143" s="9" t="str">
        <x:v>P05</x:v>
      </x:c>
      <x:c r="J143" s="11" t="n">
        <x:v>46300.51666666667</x:v>
      </x:c>
      <x:c r="K143" s="15" t="n">
        <x:v>6</x:v>
      </x:c>
      <x:c r="L143" s="15" t="n">
        <x:v>30</x:v>
      </x:c>
      <x:c r="M143" s="13" t="n">
        <x:f>J143+(K143+L143)/1440</x:f>
        <x:v>46300.54166666667</x:v>
      </x:c>
      <x:c r="N143" s="13" t="n">
        <x:f>VLOOKUP(C143,'MES orders'!$A$8:$H$127,5,FALSE)</x:f>
        <x:v>46302.666666666664</x:v>
      </x:c>
      <x:c r="O143" s="16" t="n">
        <x:f>MAX(0,(M143-N143)*24)</x:f>
        <x:v>0</x:v>
      </x:c>
      <x:c r="P143" s="9" t="str">
        <x:v>No</x:v>
      </x:c>
      <x:c r="Q143" s="15" t="n">
        <x:v>36</x:v>
      </x:c>
      <x:c r="R143" s="13" t="n">
        <x:f>J143+Q143/1440</x:f>
        <x:v>46300.54166666667</x:v>
      </x:c>
      <x:c r="S143" s="2" t="str">
        <x:f>VLOOKUP(C143,'MES orders'!$A$8:$H$127,6,FALSE)</x:f>
        <x:v>High</x:v>
      </x:c>
      <x:c r="T143" s="9" t="str"/>
    </x:row>
    <x:row r="144" ht="22" customHeight="1">
      <x:c r="A144" s="2" t="str">
        <x:v>L00565-040</x:v>
      </x:c>
      <x:c r="B144" s="2" t="str">
        <x:v>L00565</x:v>
      </x:c>
      <x:c r="C144" s="2" t="str">
        <x:v>SO-26113</x:v>
      </x:c>
      <x:c r="D144" s="2" t="str">
        <x:v>R-L-AL</x:v>
      </x:c>
      <x:c r="E144" s="14" t="n">
        <x:v>20</x:v>
      </x:c>
      <x:c r="F144" s="2" t="str">
        <x:v>Mechanical assembly</x:v>
      </x:c>
      <x:c r="G144" s="9" t="str">
        <x:v>AS-03</x:v>
      </x:c>
      <x:c r="H144" s="15" t="n">
        <x:v>5</x:v>
      </x:c>
      <x:c r="I144" s="9" t="str">
        <x:v>P04</x:v>
      </x:c>
      <x:c r="J144" s="11" t="n">
        <x:v>46300.51666666667</x:v>
      </x:c>
      <x:c r="K144" s="15" t="n">
        <x:v>8</x:v>
      </x:c>
      <x:c r="L144" s="15" t="n">
        <x:v>49</x:v>
      </x:c>
      <x:c r="M144" s="13" t="n">
        <x:f>J144+(K144+L144)/1440</x:f>
        <x:v>46300.55625</x:v>
      </x:c>
      <x:c r="N144" s="13" t="n">
        <x:f>VLOOKUP(C144,'MES orders'!$A$8:$H$127,5,FALSE)</x:f>
        <x:v>46302.666666666664</x:v>
      </x:c>
      <x:c r="O144" s="16" t="n">
        <x:f>MAX(0,(M144-N144)*24)</x:f>
        <x:v>0</x:v>
      </x:c>
      <x:c r="P144" s="9" t="str">
        <x:v>No</x:v>
      </x:c>
      <x:c r="Q144" s="15" t="n">
        <x:v>57</x:v>
      </x:c>
      <x:c r="R144" s="13" t="n">
        <x:f>J144+Q144/1440</x:f>
        <x:v>46300.55625</x:v>
      </x:c>
      <x:c r="S144" s="2" t="str">
        <x:f>VLOOKUP(C144,'MES orders'!$A$8:$H$127,6,FALSE)</x:f>
        <x:v>High</x:v>
      </x:c>
      <x:c r="T144" s="9" t="str"/>
    </x:row>
    <x:row r="145" ht="22" customHeight="1">
      <x:c r="A145" s="2" t="str">
        <x:v>L00161-010</x:v>
      </x:c>
      <x:c r="B145" s="2" t="str">
        <x:v>L00161</x:v>
      </x:c>
      <x:c r="C145" s="2" t="str">
        <x:v>SO-26033</x:v>
      </x:c>
      <x:c r="D145" s="2" t="str">
        <x:v>R-S-AL</x:v>
      </x:c>
      <x:c r="E145" s="14" t="n">
        <x:v>10</x:v>
      </x:c>
      <x:c r="F145" s="2" t="str">
        <x:v>CNC machining</x:v>
      </x:c>
      <x:c r="G145" s="9" t="str">
        <x:v>CNC-04</x:v>
      </x:c>
      <x:c r="H145" s="15" t="n">
        <x:v>5</x:v>
      </x:c>
      <x:c r="I145" s="9" t="str">
        <x:v>P03</x:v>
      </x:c>
      <x:c r="J145" s="11" t="n">
        <x:v>46300.518055555556</x:v>
      </x:c>
      <x:c r="K145" s="15" t="n">
        <x:v>18</x:v>
      </x:c>
      <x:c r="L145" s="15" t="n">
        <x:v>24</x:v>
      </x:c>
      <x:c r="M145" s="13" t="n">
        <x:f>J145+(K145+L145)/1440</x:f>
        <x:v>46300.54722222222</x:v>
      </x:c>
      <x:c r="N145" s="13" t="n">
        <x:f>VLOOKUP(C145,'MES orders'!$A$8:$H$127,5,FALSE)</x:f>
        <x:v>46302.666666666664</x:v>
      </x:c>
      <x:c r="O145" s="16" t="n">
        <x:f>MAX(0,(M145-N145)*24)</x:f>
        <x:v>0</x:v>
      </x:c>
      <x:c r="P145" s="9" t="str">
        <x:v>No</x:v>
      </x:c>
      <x:c r="Q145" s="15" t="n">
        <x:v>18</x:v>
      </x:c>
      <x:c r="R145" s="13" t="n">
        <x:f>J145+Q145/1440</x:f>
        <x:v>46300.53055555555</x:v>
      </x:c>
      <x:c r="S145" s="2" t="str">
        <x:f>VLOOKUP(C145,'MES orders'!$A$8:$H$127,6,FALSE)</x:f>
        <x:v>Normal</x:v>
      </x:c>
      <x:c r="T145" s="9" t="str"/>
    </x:row>
    <x:row r="146" ht="22" customHeight="1">
      <x:c r="A146" s="2" t="str">
        <x:v>L00085-020</x:v>
      </x:c>
      <x:c r="B146" s="2" t="str">
        <x:v>L00085</x:v>
      </x:c>
      <x:c r="C146" s="2" t="str">
        <x:v>SO-26017</x:v>
      </x:c>
      <x:c r="D146" s="2" t="str">
        <x:v>D-L-AL</x:v>
      </x:c>
      <x:c r="E146" s="14" t="n">
        <x:v>25</x:v>
      </x:c>
      <x:c r="F146" s="2" t="str">
        <x:v>Deburr &amp; inspect</x:v>
      </x:c>
      <x:c r="G146" s="9" t="str">
        <x:v>DB-01</x:v>
      </x:c>
      <x:c r="H146" s="15" t="n">
        <x:v>16</x:v>
      </x:c>
      <x:c r="I146" s="9" t="str">
        <x:v>P02</x:v>
      </x:c>
      <x:c r="J146" s="11" t="n">
        <x:v>46300.51875</x:v>
      </x:c>
      <x:c r="K146" s="15" t="n">
        <x:v>4</x:v>
      </x:c>
      <x:c r="L146" s="15" t="n">
        <x:v>24</x:v>
      </x:c>
      <x:c r="M146" s="13" t="n">
        <x:f>J146+(K146+L146)/1440</x:f>
        <x:v>46300.538194444445</x:v>
      </x:c>
      <x:c r="N146" s="13" t="n">
        <x:f>VLOOKUP(C146,'MES orders'!$A$8:$H$127,5,FALSE)</x:f>
        <x:v>46302.666666666664</x:v>
      </x:c>
      <x:c r="O146" s="16" t="n">
        <x:f>MAX(0,(M146-N146)*24)</x:f>
        <x:v>0</x:v>
      </x:c>
      <x:c r="P146" s="9" t="str">
        <x:v>No</x:v>
      </x:c>
      <x:c r="Q146" s="15" t="n">
        <x:v>28</x:v>
      </x:c>
      <x:c r="R146" s="13" t="n">
        <x:f>J146+Q146/1440</x:f>
        <x:v>46300.538194444445</x:v>
      </x:c>
      <x:c r="S146" s="2" t="str">
        <x:f>VLOOKUP(C146,'MES orders'!$A$8:$H$127,6,FALSE)</x:f>
        <x:v>Normal</x:v>
      </x:c>
      <x:c r="T146" s="9" t="str"/>
    </x:row>
    <x:row r="147" ht="22" customHeight="1">
      <x:c r="A147" s="2" t="str">
        <x:v>L00124-020</x:v>
      </x:c>
      <x:c r="B147" s="2" t="str">
        <x:v>L00124</x:v>
      </x:c>
      <x:c r="C147" s="2" t="str">
        <x:v>SO-26025</x:v>
      </x:c>
      <x:c r="D147" s="2" t="str">
        <x:v>R-C-AL</x:v>
      </x:c>
      <x:c r="E147" s="14" t="n">
        <x:v>20</x:v>
      </x:c>
      <x:c r="F147" s="2" t="str">
        <x:v>Deburr &amp; inspect</x:v>
      </x:c>
      <x:c r="G147" s="9" t="str">
        <x:v>DB-02</x:v>
      </x:c>
      <x:c r="H147" s="15" t="n">
        <x:v>12</x:v>
      </x:c>
      <x:c r="I147" s="9" t="str">
        <x:v>P03</x:v>
      </x:c>
      <x:c r="J147" s="11" t="n">
        <x:v>46300.53194444445</x:v>
      </x:c>
      <x:c r="K147" s="15" t="n">
        <x:v>4</x:v>
      </x:c>
      <x:c r="L147" s="15" t="n">
        <x:v>11</x:v>
      </x:c>
      <x:c r="M147" s="13" t="n">
        <x:f>J147+(K147+L147)/1440</x:f>
        <x:v>46300.54236111111</x:v>
      </x:c>
      <x:c r="N147" s="13" t="n">
        <x:f>VLOOKUP(C147,'MES orders'!$A$8:$H$127,5,FALSE)</x:f>
        <x:v>46302.666666666664</x:v>
      </x:c>
      <x:c r="O147" s="16" t="n">
        <x:f>MAX(0,(M147-N147)*24)</x:f>
        <x:v>0</x:v>
      </x:c>
      <x:c r="P147" s="9" t="str">
        <x:v>No</x:v>
      </x:c>
      <x:c r="Q147" s="15" t="n">
        <x:v>15</x:v>
      </x:c>
      <x:c r="R147" s="13" t="n">
        <x:f>J147+Q147/1440</x:f>
        <x:v>46300.54236111111</x:v>
      </x:c>
      <x:c r="S147" s="2" t="str">
        <x:f>VLOOKUP(C147,'MES orders'!$A$8:$H$127,6,FALSE)</x:f>
        <x:v>Normal</x:v>
      </x:c>
      <x:c r="T147" s="9" t="str"/>
    </x:row>
    <x:row r="148" ht="22" customHeight="1">
      <x:c r="A148" s="2" t="str">
        <x:v>L00081-050</x:v>
      </x:c>
      <x:c r="B148" s="2" t="str">
        <x:v>L00081</x:v>
      </x:c>
      <x:c r="C148" s="2" t="str">
        <x:v>SO-26017</x:v>
      </x:c>
      <x:c r="D148" s="2" t="str">
        <x:v>D-L-AL</x:v>
      </x:c>
      <x:c r="E148" s="14" t="n">
        <x:v>25</x:v>
      </x:c>
      <x:c r="F148" s="2" t="str">
        <x:v>Final leak / function test</x:v>
      </x:c>
      <x:c r="G148" s="9" t="str">
        <x:v>QA-01</x:v>
      </x:c>
      <x:c r="H148" s="15" t="n">
        <x:v>8</x:v>
      </x:c>
      <x:c r="I148" s="9" t="str">
        <x:v>P12</x:v>
      </x:c>
      <x:c r="J148" s="11" t="n">
        <x:v>46300.53402777778</x:v>
      </x:c>
      <x:c r="K148" s="15" t="n">
        <x:v>10</x:v>
      </x:c>
      <x:c r="L148" s="15" t="n">
        <x:v>30</x:v>
      </x:c>
      <x:c r="M148" s="13" t="n">
        <x:f>J148+(K148+L148)/1440</x:f>
        <x:v>46300.56180555556</x:v>
      </x:c>
      <x:c r="N148" s="13" t="n">
        <x:f>VLOOKUP(C148,'MES orders'!$A$8:$H$127,5,FALSE)</x:f>
        <x:v>46302.666666666664</x:v>
      </x:c>
      <x:c r="O148" s="16" t="n">
        <x:f>MAX(0,(M148-N148)*24)</x:f>
        <x:v>0</x:v>
      </x:c>
      <x:c r="P148" s="9" t="str">
        <x:v>No</x:v>
      </x:c>
      <x:c r="Q148" s="15" t="n">
        <x:v>40</x:v>
      </x:c>
      <x:c r="R148" s="13" t="n">
        <x:f>J148+Q148/1440</x:f>
        <x:v>46300.56180555556</x:v>
      </x:c>
      <x:c r="S148" s="2" t="str">
        <x:f>VLOOKUP(C148,'MES orders'!$A$8:$H$127,6,FALSE)</x:f>
        <x:v>Normal</x:v>
      </x:c>
      <x:c r="T148" s="9" t="str"/>
    </x:row>
    <x:row r="149" ht="22" customHeight="1">
      <x:c r="A149" s="2" t="str">
        <x:v>L00162-010</x:v>
      </x:c>
      <x:c r="B149" s="2" t="str">
        <x:v>L00162</x:v>
      </x:c>
      <x:c r="C149" s="2" t="str">
        <x:v>SO-26033</x:v>
      </x:c>
      <x:c r="D149" s="2" t="str">
        <x:v>R-S-AL</x:v>
      </x:c>
      <x:c r="E149" s="14" t="n">
        <x:v>10</x:v>
      </x:c>
      <x:c r="F149" s="2" t="str">
        <x:v>CNC machining</x:v>
      </x:c>
      <x:c r="G149" s="9" t="str">
        <x:v>CNC-02</x:v>
      </x:c>
      <x:c r="H149" s="15" t="n">
        <x:v>7</x:v>
      </x:c>
      <x:c r="I149" s="9" t="str">
        <x:v>P02</x:v>
      </x:c>
      <x:c r="J149" s="11" t="n">
        <x:v>46300.538194444445</x:v>
      </x:c>
      <x:c r="K149" s="15" t="n">
        <x:v>18</x:v>
      </x:c>
      <x:c r="L149" s="15" t="n">
        <x:v>24</x:v>
      </x:c>
      <x:c r="M149" s="13" t="n">
        <x:f>J149+(K149+L149)/1440</x:f>
        <x:v>46300.56736111111</x:v>
      </x:c>
      <x:c r="N149" s="13" t="n">
        <x:f>VLOOKUP(C149,'MES orders'!$A$8:$H$127,5,FALSE)</x:f>
        <x:v>46302.666666666664</x:v>
      </x:c>
      <x:c r="O149" s="16" t="n">
        <x:f>MAX(0,(M149-N149)*24)</x:f>
        <x:v>0</x:v>
      </x:c>
      <x:c r="P149" s="9" t="str">
        <x:v>No</x:v>
      </x:c>
      <x:c r="Q149" s="15" t="n">
        <x:v>18</x:v>
      </x:c>
      <x:c r="R149" s="13" t="n">
        <x:f>J149+Q149/1440</x:f>
        <x:v>46300.55069444444</x:v>
      </x:c>
      <x:c r="S149" s="2" t="str">
        <x:f>VLOOKUP(C149,'MES orders'!$A$8:$H$127,6,FALSE)</x:f>
        <x:v>Normal</x:v>
      </x:c>
      <x:c r="T149" s="9" t="str"/>
    </x:row>
    <x:row r="150" ht="22" customHeight="1">
      <x:c r="A150" s="2" t="str">
        <x:v>L00085-030</x:v>
      </x:c>
      <x:c r="B150" s="2" t="str">
        <x:v>L00085</x:v>
      </x:c>
      <x:c r="C150" s="2" t="str">
        <x:v>SO-26017</x:v>
      </x:c>
      <x:c r="D150" s="2" t="str">
        <x:v>D-L-AL</x:v>
      </x:c>
      <x:c r="E150" s="14" t="n">
        <x:v>25</x:v>
      </x:c>
      <x:c r="F150" s="2" t="str">
        <x:v>Wash &amp; dry</x:v>
      </x:c>
      <x:c r="G150" s="9" t="str">
        <x:v>WS-02</x:v>
      </x:c>
      <x:c r="H150" s="15" t="n">
        <x:v>9</x:v>
      </x:c>
      <x:c r="I150" s="9" t="str">
        <x:v>P01</x:v>
      </x:c>
      <x:c r="J150" s="11" t="n">
        <x:v>46300.538194444445</x:v>
      </x:c>
      <x:c r="K150" s="15" t="n">
        <x:v>12</x:v>
      </x:c>
      <x:c r="L150" s="15" t="n">
        <x:v>12</x:v>
      </x:c>
      <x:c r="M150" s="13" t="n">
        <x:f>J150+(K150+L150)/1440</x:f>
        <x:v>46300.554861111115</x:v>
      </x:c>
      <x:c r="N150" s="13" t="n">
        <x:f>VLOOKUP(C150,'MES orders'!$A$8:$H$127,5,FALSE)</x:f>
        <x:v>46302.666666666664</x:v>
      </x:c>
      <x:c r="O150" s="16" t="n">
        <x:f>MAX(0,(M150-N150)*24)</x:f>
        <x:v>0</x:v>
      </x:c>
      <x:c r="P150" s="9" t="str">
        <x:v>No</x:v>
      </x:c>
      <x:c r="Q150" s="15" t="n">
        <x:v>24</x:v>
      </x:c>
      <x:c r="R150" s="13" t="n">
        <x:f>J150+Q150/1440</x:f>
        <x:v>46300.554861111115</x:v>
      </x:c>
      <x:c r="S150" s="2" t="str">
        <x:f>VLOOKUP(C150,'MES orders'!$A$8:$H$127,6,FALSE)</x:f>
        <x:v>Normal</x:v>
      </x:c>
      <x:c r="T150" s="9" t="str"/>
    </x:row>
    <x:row r="151" ht="22" customHeight="1">
      <x:c r="A151" s="2" t="str">
        <x:v>L00564-050</x:v>
      </x:c>
      <x:c r="B151" s="2" t="str">
        <x:v>L00564</x:v>
      </x:c>
      <x:c r="C151" s="2" t="str">
        <x:v>SO-26113</x:v>
      </x:c>
      <x:c r="D151" s="2" t="str">
        <x:v>R-L-AL</x:v>
      </x:c>
      <x:c r="E151" s="14" t="n">
        <x:v>20</x:v>
      </x:c>
      <x:c r="F151" s="2" t="str">
        <x:v>Valve adjustment</x:v>
      </x:c>
      <x:c r="G151" s="9" t="str">
        <x:v>AS-01</x:v>
      </x:c>
      <x:c r="H151" s="15" t="n">
        <x:v>14</x:v>
      </x:c>
      <x:c r="I151" s="9" t="str">
        <x:v>P05</x:v>
      </x:c>
      <x:c r="J151" s="11" t="n">
        <x:v>46300.541666666664</x:v>
      </x:c>
      <x:c r="K151" s="15" t="n">
        <x:v>6</x:v>
      </x:c>
      <x:c r="L151" s="15" t="n">
        <x:v>30</x:v>
      </x:c>
      <x:c r="M151" s="13" t="n">
        <x:f>J151+(K151+L151)/1440</x:f>
        <x:v>46300.566666666666</x:v>
      </x:c>
      <x:c r="N151" s="13" t="n">
        <x:f>VLOOKUP(C151,'MES orders'!$A$8:$H$127,5,FALSE)</x:f>
        <x:v>46302.666666666664</x:v>
      </x:c>
      <x:c r="O151" s="16" t="n">
        <x:f>MAX(0,(M151-N151)*24)</x:f>
        <x:v>0</x:v>
      </x:c>
      <x:c r="P151" s="9" t="str">
        <x:v>No</x:v>
      </x:c>
      <x:c r="Q151" s="15" t="n">
        <x:v>36</x:v>
      </x:c>
      <x:c r="R151" s="13" t="n">
        <x:f>J151+Q151/1440</x:f>
        <x:v>46300.566666666666</x:v>
      </x:c>
      <x:c r="S151" s="2" t="str">
        <x:f>VLOOKUP(C151,'MES orders'!$A$8:$H$127,6,FALSE)</x:f>
        <x:v>High</x:v>
      </x:c>
      <x:c r="T151" s="9" t="str"/>
    </x:row>
    <x:row r="152" ht="22" customHeight="1">
      <x:c r="A152" s="2" t="str">
        <x:v>L00563-060</x:v>
      </x:c>
      <x:c r="B152" s="2" t="str">
        <x:v>L00563</x:v>
      </x:c>
      <x:c r="C152" s="2" t="str">
        <x:v>SO-26113</x:v>
      </x:c>
      <x:c r="D152" s="2" t="str">
        <x:v>R-L-AL</x:v>
      </x:c>
      <x:c r="E152" s="14" t="n">
        <x:v>20</x:v>
      </x:c>
      <x:c r="F152" s="2" t="str">
        <x:v>Final leak / function test</x:v>
      </x:c>
      <x:c r="G152" s="9" t="str">
        <x:v>QA-02</x:v>
      </x:c>
      <x:c r="H152" s="15" t="n">
        <x:v>9</x:v>
      </x:c>
      <x:c r="I152" s="9" t="str">
        <x:v>P11</x:v>
      </x:c>
      <x:c r="J152" s="11" t="n">
        <x:v>46300.541666666664</x:v>
      </x:c>
      <x:c r="K152" s="15" t="n">
        <x:v>10</x:v>
      </x:c>
      <x:c r="L152" s="15" t="n">
        <x:v>24</x:v>
      </x:c>
      <x:c r="M152" s="13" t="n">
        <x:f>J152+(K152+L152)/1440</x:f>
        <x:v>46300.56527777777</x:v>
      </x:c>
      <x:c r="N152" s="13" t="n">
        <x:f>VLOOKUP(C152,'MES orders'!$A$8:$H$127,5,FALSE)</x:f>
        <x:v>46302.666666666664</x:v>
      </x:c>
      <x:c r="O152" s="16" t="n">
        <x:f>MAX(0,(M152-N152)*24)</x:f>
        <x:v>0</x:v>
      </x:c>
      <x:c r="P152" s="9" t="str">
        <x:v>No</x:v>
      </x:c>
      <x:c r="Q152" s="15" t="n">
        <x:v>34</x:v>
      </x:c>
      <x:c r="R152" s="13" t="n">
        <x:f>J152+Q152/1440</x:f>
        <x:v>46300.56527777777</x:v>
      </x:c>
      <x:c r="S152" s="2" t="str">
        <x:f>VLOOKUP(C152,'MES orders'!$A$8:$H$127,6,FALSE)</x:f>
        <x:v>High</x:v>
      </x:c>
      <x:c r="T152" s="9" t="str"/>
    </x:row>
    <x:row r="153" ht="22" customHeight="1">
      <x:c r="A153" s="2" t="str">
        <x:v>L00045-030</x:v>
      </x:c>
      <x:c r="B153" s="2" t="str">
        <x:v>L00045</x:v>
      </x:c>
      <x:c r="C153" s="2" t="str">
        <x:v>SO-26009</x:v>
      </x:c>
      <x:c r="D153" s="2" t="str">
        <x:v>D-S-AL</x:v>
      </x:c>
      <x:c r="E153" s="14" t="n">
        <x:v>5</x:v>
      </x:c>
      <x:c r="F153" s="2" t="str">
        <x:v>Wash &amp; dry</x:v>
      </x:c>
      <x:c r="G153" s="9" t="str">
        <x:v>WS-01</x:v>
      </x:c>
      <x:c r="H153" s="15" t="n">
        <x:v>16</x:v>
      </x:c>
      <x:c r="I153" s="9" t="str">
        <x:v>P06</x:v>
      </x:c>
      <x:c r="J153" s="11" t="n">
        <x:v>46300.541666666664</x:v>
      </x:c>
      <x:c r="K153" s="15" t="n">
        <x:v>12</x:v>
      </x:c>
      <x:c r="L153" s="15" t="n">
        <x:v>2</x:v>
      </x:c>
      <x:c r="M153" s="13" t="n">
        <x:f>J153+(K153+L153)/1440</x:f>
        <x:v>46300.55138888889</x:v>
      </x:c>
      <x:c r="N153" s="13" t="n">
        <x:f>VLOOKUP(C153,'MES orders'!$A$8:$H$127,5,FALSE)</x:f>
        <x:v>46302.666666666664</x:v>
      </x:c>
      <x:c r="O153" s="16" t="n">
        <x:f>MAX(0,(M153-N153)*24)</x:f>
        <x:v>0</x:v>
      </x:c>
      <x:c r="P153" s="9" t="str">
        <x:v>No</x:v>
      </x:c>
      <x:c r="Q153" s="15" t="n">
        <x:v>14</x:v>
      </x:c>
      <x:c r="R153" s="13" t="n">
        <x:f>J153+Q153/1440</x:f>
        <x:v>46300.55138888889</x:v>
      </x:c>
      <x:c r="S153" s="2" t="str">
        <x:f>VLOOKUP(C153,'MES orders'!$A$8:$H$127,6,FALSE)</x:f>
        <x:v>Normal</x:v>
      </x:c>
      <x:c r="T153" s="9" t="str"/>
    </x:row>
    <x:row r="154" ht="22" customHeight="1">
      <x:c r="A154" s="2" t="str">
        <x:v>L00125-020</x:v>
      </x:c>
      <x:c r="B154" s="2" t="str">
        <x:v>L00125</x:v>
      </x:c>
      <x:c r="C154" s="2" t="str">
        <x:v>SO-26025</x:v>
      </x:c>
      <x:c r="D154" s="2" t="str">
        <x:v>R-C-AL</x:v>
      </x:c>
      <x:c r="E154" s="14" t="n">
        <x:v>20</x:v>
      </x:c>
      <x:c r="F154" s="2" t="str">
        <x:v>Deburr &amp; inspect</x:v>
      </x:c>
      <x:c r="G154" s="9" t="str">
        <x:v>DB-01</x:v>
      </x:c>
      <x:c r="H154" s="15" t="n">
        <x:v>17</x:v>
      </x:c>
      <x:c r="I154" s="9" t="str">
        <x:v>P03</x:v>
      </x:c>
      <x:c r="J154" s="11" t="n">
        <x:v>46300.544444444444</x:v>
      </x:c>
      <x:c r="K154" s="15" t="n">
        <x:v>4</x:v>
      </x:c>
      <x:c r="L154" s="15" t="n">
        <x:v>11</x:v>
      </x:c>
      <x:c r="M154" s="13" t="n">
        <x:f>J154+(K154+L154)/1440</x:f>
        <x:v>46300.55486111111</x:v>
      </x:c>
      <x:c r="N154" s="13" t="n">
        <x:f>VLOOKUP(C154,'MES orders'!$A$8:$H$127,5,FALSE)</x:f>
        <x:v>46302.666666666664</x:v>
      </x:c>
      <x:c r="O154" s="16" t="n">
        <x:f>MAX(0,(M154-N154)*24)</x:f>
        <x:v>0</x:v>
      </x:c>
      <x:c r="P154" s="9" t="str">
        <x:v>No</x:v>
      </x:c>
      <x:c r="Q154" s="15" t="n">
        <x:v>15</x:v>
      </x:c>
      <x:c r="R154" s="13" t="n">
        <x:f>J154+Q154/1440</x:f>
        <x:v>46300.55486111111</x:v>
      </x:c>
      <x:c r="S154" s="2" t="str">
        <x:f>VLOOKUP(C154,'MES orders'!$A$8:$H$127,6,FALSE)</x:f>
        <x:v>Normal</x:v>
      </x:c>
      <x:c r="T154" s="9" t="str"/>
    </x:row>
    <x:row r="155" ht="22" customHeight="1">
      <x:c r="A155" s="2" t="str">
        <x:v>L00161-020</x:v>
      </x:c>
      <x:c r="B155" s="2" t="str">
        <x:v>L00161</x:v>
      </x:c>
      <x:c r="C155" s="2" t="str">
        <x:v>SO-26033</x:v>
      </x:c>
      <x:c r="D155" s="2" t="str">
        <x:v>R-S-AL</x:v>
      </x:c>
      <x:c r="E155" s="14" t="n">
        <x:v>10</x:v>
      </x:c>
      <x:c r="F155" s="2" t="str">
        <x:v>Deburr &amp; inspect</x:v>
      </x:c>
      <x:c r="G155" s="9" t="str">
        <x:v>DB-02</x:v>
      </x:c>
      <x:c r="H155" s="15" t="n">
        <x:v>13</x:v>
      </x:c>
      <x:c r="I155" s="9" t="str">
        <x:v>P07</x:v>
      </x:c>
      <x:c r="J155" s="11" t="n">
        <x:v>46300.54722222222</x:v>
      </x:c>
      <x:c r="K155" s="15" t="n">
        <x:v>4</x:v>
      </x:c>
      <x:c r="L155" s="15" t="n">
        <x:v>7</x:v>
      </x:c>
      <x:c r="M155" s="13" t="n">
        <x:f>J155+(K155+L155)/1440</x:f>
        <x:v>46300.554861111115</x:v>
      </x:c>
      <x:c r="N155" s="13" t="n">
        <x:f>VLOOKUP(C155,'MES orders'!$A$8:$H$127,5,FALSE)</x:f>
        <x:v>46302.666666666664</x:v>
      </x:c>
      <x:c r="O155" s="16" t="n">
        <x:f>MAX(0,(M155-N155)*24)</x:f>
        <x:v>0</x:v>
      </x:c>
      <x:c r="P155" s="9" t="str">
        <x:v>No</x:v>
      </x:c>
      <x:c r="Q155" s="15" t="n">
        <x:v>11</x:v>
      </x:c>
      <x:c r="R155" s="13" t="n">
        <x:f>J155+Q155/1440</x:f>
        <x:v>46300.554861111115</x:v>
      </x:c>
      <x:c r="S155" s="2" t="str">
        <x:f>VLOOKUP(C155,'MES orders'!$A$8:$H$127,6,FALSE)</x:f>
        <x:v>Normal</x:v>
      </x:c>
      <x:c r="T155" s="9" t="str"/>
    </x:row>
    <x:row r="156" ht="22" customHeight="1">
      <x:c r="A156" s="2" t="str">
        <x:v>L00124-030</x:v>
      </x:c>
      <x:c r="B156" s="2" t="str">
        <x:v>L00124</x:v>
      </x:c>
      <x:c r="C156" s="2" t="str">
        <x:v>SO-26025</x:v>
      </x:c>
      <x:c r="D156" s="2" t="str">
        <x:v>R-C-AL</x:v>
      </x:c>
      <x:c r="E156" s="14" t="n">
        <x:v>20</x:v>
      </x:c>
      <x:c r="F156" s="2" t="str">
        <x:v>Wash &amp; dry</x:v>
      </x:c>
      <x:c r="G156" s="9" t="str">
        <x:v>WS-01</x:v>
      </x:c>
      <x:c r="H156" s="15" t="n">
        <x:v>17</x:v>
      </x:c>
      <x:c r="I156" s="9" t="str">
        <x:v>P02</x:v>
      </x:c>
      <x:c r="J156" s="11" t="n">
        <x:v>46300.55138888889</x:v>
      </x:c>
      <x:c r="K156" s="15" t="n">
        <x:v>12</x:v>
      </x:c>
      <x:c r="L156" s="15" t="n">
        <x:v>6</x:v>
      </x:c>
      <x:c r="M156" s="13" t="n">
        <x:f>J156+(K156+L156)/1440</x:f>
        <x:v>46300.563888888886</x:v>
      </x:c>
      <x:c r="N156" s="13" t="n">
        <x:f>VLOOKUP(C156,'MES orders'!$A$8:$H$127,5,FALSE)</x:f>
        <x:v>46302.666666666664</x:v>
      </x:c>
      <x:c r="O156" s="16" t="n">
        <x:f>MAX(0,(M156-N156)*24)</x:f>
        <x:v>0</x:v>
      </x:c>
      <x:c r="P156" s="9" t="str">
        <x:v>No</x:v>
      </x:c>
      <x:c r="Q156" s="15" t="n">
        <x:v>18</x:v>
      </x:c>
      <x:c r="R156" s="13" t="n">
        <x:f>J156+Q156/1440</x:f>
        <x:v>46300.563888888886</x:v>
      </x:c>
      <x:c r="S156" s="2" t="str">
        <x:f>VLOOKUP(C156,'MES orders'!$A$8:$H$127,6,FALSE)</x:f>
        <x:v>Normal</x:v>
      </x:c>
      <x:c r="T156" s="9" t="str"/>
    </x:row>
    <x:row r="157" ht="22" customHeight="1">
      <x:c r="A157" s="2" t="str">
        <x:v>L00163-010</x:v>
      </x:c>
      <x:c r="B157" s="2" t="str">
        <x:v>L00163</x:v>
      </x:c>
      <x:c r="C157" s="2" t="str">
        <x:v>SO-26033</x:v>
      </x:c>
      <x:c r="D157" s="2" t="str">
        <x:v>R-S-AL</x:v>
      </x:c>
      <x:c r="E157" s="14" t="n">
        <x:v>10</x:v>
      </x:c>
      <x:c r="F157" s="2" t="str">
        <x:v>CNC machining</x:v>
      </x:c>
      <x:c r="G157" s="9" t="str">
        <x:v>CNC-01</x:v>
      </x:c>
      <x:c r="H157" s="15" t="n">
        <x:v>9</x:v>
      </x:c>
      <x:c r="I157" s="9" t="str">
        <x:v>P03</x:v>
      </x:c>
      <x:c r="J157" s="11" t="n">
        <x:v>46300.55486111111</x:v>
      </x:c>
      <x:c r="K157" s="15" t="n">
        <x:v>18</x:v>
      </x:c>
      <x:c r="L157" s="15" t="n">
        <x:v>24</x:v>
      </x:c>
      <x:c r="M157" s="13" t="n">
        <x:f>J157+(K157+L157)/1440</x:f>
        <x:v>46300.584027777775</x:v>
      </x:c>
      <x:c r="N157" s="13" t="n">
        <x:f>VLOOKUP(C157,'MES orders'!$A$8:$H$127,5,FALSE)</x:f>
        <x:v>46302.666666666664</x:v>
      </x:c>
      <x:c r="O157" s="16" t="n">
        <x:f>MAX(0,(M157-N157)*24)</x:f>
        <x:v>0</x:v>
      </x:c>
      <x:c r="P157" s="9" t="str">
        <x:v>No</x:v>
      </x:c>
      <x:c r="Q157" s="15" t="n">
        <x:v>18</x:v>
      </x:c>
      <x:c r="R157" s="13" t="n">
        <x:f>J157+Q157/1440</x:f>
        <x:v>46300.567361111105</x:v>
      </x:c>
      <x:c r="S157" s="2" t="str">
        <x:f>VLOOKUP(C157,'MES orders'!$A$8:$H$127,6,FALSE)</x:f>
        <x:v>Normal</x:v>
      </x:c>
      <x:c r="T157" s="9" t="str"/>
    </x:row>
    <x:row r="158" ht="22" customHeight="1">
      <x:c r="A158" s="2" t="str">
        <x:v>L00125-030</x:v>
      </x:c>
      <x:c r="B158" s="2" t="str">
        <x:v>L00125</x:v>
      </x:c>
      <x:c r="C158" s="2" t="str">
        <x:v>SO-26025</x:v>
      </x:c>
      <x:c r="D158" s="2" t="str">
        <x:v>R-C-AL</x:v>
      </x:c>
      <x:c r="E158" s="14" t="n">
        <x:v>20</x:v>
      </x:c>
      <x:c r="F158" s="2" t="str">
        <x:v>Wash &amp; dry</x:v>
      </x:c>
      <x:c r="G158" s="9" t="str">
        <x:v>WS-02</x:v>
      </x:c>
      <x:c r="H158" s="15" t="n">
        <x:v>10</x:v>
      </x:c>
      <x:c r="I158" s="9" t="str">
        <x:v>P01</x:v>
      </x:c>
      <x:c r="J158" s="11" t="n">
        <x:v>46300.55486111111</x:v>
      </x:c>
      <x:c r="K158" s="15" t="n">
        <x:v>12</x:v>
      </x:c>
      <x:c r="L158" s="15" t="n">
        <x:v>6</x:v>
      </x:c>
      <x:c r="M158" s="13" t="n">
        <x:f>J158+(K158+L158)/1440</x:f>
        <x:v>46300.567361111105</x:v>
      </x:c>
      <x:c r="N158" s="13" t="n">
        <x:f>VLOOKUP(C158,'MES orders'!$A$8:$H$127,5,FALSE)</x:f>
        <x:v>46302.666666666664</x:v>
      </x:c>
      <x:c r="O158" s="16" t="n">
        <x:f>MAX(0,(M158-N158)*24)</x:f>
        <x:v>0</x:v>
      </x:c>
      <x:c r="P158" s="9" t="str">
        <x:v>No</x:v>
      </x:c>
      <x:c r="Q158" s="15" t="n">
        <x:v>18</x:v>
      </x:c>
      <x:c r="R158" s="13" t="n">
        <x:f>J158+Q158/1440</x:f>
        <x:v>46300.567361111105</x:v>
      </x:c>
      <x:c r="S158" s="2" t="str">
        <x:f>VLOOKUP(C158,'MES orders'!$A$8:$H$127,6,FALSE)</x:f>
        <x:v>Normal</x:v>
      </x:c>
      <x:c r="T158" s="9" t="str"/>
    </x:row>
    <x:row r="159" ht="22" customHeight="1">
      <x:c r="A159" s="2" t="str">
        <x:v>L00565-050</x:v>
      </x:c>
      <x:c r="B159" s="2" t="str">
        <x:v>L00565</x:v>
      </x:c>
      <x:c r="C159" s="2" t="str">
        <x:v>SO-26113</x:v>
      </x:c>
      <x:c r="D159" s="2" t="str">
        <x:v>R-L-AL</x:v>
      </x:c>
      <x:c r="E159" s="14" t="n">
        <x:v>20</x:v>
      </x:c>
      <x:c r="F159" s="2" t="str">
        <x:v>Valve adjustment</x:v>
      </x:c>
      <x:c r="G159" s="9" t="str">
        <x:v>AS-02</x:v>
      </x:c>
      <x:c r="H159" s="15" t="n">
        <x:v>10</x:v>
      </x:c>
      <x:c r="I159" s="9" t="str">
        <x:v>P06</x:v>
      </x:c>
      <x:c r="J159" s="11" t="n">
        <x:v>46300.55625</x:v>
      </x:c>
      <x:c r="K159" s="15" t="n">
        <x:v>6</x:v>
      </x:c>
      <x:c r="L159" s="15" t="n">
        <x:v>30</x:v>
      </x:c>
      <x:c r="M159" s="13" t="n">
        <x:f>J159+(K159+L159)/1440</x:f>
        <x:v>46300.58125</x:v>
      </x:c>
      <x:c r="N159" s="13" t="n">
        <x:f>VLOOKUP(C159,'MES orders'!$A$8:$H$127,5,FALSE)</x:f>
        <x:v>46302.666666666664</x:v>
      </x:c>
      <x:c r="O159" s="16" t="n">
        <x:f>MAX(0,(M159-N159)*24)</x:f>
        <x:v>0</x:v>
      </x:c>
      <x:c r="P159" s="9" t="str">
        <x:v>No</x:v>
      </x:c>
      <x:c r="Q159" s="15" t="n">
        <x:v>36</x:v>
      </x:c>
      <x:c r="R159" s="13" t="n">
        <x:f>J159+Q159/1440</x:f>
        <x:v>46300.58125</x:v>
      </x:c>
      <x:c r="S159" s="2" t="str">
        <x:f>VLOOKUP(C159,'MES orders'!$A$8:$H$127,6,FALSE)</x:f>
        <x:v>High</x:v>
      </x:c>
      <x:c r="T159" s="9" t="str"/>
    </x:row>
    <x:row r="160" ht="22" customHeight="1">
      <x:c r="A160" s="2" t="str">
        <x:v>L00045-040</x:v>
      </x:c>
      <x:c r="B160" s="2" t="str">
        <x:v>L00045</x:v>
      </x:c>
      <x:c r="C160" s="2" t="str">
        <x:v>SO-26009</x:v>
      </x:c>
      <x:c r="D160" s="2" t="str">
        <x:v>D-S-AL</x:v>
      </x:c>
      <x:c r="E160" s="14" t="n">
        <x:v>5</x:v>
      </x:c>
      <x:c r="F160" s="2" t="str">
        <x:v>Mechanical assembly</x:v>
      </x:c>
      <x:c r="G160" s="9" t="str">
        <x:v>AS-03</x:v>
      </x:c>
      <x:c r="H160" s="15" t="n">
        <x:v>6</x:v>
      </x:c>
      <x:c r="I160" s="9" t="str">
        <x:v>P04</x:v>
      </x:c>
      <x:c r="J160" s="11" t="n">
        <x:v>46300.55625</x:v>
      </x:c>
      <x:c r="K160" s="15" t="n">
        <x:v>8</x:v>
      </x:c>
      <x:c r="L160" s="15" t="n">
        <x:v>9</x:v>
      </x:c>
      <x:c r="M160" s="13" t="n">
        <x:f>J160+(K160+L160)/1440</x:f>
        <x:v>46300.56805555556</x:v>
      </x:c>
      <x:c r="N160" s="13" t="n">
        <x:f>VLOOKUP(C160,'MES orders'!$A$8:$H$127,5,FALSE)</x:f>
        <x:v>46302.666666666664</x:v>
      </x:c>
      <x:c r="O160" s="16" t="n">
        <x:f>MAX(0,(M160-N160)*24)</x:f>
        <x:v>0</x:v>
      </x:c>
      <x:c r="P160" s="9" t="str">
        <x:v>No</x:v>
      </x:c>
      <x:c r="Q160" s="15" t="n">
        <x:v>17</x:v>
      </x:c>
      <x:c r="R160" s="13" t="n">
        <x:f>J160+Q160/1440</x:f>
        <x:v>46300.56805555556</x:v>
      </x:c>
      <x:c r="S160" s="2" t="str">
        <x:f>VLOOKUP(C160,'MES orders'!$A$8:$H$127,6,FALSE)</x:f>
        <x:v>Normal</x:v>
      </x:c>
      <x:c r="T160" s="9" t="str"/>
    </x:row>
    <x:row r="161" ht="22" customHeight="1">
      <x:c r="A161" s="2" t="str">
        <x:v>L00121-060</x:v>
      </x:c>
      <x:c r="B161" s="2" t="str">
        <x:v>L00121</x:v>
      </x:c>
      <x:c r="C161" s="2" t="str">
        <x:v>SO-26025</x:v>
      </x:c>
      <x:c r="D161" s="2" t="str">
        <x:v>R-C-AL</x:v>
      </x:c>
      <x:c r="E161" s="14" t="n">
        <x:v>20</x:v>
      </x:c>
      <x:c r="F161" s="2" t="str">
        <x:v>Final leak / function test</x:v>
      </x:c>
      <x:c r="G161" s="9" t="str">
        <x:v>QA-03</x:v>
      </x:c>
      <x:c r="H161" s="15" t="n">
        <x:v>2</x:v>
      </x:c>
      <x:c r="I161" s="9" t="str">
        <x:v>P12</x:v>
      </x:c>
      <x:c r="J161" s="11" t="n">
        <x:v>46300.56180555555</x:v>
      </x:c>
      <x:c r="K161" s="15" t="n">
        <x:v>10</x:v>
      </x:c>
      <x:c r="L161" s="15" t="n">
        <x:v>14</x:v>
      </x:c>
      <x:c r="M161" s="13" t="n">
        <x:f>J161+(K161+L161)/1440</x:f>
        <x:v>46300.57847222222</x:v>
      </x:c>
      <x:c r="N161" s="13" t="n">
        <x:f>VLOOKUP(C161,'MES orders'!$A$8:$H$127,5,FALSE)</x:f>
        <x:v>46302.666666666664</x:v>
      </x:c>
      <x:c r="O161" s="16" t="n">
        <x:f>MAX(0,(M161-N161)*24)</x:f>
        <x:v>0</x:v>
      </x:c>
      <x:c r="P161" s="9" t="str">
        <x:v>No</x:v>
      </x:c>
      <x:c r="Q161" s="15" t="n">
        <x:v>24</x:v>
      </x:c>
      <x:c r="R161" s="13" t="n">
        <x:f>J161+Q161/1440</x:f>
        <x:v>46300.57847222222</x:v>
      </x:c>
      <x:c r="S161" s="2" t="str">
        <x:f>VLOOKUP(C161,'MES orders'!$A$8:$H$127,6,FALSE)</x:f>
        <x:v>Normal</x:v>
      </x:c>
      <x:c r="T161" s="9" t="str"/>
    </x:row>
    <x:row r="162" ht="22" customHeight="1">
      <x:c r="A162" s="2" t="str">
        <x:v>L00082-030</x:v>
      </x:c>
      <x:c r="B162" s="2" t="str">
        <x:v>L00082</x:v>
      </x:c>
      <x:c r="C162" s="2" t="str">
        <x:v>SO-26017</x:v>
      </x:c>
      <x:c r="D162" s="2" t="str">
        <x:v>D-L-AL</x:v>
      </x:c>
      <x:c r="E162" s="14" t="n">
        <x:v>25</x:v>
      </x:c>
      <x:c r="F162" s="2" t="str">
        <x:v>Wash &amp; dry</x:v>
      </x:c>
      <x:c r="G162" s="9" t="str">
        <x:v>WS-01</x:v>
      </x:c>
      <x:c r="H162" s="15" t="n">
        <x:v>18</x:v>
      </x:c>
      <x:c r="I162" s="9" t="str">
        <x:v>P05</x:v>
      </x:c>
      <x:c r="J162" s="11" t="n">
        <x:v>46300.566666666666</x:v>
      </x:c>
      <x:c r="K162" s="15" t="n">
        <x:v>12</x:v>
      </x:c>
      <x:c r="L162" s="15" t="n">
        <x:v>12</x:v>
      </x:c>
      <x:c r="M162" s="13" t="n">
        <x:f>J162+(K162+L162)/1440</x:f>
        <x:v>46300.583333333336</x:v>
      </x:c>
      <x:c r="N162" s="13" t="n">
        <x:f>VLOOKUP(C162,'MES orders'!$A$8:$H$127,5,FALSE)</x:f>
        <x:v>46302.666666666664</x:v>
      </x:c>
      <x:c r="O162" s="16" t="n">
        <x:f>MAX(0,(M162-N162)*24)</x:f>
        <x:v>0</x:v>
      </x:c>
      <x:c r="P162" s="9" t="str">
        <x:v>No</x:v>
      </x:c>
      <x:c r="Q162" s="15" t="n">
        <x:v>24</x:v>
      </x:c>
      <x:c r="R162" s="13" t="n">
        <x:f>J162+Q162/1440</x:f>
        <x:v>46300.583333333336</x:v>
      </x:c>
      <x:c r="S162" s="2" t="str">
        <x:f>VLOOKUP(C162,'MES orders'!$A$8:$H$127,6,FALSE)</x:f>
        <x:v>Normal</x:v>
      </x:c>
      <x:c r="T162" s="9" t="str"/>
    </x:row>
    <x:row r="163" ht="22" customHeight="1">
      <x:c r="A163" s="2" t="str">
        <x:v>L00164-010</x:v>
      </x:c>
      <x:c r="B163" s="2" t="str">
        <x:v>L00164</x:v>
      </x:c>
      <x:c r="C163" s="2" t="str">
        <x:v>SO-26033</x:v>
      </x:c>
      <x:c r="D163" s="2" t="str">
        <x:v>R-S-AL</x:v>
      </x:c>
      <x:c r="E163" s="14" t="n">
        <x:v>10</x:v>
      </x:c>
      <x:c r="F163" s="2" t="str">
        <x:v>CNC machining</x:v>
      </x:c>
      <x:c r="G163" s="9" t="str">
        <x:v>CNC-02</x:v>
      </x:c>
      <x:c r="H163" s="15" t="n">
        <x:v>8</x:v>
      </x:c>
      <x:c r="I163" s="9" t="str">
        <x:v>P03</x:v>
      </x:c>
      <x:c r="J163" s="11" t="n">
        <x:v>46300.56736111111</x:v>
      </x:c>
      <x:c r="K163" s="15" t="n">
        <x:v>18</x:v>
      </x:c>
      <x:c r="L163" s="15" t="n">
        <x:v>24</x:v>
      </x:c>
      <x:c r="M163" s="13" t="n">
        <x:f>J163+(K163+L163)/1440</x:f>
        <x:v>46300.59652777778</x:v>
      </x:c>
      <x:c r="N163" s="13" t="n">
        <x:f>VLOOKUP(C163,'MES orders'!$A$8:$H$127,5,FALSE)</x:f>
        <x:v>46302.666666666664</x:v>
      </x:c>
      <x:c r="O163" s="16" t="n">
        <x:f>MAX(0,(M163-N163)*24)</x:f>
        <x:v>0</x:v>
      </x:c>
      <x:c r="P163" s="9" t="str">
        <x:v>No</x:v>
      </x:c>
      <x:c r="Q163" s="15" t="n">
        <x:v>18</x:v>
      </x:c>
      <x:c r="R163" s="13" t="n">
        <x:f>J163+Q163/1440</x:f>
        <x:v>46300.57986111111</x:v>
      </x:c>
      <x:c r="S163" s="2" t="str">
        <x:f>VLOOKUP(C163,'MES orders'!$A$8:$H$127,6,FALSE)</x:f>
        <x:v>Normal</x:v>
      </x:c>
      <x:c r="T163" s="9" t="str"/>
    </x:row>
    <x:row r="164" ht="22" customHeight="1">
      <x:c r="A164" s="2" t="str">
        <x:v>L00162-020</x:v>
      </x:c>
      <x:c r="B164" s="2" t="str">
        <x:v>L00162</x:v>
      </x:c>
      <x:c r="C164" s="2" t="str">
        <x:v>SO-26033</x:v>
      </x:c>
      <x:c r="D164" s="2" t="str">
        <x:v>R-S-AL</x:v>
      </x:c>
      <x:c r="E164" s="14" t="n">
        <x:v>10</x:v>
      </x:c>
      <x:c r="F164" s="2" t="str">
        <x:v>Deburr &amp; inspect</x:v>
      </x:c>
      <x:c r="G164" s="9" t="str">
        <x:v>DB-02</x:v>
      </x:c>
      <x:c r="H164" s="15" t="n">
        <x:v>14</x:v>
      </x:c>
      <x:c r="I164" s="9" t="str">
        <x:v>P02</x:v>
      </x:c>
      <x:c r="J164" s="11" t="n">
        <x:v>46300.56736111111</x:v>
      </x:c>
      <x:c r="K164" s="15" t="n">
        <x:v>4</x:v>
      </x:c>
      <x:c r="L164" s="15" t="n">
        <x:v>7</x:v>
      </x:c>
      <x:c r="M164" s="13" t="n">
        <x:f>J164+(K164+L164)/1440</x:f>
        <x:v>46300.575000000004</x:v>
      </x:c>
      <x:c r="N164" s="13" t="n">
        <x:f>VLOOKUP(C164,'MES orders'!$A$8:$H$127,5,FALSE)</x:f>
        <x:v>46302.666666666664</x:v>
      </x:c>
      <x:c r="O164" s="16" t="n">
        <x:f>MAX(0,(M164-N164)*24)</x:f>
        <x:v>0</x:v>
      </x:c>
      <x:c r="P164" s="9" t="str">
        <x:v>No</x:v>
      </x:c>
      <x:c r="Q164" s="15" t="n">
        <x:v>11</x:v>
      </x:c>
      <x:c r="R164" s="13" t="n">
        <x:f>J164+Q164/1440</x:f>
        <x:v>46300.575000000004</x:v>
      </x:c>
      <x:c r="S164" s="2" t="str">
        <x:f>VLOOKUP(C164,'MES orders'!$A$8:$H$127,6,FALSE)</x:f>
        <x:v>Normal</x:v>
      </x:c>
      <x:c r="T164" s="9" t="str"/>
    </x:row>
    <x:row r="165" ht="22" customHeight="1">
      <x:c r="A165" s="2" t="str">
        <x:v>L00161-030</x:v>
      </x:c>
      <x:c r="B165" s="2" t="str">
        <x:v>L00161</x:v>
      </x:c>
      <x:c r="C165" s="2" t="str">
        <x:v>SO-26033</x:v>
      </x:c>
      <x:c r="D165" s="2" t="str">
        <x:v>R-S-AL</x:v>
      </x:c>
      <x:c r="E165" s="14" t="n">
        <x:v>10</x:v>
      </x:c>
      <x:c r="F165" s="2" t="str">
        <x:v>Wash &amp; dry</x:v>
      </x:c>
      <x:c r="G165" s="9" t="str">
        <x:v>WS-02</x:v>
      </x:c>
      <x:c r="H165" s="15" t="n">
        <x:v>11</x:v>
      </x:c>
      <x:c r="I165" s="9" t="str">
        <x:v>P01</x:v>
      </x:c>
      <x:c r="J165" s="11" t="n">
        <x:v>46300.56736111111</x:v>
      </x:c>
      <x:c r="K165" s="15" t="n">
        <x:v>12</x:v>
      </x:c>
      <x:c r="L165" s="15" t="n">
        <x:v>4</x:v>
      </x:c>
      <x:c r="M165" s="13" t="n">
        <x:f>J165+(K165+L165)/1440</x:f>
        <x:v>46300.57847222222</x:v>
      </x:c>
      <x:c r="N165" s="13" t="n">
        <x:f>VLOOKUP(C165,'MES orders'!$A$8:$H$127,5,FALSE)</x:f>
        <x:v>46302.666666666664</x:v>
      </x:c>
      <x:c r="O165" s="16" t="n">
        <x:f>MAX(0,(M165-N165)*24)</x:f>
        <x:v>0</x:v>
      </x:c>
      <x:c r="P165" s="9" t="str">
        <x:v>No</x:v>
      </x:c>
      <x:c r="Q165" s="15" t="n">
        <x:v>16</x:v>
      </x:c>
      <x:c r="R165" s="13" t="n">
        <x:f>J165+Q165/1440</x:f>
        <x:v>46300.57847222222</x:v>
      </x:c>
      <x:c r="S165" s="2" t="str">
        <x:f>VLOOKUP(C165,'MES orders'!$A$8:$H$127,6,FALSE)</x:f>
        <x:v>Normal</x:v>
      </x:c>
      <x:c r="T165" s="9" t="str"/>
    </x:row>
    <x:row r="166" ht="22" customHeight="1">
      <x:c r="A166" s="2" t="str">
        <x:v>L00123-020</x:v>
      </x:c>
      <x:c r="B166" s="2" t="str">
        <x:v>L00123</x:v>
      </x:c>
      <x:c r="C166" s="2" t="str">
        <x:v>SO-26025</x:v>
      </x:c>
      <x:c r="D166" s="2" t="str">
        <x:v>R-C-AL</x:v>
      </x:c>
      <x:c r="E166" s="14" t="n">
        <x:v>20</x:v>
      </x:c>
      <x:c r="F166" s="2" t="str">
        <x:v>Deburr &amp; inspect</x:v>
      </x:c>
      <x:c r="G166" s="9" t="str">
        <x:v>DB-01</x:v>
      </x:c>
      <x:c r="H166" s="15" t="n">
        <x:v>18</x:v>
      </x:c>
      <x:c r="I166" s="9" t="str">
        <x:v>P04</x:v>
      </x:c>
      <x:c r="J166" s="11" t="n">
        <x:v>46300.56805555556</x:v>
      </x:c>
      <x:c r="K166" s="15" t="n">
        <x:v>4</x:v>
      </x:c>
      <x:c r="L166" s="15" t="n">
        <x:v>11</x:v>
      </x:c>
      <x:c r="M166" s="13" t="n">
        <x:f>J166+(K166+L166)/1440</x:f>
        <x:v>46300.57847222222</x:v>
      </x:c>
      <x:c r="N166" s="13" t="n">
        <x:f>VLOOKUP(C166,'MES orders'!$A$8:$H$127,5,FALSE)</x:f>
        <x:v>46302.666666666664</x:v>
      </x:c>
      <x:c r="O166" s="16" t="n">
        <x:f>MAX(0,(M166-N166)*24)</x:f>
        <x:v>0</x:v>
      </x:c>
      <x:c r="P166" s="9" t="str">
        <x:v>No</x:v>
      </x:c>
      <x:c r="Q166" s="15" t="n">
        <x:v>15</x:v>
      </x:c>
      <x:c r="R166" s="13" t="n">
        <x:f>J166+Q166/1440</x:f>
        <x:v>46300.57847222222</x:v>
      </x:c>
      <x:c r="S166" s="2" t="str">
        <x:f>VLOOKUP(C166,'MES orders'!$A$8:$H$127,6,FALSE)</x:f>
        <x:v>Normal</x:v>
      </x:c>
      <x:c r="T166" s="9" t="str"/>
    </x:row>
    <x:row r="167" ht="22" customHeight="1">
      <x:c r="A167" s="2" t="str">
        <x:v>L00045-050</x:v>
      </x:c>
      <x:c r="B167" s="2" t="str">
        <x:v>L00045</x:v>
      </x:c>
      <x:c r="C167" s="2" t="str">
        <x:v>SO-26009</x:v>
      </x:c>
      <x:c r="D167" s="2" t="str">
        <x:v>D-S-AL</x:v>
      </x:c>
      <x:c r="E167" s="14" t="n">
        <x:v>5</x:v>
      </x:c>
      <x:c r="F167" s="2" t="str">
        <x:v>Final leak / function test</x:v>
      </x:c>
      <x:c r="G167" s="9" t="str">
        <x:v>QA-01</x:v>
      </x:c>
      <x:c r="H167" s="15" t="n">
        <x:v>9</x:v>
      </x:c>
      <x:c r="I167" s="9" t="str">
        <x:v>P11</x:v>
      </x:c>
      <x:c r="J167" s="11" t="n">
        <x:v>46300.56805555556</x:v>
      </x:c>
      <x:c r="K167" s="15" t="n">
        <x:v>10</x:v>
      </x:c>
      <x:c r="L167" s="15" t="n">
        <x:v>4</x:v>
      </x:c>
      <x:c r="M167" s="13" t="n">
        <x:f>J167+(K167+L167)/1440</x:f>
        <x:v>46300.577777777784</x:v>
      </x:c>
      <x:c r="N167" s="13" t="n">
        <x:f>VLOOKUP(C167,'MES orders'!$A$8:$H$127,5,FALSE)</x:f>
        <x:v>46302.666666666664</x:v>
      </x:c>
      <x:c r="O167" s="16" t="n">
        <x:f>MAX(0,(M167-N167)*24)</x:f>
        <x:v>0</x:v>
      </x:c>
      <x:c r="P167" s="9" t="str">
        <x:v>No</x:v>
      </x:c>
      <x:c r="Q167" s="15" t="n">
        <x:v>14</x:v>
      </x:c>
      <x:c r="R167" s="13" t="n">
        <x:f>J167+Q167/1440</x:f>
        <x:v>46300.577777777784</x:v>
      </x:c>
      <x:c r="S167" s="2" t="str">
        <x:f>VLOOKUP(C167,'MES orders'!$A$8:$H$127,6,FALSE)</x:f>
        <x:v>Normal</x:v>
      </x:c>
      <x:c r="T167" s="9" t="str"/>
    </x:row>
    <x:row r="168" ht="22" customHeight="1">
      <x:c r="A168" s="2" t="str">
        <x:v>L00082-040</x:v>
      </x:c>
      <x:c r="B168" s="2" t="str">
        <x:v>L00082</x:v>
      </x:c>
      <x:c r="C168" s="2" t="str">
        <x:v>SO-26017</x:v>
      </x:c>
      <x:c r="D168" s="2" t="str">
        <x:v>D-L-AL</x:v>
      </x:c>
      <x:c r="E168" s="14" t="n">
        <x:v>25</x:v>
      </x:c>
      <x:c r="F168" s="2" t="str">
        <x:v>Mechanical assembly</x:v>
      </x:c>
      <x:c r="G168" s="9" t="str">
        <x:v>AS-01</x:v>
      </x:c>
      <x:c r="H168" s="15" t="n">
        <x:v>15</x:v>
      </x:c>
      <x:c r="I168" s="9" t="str">
        <x:v>P16</x:v>
      </x:c>
      <x:c r="J168" s="11" t="n">
        <x:v>46300.583333333336</x:v>
      </x:c>
      <x:c r="K168" s="15" t="n">
        <x:v>8</x:v>
      </x:c>
      <x:c r="L168" s="15" t="n">
        <x:v>61</x:v>
      </x:c>
      <x:c r="M168" s="13" t="n">
        <x:f>J168+(K168+L168)/1440</x:f>
        <x:v>46300.631250000006</x:v>
      </x:c>
      <x:c r="N168" s="13" t="n">
        <x:f>VLOOKUP(C168,'MES orders'!$A$8:$H$127,5,FALSE)</x:f>
        <x:v>46302.666666666664</x:v>
      </x:c>
      <x:c r="O168" s="16" t="n">
        <x:f>MAX(0,(M168-N168)*24)</x:f>
        <x:v>0</x:v>
      </x:c>
      <x:c r="P168" s="9" t="str">
        <x:v>No</x:v>
      </x:c>
      <x:c r="Q168" s="15" t="n">
        <x:v>69</x:v>
      </x:c>
      <x:c r="R168" s="13" t="n">
        <x:f>J168+Q168/1440</x:f>
        <x:v>46300.631250000006</x:v>
      </x:c>
      <x:c r="S168" s="2" t="str">
        <x:f>VLOOKUP(C168,'MES orders'!$A$8:$H$127,6,FALSE)</x:f>
        <x:v>Normal</x:v>
      </x:c>
      <x:c r="T168" s="9" t="str"/>
    </x:row>
    <x:row r="169" ht="22" customHeight="1">
      <x:c r="A169" s="2" t="str">
        <x:v>L00083-040</x:v>
      </x:c>
      <x:c r="B169" s="2" t="str">
        <x:v>L00083</x:v>
      </x:c>
      <x:c r="C169" s="2" t="str">
        <x:v>SO-26017</x:v>
      </x:c>
      <x:c r="D169" s="2" t="str">
        <x:v>D-L-AL</x:v>
      </x:c>
      <x:c r="E169" s="14" t="n">
        <x:v>25</x:v>
      </x:c>
      <x:c r="F169" s="2" t="str">
        <x:v>Mechanical assembly</x:v>
      </x:c>
      <x:c r="G169" s="9" t="str">
        <x:v>AS-02</x:v>
      </x:c>
      <x:c r="H169" s="15" t="n">
        <x:v>11</x:v>
      </x:c>
      <x:c r="I169" s="9" t="str">
        <x:v>P17</x:v>
      </x:c>
      <x:c r="J169" s="11" t="n">
        <x:v>46300.583333333336</x:v>
      </x:c>
      <x:c r="K169" s="15" t="n">
        <x:v>8</x:v>
      </x:c>
      <x:c r="L169" s="15" t="n">
        <x:v>61</x:v>
      </x:c>
      <x:c r="M169" s="13" t="n">
        <x:f>J169+(K169+L169)/1440</x:f>
        <x:v>46300.631250000006</x:v>
      </x:c>
      <x:c r="N169" s="13" t="n">
        <x:f>VLOOKUP(C169,'MES orders'!$A$8:$H$127,5,FALSE)</x:f>
        <x:v>46302.666666666664</x:v>
      </x:c>
      <x:c r="O169" s="16" t="n">
        <x:f>MAX(0,(M169-N169)*24)</x:f>
        <x:v>0</x:v>
      </x:c>
      <x:c r="P169" s="9" t="str">
        <x:v>No</x:v>
      </x:c>
      <x:c r="Q169" s="15" t="n">
        <x:v>69</x:v>
      </x:c>
      <x:c r="R169" s="13" t="n">
        <x:f>J169+Q169/1440</x:f>
        <x:v>46300.631250000006</x:v>
      </x:c>
      <x:c r="S169" s="2" t="str">
        <x:f>VLOOKUP(C169,'MES orders'!$A$8:$H$127,6,FALSE)</x:f>
        <x:v>Normal</x:v>
      </x:c>
      <x:c r="T169" s="9" t="str"/>
    </x:row>
    <x:row r="170" ht="22" customHeight="1">
      <x:c r="A170" s="2" t="str">
        <x:v>L00125-040</x:v>
      </x:c>
      <x:c r="B170" s="2" t="str">
        <x:v>L00125</x:v>
      </x:c>
      <x:c r="C170" s="2" t="str">
        <x:v>SO-26025</x:v>
      </x:c>
      <x:c r="D170" s="2" t="str">
        <x:v>R-C-AL</x:v>
      </x:c>
      <x:c r="E170" s="14" t="n">
        <x:v>20</x:v>
      </x:c>
      <x:c r="F170" s="2" t="str">
        <x:v>Mechanical assembly</x:v>
      </x:c>
      <x:c r="G170" s="9" t="str">
        <x:v>AS-04</x:v>
      </x:c>
      <x:c r="H170" s="15" t="n">
        <x:v>3</x:v>
      </x:c>
      <x:c r="I170" s="9" t="str">
        <x:v>P13</x:v>
      </x:c>
      <x:c r="J170" s="11" t="n">
        <x:v>46300.583333333336</x:v>
      </x:c>
      <x:c r="K170" s="15" t="n">
        <x:v>8</x:v>
      </x:c>
      <x:c r="L170" s="15" t="n">
        <x:v>29</x:v>
      </x:c>
      <x:c r="M170" s="13" t="n">
        <x:f>J170+(K170+L170)/1440</x:f>
        <x:v>46300.60902777778</x:v>
      </x:c>
      <x:c r="N170" s="13" t="n">
        <x:f>VLOOKUP(C170,'MES orders'!$A$8:$H$127,5,FALSE)</x:f>
        <x:v>46302.666666666664</x:v>
      </x:c>
      <x:c r="O170" s="16" t="n">
        <x:f>MAX(0,(M170-N170)*24)</x:f>
        <x:v>0</x:v>
      </x:c>
      <x:c r="P170" s="9" t="str">
        <x:v>No</x:v>
      </x:c>
      <x:c r="Q170" s="15" t="n">
        <x:v>37</x:v>
      </x:c>
      <x:c r="R170" s="13" t="n">
        <x:f>J170+Q170/1440</x:f>
        <x:v>46300.60902777778</x:v>
      </x:c>
      <x:c r="S170" s="2" t="str">
        <x:f>VLOOKUP(C170,'MES orders'!$A$8:$H$127,6,FALSE)</x:f>
        <x:v>Normal</x:v>
      </x:c>
      <x:c r="T170" s="9" t="str"/>
    </x:row>
    <x:row r="171" ht="22" customHeight="1">
      <x:c r="A171" s="2" t="str">
        <x:v>L00161-040</x:v>
      </x:c>
      <x:c r="B171" s="2" t="str">
        <x:v>L00161</x:v>
      </x:c>
      <x:c r="C171" s="2" t="str">
        <x:v>SO-26033</x:v>
      </x:c>
      <x:c r="D171" s="2" t="str">
        <x:v>R-S-AL</x:v>
      </x:c>
      <x:c r="E171" s="14" t="n">
        <x:v>10</x:v>
      </x:c>
      <x:c r="F171" s="2" t="str">
        <x:v>Mechanical assembly</x:v>
      </x:c>
      <x:c r="G171" s="9" t="str">
        <x:v>AS-05</x:v>
      </x:c>
      <x:c r="H171" s="15" t="n">
        <x:v>3</x:v>
      </x:c>
      <x:c r="I171" s="9" t="str">
        <x:v>P14</x:v>
      </x:c>
      <x:c r="J171" s="11" t="n">
        <x:v>46300.583333333336</x:v>
      </x:c>
      <x:c r="K171" s="15" t="n">
        <x:v>8</x:v>
      </x:c>
      <x:c r="L171" s="15" t="n">
        <x:v>18</x:v>
      </x:c>
      <x:c r="M171" s="13" t="n">
        <x:f>J171+(K171+L171)/1440</x:f>
        <x:v>46300.60138888889</x:v>
      </x:c>
      <x:c r="N171" s="13" t="n">
        <x:f>VLOOKUP(C171,'MES orders'!$A$8:$H$127,5,FALSE)</x:f>
        <x:v>46302.666666666664</x:v>
      </x:c>
      <x:c r="O171" s="16" t="n">
        <x:f>MAX(0,(M171-N171)*24)</x:f>
        <x:v>0</x:v>
      </x:c>
      <x:c r="P171" s="9" t="str">
        <x:v>No</x:v>
      </x:c>
      <x:c r="Q171" s="15" t="n">
        <x:v>26</x:v>
      </x:c>
      <x:c r="R171" s="13" t="n">
        <x:f>J171+Q171/1440</x:f>
        <x:v>46300.60138888889</x:v>
      </x:c>
      <x:c r="S171" s="2" t="str">
        <x:f>VLOOKUP(C171,'MES orders'!$A$8:$H$127,6,FALSE)</x:f>
        <x:v>Normal</x:v>
      </x:c>
      <x:c r="T171" s="9" t="str"/>
    </x:row>
    <x:row r="172" ht="22" customHeight="1">
      <x:c r="A172" s="2" t="str">
        <x:v>L00564-060</x:v>
      </x:c>
      <x:c r="B172" s="2" t="str">
        <x:v>L00564</x:v>
      </x:c>
      <x:c r="C172" s="2" t="str">
        <x:v>SO-26113</x:v>
      </x:c>
      <x:c r="D172" s="2" t="str">
        <x:v>R-L-AL</x:v>
      </x:c>
      <x:c r="E172" s="14" t="n">
        <x:v>20</x:v>
      </x:c>
      <x:c r="F172" s="2" t="str">
        <x:v>Final leak / function test</x:v>
      </x:c>
      <x:c r="G172" s="9" t="str">
        <x:v>QA-02</x:v>
      </x:c>
      <x:c r="H172" s="15" t="n">
        <x:v>10</x:v>
      </x:c>
      <x:c r="I172" s="9" t="str">
        <x:v>P23</x:v>
      </x:c>
      <x:c r="J172" s="11" t="n">
        <x:v>46300.583333333336</x:v>
      </x:c>
      <x:c r="K172" s="15" t="n">
        <x:v>10</x:v>
      </x:c>
      <x:c r="L172" s="15" t="n">
        <x:v>24</x:v>
      </x:c>
      <x:c r="M172" s="13" t="n">
        <x:f>J172+(K172+L172)/1440</x:f>
        <x:v>46300.606944444444</x:v>
      </x:c>
      <x:c r="N172" s="13" t="n">
        <x:f>VLOOKUP(C172,'MES orders'!$A$8:$H$127,5,FALSE)</x:f>
        <x:v>46302.666666666664</x:v>
      </x:c>
      <x:c r="O172" s="16" t="n">
        <x:f>MAX(0,(M172-N172)*24)</x:f>
        <x:v>0</x:v>
      </x:c>
      <x:c r="P172" s="9" t="str">
        <x:v>No</x:v>
      </x:c>
      <x:c r="Q172" s="15" t="n">
        <x:v>34</x:v>
      </x:c>
      <x:c r="R172" s="13" t="n">
        <x:f>J172+Q172/1440</x:f>
        <x:v>46300.606944444444</x:v>
      </x:c>
      <x:c r="S172" s="2" t="str">
        <x:f>VLOOKUP(C172,'MES orders'!$A$8:$H$127,6,FALSE)</x:f>
        <x:v>High</x:v>
      </x:c>
      <x:c r="T172" s="9" t="str"/>
    </x:row>
    <x:row r="173" ht="22" customHeight="1">
      <x:c r="A173" s="2" t="str">
        <x:v>L00565-060</x:v>
      </x:c>
      <x:c r="B173" s="2" t="str">
        <x:v>L00565</x:v>
      </x:c>
      <x:c r="C173" s="2" t="str">
        <x:v>SO-26113</x:v>
      </x:c>
      <x:c r="D173" s="2" t="str">
        <x:v>R-L-AL</x:v>
      </x:c>
      <x:c r="E173" s="14" t="n">
        <x:v>20</x:v>
      </x:c>
      <x:c r="F173" s="2" t="str">
        <x:v>Final leak / function test</x:v>
      </x:c>
      <x:c r="G173" s="9" t="str">
        <x:v>QA-03</x:v>
      </x:c>
      <x:c r="H173" s="15" t="n">
        <x:v>3</x:v>
      </x:c>
      <x:c r="I173" s="9" t="str">
        <x:v>P24</x:v>
      </x:c>
      <x:c r="J173" s="11" t="n">
        <x:v>46300.583333333336</x:v>
      </x:c>
      <x:c r="K173" s="15" t="n">
        <x:v>10</x:v>
      </x:c>
      <x:c r="L173" s="15" t="n">
        <x:v>24</x:v>
      </x:c>
      <x:c r="M173" s="13" t="n">
        <x:f>J173+(K173+L173)/1440</x:f>
        <x:v>46300.606944444444</x:v>
      </x:c>
      <x:c r="N173" s="13" t="n">
        <x:f>VLOOKUP(C173,'MES orders'!$A$8:$H$127,5,FALSE)</x:f>
        <x:v>46302.666666666664</x:v>
      </x:c>
      <x:c r="O173" s="16" t="n">
        <x:f>MAX(0,(M173-N173)*24)</x:f>
        <x:v>0</x:v>
      </x:c>
      <x:c r="P173" s="9" t="str">
        <x:v>No</x:v>
      </x:c>
      <x:c r="Q173" s="15" t="n">
        <x:v>34</x:v>
      </x:c>
      <x:c r="R173" s="13" t="n">
        <x:f>J173+Q173/1440</x:f>
        <x:v>46300.606944444444</x:v>
      </x:c>
      <x:c r="S173" s="2" t="str">
        <x:f>VLOOKUP(C173,'MES orders'!$A$8:$H$127,6,FALSE)</x:f>
        <x:v>High</x:v>
      </x:c>
      <x:c r="T173" s="9" t="str"/>
    </x:row>
    <x:row r="174" ht="22" customHeight="1">
      <x:c r="A174" s="2" t="str">
        <x:v>L00084-030</x:v>
      </x:c>
      <x:c r="B174" s="2" t="str">
        <x:v>L00084</x:v>
      </x:c>
      <x:c r="C174" s="2" t="str">
        <x:v>SO-26017</x:v>
      </x:c>
      <x:c r="D174" s="2" t="str">
        <x:v>D-L-AL</x:v>
      </x:c>
      <x:c r="E174" s="14" t="n">
        <x:v>25</x:v>
      </x:c>
      <x:c r="F174" s="2" t="str">
        <x:v>Wash &amp; dry</x:v>
      </x:c>
      <x:c r="G174" s="9" t="str">
        <x:v>WS-01</x:v>
      </x:c>
      <x:c r="H174" s="15" t="n">
        <x:v>19</x:v>
      </x:c>
      <x:c r="I174" s="9" t="str">
        <x:v>P18</x:v>
      </x:c>
      <x:c r="J174" s="11" t="n">
        <x:v>46300.583333333336</x:v>
      </x:c>
      <x:c r="K174" s="15" t="n">
        <x:v>12</x:v>
      </x:c>
      <x:c r="L174" s="15" t="n">
        <x:v>12</x:v>
      </x:c>
      <x:c r="M174" s="13" t="n">
        <x:f>J174+(K174+L174)/1440</x:f>
        <x:v>46300.600000000006</x:v>
      </x:c>
      <x:c r="N174" s="13" t="n">
        <x:f>VLOOKUP(C174,'MES orders'!$A$8:$H$127,5,FALSE)</x:f>
        <x:v>46302.666666666664</x:v>
      </x:c>
      <x:c r="O174" s="16" t="n">
        <x:f>MAX(0,(M174-N174)*24)</x:f>
        <x:v>0</x:v>
      </x:c>
      <x:c r="P174" s="9" t="str">
        <x:v>No</x:v>
      </x:c>
      <x:c r="Q174" s="15" t="n">
        <x:v>24</x:v>
      </x:c>
      <x:c r="R174" s="13" t="n">
        <x:f>J174+Q174/1440</x:f>
        <x:v>46300.600000000006</x:v>
      </x:c>
      <x:c r="S174" s="2" t="str">
        <x:f>VLOOKUP(C174,'MES orders'!$A$8:$H$127,6,FALSE)</x:f>
        <x:v>Normal</x:v>
      </x:c>
      <x:c r="T174" s="9" t="str"/>
    </x:row>
    <x:row r="175" ht="22" customHeight="1">
      <x:c r="A175" s="2" t="str">
        <x:v>L00162-030</x:v>
      </x:c>
      <x:c r="B175" s="2" t="str">
        <x:v>L00162</x:v>
      </x:c>
      <x:c r="C175" s="2" t="str">
        <x:v>SO-26033</x:v>
      </x:c>
      <x:c r="D175" s="2" t="str">
        <x:v>R-S-AL</x:v>
      </x:c>
      <x:c r="E175" s="14" t="n">
        <x:v>10</x:v>
      </x:c>
      <x:c r="F175" s="2" t="str">
        <x:v>Wash &amp; dry</x:v>
      </x:c>
      <x:c r="G175" s="9" t="str">
        <x:v>WS-02</x:v>
      </x:c>
      <x:c r="H175" s="15" t="n">
        <x:v>12</x:v>
      </x:c>
      <x:c r="I175" s="9" t="str">
        <x:v>P15</x:v>
      </x:c>
      <x:c r="J175" s="11" t="n">
        <x:v>46300.583333333336</x:v>
      </x:c>
      <x:c r="K175" s="15" t="n">
        <x:v>12</x:v>
      </x:c>
      <x:c r="L175" s="15" t="n">
        <x:v>4</x:v>
      </x:c>
      <x:c r="M175" s="13" t="n">
        <x:f>J175+(K175+L175)/1440</x:f>
        <x:v>46300.59444444445</x:v>
      </x:c>
      <x:c r="N175" s="13" t="n">
        <x:f>VLOOKUP(C175,'MES orders'!$A$8:$H$127,5,FALSE)</x:f>
        <x:v>46302.666666666664</x:v>
      </x:c>
      <x:c r="O175" s="16" t="n">
        <x:f>MAX(0,(M175-N175)*24)</x:f>
        <x:v>0</x:v>
      </x:c>
      <x:c r="P175" s="9" t="str">
        <x:v>No</x:v>
      </x:c>
      <x:c r="Q175" s="15" t="n">
        <x:v>16</x:v>
      </x:c>
      <x:c r="R175" s="13" t="n">
        <x:f>J175+Q175/1440</x:f>
        <x:v>46300.59444444445</x:v>
      </x:c>
      <x:c r="S175" s="2" t="str">
        <x:f>VLOOKUP(C175,'MES orders'!$A$8:$H$127,6,FALSE)</x:f>
        <x:v>Normal</x:v>
      </x:c>
      <x:c r="T175" s="9" t="str"/>
    </x:row>
    <x:row r="176" ht="22" customHeight="1">
      <x:c r="A176" s="2" t="str">
        <x:v>L00163-020</x:v>
      </x:c>
      <x:c r="B176" s="2" t="str">
        <x:v>L00163</x:v>
      </x:c>
      <x:c r="C176" s="2" t="str">
        <x:v>SO-26033</x:v>
      </x:c>
      <x:c r="D176" s="2" t="str">
        <x:v>R-S-AL</x:v>
      </x:c>
      <x:c r="E176" s="14" t="n">
        <x:v>10</x:v>
      </x:c>
      <x:c r="F176" s="2" t="str">
        <x:v>Deburr &amp; inspect</x:v>
      </x:c>
      <x:c r="G176" s="9" t="str">
        <x:v>DB-01</x:v>
      </x:c>
      <x:c r="H176" s="15" t="n">
        <x:v>19</x:v>
      </x:c>
      <x:c r="I176" s="9" t="str">
        <x:v>P19</x:v>
      </x:c>
      <x:c r="J176" s="11" t="n">
        <x:v>46300.584027777775</x:v>
      </x:c>
      <x:c r="K176" s="15" t="n">
        <x:v>4</x:v>
      </x:c>
      <x:c r="L176" s="15" t="n">
        <x:v>7</x:v>
      </x:c>
      <x:c r="M176" s="13" t="n">
        <x:f>J176+(K176+L176)/1440</x:f>
        <x:v>46300.59166666667</x:v>
      </x:c>
      <x:c r="N176" s="13" t="n">
        <x:f>VLOOKUP(C176,'MES orders'!$A$8:$H$127,5,FALSE)</x:f>
        <x:v>46302.666666666664</x:v>
      </x:c>
      <x:c r="O176" s="16" t="n">
        <x:f>MAX(0,(M176-N176)*24)</x:f>
        <x:v>0</x:v>
      </x:c>
      <x:c r="P176" s="9" t="str">
        <x:v>No</x:v>
      </x:c>
      <x:c r="Q176" s="15" t="n">
        <x:v>11</x:v>
      </x:c>
      <x:c r="R176" s="13" t="n">
        <x:f>J176+Q176/1440</x:f>
        <x:v>46300.59166666667</x:v>
      </x:c>
      <x:c r="S176" s="2" t="str">
        <x:f>VLOOKUP(C176,'MES orders'!$A$8:$H$127,6,FALSE)</x:f>
        <x:v>Normal</x:v>
      </x:c>
      <x:c r="T176" s="9" t="str"/>
    </x:row>
    <x:row r="177" ht="22" customHeight="1">
      <x:c r="A177" s="2" t="str">
        <x:v>L00162-040</x:v>
      </x:c>
      <x:c r="B177" s="2" t="str">
        <x:v>L00162</x:v>
      </x:c>
      <x:c r="C177" s="2" t="str">
        <x:v>SO-26033</x:v>
      </x:c>
      <x:c r="D177" s="2" t="str">
        <x:v>R-S-AL</x:v>
      </x:c>
      <x:c r="E177" s="14" t="n">
        <x:v>10</x:v>
      </x:c>
      <x:c r="F177" s="2" t="str">
        <x:v>Mechanical assembly</x:v>
      </x:c>
      <x:c r="G177" s="9" t="str">
        <x:v>AS-06</x:v>
      </x:c>
      <x:c r="H177" s="15" t="n">
        <x:v>2</x:v>
      </x:c>
      <x:c r="I177" s="9" t="str">
        <x:v>P15</x:v>
      </x:c>
      <x:c r="J177" s="11" t="n">
        <x:v>46300.59444444445</x:v>
      </x:c>
      <x:c r="K177" s="15" t="n">
        <x:v>8</x:v>
      </x:c>
      <x:c r="L177" s="15" t="n">
        <x:v>18</x:v>
      </x:c>
      <x:c r="M177" s="13" t="n">
        <x:f>J177+(K177+L177)/1440</x:f>
        <x:v>46300.6125</x:v>
      </x:c>
      <x:c r="N177" s="13" t="n">
        <x:f>VLOOKUP(C177,'MES orders'!$A$8:$H$127,5,FALSE)</x:f>
        <x:v>46302.666666666664</x:v>
      </x:c>
      <x:c r="O177" s="16" t="n">
        <x:f>MAX(0,(M177-N177)*24)</x:f>
        <x:v>0</x:v>
      </x:c>
      <x:c r="P177" s="9" t="str">
        <x:v>No</x:v>
      </x:c>
      <x:c r="Q177" s="15" t="n">
        <x:v>26</x:v>
      </x:c>
      <x:c r="R177" s="13" t="n">
        <x:f>J177+Q177/1440</x:f>
        <x:v>46300.6125</x:v>
      </x:c>
      <x:c r="S177" s="2" t="str">
        <x:f>VLOOKUP(C177,'MES orders'!$A$8:$H$127,6,FALSE)</x:f>
        <x:v>Normal</x:v>
      </x:c>
      <x:c r="T177" s="9" t="str"/>
    </x:row>
    <x:row r="178" ht="22" customHeight="1">
      <x:c r="A178" s="2" t="str">
        <x:v>L00163-030</x:v>
      </x:c>
      <x:c r="B178" s="2" t="str">
        <x:v>L00163</x:v>
      </x:c>
      <x:c r="C178" s="2" t="str">
        <x:v>SO-26033</x:v>
      </x:c>
      <x:c r="D178" s="2" t="str">
        <x:v>R-S-AL</x:v>
      </x:c>
      <x:c r="E178" s="14" t="n">
        <x:v>10</x:v>
      </x:c>
      <x:c r="F178" s="2" t="str">
        <x:v>Wash &amp; dry</x:v>
      </x:c>
      <x:c r="G178" s="9" t="str">
        <x:v>WS-02</x:v>
      </x:c>
      <x:c r="H178" s="15" t="n">
        <x:v>13</x:v>
      </x:c>
      <x:c r="I178" s="9" t="str">
        <x:v>P19</x:v>
      </x:c>
      <x:c r="J178" s="11" t="n">
        <x:v>46300.59444444445</x:v>
      </x:c>
      <x:c r="K178" s="15" t="n">
        <x:v>12</x:v>
      </x:c>
      <x:c r="L178" s="15" t="n">
        <x:v>4</x:v>
      </x:c>
      <x:c r="M178" s="13" t="n">
        <x:f>J178+(K178+L178)/1440</x:f>
        <x:v>46300.60555555556</x:v>
      </x:c>
      <x:c r="N178" s="13" t="n">
        <x:f>VLOOKUP(C178,'MES orders'!$A$8:$H$127,5,FALSE)</x:f>
        <x:v>46302.666666666664</x:v>
      </x:c>
      <x:c r="O178" s="16" t="n">
        <x:f>MAX(0,(M178-N178)*24)</x:f>
        <x:v>0</x:v>
      </x:c>
      <x:c r="P178" s="9" t="str">
        <x:v>No</x:v>
      </x:c>
      <x:c r="Q178" s="15" t="n">
        <x:v>16</x:v>
      </x:c>
      <x:c r="R178" s="13" t="n">
        <x:f>J178+Q178/1440</x:f>
        <x:v>46300.60555555556</x:v>
      </x:c>
      <x:c r="S178" s="2" t="str">
        <x:f>VLOOKUP(C178,'MES orders'!$A$8:$H$127,6,FALSE)</x:f>
        <x:v>Normal</x:v>
      </x:c>
      <x:c r="T178" s="9" t="str"/>
    </x:row>
    <x:row r="179" ht="22" customHeight="1">
      <x:c r="A179" s="2" t="str">
        <x:v>L00084-040</x:v>
      </x:c>
      <x:c r="B179" s="2" t="str">
        <x:v>L00084</x:v>
      </x:c>
      <x:c r="C179" s="2" t="str">
        <x:v>SO-26017</x:v>
      </x:c>
      <x:c r="D179" s="2" t="str">
        <x:v>D-L-AL</x:v>
      </x:c>
      <x:c r="E179" s="14" t="n">
        <x:v>25</x:v>
      </x:c>
      <x:c r="F179" s="2" t="str">
        <x:v>Mechanical assembly</x:v>
      </x:c>
      <x:c r="G179" s="9" t="str">
        <x:v>AS-03</x:v>
      </x:c>
      <x:c r="H179" s="15" t="n">
        <x:v>7</x:v>
      </x:c>
      <x:c r="I179" s="9" t="str">
        <x:v>P18</x:v>
      </x:c>
      <x:c r="J179" s="11" t="n">
        <x:v>46300.6</x:v>
      </x:c>
      <x:c r="K179" s="15" t="n">
        <x:v>8</x:v>
      </x:c>
      <x:c r="L179" s="15" t="n">
        <x:v>61</x:v>
      </x:c>
      <x:c r="M179" s="13" t="n">
        <x:f>J179+(K179+L179)/1440</x:f>
        <x:v>46300.64791666667</x:v>
      </x:c>
      <x:c r="N179" s="13" t="n">
        <x:f>VLOOKUP(C179,'MES orders'!$A$8:$H$127,5,FALSE)</x:f>
        <x:v>46302.666666666664</x:v>
      </x:c>
      <x:c r="O179" s="16" t="n">
        <x:f>MAX(0,(M179-N179)*24)</x:f>
        <x:v>0</x:v>
      </x:c>
      <x:c r="P179" s="9" t="str">
        <x:v>No</x:v>
      </x:c>
      <x:c r="Q179" s="15" t="n">
        <x:v>69</x:v>
      </x:c>
      <x:c r="R179" s="13" t="n">
        <x:f>J179+Q179/1440</x:f>
        <x:v>46300.64791666667</x:v>
      </x:c>
      <x:c r="S179" s="2" t="str">
        <x:f>VLOOKUP(C179,'MES orders'!$A$8:$H$127,6,FALSE)</x:f>
        <x:v>Normal</x:v>
      </x:c>
      <x:c r="T179" s="9" t="str"/>
    </x:row>
    <x:row r="180" ht="22" customHeight="1">
      <x:c r="A180" s="2" t="str">
        <x:v>L00161-050</x:v>
      </x:c>
      <x:c r="B180" s="2" t="str">
        <x:v>L00161</x:v>
      </x:c>
      <x:c r="C180" s="2" t="str">
        <x:v>SO-26033</x:v>
      </x:c>
      <x:c r="D180" s="2" t="str">
        <x:v>R-S-AL</x:v>
      </x:c>
      <x:c r="E180" s="14" t="n">
        <x:v>10</x:v>
      </x:c>
      <x:c r="F180" s="2" t="str">
        <x:v>Valve adjustment</x:v>
      </x:c>
      <x:c r="G180" s="9" t="str">
        <x:v>AS-05</x:v>
      </x:c>
      <x:c r="H180" s="15" t="n">
        <x:v>4</x:v>
      </x:c>
      <x:c r="I180" s="9" t="str">
        <x:v>P20</x:v>
      </x:c>
      <x:c r="J180" s="11" t="n">
        <x:v>46300.60138888889</x:v>
      </x:c>
      <x:c r="K180" s="15" t="n">
        <x:v>6</x:v>
      </x:c>
      <x:c r="L180" s="15" t="n">
        <x:v>11</x:v>
      </x:c>
      <x:c r="M180" s="13" t="n">
        <x:f>J180+(K180+L180)/1440</x:f>
        <x:v>46300.61319444445</x:v>
      </x:c>
      <x:c r="N180" s="13" t="n">
        <x:f>VLOOKUP(C180,'MES orders'!$A$8:$H$127,5,FALSE)</x:f>
        <x:v>46302.666666666664</x:v>
      </x:c>
      <x:c r="O180" s="16" t="n">
        <x:f>MAX(0,(M180-N180)*24)</x:f>
        <x:v>0</x:v>
      </x:c>
      <x:c r="P180" s="9" t="str">
        <x:v>No</x:v>
      </x:c>
      <x:c r="Q180" s="15" t="n">
        <x:v>17</x:v>
      </x:c>
      <x:c r="R180" s="13" t="n">
        <x:f>J180+Q180/1440</x:f>
        <x:v>46300.61319444445</x:v>
      </x:c>
      <x:c r="S180" s="2" t="str">
        <x:f>VLOOKUP(C180,'MES orders'!$A$8:$H$127,6,FALSE)</x:f>
        <x:v>Normal</x:v>
      </x:c>
      <x:c r="T180" s="9" t="str"/>
    </x:row>
    <x:row r="181" ht="22" customHeight="1">
      <x:c r="A181" s="2" t="str">
        <x:v>L00164-020</x:v>
      </x:c>
      <x:c r="B181" s="2" t="str">
        <x:v>L00164</x:v>
      </x:c>
      <x:c r="C181" s="2" t="str">
        <x:v>SO-26033</x:v>
      </x:c>
      <x:c r="D181" s="2" t="str">
        <x:v>R-S-AL</x:v>
      </x:c>
      <x:c r="E181" s="14" t="n">
        <x:v>10</x:v>
      </x:c>
      <x:c r="F181" s="2" t="str">
        <x:v>Deburr &amp; inspect</x:v>
      </x:c>
      <x:c r="G181" s="9" t="str">
        <x:v>DB-01</x:v>
      </x:c>
      <x:c r="H181" s="15" t="n">
        <x:v>20</x:v>
      </x:c>
      <x:c r="I181" s="9" t="str">
        <x:v>P14</x:v>
      </x:c>
      <x:c r="J181" s="11" t="n">
        <x:v>46300.60138888889</x:v>
      </x:c>
      <x:c r="K181" s="15" t="n">
        <x:v>4</x:v>
      </x:c>
      <x:c r="L181" s="15" t="n">
        <x:v>7</x:v>
      </x:c>
      <x:c r="M181" s="13" t="n">
        <x:f>J181+(K181+L181)/1440</x:f>
        <x:v>46300.609027777784</x:v>
      </x:c>
      <x:c r="N181" s="13" t="n">
        <x:f>VLOOKUP(C181,'MES orders'!$A$8:$H$127,5,FALSE)</x:f>
        <x:v>46302.666666666664</x:v>
      </x:c>
      <x:c r="O181" s="16" t="n">
        <x:f>MAX(0,(M181-N181)*24)</x:f>
        <x:v>0</x:v>
      </x:c>
      <x:c r="P181" s="9" t="str">
        <x:v>No</x:v>
      </x:c>
      <x:c r="Q181" s="15" t="n">
        <x:v>11</x:v>
      </x:c>
      <x:c r="R181" s="13" t="n">
        <x:f>J181+Q181/1440</x:f>
        <x:v>46300.609027777784</x:v>
      </x:c>
      <x:c r="S181" s="2" t="str">
        <x:f>VLOOKUP(C181,'MES orders'!$A$8:$H$127,6,FALSE)</x:f>
        <x:v>Normal</x:v>
      </x:c>
      <x:c r="T181" s="9" t="str"/>
    </x:row>
    <x:row r="182" ht="22" customHeight="1">
      <x:c r="A182" s="2" t="str">
        <x:v>L00122-060</x:v>
      </x:c>
      <x:c r="B182" s="2" t="str">
        <x:v>L00122</x:v>
      </x:c>
      <x:c r="C182" s="2" t="str">
        <x:v>SO-26025</x:v>
      </x:c>
      <x:c r="D182" s="2" t="str">
        <x:v>R-C-AL</x:v>
      </x:c>
      <x:c r="E182" s="14" t="n">
        <x:v>20</x:v>
      </x:c>
      <x:c r="F182" s="2" t="str">
        <x:v>Final leak / function test</x:v>
      </x:c>
      <x:c r="G182" s="9" t="str">
        <x:v>QA-02</x:v>
      </x:c>
      <x:c r="H182" s="15" t="n">
        <x:v>11</x:v>
      </x:c>
      <x:c r="I182" s="9" t="str">
        <x:v>P23</x:v>
      </x:c>
      <x:c r="J182" s="11" t="n">
        <x:v>46300.606944444444</x:v>
      </x:c>
      <x:c r="K182" s="15" t="n">
        <x:v>10</x:v>
      </x:c>
      <x:c r="L182" s="15" t="n">
        <x:v>14</x:v>
      </x:c>
      <x:c r="M182" s="13" t="n">
        <x:f>J182+(K182+L182)/1440</x:f>
        <x:v>46300.623611111114</x:v>
      </x:c>
      <x:c r="N182" s="13" t="n">
        <x:f>VLOOKUP(C182,'MES orders'!$A$8:$H$127,5,FALSE)</x:f>
        <x:v>46302.666666666664</x:v>
      </x:c>
      <x:c r="O182" s="16" t="n">
        <x:f>MAX(0,(M182-N182)*24)</x:f>
        <x:v>0</x:v>
      </x:c>
      <x:c r="P182" s="9" t="str">
        <x:v>No</x:v>
      </x:c>
      <x:c r="Q182" s="15" t="n">
        <x:v>24</x:v>
      </x:c>
      <x:c r="R182" s="13" t="n">
        <x:f>J182+Q182/1440</x:f>
        <x:v>46300.623611111114</x:v>
      </x:c>
      <x:c r="S182" s="2" t="str">
        <x:f>VLOOKUP(C182,'MES orders'!$A$8:$H$127,6,FALSE)</x:f>
        <x:v>Normal</x:v>
      </x:c>
      <x:c r="T182" s="9" t="str"/>
    </x:row>
    <x:row r="183" ht="22" customHeight="1">
      <x:c r="A183" s="2" t="str">
        <x:v>L00165-010</x:v>
      </x:c>
      <x:c r="B183" s="2" t="str">
        <x:v>L00165</x:v>
      </x:c>
      <x:c r="C183" s="2" t="str">
        <x:v>SO-26033</x:v>
      </x:c>
      <x:c r="D183" s="2" t="str">
        <x:v>R-S-AL</x:v>
      </x:c>
      <x:c r="E183" s="14" t="n">
        <x:v>10</x:v>
      </x:c>
      <x:c r="F183" s="2" t="str">
        <x:v>CNC machining</x:v>
      </x:c>
      <x:c r="G183" s="9" t="str">
        <x:v>CNC-01</x:v>
      </x:c>
      <x:c r="H183" s="15" t="n">
        <x:v>10</x:v>
      </x:c>
      <x:c r="I183" s="9" t="str">
        <x:v>P14</x:v>
      </x:c>
      <x:c r="J183" s="11" t="n">
        <x:v>46300.60902777778</x:v>
      </x:c>
      <x:c r="K183" s="15" t="n">
        <x:v>18</x:v>
      </x:c>
      <x:c r="L183" s="15" t="n">
        <x:v>24</x:v>
      </x:c>
      <x:c r="M183" s="13" t="n">
        <x:f>J183+(K183+L183)/1440</x:f>
        <x:v>46300.638194444444</x:v>
      </x:c>
      <x:c r="N183" s="13" t="n">
        <x:f>VLOOKUP(C183,'MES orders'!$A$8:$H$127,5,FALSE)</x:f>
        <x:v>46302.666666666664</x:v>
      </x:c>
      <x:c r="O183" s="16" t="n">
        <x:f>MAX(0,(M183-N183)*24)</x:f>
        <x:v>0</x:v>
      </x:c>
      <x:c r="P183" s="9" t="str">
        <x:v>No</x:v>
      </x:c>
      <x:c r="Q183" s="15" t="n">
        <x:v>18</x:v>
      </x:c>
      <x:c r="R183" s="13" t="n">
        <x:f>J183+Q183/1440</x:f>
        <x:v>46300.621527777774</x:v>
      </x:c>
      <x:c r="S183" s="2" t="str">
        <x:f>VLOOKUP(C183,'MES orders'!$A$8:$H$127,6,FALSE)</x:f>
        <x:v>Normal</x:v>
      </x:c>
      <x:c r="T183" s="9" t="str"/>
    </x:row>
    <x:row r="184" ht="22" customHeight="1">
      <x:c r="A184" s="2" t="str">
        <x:v>L00164-030</x:v>
      </x:c>
      <x:c r="B184" s="2" t="str">
        <x:v>L00164</x:v>
      </x:c>
      <x:c r="C184" s="2" t="str">
        <x:v>SO-26033</x:v>
      </x:c>
      <x:c r="D184" s="2" t="str">
        <x:v>R-S-AL</x:v>
      </x:c>
      <x:c r="E184" s="14" t="n">
        <x:v>10</x:v>
      </x:c>
      <x:c r="F184" s="2" t="str">
        <x:v>Wash &amp; dry</x:v>
      </x:c>
      <x:c r="G184" s="9" t="str">
        <x:v>WS-01</x:v>
      </x:c>
      <x:c r="H184" s="15" t="n">
        <x:v>20</x:v>
      </x:c>
      <x:c r="I184" s="9" t="str">
        <x:v>P13</x:v>
      </x:c>
      <x:c r="J184" s="11" t="n">
        <x:v>46300.60902777778</x:v>
      </x:c>
      <x:c r="K184" s="15" t="n">
        <x:v>12</x:v>
      </x:c>
      <x:c r="L184" s="15" t="n">
        <x:v>4</x:v>
      </x:c>
      <x:c r="M184" s="13" t="n">
        <x:f>J184+(K184+L184)/1440</x:f>
        <x:v>46300.62013888889</x:v>
      </x:c>
      <x:c r="N184" s="13" t="n">
        <x:f>VLOOKUP(C184,'MES orders'!$A$8:$H$127,5,FALSE)</x:f>
        <x:v>46302.666666666664</x:v>
      </x:c>
      <x:c r="O184" s="16" t="n">
        <x:f>MAX(0,(M184-N184)*24)</x:f>
        <x:v>0</x:v>
      </x:c>
      <x:c r="P184" s="9" t="str">
        <x:v>No</x:v>
      </x:c>
      <x:c r="Q184" s="15" t="n">
        <x:v>16</x:v>
      </x:c>
      <x:c r="R184" s="13" t="n">
        <x:f>J184+Q184/1440</x:f>
        <x:v>46300.62013888889</x:v>
      </x:c>
      <x:c r="S184" s="2" t="str">
        <x:f>VLOOKUP(C184,'MES orders'!$A$8:$H$127,6,FALSE)</x:f>
        <x:v>Normal</x:v>
      </x:c>
      <x:c r="T184" s="9" t="str"/>
    </x:row>
    <x:row r="185" ht="22" customHeight="1">
      <x:c r="A185" s="2" t="str">
        <x:v>L00201-010</x:v>
      </x:c>
      <x:c r="B185" s="2" t="str">
        <x:v>L00201</x:v>
      </x:c>
      <x:c r="C185" s="2" t="str">
        <x:v>SO-26041</x:v>
      </x:c>
      <x:c r="D185" s="2" t="str">
        <x:v>R-L-AL</x:v>
      </x:c>
      <x:c r="E185" s="14" t="n">
        <x:v>15</x:v>
      </x:c>
      <x:c r="F185" s="2" t="str">
        <x:v>CNC machining</x:v>
      </x:c>
      <x:c r="G185" s="9" t="str">
        <x:v>CNC-03</x:v>
      </x:c>
      <x:c r="H185" s="15" t="n">
        <x:v>6</x:v>
      </x:c>
      <x:c r="I185" s="9" t="str">
        <x:v>P15</x:v>
      </x:c>
      <x:c r="J185" s="11" t="n">
        <x:v>46300.6125</x:v>
      </x:c>
      <x:c r="K185" s="15" t="n">
        <x:v>18</x:v>
      </x:c>
      <x:c r="L185" s="15" t="n">
        <x:v>49</x:v>
      </x:c>
      <x:c r="M185" s="13" t="n">
        <x:f>J185+(K185+L185)/1440</x:f>
        <x:v>46300.65902777778</x:v>
      </x:c>
      <x:c r="N185" s="13" t="n">
        <x:f>VLOOKUP(C185,'MES orders'!$A$8:$H$127,5,FALSE)</x:f>
        <x:v>46302.666666666664</x:v>
      </x:c>
      <x:c r="O185" s="16" t="n">
        <x:f>MAX(0,(M185-N185)*24)</x:f>
        <x:v>0</x:v>
      </x:c>
      <x:c r="P185" s="9" t="str">
        <x:v>No</x:v>
      </x:c>
      <x:c r="Q185" s="15" t="n">
        <x:v>18</x:v>
      </x:c>
      <x:c r="R185" s="13" t="n">
        <x:f>J185+Q185/1440</x:f>
        <x:v>46300.625</x:v>
      </x:c>
      <x:c r="S185" s="2" t="str">
        <x:f>VLOOKUP(C185,'MES orders'!$A$8:$H$127,6,FALSE)</x:f>
        <x:v>Normal</x:v>
      </x:c>
      <x:c r="T185" s="9" t="str"/>
    </x:row>
    <x:row r="186" ht="22" customHeight="1">
      <x:c r="A186" s="2" t="str">
        <x:v>L00161-060</x:v>
      </x:c>
      <x:c r="B186" s="2" t="str">
        <x:v>L00161</x:v>
      </x:c>
      <x:c r="C186" s="2" t="str">
        <x:v>SO-26033</x:v>
      </x:c>
      <x:c r="D186" s="2" t="str">
        <x:v>R-S-AL</x:v>
      </x:c>
      <x:c r="E186" s="14" t="n">
        <x:v>10</x:v>
      </x:c>
      <x:c r="F186" s="2" t="str">
        <x:v>Final leak / function test</x:v>
      </x:c>
      <x:c r="G186" s="9" t="str">
        <x:v>QA-03</x:v>
      </x:c>
      <x:c r="H186" s="15" t="n">
        <x:v>4</x:v>
      </x:c>
      <x:c r="I186" s="9" t="str">
        <x:v>P24</x:v>
      </x:c>
      <x:c r="J186" s="11" t="n">
        <x:v>46300.61319444444</x:v>
      </x:c>
      <x:c r="K186" s="15" t="n">
        <x:v>10</x:v>
      </x:c>
      <x:c r="L186" s="15" t="n">
        <x:v>9</x:v>
      </x:c>
      <x:c r="M186" s="13" t="n">
        <x:f>J186+(K186+L186)/1440</x:f>
        <x:v>46300.626388888886</x:v>
      </x:c>
      <x:c r="N186" s="13" t="n">
        <x:f>VLOOKUP(C186,'MES orders'!$A$8:$H$127,5,FALSE)</x:f>
        <x:v>46302.666666666664</x:v>
      </x:c>
      <x:c r="O186" s="16" t="n">
        <x:f>MAX(0,(M186-N186)*24)</x:f>
        <x:v>0</x:v>
      </x:c>
      <x:c r="P186" s="9" t="str">
        <x:v>No</x:v>
      </x:c>
      <x:c r="Q186" s="15" t="n">
        <x:v>19</x:v>
      </x:c>
      <x:c r="R186" s="13" t="n">
        <x:f>J186+Q186/1440</x:f>
        <x:v>46300.626388888886</x:v>
      </x:c>
      <x:c r="S186" s="2" t="str">
        <x:f>VLOOKUP(C186,'MES orders'!$A$8:$H$127,6,FALSE)</x:f>
        <x:v>Normal</x:v>
      </x:c>
      <x:c r="T186" s="9" t="str"/>
    </x:row>
    <x:row r="187" ht="22" customHeight="1">
      <x:c r="A187" s="2" t="str">
        <x:v>L00202-010</x:v>
      </x:c>
      <x:c r="B187" s="2" t="str">
        <x:v>L00202</x:v>
      </x:c>
      <x:c r="C187" s="2" t="str">
        <x:v>SO-26041</x:v>
      </x:c>
      <x:c r="D187" s="2" t="str">
        <x:v>R-L-AL</x:v>
      </x:c>
      <x:c r="E187" s="14" t="n">
        <x:v>15</x:v>
      </x:c>
      <x:c r="F187" s="2" t="str">
        <x:v>CNC machining</x:v>
      </x:c>
      <x:c r="G187" s="9" t="str">
        <x:v>CNC-04</x:v>
      </x:c>
      <x:c r="H187" s="15" t="n">
        <x:v>6</x:v>
      </x:c>
      <x:c r="I187" s="9" t="str">
        <x:v>P13</x:v>
      </x:c>
      <x:c r="J187" s="11" t="n">
        <x:v>46300.62013888889</x:v>
      </x:c>
      <x:c r="K187" s="15" t="n">
        <x:v>18</x:v>
      </x:c>
      <x:c r="L187" s="15" t="n">
        <x:v>49</x:v>
      </x:c>
      <x:c r="M187" s="13" t="n">
        <x:f>J187+(K187+L187)/1440</x:f>
        <x:v>46300.666666666664</x:v>
      </x:c>
      <x:c r="N187" s="13" t="n">
        <x:f>VLOOKUP(C187,'MES orders'!$A$8:$H$127,5,FALSE)</x:f>
        <x:v>46302.666666666664</x:v>
      </x:c>
      <x:c r="O187" s="16" t="n">
        <x:f>MAX(0,(M187-N187)*24)</x:f>
        <x:v>0</x:v>
      </x:c>
      <x:c r="P187" s="9" t="str">
        <x:v>No</x:v>
      </x:c>
      <x:c r="Q187" s="15" t="n">
        <x:v>18</x:v>
      </x:c>
      <x:c r="R187" s="13" t="n">
        <x:f>J187+Q187/1440</x:f>
        <x:v>46300.632638888885</x:v>
      </x:c>
      <x:c r="S187" s="2" t="str">
        <x:f>VLOOKUP(C187,'MES orders'!$A$8:$H$127,6,FALSE)</x:f>
        <x:v>Normal</x:v>
      </x:c>
      <x:c r="T187" s="9" t="str"/>
    </x:row>
    <x:row r="188" ht="22" customHeight="1">
      <x:c r="A188" s="2" t="str">
        <x:v>L00203-010</x:v>
      </x:c>
      <x:c r="B188" s="2" t="str">
        <x:v>L00203</x:v>
      </x:c>
      <x:c r="C188" s="2" t="str">
        <x:v>SO-26041</x:v>
      </x:c>
      <x:c r="D188" s="2" t="str">
        <x:v>R-L-AL</x:v>
      </x:c>
      <x:c r="E188" s="14" t="n">
        <x:v>15</x:v>
      </x:c>
      <x:c r="F188" s="2" t="str">
        <x:v>CNC machining</x:v>
      </x:c>
      <x:c r="G188" s="9" t="str">
        <x:v>CNC-05</x:v>
      </x:c>
      <x:c r="H188" s="15" t="n">
        <x:v>5</x:v>
      </x:c>
      <x:c r="I188" s="9" t="str">
        <x:v>P14</x:v>
      </x:c>
      <x:c r="J188" s="11" t="n">
        <x:v>46300.62152777778</x:v>
      </x:c>
      <x:c r="K188" s="15" t="n">
        <x:v>18</x:v>
      </x:c>
      <x:c r="L188" s="15" t="n">
        <x:v>49</x:v>
      </x:c>
      <x:c r="M188" s="13" t="n">
        <x:f>J188+(K188+L188)/1440</x:f>
        <x:v>46300.66805555556</x:v>
      </x:c>
      <x:c r="N188" s="13" t="n">
        <x:f>VLOOKUP(C188,'MES orders'!$A$8:$H$127,5,FALSE)</x:f>
        <x:v>46302.666666666664</x:v>
      </x:c>
      <x:c r="O188" s="16" t="n">
        <x:f>MAX(0,(M188-N188)*24)</x:f>
        <x:v>0</x:v>
      </x:c>
      <x:c r="P188" s="9" t="str">
        <x:v>No</x:v>
      </x:c>
      <x:c r="Q188" s="15" t="n">
        <x:v>18</x:v>
      </x:c>
      <x:c r="R188" s="13" t="n">
        <x:f>J188+Q188/1440</x:f>
        <x:v>46300.63402777778</x:v>
      </x:c>
      <x:c r="S188" s="2" t="str">
        <x:f>VLOOKUP(C188,'MES orders'!$A$8:$H$127,6,FALSE)</x:f>
        <x:v>Normal</x:v>
      </x:c>
      <x:c r="T188" s="9" t="str"/>
    </x:row>
    <x:row r="189" ht="22" customHeight="1">
      <x:c r="A189" s="2" t="str">
        <x:v>L00204-010</x:v>
      </x:c>
      <x:c r="B189" s="2" t="str">
        <x:v>L00204</x:v>
      </x:c>
      <x:c r="C189" s="2" t="str">
        <x:v>SO-26041</x:v>
      </x:c>
      <x:c r="D189" s="2" t="str">
        <x:v>R-L-AL</x:v>
      </x:c>
      <x:c r="E189" s="14" t="n">
        <x:v>15</x:v>
      </x:c>
      <x:c r="F189" s="2" t="str">
        <x:v>CNC machining</x:v>
      </x:c>
      <x:c r="G189" s="9" t="str">
        <x:v>CNC-06</x:v>
      </x:c>
      <x:c r="H189" s="15" t="n">
        <x:v>4</x:v>
      </x:c>
      <x:c r="I189" s="9" t="str">
        <x:v>P15</x:v>
      </x:c>
      <x:c r="J189" s="11" t="n">
        <x:v>46300.625</x:v>
      </x:c>
      <x:c r="K189" s="15" t="n">
        <x:v>18</x:v>
      </x:c>
      <x:c r="L189" s="15" t="n">
        <x:v>49</x:v>
      </x:c>
      <x:c r="M189" s="13" t="n">
        <x:f>J189+(K189+L189)/1440</x:f>
        <x:v>46300.67152777778</x:v>
      </x:c>
      <x:c r="N189" s="13" t="n">
        <x:f>VLOOKUP(C189,'MES orders'!$A$8:$H$127,5,FALSE)</x:f>
        <x:v>46302.666666666664</x:v>
      </x:c>
      <x:c r="O189" s="16" t="n">
        <x:f>MAX(0,(M189-N189)*24)</x:f>
        <x:v>0</x:v>
      </x:c>
      <x:c r="P189" s="9" t="str">
        <x:v>No</x:v>
      </x:c>
      <x:c r="Q189" s="15" t="n">
        <x:v>18</x:v>
      </x:c>
      <x:c r="R189" s="13" t="n">
        <x:f>J189+Q189/1440</x:f>
        <x:v>46300.6375</x:v>
      </x:c>
      <x:c r="S189" s="2" t="str">
        <x:f>VLOOKUP(C189,'MES orders'!$A$8:$H$127,6,FALSE)</x:f>
        <x:v>Normal</x:v>
      </x:c>
      <x:c r="T189" s="9" t="str"/>
    </x:row>
    <x:row r="190" ht="22" customHeight="1">
      <x:c r="A190" s="2" t="str">
        <x:v>L00085-040</x:v>
      </x:c>
      <x:c r="B190" s="2" t="str">
        <x:v>L00085</x:v>
      </x:c>
      <x:c r="C190" s="2" t="str">
        <x:v>SO-26017</x:v>
      </x:c>
      <x:c r="D190" s="2" t="str">
        <x:v>D-L-AL</x:v>
      </x:c>
      <x:c r="E190" s="14" t="n">
        <x:v>25</x:v>
      </x:c>
      <x:c r="F190" s="2" t="str">
        <x:v>Mechanical assembly</x:v>
      </x:c>
      <x:c r="G190" s="9" t="str">
        <x:v>AS-01</x:v>
      </x:c>
      <x:c r="H190" s="15" t="n">
        <x:v>16</x:v>
      </x:c>
      <x:c r="I190" s="9" t="str">
        <x:v>P16</x:v>
      </x:c>
      <x:c r="J190" s="11" t="n">
        <x:v>46300.63125</x:v>
      </x:c>
      <x:c r="K190" s="15" t="n">
        <x:v>8</x:v>
      </x:c>
      <x:c r="L190" s="15" t="n">
        <x:v>61</x:v>
      </x:c>
      <x:c r="M190" s="13" t="n">
        <x:f>J190+(K190+L190)/1440</x:f>
        <x:v>46300.67916666667</x:v>
      </x:c>
      <x:c r="N190" s="13" t="n">
        <x:f>VLOOKUP(C190,'MES orders'!$A$8:$H$127,5,FALSE)</x:f>
        <x:v>46302.666666666664</x:v>
      </x:c>
      <x:c r="O190" s="16" t="n">
        <x:f>MAX(0,(M190-N190)*24)</x:f>
        <x:v>0</x:v>
      </x:c>
      <x:c r="P190" s="9" t="str">
        <x:v>No</x:v>
      </x:c>
      <x:c r="Q190" s="15" t="n">
        <x:v>69</x:v>
      </x:c>
      <x:c r="R190" s="13" t="n">
        <x:f>J190+Q190/1440</x:f>
        <x:v>46300.67916666667</x:v>
      </x:c>
      <x:c r="S190" s="2" t="str">
        <x:f>VLOOKUP(C190,'MES orders'!$A$8:$H$127,6,FALSE)</x:f>
        <x:v>Normal</x:v>
      </x:c>
      <x:c r="T190" s="9" t="str"/>
    </x:row>
    <x:row r="191" ht="22" customHeight="1">
      <x:c r="A191" s="2" t="str">
        <x:v>L00082-050</x:v>
      </x:c>
      <x:c r="B191" s="2" t="str">
        <x:v>L00082</x:v>
      </x:c>
      <x:c r="C191" s="2" t="str">
        <x:v>SO-26017</x:v>
      </x:c>
      <x:c r="D191" s="2" t="str">
        <x:v>D-L-AL</x:v>
      </x:c>
      <x:c r="E191" s="14" t="n">
        <x:v>25</x:v>
      </x:c>
      <x:c r="F191" s="2" t="str">
        <x:v>Final leak / function test</x:v>
      </x:c>
      <x:c r="G191" s="9" t="str">
        <x:v>QA-01</x:v>
      </x:c>
      <x:c r="H191" s="15" t="n">
        <x:v>10</x:v>
      </x:c>
      <x:c r="I191" s="9" t="str">
        <x:v>P23</x:v>
      </x:c>
      <x:c r="J191" s="11" t="n">
        <x:v>46300.63125</x:v>
      </x:c>
      <x:c r="K191" s="15" t="n">
        <x:v>10</x:v>
      </x:c>
      <x:c r="L191" s="15" t="n">
        <x:v>30</x:v>
      </x:c>
      <x:c r="M191" s="13" t="n">
        <x:f>J191+(K191+L191)/1440</x:f>
        <x:v>46300.65902777778</x:v>
      </x:c>
      <x:c r="N191" s="13" t="n">
        <x:f>VLOOKUP(C191,'MES orders'!$A$8:$H$127,5,FALSE)</x:f>
        <x:v>46302.666666666664</x:v>
      </x:c>
      <x:c r="O191" s="16" t="n">
        <x:f>MAX(0,(M191-N191)*24)</x:f>
        <x:v>0</x:v>
      </x:c>
      <x:c r="P191" s="9" t="str">
        <x:v>No</x:v>
      </x:c>
      <x:c r="Q191" s="15" t="n">
        <x:v>40</x:v>
      </x:c>
      <x:c r="R191" s="13" t="n">
        <x:f>J191+Q191/1440</x:f>
        <x:v>46300.65902777778</x:v>
      </x:c>
      <x:c r="S191" s="2" t="str">
        <x:f>VLOOKUP(C191,'MES orders'!$A$8:$H$127,6,FALSE)</x:f>
        <x:v>Normal</x:v>
      </x:c>
      <x:c r="T191" s="9" t="str"/>
    </x:row>
    <x:row r="192" ht="22" customHeight="1">
      <x:c r="A192" s="2" t="str">
        <x:v>L00083-050</x:v>
      </x:c>
      <x:c r="B192" s="2" t="str">
        <x:v>L00083</x:v>
      </x:c>
      <x:c r="C192" s="2" t="str">
        <x:v>SO-26017</x:v>
      </x:c>
      <x:c r="D192" s="2" t="str">
        <x:v>D-L-AL</x:v>
      </x:c>
      <x:c r="E192" s="14" t="n">
        <x:v>25</x:v>
      </x:c>
      <x:c r="F192" s="2" t="str">
        <x:v>Final leak / function test</x:v>
      </x:c>
      <x:c r="G192" s="9" t="str">
        <x:v>QA-02</x:v>
      </x:c>
      <x:c r="H192" s="15" t="n">
        <x:v>12</x:v>
      </x:c>
      <x:c r="I192" s="9" t="str">
        <x:v>P24</x:v>
      </x:c>
      <x:c r="J192" s="11" t="n">
        <x:v>46300.63125</x:v>
      </x:c>
      <x:c r="K192" s="15" t="n">
        <x:v>10</x:v>
      </x:c>
      <x:c r="L192" s="15" t="n">
        <x:v>30</x:v>
      </x:c>
      <x:c r="M192" s="13" t="n">
        <x:f>J192+(K192+L192)/1440</x:f>
        <x:v>46300.65902777778</x:v>
      </x:c>
      <x:c r="N192" s="13" t="n">
        <x:f>VLOOKUP(C192,'MES orders'!$A$8:$H$127,5,FALSE)</x:f>
        <x:v>46302.666666666664</x:v>
      </x:c>
      <x:c r="O192" s="16" t="n">
        <x:f>MAX(0,(M192-N192)*24)</x:f>
        <x:v>0</x:v>
      </x:c>
      <x:c r="P192" s="9" t="str">
        <x:v>No</x:v>
      </x:c>
      <x:c r="Q192" s="15" t="n">
        <x:v>40</x:v>
      </x:c>
      <x:c r="R192" s="13" t="n">
        <x:f>J192+Q192/1440</x:f>
        <x:v>46300.65902777778</x:v>
      </x:c>
      <x:c r="S192" s="2" t="str">
        <x:f>VLOOKUP(C192,'MES orders'!$A$8:$H$127,6,FALSE)</x:f>
        <x:v>Normal</x:v>
      </x:c>
      <x:c r="T192" s="9" t="str"/>
    </x:row>
    <x:row r="193" ht="22" customHeight="1">
      <x:c r="A193" s="2" t="str">
        <x:v>L00123-030</x:v>
      </x:c>
      <x:c r="B193" s="2" t="str">
        <x:v>L00123</x:v>
      </x:c>
      <x:c r="C193" s="2" t="str">
        <x:v>SO-26025</x:v>
      </x:c>
      <x:c r="D193" s="2" t="str">
        <x:v>R-C-AL</x:v>
      </x:c>
      <x:c r="E193" s="14" t="n">
        <x:v>20</x:v>
      </x:c>
      <x:c r="F193" s="2" t="str">
        <x:v>Wash &amp; dry</x:v>
      </x:c>
      <x:c r="G193" s="9" t="str">
        <x:v>WS-01</x:v>
      </x:c>
      <x:c r="H193" s="15" t="n">
        <x:v>21</x:v>
      </x:c>
      <x:c r="I193" s="9" t="str">
        <x:v>P17</x:v>
      </x:c>
      <x:c r="J193" s="11" t="n">
        <x:v>46300.63125</x:v>
      </x:c>
      <x:c r="K193" s="15" t="n">
        <x:v>12</x:v>
      </x:c>
      <x:c r="L193" s="15" t="n">
        <x:v>6</x:v>
      </x:c>
      <x:c r="M193" s="13" t="n">
        <x:f>J193+(K193+L193)/1440</x:f>
        <x:v>46300.643749999996</x:v>
      </x:c>
      <x:c r="N193" s="13" t="n">
        <x:f>VLOOKUP(C193,'MES orders'!$A$8:$H$127,5,FALSE)</x:f>
        <x:v>46302.666666666664</x:v>
      </x:c>
      <x:c r="O193" s="16" t="n">
        <x:f>MAX(0,(M193-N193)*24)</x:f>
        <x:v>0</x:v>
      </x:c>
      <x:c r="P193" s="9" t="str">
        <x:v>No</x:v>
      </x:c>
      <x:c r="Q193" s="15" t="n">
        <x:v>18</x:v>
      </x:c>
      <x:c r="R193" s="13" t="n">
        <x:f>J193+Q193/1440</x:f>
        <x:v>46300.643749999996</x:v>
      </x:c>
      <x:c r="S193" s="2" t="str">
        <x:f>VLOOKUP(C193,'MES orders'!$A$8:$H$127,6,FALSE)</x:f>
        <x:v>Normal</x:v>
      </x:c>
      <x:c r="T193" s="9" t="str"/>
    </x:row>
    <x:row r="194" ht="22" customHeight="1">
      <x:c r="A194" s="2" t="str">
        <x:v>L00241-010</x:v>
      </x:c>
      <x:c r="B194" s="2" t="str">
        <x:v>L00241</x:v>
      </x:c>
      <x:c r="C194" s="2" t="str">
        <x:v>SO-26049</x:v>
      </x:c>
      <x:c r="D194" s="2" t="str">
        <x:v>S-C-AL</x:v>
      </x:c>
      <x:c r="E194" s="14" t="n">
        <x:v>5</x:v>
      </x:c>
      <x:c r="F194" s="2" t="str">
        <x:v>CNC machining</x:v>
      </x:c>
      <x:c r="G194" s="9" t="str">
        <x:v>CNC-02</x:v>
      </x:c>
      <x:c r="H194" s="15" t="n">
        <x:v>9</x:v>
      </x:c>
      <x:c r="I194" s="9" t="str">
        <x:v>P13</x:v>
      </x:c>
      <x:c r="J194" s="11" t="n">
        <x:v>46300.63263888889</x:v>
      </x:c>
      <x:c r="K194" s="15" t="n">
        <x:v>18</x:v>
      </x:c>
      <x:c r="L194" s="15" t="n">
        <x:v>10</x:v>
      </x:c>
      <x:c r="M194" s="13" t="n">
        <x:f>J194+(K194+L194)/1440</x:f>
        <x:v>46300.652083333334</x:v>
      </x:c>
      <x:c r="N194" s="13" t="n">
        <x:f>VLOOKUP(C194,'MES orders'!$A$8:$H$127,5,FALSE)</x:f>
        <x:v>46302.666666666664</x:v>
      </x:c>
      <x:c r="O194" s="16" t="n">
        <x:f>MAX(0,(M194-N194)*24)</x:f>
        <x:v>0</x:v>
      </x:c>
      <x:c r="P194" s="9" t="str">
        <x:v>No</x:v>
      </x:c>
      <x:c r="Q194" s="15" t="n">
        <x:v>18</x:v>
      </x:c>
      <x:c r="R194" s="13" t="n">
        <x:f>J194+Q194/1440</x:f>
        <x:v>46300.64513888889</x:v>
      </x:c>
      <x:c r="S194" s="2" t="str">
        <x:f>VLOOKUP(C194,'MES orders'!$A$8:$H$127,6,FALSE)</x:f>
        <x:v>Normal</x:v>
      </x:c>
      <x:c r="T194" s="9" t="str"/>
    </x:row>
    <x:row r="195" ht="22" customHeight="1">
      <x:c r="A195" s="2" t="str">
        <x:v>L00242-010</x:v>
      </x:c>
      <x:c r="B195" s="2" t="str">
        <x:v>L00242</x:v>
      </x:c>
      <x:c r="C195" s="2" t="str">
        <x:v>SO-26049</x:v>
      </x:c>
      <x:c r="D195" s="2" t="str">
        <x:v>S-C-AL</x:v>
      </x:c>
      <x:c r="E195" s="14" t="n">
        <x:v>5</x:v>
      </x:c>
      <x:c r="F195" s="2" t="str">
        <x:v>CNC machining</x:v>
      </x:c>
      <x:c r="G195" s="9" t="str">
        <x:v>CNC-01</x:v>
      </x:c>
      <x:c r="H195" s="15" t="n">
        <x:v>11</x:v>
      </x:c>
      <x:c r="I195" s="9" t="str">
        <x:v>P14</x:v>
      </x:c>
      <x:c r="J195" s="11" t="n">
        <x:v>46300.638194444444</x:v>
      </x:c>
      <x:c r="K195" s="15" t="n">
        <x:v>18</x:v>
      </x:c>
      <x:c r="L195" s="15" t="n">
        <x:v>10</x:v>
      </x:c>
      <x:c r="M195" s="13" t="n">
        <x:f>J195+(K195+L195)/1440</x:f>
        <x:v>46300.657638888886</x:v>
      </x:c>
      <x:c r="N195" s="13" t="n">
        <x:f>VLOOKUP(C195,'MES orders'!$A$8:$H$127,5,FALSE)</x:f>
        <x:v>46302.666666666664</x:v>
      </x:c>
      <x:c r="O195" s="16" t="n">
        <x:f>MAX(0,(M195-N195)*24)</x:f>
        <x:v>0</x:v>
      </x:c>
      <x:c r="P195" s="9" t="str">
        <x:v>No</x:v>
      </x:c>
      <x:c r="Q195" s="15" t="n">
        <x:v>18</x:v>
      </x:c>
      <x:c r="R195" s="13" t="n">
        <x:f>J195+Q195/1440</x:f>
        <x:v>46300.65069444444</x:v>
      </x:c>
      <x:c r="S195" s="2" t="str">
        <x:f>VLOOKUP(C195,'MES orders'!$A$8:$H$127,6,FALSE)</x:f>
        <x:v>Normal</x:v>
      </x:c>
      <x:c r="T195" s="9" t="str"/>
    </x:row>
    <x:row r="196" ht="22" customHeight="1">
      <x:c r="A196" s="2" t="str">
        <x:v>L00123-040</x:v>
      </x:c>
      <x:c r="B196" s="2" t="str">
        <x:v>L00123</x:v>
      </x:c>
      <x:c r="C196" s="2" t="str">
        <x:v>SO-26025</x:v>
      </x:c>
      <x:c r="D196" s="2" t="str">
        <x:v>R-C-AL</x:v>
      </x:c>
      <x:c r="E196" s="14" t="n">
        <x:v>20</x:v>
      </x:c>
      <x:c r="F196" s="2" t="str">
        <x:v>Mechanical assembly</x:v>
      </x:c>
      <x:c r="G196" s="9" t="str">
        <x:v>AS-02</x:v>
      </x:c>
      <x:c r="H196" s="15" t="n">
        <x:v>12</x:v>
      </x:c>
      <x:c r="I196" s="9" t="str">
        <x:v>P17</x:v>
      </x:c>
      <x:c r="J196" s="11" t="n">
        <x:v>46300.64375</x:v>
      </x:c>
      <x:c r="K196" s="15" t="n">
        <x:v>8</x:v>
      </x:c>
      <x:c r="L196" s="15" t="n">
        <x:v>29</x:v>
      </x:c>
      <x:c r="M196" s="13" t="n">
        <x:f>J196+(K196+L196)/1440</x:f>
        <x:v>46300.669444444444</x:v>
      </x:c>
      <x:c r="N196" s="13" t="n">
        <x:f>VLOOKUP(C196,'MES orders'!$A$8:$H$127,5,FALSE)</x:f>
        <x:v>46302.666666666664</x:v>
      </x:c>
      <x:c r="O196" s="16" t="n">
        <x:f>MAX(0,(M196-N196)*24)</x:f>
        <x:v>0</x:v>
      </x:c>
      <x:c r="P196" s="9" t="str">
        <x:v>No</x:v>
      </x:c>
      <x:c r="Q196" s="15" t="n">
        <x:v>37</x:v>
      </x:c>
      <x:c r="R196" s="13" t="n">
        <x:f>J196+Q196/1440</x:f>
        <x:v>46300.669444444444</x:v>
      </x:c>
      <x:c r="S196" s="2" t="str">
        <x:f>VLOOKUP(C196,'MES orders'!$A$8:$H$127,6,FALSE)</x:f>
        <x:v>Normal</x:v>
      </x:c>
      <x:c r="T196" s="9" t="str"/>
    </x:row>
    <x:row r="197" ht="22" customHeight="1">
      <x:c r="A197" s="2" t="str">
        <x:v>L00124-040</x:v>
      </x:c>
      <x:c r="B197" s="2" t="str">
        <x:v>L00124</x:v>
      </x:c>
      <x:c r="C197" s="2" t="str">
        <x:v>SO-26025</x:v>
      </x:c>
      <x:c r="D197" s="2" t="str">
        <x:v>R-C-AL</x:v>
      </x:c>
      <x:c r="E197" s="14" t="n">
        <x:v>20</x:v>
      </x:c>
      <x:c r="F197" s="2" t="str">
        <x:v>Mechanical assembly</x:v>
      </x:c>
      <x:c r="G197" s="9" t="str">
        <x:v>AS-03</x:v>
      </x:c>
      <x:c r="H197" s="15" t="n">
        <x:v>8</x:v>
      </x:c>
      <x:c r="I197" s="9" t="str">
        <x:v>P18</x:v>
      </x:c>
      <x:c r="J197" s="11" t="n">
        <x:v>46300.64791666667</x:v>
      </x:c>
      <x:c r="K197" s="15" t="n">
        <x:v>8</x:v>
      </x:c>
      <x:c r="L197" s="15" t="n">
        <x:v>29</x:v>
      </x:c>
      <x:c r="M197" s="13" t="n">
        <x:f>J197+(K197+L197)/1440</x:f>
        <x:v>46300.67361111111</x:v>
      </x:c>
      <x:c r="N197" s="13" t="n">
        <x:f>VLOOKUP(C197,'MES orders'!$A$8:$H$127,5,FALSE)</x:f>
        <x:v>46302.666666666664</x:v>
      </x:c>
      <x:c r="O197" s="16" t="n">
        <x:f>MAX(0,(M197-N197)*24)</x:f>
        <x:v>0</x:v>
      </x:c>
      <x:c r="P197" s="9" t="str">
        <x:v>No</x:v>
      </x:c>
      <x:c r="Q197" s="15" t="n">
        <x:v>37</x:v>
      </x:c>
      <x:c r="R197" s="13" t="n">
        <x:f>J197+Q197/1440</x:f>
        <x:v>46300.67361111111</x:v>
      </x:c>
      <x:c r="S197" s="2" t="str">
        <x:f>VLOOKUP(C197,'MES orders'!$A$8:$H$127,6,FALSE)</x:f>
        <x:v>Normal</x:v>
      </x:c>
      <x:c r="T197" s="9" t="str"/>
    </x:row>
    <x:row r="198" ht="22" customHeight="1">
      <x:c r="A198" s="2" t="str">
        <x:v>L00243-010</x:v>
      </x:c>
      <x:c r="B198" s="2" t="str">
        <x:v>L00243</x:v>
      </x:c>
      <x:c r="C198" s="2" t="str">
        <x:v>SO-26049</x:v>
      </x:c>
      <x:c r="D198" s="2" t="str">
        <x:v>S-C-AL</x:v>
      </x:c>
      <x:c r="E198" s="14" t="n">
        <x:v>5</x:v>
      </x:c>
      <x:c r="F198" s="2" t="str">
        <x:v>CNC machining</x:v>
      </x:c>
      <x:c r="G198" s="9" t="str">
        <x:v>CNC-02</x:v>
      </x:c>
      <x:c r="H198" s="15" t="n">
        <x:v>10</x:v>
      </x:c>
      <x:c r="I198" s="9" t="str">
        <x:v>P15</x:v>
      </x:c>
      <x:c r="J198" s="11" t="n">
        <x:v>46300.652083333334</x:v>
      </x:c>
      <x:c r="K198" s="15" t="n">
        <x:v>18</x:v>
      </x:c>
      <x:c r="L198" s="15" t="n">
        <x:v>10</x:v>
      </x:c>
      <x:c r="M198" s="13" t="n">
        <x:f>J198+(K198+L198)/1440</x:f>
        <x:v>46300.67152777778</x:v>
      </x:c>
      <x:c r="N198" s="13" t="n">
        <x:f>VLOOKUP(C198,'MES orders'!$A$8:$H$127,5,FALSE)</x:f>
        <x:v>46302.666666666664</x:v>
      </x:c>
      <x:c r="O198" s="16" t="n">
        <x:f>MAX(0,(M198-N198)*24)</x:f>
        <x:v>0</x:v>
      </x:c>
      <x:c r="P198" s="9" t="str">
        <x:v>No</x:v>
      </x:c>
      <x:c r="Q198" s="15" t="n">
        <x:v>18</x:v>
      </x:c>
      <x:c r="R198" s="13" t="n">
        <x:f>J198+Q198/1440</x:f>
        <x:v>46300.66458333333</x:v>
      </x:c>
      <x:c r="S198" s="2" t="str">
        <x:f>VLOOKUP(C198,'MES orders'!$A$8:$H$127,6,FALSE)</x:f>
        <x:v>Normal</x:v>
      </x:c>
      <x:c r="T198" s="9" t="str"/>
    </x:row>
    <x:row r="199" ht="22" customHeight="1">
      <x:c r="A199" s="2" t="str">
        <x:v>L00242-020</x:v>
      </x:c>
      <x:c r="B199" s="2" t="str">
        <x:v>L00242</x:v>
      </x:c>
      <x:c r="C199" s="2" t="str">
        <x:v>SO-26049</x:v>
      </x:c>
      <x:c r="D199" s="2" t="str">
        <x:v>S-C-AL</x:v>
      </x:c>
      <x:c r="E199" s="14" t="n">
        <x:v>5</x:v>
      </x:c>
      <x:c r="F199" s="2" t="str">
        <x:v>Deburr &amp; inspect</x:v>
      </x:c>
      <x:c r="G199" s="9" t="str">
        <x:v>DB-01</x:v>
      </x:c>
      <x:c r="H199" s="15" t="n">
        <x:v>21</x:v>
      </x:c>
      <x:c r="I199" s="9" t="str">
        <x:v>P14</x:v>
      </x:c>
      <x:c r="J199" s="11" t="n">
        <x:v>46300.657638888886</x:v>
      </x:c>
      <x:c r="K199" s="15" t="n">
        <x:v>4</x:v>
      </x:c>
      <x:c r="L199" s="15" t="n">
        <x:v>3</x:v>
      </x:c>
      <x:c r="M199" s="13" t="n">
        <x:f>J199+(K199+L199)/1440</x:f>
        <x:v>46300.6625</x:v>
      </x:c>
      <x:c r="N199" s="13" t="n">
        <x:f>VLOOKUP(C199,'MES orders'!$A$8:$H$127,5,FALSE)</x:f>
        <x:v>46302.666666666664</x:v>
      </x:c>
      <x:c r="O199" s="16" t="n">
        <x:f>MAX(0,(M199-N199)*24)</x:f>
        <x:v>0</x:v>
      </x:c>
      <x:c r="P199" s="9" t="str">
        <x:v>No</x:v>
      </x:c>
      <x:c r="Q199" s="15" t="n">
        <x:v>7</x:v>
      </x:c>
      <x:c r="R199" s="13" t="n">
        <x:f>J199+Q199/1440</x:f>
        <x:v>46300.6625</x:v>
      </x:c>
      <x:c r="S199" s="2" t="str">
        <x:f>VLOOKUP(C199,'MES orders'!$A$8:$H$127,6,FALSE)</x:f>
        <x:v>Normal</x:v>
      </x:c>
      <x:c r="T199" s="9" t="str"/>
    </x:row>
    <x:row r="200" ht="22" customHeight="1">
      <x:c r="A200" s="2" t="str">
        <x:v>L00205-010</x:v>
      </x:c>
      <x:c r="B200" s="2" t="str">
        <x:v>L00205</x:v>
      </x:c>
      <x:c r="C200" s="2" t="str">
        <x:v>SO-26041</x:v>
      </x:c>
      <x:c r="D200" s="2" t="str">
        <x:v>R-L-AL</x:v>
      </x:c>
      <x:c r="E200" s="14" t="n">
        <x:v>15</x:v>
      </x:c>
      <x:c r="F200" s="2" t="str">
        <x:v>CNC machining</x:v>
      </x:c>
      <x:c r="G200" s="9" t="str">
        <x:v>CNC-03</x:v>
      </x:c>
      <x:c r="H200" s="15" t="n">
        <x:v>7</x:v>
      </x:c>
      <x:c r="I200" s="9" t="str">
        <x:v>P13</x:v>
      </x:c>
      <x:c r="J200" s="11" t="n">
        <x:v>46300.65902777778</x:v>
      </x:c>
      <x:c r="K200" s="15" t="n">
        <x:v>18</x:v>
      </x:c>
      <x:c r="L200" s="15" t="n">
        <x:v>49</x:v>
      </x:c>
      <x:c r="M200" s="13" t="n">
        <x:f>J200+(K200+L200)/1440</x:f>
        <x:v>46300.705555555556</x:v>
      </x:c>
      <x:c r="N200" s="13" t="n">
        <x:f>VLOOKUP(C200,'MES orders'!$A$8:$H$127,5,FALSE)</x:f>
        <x:v>46302.666666666664</x:v>
      </x:c>
      <x:c r="O200" s="16" t="n">
        <x:f>MAX(0,(M200-N200)*24)</x:f>
        <x:v>0</x:v>
      </x:c>
      <x:c r="P200" s="9" t="str">
        <x:v>No</x:v>
      </x:c>
      <x:c r="Q200" s="15" t="n">
        <x:v>18</x:v>
      </x:c>
      <x:c r="R200" s="13" t="n">
        <x:f>J200+Q200/1440</x:f>
        <x:v>46300.67152777778</x:v>
      </x:c>
      <x:c r="S200" s="2" t="str">
        <x:f>VLOOKUP(C200,'MES orders'!$A$8:$H$127,6,FALSE)</x:f>
        <x:v>Normal</x:v>
      </x:c>
      <x:c r="T200" s="9" t="str"/>
    </x:row>
    <x:row r="201" ht="22" customHeight="1">
      <x:c r="A201" s="2" t="str">
        <x:v>L00084-050</x:v>
      </x:c>
      <x:c r="B201" s="2" t="str">
        <x:v>L00084</x:v>
      </x:c>
      <x:c r="C201" s="2" t="str">
        <x:v>SO-26017</x:v>
      </x:c>
      <x:c r="D201" s="2" t="str">
        <x:v>D-L-AL</x:v>
      </x:c>
      <x:c r="E201" s="14" t="n">
        <x:v>25</x:v>
      </x:c>
      <x:c r="F201" s="2" t="str">
        <x:v>Final leak / function test</x:v>
      </x:c>
      <x:c r="G201" s="9" t="str">
        <x:v>QA-01</x:v>
      </x:c>
      <x:c r="H201" s="15" t="n">
        <x:v>11</x:v>
      </x:c>
      <x:c r="I201" s="9" t="str">
        <x:v>P23</x:v>
      </x:c>
      <x:c r="J201" s="11" t="n">
        <x:v>46300.65902777778</x:v>
      </x:c>
      <x:c r="K201" s="15" t="n">
        <x:v>10</x:v>
      </x:c>
      <x:c r="L201" s="15" t="n">
        <x:v>30</x:v>
      </x:c>
      <x:c r="M201" s="13" t="n">
        <x:f>J201+(K201+L201)/1440</x:f>
        <x:v>46300.68680555556</x:v>
      </x:c>
      <x:c r="N201" s="13" t="n">
        <x:f>VLOOKUP(C201,'MES orders'!$A$8:$H$127,5,FALSE)</x:f>
        <x:v>46302.666666666664</x:v>
      </x:c>
      <x:c r="O201" s="16" t="n">
        <x:f>MAX(0,(M201-N201)*24)</x:f>
        <x:v>0</x:v>
      </x:c>
      <x:c r="P201" s="9" t="str">
        <x:v>No</x:v>
      </x:c>
      <x:c r="Q201" s="15" t="n">
        <x:v>40</x:v>
      </x:c>
      <x:c r="R201" s="13" t="n">
        <x:f>J201+Q201/1440</x:f>
        <x:v>46300.68680555556</x:v>
      </x:c>
      <x:c r="S201" s="2" t="str">
        <x:f>VLOOKUP(C201,'MES orders'!$A$8:$H$127,6,FALSE)</x:f>
        <x:v>Normal</x:v>
      </x:c>
      <x:c r="T201" s="9" t="str"/>
    </x:row>
    <x:row r="202" ht="22" customHeight="1">
      <x:c r="A202" s="2" t="str">
        <x:v>L00242-030</x:v>
      </x:c>
      <x:c r="B202" s="2" t="str">
        <x:v>L00242</x:v>
      </x:c>
      <x:c r="C202" s="2" t="str">
        <x:v>SO-26049</x:v>
      </x:c>
      <x:c r="D202" s="2" t="str">
        <x:v>S-C-AL</x:v>
      </x:c>
      <x:c r="E202" s="14" t="n">
        <x:v>5</x:v>
      </x:c>
      <x:c r="F202" s="2" t="str">
        <x:v>Wash &amp; dry</x:v>
      </x:c>
      <x:c r="G202" s="9" t="str">
        <x:v>WS-01</x:v>
      </x:c>
      <x:c r="H202" s="15" t="n">
        <x:v>22</x:v>
      </x:c>
      <x:c r="I202" s="9" t="str">
        <x:v>P14</x:v>
      </x:c>
      <x:c r="J202" s="11" t="n">
        <x:v>46300.6625</x:v>
      </x:c>
      <x:c r="K202" s="15" t="n">
        <x:v>12</x:v>
      </x:c>
      <x:c r="L202" s="15" t="n">
        <x:v>1</x:v>
      </x:c>
      <x:c r="M202" s="13" t="n">
        <x:f>J202+(K202+L202)/1440</x:f>
        <x:v>46300.67152777778</x:v>
      </x:c>
      <x:c r="N202" s="13" t="n">
        <x:f>VLOOKUP(C202,'MES orders'!$A$8:$H$127,5,FALSE)</x:f>
        <x:v>46302.666666666664</x:v>
      </x:c>
      <x:c r="O202" s="16" t="n">
        <x:f>MAX(0,(M202-N202)*24)</x:f>
        <x:v>0</x:v>
      </x:c>
      <x:c r="P202" s="9" t="str">
        <x:v>No</x:v>
      </x:c>
      <x:c r="Q202" s="15" t="n">
        <x:v>13</x:v>
      </x:c>
      <x:c r="R202" s="13" t="n">
        <x:f>J202+Q202/1440</x:f>
        <x:v>46300.67152777778</x:v>
      </x:c>
      <x:c r="S202" s="2" t="str">
        <x:f>VLOOKUP(C202,'MES orders'!$A$8:$H$127,6,FALSE)</x:f>
        <x:v>Normal</x:v>
      </x:c>
      <x:c r="T202" s="9" t="str"/>
    </x:row>
    <x:row r="203" ht="22" customHeight="1">
      <x:c r="A203" s="2" t="str">
        <x:v>L00244-010</x:v>
      </x:c>
      <x:c r="B203" s="2" t="str">
        <x:v>L00244</x:v>
      </x:c>
      <x:c r="C203" s="2" t="str">
        <x:v>SO-26049</x:v>
      </x:c>
      <x:c r="D203" s="2" t="str">
        <x:v>S-C-AL</x:v>
      </x:c>
      <x:c r="E203" s="14" t="n">
        <x:v>5</x:v>
      </x:c>
      <x:c r="F203" s="2" t="str">
        <x:v>CNC machining</x:v>
      </x:c>
      <x:c r="G203" s="9" t="str">
        <x:v>CNC-01</x:v>
      </x:c>
      <x:c r="H203" s="15" t="n">
        <x:v>12</x:v>
      </x:c>
      <x:c r="I203" s="9" t="str">
        <x:v>P15</x:v>
      </x:c>
      <x:c r="J203" s="11" t="n">
        <x:v>46300.66458333333</x:v>
      </x:c>
      <x:c r="K203" s="15" t="n">
        <x:v>18</x:v>
      </x:c>
      <x:c r="L203" s="15" t="n">
        <x:v>10</x:v>
      </x:c>
      <x:c r="M203" s="13" t="n">
        <x:f>J203+(K203+L203)/1440</x:f>
        <x:v>46300.684027777774</x:v>
      </x:c>
      <x:c r="N203" s="13" t="n">
        <x:f>VLOOKUP(C203,'MES orders'!$A$8:$H$127,5,FALSE)</x:f>
        <x:v>46302.666666666664</x:v>
      </x:c>
      <x:c r="O203" s="16" t="n">
        <x:f>MAX(0,(M203-N203)*24)</x:f>
        <x:v>0</x:v>
      </x:c>
      <x:c r="P203" s="9" t="str">
        <x:v>No</x:v>
      </x:c>
      <x:c r="Q203" s="15" t="n">
        <x:v>18</x:v>
      </x:c>
      <x:c r="R203" s="13" t="n">
        <x:f>J203+Q203/1440</x:f>
        <x:v>46300.67708333333</x:v>
      </x:c>
      <x:c r="S203" s="2" t="str">
        <x:f>VLOOKUP(C203,'MES orders'!$A$8:$H$127,6,FALSE)</x:f>
        <x:v>Normal</x:v>
      </x:c>
      <x:c r="T203" s="9" t="str"/>
    </x:row>
    <x:row r="204" ht="22" customHeight="1">
      <x:c r="A204" s="2" t="str">
        <x:v>L00123-050</x:v>
      </x:c>
      <x:c r="B204" s="2" t="str">
        <x:v>L00123</x:v>
      </x:c>
      <x:c r="C204" s="2" t="str">
        <x:v>SO-26025</x:v>
      </x:c>
      <x:c r="D204" s="2" t="str">
        <x:v>R-C-AL</x:v>
      </x:c>
      <x:c r="E204" s="14" t="n">
        <x:v>20</x:v>
      </x:c>
      <x:c r="F204" s="2" t="str">
        <x:v>Valve adjustment</x:v>
      </x:c>
      <x:c r="G204" s="9" t="str">
        <x:v>AS-02</x:v>
      </x:c>
      <x:c r="H204" s="15" t="n">
        <x:v>13</x:v>
      </x:c>
      <x:c r="I204" s="9" t="str">
        <x:v>P17</x:v>
      </x:c>
      <x:c r="J204" s="11" t="n">
        <x:v>46300.669444444444</x:v>
      </x:c>
      <x:c r="K204" s="15" t="n">
        <x:v>6</x:v>
      </x:c>
      <x:c r="L204" s="15" t="n">
        <x:v>18</x:v>
      </x:c>
      <x:c r="M204" s="13" t="n">
        <x:f>J204+(K204+L204)/1440</x:f>
        <x:v>46300.686111111114</x:v>
      </x:c>
      <x:c r="N204" s="13" t="n">
        <x:f>VLOOKUP(C204,'MES orders'!$A$8:$H$127,5,FALSE)</x:f>
        <x:v>46302.666666666664</x:v>
      </x:c>
      <x:c r="O204" s="16" t="n">
        <x:f>MAX(0,(M204-N204)*24)</x:f>
        <x:v>0</x:v>
      </x:c>
      <x:c r="P204" s="9" t="str">
        <x:v>No</x:v>
      </x:c>
      <x:c r="Q204" s="15" t="n">
        <x:v>24</x:v>
      </x:c>
      <x:c r="R204" s="13" t="n">
        <x:f>J204+Q204/1440</x:f>
        <x:v>46300.686111111114</x:v>
      </x:c>
      <x:c r="S204" s="2" t="str">
        <x:f>VLOOKUP(C204,'MES orders'!$A$8:$H$127,6,FALSE)</x:f>
        <x:v>Normal</x:v>
      </x:c>
      <x:c r="T204" s="9" t="str"/>
    </x:row>
    <x:row r="205" ht="22" customHeight="1">
      <x:c r="A205" s="2" t="str">
        <x:v>L00204-020</x:v>
      </x:c>
      <x:c r="B205" s="2" t="str">
        <x:v>L00204</x:v>
      </x:c>
      <x:c r="C205" s="2" t="str">
        <x:v>SO-26041</x:v>
      </x:c>
      <x:c r="D205" s="2" t="str">
        <x:v>R-L-AL</x:v>
      </x:c>
      <x:c r="E205" s="14" t="n">
        <x:v>15</x:v>
      </x:c>
      <x:c r="F205" s="2" t="str">
        <x:v>Deburr &amp; inspect</x:v>
      </x:c>
      <x:c r="G205" s="9" t="str">
        <x:v>DB-01</x:v>
      </x:c>
      <x:c r="H205" s="15" t="n">
        <x:v>22</x:v>
      </x:c>
      <x:c r="I205" s="9" t="str">
        <x:v>P13</x:v>
      </x:c>
      <x:c r="J205" s="11" t="n">
        <x:v>46300.67152777778</x:v>
      </x:c>
      <x:c r="K205" s="15" t="n">
        <x:v>4</x:v>
      </x:c>
      <x:c r="L205" s="15" t="n">
        <x:v>14</x:v>
      </x:c>
      <x:c r="M205" s="13" t="n">
        <x:f>J205+(K205+L205)/1440</x:f>
        <x:v>46300.684027777774</x:v>
      </x:c>
      <x:c r="N205" s="13" t="n">
        <x:f>VLOOKUP(C205,'MES orders'!$A$8:$H$127,5,FALSE)</x:f>
        <x:v>46302.666666666664</x:v>
      </x:c>
      <x:c r="O205" s="16" t="n">
        <x:f>MAX(0,(M205-N205)*24)</x:f>
        <x:v>0</x:v>
      </x:c>
      <x:c r="P205" s="9" t="str">
        <x:v>No</x:v>
      </x:c>
      <x:c r="Q205" s="15" t="n">
        <x:v>18</x:v>
      </x:c>
      <x:c r="R205" s="13" t="n">
        <x:f>J205+Q205/1440</x:f>
        <x:v>46300.684027777774</x:v>
      </x:c>
      <x:c r="S205" s="2" t="str">
        <x:f>VLOOKUP(C205,'MES orders'!$A$8:$H$127,6,FALSE)</x:f>
        <x:v>Normal</x:v>
      </x:c>
      <x:c r="T205" s="9" t="str"/>
    </x:row>
    <x:row r="206" ht="22" customHeight="1">
      <x:c r="A206" s="2" t="str">
        <x:v>L00243-020</x:v>
      </x:c>
      <x:c r="B206" s="2" t="str">
        <x:v>L00243</x:v>
      </x:c>
      <x:c r="C206" s="2" t="str">
        <x:v>SO-26049</x:v>
      </x:c>
      <x:c r="D206" s="2" t="str">
        <x:v>S-C-AL</x:v>
      </x:c>
      <x:c r="E206" s="14" t="n">
        <x:v>5</x:v>
      </x:c>
      <x:c r="F206" s="2" t="str">
        <x:v>Deburr &amp; inspect</x:v>
      </x:c>
      <x:c r="G206" s="9" t="str">
        <x:v>DB-02</x:v>
      </x:c>
      <x:c r="H206" s="15" t="n">
        <x:v>15</x:v>
      </x:c>
      <x:c r="I206" s="9" t="str">
        <x:v>P14</x:v>
      </x:c>
      <x:c r="J206" s="11" t="n">
        <x:v>46300.67152777778</x:v>
      </x:c>
      <x:c r="K206" s="15" t="n">
        <x:v>4</x:v>
      </x:c>
      <x:c r="L206" s="15" t="n">
        <x:v>3</x:v>
      </x:c>
      <x:c r="M206" s="13" t="n">
        <x:f>J206+(K206+L206)/1440</x:f>
        <x:v>46300.67638888889</x:v>
      </x:c>
      <x:c r="N206" s="13" t="n">
        <x:f>VLOOKUP(C206,'MES orders'!$A$8:$H$127,5,FALSE)</x:f>
        <x:v>46302.666666666664</x:v>
      </x:c>
      <x:c r="O206" s="16" t="n">
        <x:f>MAX(0,(M206-N206)*24)</x:f>
        <x:v>0</x:v>
      </x:c>
      <x:c r="P206" s="9" t="str">
        <x:v>No</x:v>
      </x:c>
      <x:c r="Q206" s="15" t="n">
        <x:v>7</x:v>
      </x:c>
      <x:c r="R206" s="13" t="n">
        <x:f>J206+Q206/1440</x:f>
        <x:v>46300.67638888889</x:v>
      </x:c>
      <x:c r="S206" s="2" t="str">
        <x:f>VLOOKUP(C206,'MES orders'!$A$8:$H$127,6,FALSE)</x:f>
        <x:v>Normal</x:v>
      </x:c>
      <x:c r="T206" s="9" t="str"/>
    </x:row>
    <x:row r="207" ht="22" customHeight="1">
      <x:c r="A207" s="2" t="str">
        <x:v>L00124-050</x:v>
      </x:c>
      <x:c r="B207" s="2" t="str">
        <x:v>L00124</x:v>
      </x:c>
      <x:c r="C207" s="2" t="str">
        <x:v>SO-26025</x:v>
      </x:c>
      <x:c r="D207" s="2" t="str">
        <x:v>R-C-AL</x:v>
      </x:c>
      <x:c r="E207" s="14" t="n">
        <x:v>20</x:v>
      </x:c>
      <x:c r="F207" s="2" t="str">
        <x:v>Valve adjustment</x:v>
      </x:c>
      <x:c r="G207" s="9" t="str">
        <x:v>AS-03</x:v>
      </x:c>
      <x:c r="H207" s="15" t="n">
        <x:v>9</x:v>
      </x:c>
      <x:c r="I207" s="9" t="str">
        <x:v>P18</x:v>
      </x:c>
      <x:c r="J207" s="11" t="n">
        <x:v>46300.67361111111</x:v>
      </x:c>
      <x:c r="K207" s="15" t="n">
        <x:v>6</x:v>
      </x:c>
      <x:c r="L207" s="15" t="n">
        <x:v>18</x:v>
      </x:c>
      <x:c r="M207" s="13" t="n">
        <x:f>J207+(K207+L207)/1440</x:f>
        <x:v>46300.69027777778</x:v>
      </x:c>
      <x:c r="N207" s="13" t="n">
        <x:f>VLOOKUP(C207,'MES orders'!$A$8:$H$127,5,FALSE)</x:f>
        <x:v>46302.666666666664</x:v>
      </x:c>
      <x:c r="O207" s="16" t="n">
        <x:f>MAX(0,(M207-N207)*24)</x:f>
        <x:v>0</x:v>
      </x:c>
      <x:c r="P207" s="9" t="str">
        <x:v>No</x:v>
      </x:c>
      <x:c r="Q207" s="15" t="n">
        <x:v>24</x:v>
      </x:c>
      <x:c r="R207" s="13" t="n">
        <x:f>J207+Q207/1440</x:f>
        <x:v>46300.69027777778</x:v>
      </x:c>
      <x:c r="S207" s="2" t="str">
        <x:f>VLOOKUP(C207,'MES orders'!$A$8:$H$127,6,FALSE)</x:f>
        <x:v>Normal</x:v>
      </x:c>
      <x:c r="T207" s="9" t="str"/>
    </x:row>
    <x:row r="208" ht="22" customHeight="1">
      <x:c r="A208" s="2" t="str">
        <x:v>L00243-030</x:v>
      </x:c>
      <x:c r="B208" s="2" t="str">
        <x:v>L00243</x:v>
      </x:c>
      <x:c r="C208" s="2" t="str">
        <x:v>SO-26049</x:v>
      </x:c>
      <x:c r="D208" s="2" t="str">
        <x:v>S-C-AL</x:v>
      </x:c>
      <x:c r="E208" s="14" t="n">
        <x:v>5</x:v>
      </x:c>
      <x:c r="F208" s="2" t="str">
        <x:v>Wash &amp; dry</x:v>
      </x:c>
      <x:c r="G208" s="9" t="str">
        <x:v>WS-02</x:v>
      </x:c>
      <x:c r="H208" s="15" t="n">
        <x:v>14</x:v>
      </x:c>
      <x:c r="I208" s="9" t="str">
        <x:v>P14</x:v>
      </x:c>
      <x:c r="J208" s="11" t="n">
        <x:v>46300.67638888889</x:v>
      </x:c>
      <x:c r="K208" s="15" t="n">
        <x:v>12</x:v>
      </x:c>
      <x:c r="L208" s="15" t="n">
        <x:v>1</x:v>
      </x:c>
      <x:c r="M208" s="13" t="n">
        <x:f>J208+(K208+L208)/1440</x:f>
        <x:v>46300.68541666667</x:v>
      </x:c>
      <x:c r="N208" s="13" t="n">
        <x:f>VLOOKUP(C208,'MES orders'!$A$8:$H$127,5,FALSE)</x:f>
        <x:v>46302.666666666664</x:v>
      </x:c>
      <x:c r="O208" s="16" t="n">
        <x:f>MAX(0,(M208-N208)*24)</x:f>
        <x:v>0</x:v>
      </x:c>
      <x:c r="P208" s="9" t="str">
        <x:v>No</x:v>
      </x:c>
      <x:c r="Q208" s="15" t="n">
        <x:v>13</x:v>
      </x:c>
      <x:c r="R208" s="13" t="n">
        <x:f>J208+Q208/1440</x:f>
        <x:v>46300.68541666667</x:v>
      </x:c>
      <x:c r="S208" s="2" t="str">
        <x:f>VLOOKUP(C208,'MES orders'!$A$8:$H$127,6,FALSE)</x:f>
        <x:v>Normal</x:v>
      </x:c>
      <x:c r="T208" s="9" t="str"/>
    </x:row>
    <x:row r="209" ht="22" customHeight="1">
      <x:c r="A209" s="2" t="str">
        <x:v>L00163-040</x:v>
      </x:c>
      <x:c r="B209" s="2" t="str">
        <x:v>L00163</x:v>
      </x:c>
      <x:c r="C209" s="2" t="str">
        <x:v>SO-26033</x:v>
      </x:c>
      <x:c r="D209" s="2" t="str">
        <x:v>R-S-AL</x:v>
      </x:c>
      <x:c r="E209" s="14" t="n">
        <x:v>10</x:v>
      </x:c>
      <x:c r="F209" s="2" t="str">
        <x:v>Mechanical assembly</x:v>
      </x:c>
      <x:c r="G209" s="9" t="str">
        <x:v>AS-04</x:v>
      </x:c>
      <x:c r="H209" s="15" t="n">
        <x:v>4</x:v>
      </x:c>
      <x:c r="I209" s="9" t="str">
        <x:v>P16</x:v>
      </x:c>
      <x:c r="J209" s="11" t="n">
        <x:v>46300.67916666667</x:v>
      </x:c>
      <x:c r="K209" s="15" t="n">
        <x:v>8</x:v>
      </x:c>
      <x:c r="L209" s="15" t="n">
        <x:v>18</x:v>
      </x:c>
      <x:c r="M209" s="13" t="n">
        <x:f>J209+(K209+L209)/1440</x:f>
        <x:v>46300.697222222225</x:v>
      </x:c>
      <x:c r="N209" s="13" t="n">
        <x:f>VLOOKUP(C209,'MES orders'!$A$8:$H$127,5,FALSE)</x:f>
        <x:v>46302.666666666664</x:v>
      </x:c>
      <x:c r="O209" s="16" t="n">
        <x:f>MAX(0,(M209-N209)*24)</x:f>
        <x:v>0</x:v>
      </x:c>
      <x:c r="P209" s="9" t="str">
        <x:v>No</x:v>
      </x:c>
      <x:c r="Q209" s="15" t="n">
        <x:v>26</x:v>
      </x:c>
      <x:c r="R209" s="13" t="n">
        <x:f>J209+Q209/1440</x:f>
        <x:v>46300.697222222225</x:v>
      </x:c>
      <x:c r="S209" s="2" t="str">
        <x:f>VLOOKUP(C209,'MES orders'!$A$8:$H$127,6,FALSE)</x:f>
        <x:v>Normal</x:v>
      </x:c>
      <x:c r="T209" s="9" t="str"/>
    </x:row>
    <x:row r="210" ht="22" customHeight="1">
      <x:c r="A210" s="2" t="str">
        <x:v>L00085-050</x:v>
      </x:c>
      <x:c r="B210" s="2" t="str">
        <x:v>L00085</x:v>
      </x:c>
      <x:c r="C210" s="2" t="str">
        <x:v>SO-26017</x:v>
      </x:c>
      <x:c r="D210" s="2" t="str">
        <x:v>D-L-AL</x:v>
      </x:c>
      <x:c r="E210" s="14" t="n">
        <x:v>25</x:v>
      </x:c>
      <x:c r="F210" s="2" t="str">
        <x:v>Final leak / function test</x:v>
      </x:c>
      <x:c r="G210" s="9" t="str">
        <x:v>QA-02</x:v>
      </x:c>
      <x:c r="H210" s="15" t="n">
        <x:v>13</x:v>
      </x:c>
      <x:c r="I210" s="9" t="str">
        <x:v>P24</x:v>
      </x:c>
      <x:c r="J210" s="11" t="n">
        <x:v>46300.67916666667</x:v>
      </x:c>
      <x:c r="K210" s="15" t="n">
        <x:v>10</x:v>
      </x:c>
      <x:c r="L210" s="15" t="n">
        <x:v>30</x:v>
      </x:c>
      <x:c r="M210" s="13" t="n">
        <x:f>J210+(K210+L210)/1440</x:f>
        <x:v>46300.70694444445</x:v>
      </x:c>
      <x:c r="N210" s="13" t="n">
        <x:f>VLOOKUP(C210,'MES orders'!$A$8:$H$127,5,FALSE)</x:f>
        <x:v>46302.666666666664</x:v>
      </x:c>
      <x:c r="O210" s="16" t="n">
        <x:f>MAX(0,(M210-N210)*24)</x:f>
        <x:v>0</x:v>
      </x:c>
      <x:c r="P210" s="9" t="str">
        <x:v>No</x:v>
      </x:c>
      <x:c r="Q210" s="15" t="n">
        <x:v>40</x:v>
      </x:c>
      <x:c r="R210" s="13" t="n">
        <x:f>J210+Q210/1440</x:f>
        <x:v>46300.70694444445</x:v>
      </x:c>
      <x:c r="S210" s="2" t="str">
        <x:f>VLOOKUP(C210,'MES orders'!$A$8:$H$127,6,FALSE)</x:f>
        <x:v>Normal</x:v>
      </x:c>
      <x:c r="T210" s="9" t="str"/>
    </x:row>
    <x:row r="211" ht="22" customHeight="1">
      <x:c r="A211" s="2" t="str">
        <x:v>L00244-020</x:v>
      </x:c>
      <x:c r="B211" s="2" t="str">
        <x:v>L00244</x:v>
      </x:c>
      <x:c r="C211" s="2" t="str">
        <x:v>SO-26049</x:v>
      </x:c>
      <x:c r="D211" s="2" t="str">
        <x:v>S-C-AL</x:v>
      </x:c>
      <x:c r="E211" s="14" t="n">
        <x:v>5</x:v>
      </x:c>
      <x:c r="F211" s="2" t="str">
        <x:v>Deburr &amp; inspect</x:v>
      </x:c>
      <x:c r="G211" s="9" t="str">
        <x:v>DB-01</x:v>
      </x:c>
      <x:c r="H211" s="15" t="n">
        <x:v>23</x:v>
      </x:c>
      <x:c r="I211" s="9" t="str">
        <x:v>P15</x:v>
      </x:c>
      <x:c r="J211" s="11" t="n">
        <x:v>46300.68402777778</x:v>
      </x:c>
      <x:c r="K211" s="15" t="n">
        <x:v>4</x:v>
      </x:c>
      <x:c r="L211" s="15" t="n">
        <x:v>3</x:v>
      </x:c>
      <x:c r="M211" s="13" t="n">
        <x:f>J211+(K211+L211)/1440</x:f>
        <x:v>46300.68888888889</x:v>
      </x:c>
      <x:c r="N211" s="13" t="n">
        <x:f>VLOOKUP(C211,'MES orders'!$A$8:$H$127,5,FALSE)</x:f>
        <x:v>46302.666666666664</x:v>
      </x:c>
      <x:c r="O211" s="16" t="n">
        <x:f>MAX(0,(M211-N211)*24)</x:f>
        <x:v>0</x:v>
      </x:c>
      <x:c r="P211" s="9" t="str">
        <x:v>No</x:v>
      </x:c>
      <x:c r="Q211" s="15" t="n">
        <x:v>7</x:v>
      </x:c>
      <x:c r="R211" s="13" t="n">
        <x:f>J211+Q211/1440</x:f>
        <x:v>46300.68888888889</x:v>
      </x:c>
      <x:c r="S211" s="2" t="str">
        <x:f>VLOOKUP(C211,'MES orders'!$A$8:$H$127,6,FALSE)</x:f>
        <x:v>Normal</x:v>
      </x:c>
      <x:c r="T211" s="9" t="str"/>
    </x:row>
    <x:row r="212" ht="22" customHeight="1">
      <x:c r="A212" s="2" t="str">
        <x:v>L00204-030</x:v>
      </x:c>
      <x:c r="B212" s="2" t="str">
        <x:v>L00204</x:v>
      </x:c>
      <x:c r="C212" s="2" t="str">
        <x:v>SO-26041</x:v>
      </x:c>
      <x:c r="D212" s="2" t="str">
        <x:v>R-L-AL</x:v>
      </x:c>
      <x:c r="E212" s="14" t="n">
        <x:v>15</x:v>
      </x:c>
      <x:c r="F212" s="2" t="str">
        <x:v>Wash &amp; dry</x:v>
      </x:c>
      <x:c r="G212" s="9" t="str">
        <x:v>WS-01</x:v>
      </x:c>
      <x:c r="H212" s="15" t="n">
        <x:v>23</x:v>
      </x:c>
      <x:c r="I212" s="9" t="str">
        <x:v>P13</x:v>
      </x:c>
      <x:c r="J212" s="11" t="n">
        <x:v>46300.68402777778</x:v>
      </x:c>
      <x:c r="K212" s="15" t="n">
        <x:v>12</x:v>
      </x:c>
      <x:c r="L212" s="15" t="n">
        <x:v>7</x:v>
      </x:c>
      <x:c r="M212" s="13" t="n">
        <x:f>J212+(K212+L212)/1440</x:f>
        <x:v>46300.697222222225</x:v>
      </x:c>
      <x:c r="N212" s="13" t="n">
        <x:f>VLOOKUP(C212,'MES orders'!$A$8:$H$127,5,FALSE)</x:f>
        <x:v>46302.666666666664</x:v>
      </x:c>
      <x:c r="O212" s="16" t="n">
        <x:f>MAX(0,(M212-N212)*24)</x:f>
        <x:v>0</x:v>
      </x:c>
      <x:c r="P212" s="9" t="str">
        <x:v>No</x:v>
      </x:c>
      <x:c r="Q212" s="15" t="n">
        <x:v>19</x:v>
      </x:c>
      <x:c r="R212" s="13" t="n">
        <x:f>J212+Q212/1440</x:f>
        <x:v>46300.697222222225</x:v>
      </x:c>
      <x:c r="S212" s="2" t="str">
        <x:f>VLOOKUP(C212,'MES orders'!$A$8:$H$127,6,FALSE)</x:f>
        <x:v>Normal</x:v>
      </x:c>
      <x:c r="T212" s="9" t="str"/>
    </x:row>
    <x:row r="213" ht="22" customHeight="1">
      <x:c r="A213" s="2" t="str">
        <x:v>L00243-040</x:v>
      </x:c>
      <x:c r="B213" s="2" t="str">
        <x:v>L00243</x:v>
      </x:c>
      <x:c r="C213" s="2" t="str">
        <x:v>SO-26049</x:v>
      </x:c>
      <x:c r="D213" s="2" t="str">
        <x:v>S-C-AL</x:v>
      </x:c>
      <x:c r="E213" s="14" t="n">
        <x:v>5</x:v>
      </x:c>
      <x:c r="F213" s="2" t="str">
        <x:v>Mechanical preassembly</x:v>
      </x:c>
      <x:c r="G213" s="9" t="str">
        <x:v>AS-05</x:v>
      </x:c>
      <x:c r="H213" s="15" t="n">
        <x:v>5</x:v>
      </x:c>
      <x:c r="I213" s="9" t="str">
        <x:v>P14</x:v>
      </x:c>
      <x:c r="J213" s="11" t="n">
        <x:v>46300.68541666667</x:v>
      </x:c>
      <x:c r="K213" s="15" t="n">
        <x:v>6</x:v>
      </x:c>
      <x:c r="L213" s="15" t="n">
        <x:v>4</x:v>
      </x:c>
      <x:c r="M213" s="13" t="n">
        <x:f>J213+(K213+L213)/1440</x:f>
        <x:v>46300.69236111111</x:v>
      </x:c>
      <x:c r="N213" s="13" t="n">
        <x:f>VLOOKUP(C213,'MES orders'!$A$8:$H$127,5,FALSE)</x:f>
        <x:v>46302.666666666664</x:v>
      </x:c>
      <x:c r="O213" s="16" t="n">
        <x:f>MAX(0,(M213-N213)*24)</x:f>
        <x:v>0</x:v>
      </x:c>
      <x:c r="P213" s="9" t="str">
        <x:v>No</x:v>
      </x:c>
      <x:c r="Q213" s="15" t="n">
        <x:v>10</x:v>
      </x:c>
      <x:c r="R213" s="13" t="n">
        <x:f>J213+Q213/1440</x:f>
        <x:v>46300.69236111111</x:v>
      </x:c>
      <x:c r="S213" s="2" t="str">
        <x:f>VLOOKUP(C213,'MES orders'!$A$8:$H$127,6,FALSE)</x:f>
        <x:v>Normal</x:v>
      </x:c>
      <x:c r="T213" s="9" t="str"/>
    </x:row>
    <x:row r="214" ht="22" customHeight="1">
      <x:c r="A214" s="2" t="str">
        <x:v>L00125-050</x:v>
      </x:c>
      <x:c r="B214" s="2" t="str">
        <x:v>L00125</x:v>
      </x:c>
      <x:c r="C214" s="2" t="str">
        <x:v>SO-26025</x:v>
      </x:c>
      <x:c r="D214" s="2" t="str">
        <x:v>R-C-AL</x:v>
      </x:c>
      <x:c r="E214" s="14" t="n">
        <x:v>20</x:v>
      </x:c>
      <x:c r="F214" s="2" t="str">
        <x:v>Valve adjustment</x:v>
      </x:c>
      <x:c r="G214" s="9" t="str">
        <x:v>AS-01</x:v>
      </x:c>
      <x:c r="H214" s="15" t="n">
        <x:v>17</x:v>
      </x:c>
      <x:c r="I214" s="9" t="str">
        <x:v>P17</x:v>
      </x:c>
      <x:c r="J214" s="11" t="n">
        <x:v>46300.686111111114</x:v>
      </x:c>
      <x:c r="K214" s="15" t="n">
        <x:v>6</x:v>
      </x:c>
      <x:c r="L214" s="15" t="n">
        <x:v>18</x:v>
      </x:c>
      <x:c r="M214" s="13" t="n">
        <x:f>J214+(K214+L214)/1440</x:f>
        <x:v>46300.702777777784</x:v>
      </x:c>
      <x:c r="N214" s="13" t="n">
        <x:f>VLOOKUP(C214,'MES orders'!$A$8:$H$127,5,FALSE)</x:f>
        <x:v>46302.666666666664</x:v>
      </x:c>
      <x:c r="O214" s="16" t="n">
        <x:f>MAX(0,(M214-N214)*24)</x:f>
        <x:v>0</x:v>
      </x:c>
      <x:c r="P214" s="9" t="str">
        <x:v>No</x:v>
      </x:c>
      <x:c r="Q214" s="15" t="n">
        <x:v>24</x:v>
      </x:c>
      <x:c r="R214" s="13" t="n">
        <x:f>J214+Q214/1440</x:f>
        <x:v>46300.702777777784</x:v>
      </x:c>
      <x:c r="S214" s="2" t="str">
        <x:f>VLOOKUP(C214,'MES orders'!$A$8:$H$127,6,FALSE)</x:f>
        <x:v>Normal</x:v>
      </x:c>
      <x:c r="T214" s="9" t="str"/>
    </x:row>
    <x:row r="215" ht="22" customHeight="1">
      <x:c r="A215" s="2" t="str">
        <x:v>L00123-060</x:v>
      </x:c>
      <x:c r="B215" s="2" t="str">
        <x:v>L00123</x:v>
      </x:c>
      <x:c r="C215" s="2" t="str">
        <x:v>SO-26025</x:v>
      </x:c>
      <x:c r="D215" s="2" t="str">
        <x:v>R-C-AL</x:v>
      </x:c>
      <x:c r="E215" s="14" t="n">
        <x:v>20</x:v>
      </x:c>
      <x:c r="F215" s="2" t="str">
        <x:v>Final leak / function test</x:v>
      </x:c>
      <x:c r="G215" s="9" t="str">
        <x:v>QA-03</x:v>
      </x:c>
      <x:c r="H215" s="15" t="n">
        <x:v>5</x:v>
      </x:c>
      <x:c r="I215" s="9" t="str">
        <x:v>P23</x:v>
      </x:c>
      <x:c r="J215" s="11" t="n">
        <x:v>46300.68680555555</x:v>
      </x:c>
      <x:c r="K215" s="15" t="n">
        <x:v>10</x:v>
      </x:c>
      <x:c r="L215" s="15" t="n">
        <x:v>14</x:v>
      </x:c>
      <x:c r="M215" s="13" t="n">
        <x:f>J215+(K215+L215)/1440</x:f>
        <x:v>46300.70347222222</x:v>
      </x:c>
      <x:c r="N215" s="13" t="n">
        <x:f>VLOOKUP(C215,'MES orders'!$A$8:$H$127,5,FALSE)</x:f>
        <x:v>46302.666666666664</x:v>
      </x:c>
      <x:c r="O215" s="16" t="n">
        <x:f>MAX(0,(M215-N215)*24)</x:f>
        <x:v>0</x:v>
      </x:c>
      <x:c r="P215" s="9" t="str">
        <x:v>No</x:v>
      </x:c>
      <x:c r="Q215" s="15" t="n">
        <x:v>24</x:v>
      </x:c>
      <x:c r="R215" s="13" t="n">
        <x:f>J215+Q215/1440</x:f>
        <x:v>46300.70347222222</x:v>
      </x:c>
      <x:c r="S215" s="2" t="str">
        <x:f>VLOOKUP(C215,'MES orders'!$A$8:$H$127,6,FALSE)</x:f>
        <x:v>Normal</x:v>
      </x:c>
      <x:c r="T215" s="9" t="str"/>
    </x:row>
    <x:row r="216" ht="22" customHeight="1">
      <x:c r="A216" s="2" t="str">
        <x:v>L00244-030</x:v>
      </x:c>
      <x:c r="B216" s="2" t="str">
        <x:v>L00244</x:v>
      </x:c>
      <x:c r="C216" s="2" t="str">
        <x:v>SO-26049</x:v>
      </x:c>
      <x:c r="D216" s="2" t="str">
        <x:v>S-C-AL</x:v>
      </x:c>
      <x:c r="E216" s="14" t="n">
        <x:v>5</x:v>
      </x:c>
      <x:c r="F216" s="2" t="str">
        <x:v>Wash &amp; dry</x:v>
      </x:c>
      <x:c r="G216" s="9" t="str">
        <x:v>WS-02</x:v>
      </x:c>
      <x:c r="H216" s="15" t="n">
        <x:v>15</x:v>
      </x:c>
      <x:c r="I216" s="9" t="str">
        <x:v>P15</x:v>
      </x:c>
      <x:c r="J216" s="11" t="n">
        <x:v>46300.688888888886</x:v>
      </x:c>
      <x:c r="K216" s="15" t="n">
        <x:v>12</x:v>
      </x:c>
      <x:c r="L216" s="15" t="n">
        <x:v>1</x:v>
      </x:c>
      <x:c r="M216" s="13" t="n">
        <x:f>J216+(K216+L216)/1440</x:f>
        <x:v>46300.697916666664</x:v>
      </x:c>
      <x:c r="N216" s="13" t="n">
        <x:f>VLOOKUP(C216,'MES orders'!$A$8:$H$127,5,FALSE)</x:f>
        <x:v>46302.666666666664</x:v>
      </x:c>
      <x:c r="O216" s="16" t="n">
        <x:f>MAX(0,(M216-N216)*24)</x:f>
        <x:v>0</x:v>
      </x:c>
      <x:c r="P216" s="9" t="str">
        <x:v>No</x:v>
      </x:c>
      <x:c r="Q216" s="15" t="n">
        <x:v>13</x:v>
      </x:c>
      <x:c r="R216" s="13" t="n">
        <x:f>J216+Q216/1440</x:f>
        <x:v>46300.697916666664</x:v>
      </x:c>
      <x:c r="S216" s="2" t="str">
        <x:f>VLOOKUP(C216,'MES orders'!$A$8:$H$127,6,FALSE)</x:f>
        <x:v>Normal</x:v>
      </x:c>
      <x:c r="T216" s="9" t="str"/>
    </x:row>
    <x:row r="217" ht="22" customHeight="1">
      <x:c r="A217" s="2" t="str">
        <x:v>L00162-050</x:v>
      </x:c>
      <x:c r="B217" s="2" t="str">
        <x:v>L00162</x:v>
      </x:c>
      <x:c r="C217" s="2" t="str">
        <x:v>SO-26033</x:v>
      </x:c>
      <x:c r="D217" s="2" t="str">
        <x:v>R-S-AL</x:v>
      </x:c>
      <x:c r="E217" s="14" t="n">
        <x:v>10</x:v>
      </x:c>
      <x:c r="F217" s="2" t="str">
        <x:v>Valve adjustment</x:v>
      </x:c>
      <x:c r="G217" s="9" t="str">
        <x:v>AS-02</x:v>
      </x:c>
      <x:c r="H217" s="15" t="n">
        <x:v>14</x:v>
      </x:c>
      <x:c r="I217" s="9" t="str">
        <x:v>P18</x:v>
      </x:c>
      <x:c r="J217" s="11" t="n">
        <x:v>46300.69027777778</x:v>
      </x:c>
      <x:c r="K217" s="15" t="n">
        <x:v>6</x:v>
      </x:c>
      <x:c r="L217" s="15" t="n">
        <x:v>11</x:v>
      </x:c>
      <x:c r="M217" s="13" t="n">
        <x:f>J217+(K217+L217)/1440</x:f>
        <x:v>46300.70208333334</x:v>
      </x:c>
      <x:c r="N217" s="13" t="n">
        <x:f>VLOOKUP(C217,'MES orders'!$A$8:$H$127,5,FALSE)</x:f>
        <x:v>46302.666666666664</x:v>
      </x:c>
      <x:c r="O217" s="16" t="n">
        <x:f>MAX(0,(M217-N217)*24)</x:f>
        <x:v>0</x:v>
      </x:c>
      <x:c r="P217" s="9" t="str">
        <x:v>No</x:v>
      </x:c>
      <x:c r="Q217" s="15" t="n">
        <x:v>17</x:v>
      </x:c>
      <x:c r="R217" s="13" t="n">
        <x:f>J217+Q217/1440</x:f>
        <x:v>46300.70208333334</x:v>
      </x:c>
      <x:c r="S217" s="2" t="str">
        <x:f>VLOOKUP(C217,'MES orders'!$A$8:$H$127,6,FALSE)</x:f>
        <x:v>Normal</x:v>
      </x:c>
      <x:c r="T217" s="9" t="str"/>
    </x:row>
    <x:row r="218" ht="22" customHeight="1">
      <x:c r="A218" s="2" t="str">
        <x:v>L00243-050</x:v>
      </x:c>
      <x:c r="B218" s="2" t="str">
        <x:v>L00243</x:v>
      </x:c>
      <x:c r="C218" s="2" t="str">
        <x:v>SO-26049</x:v>
      </x:c>
      <x:c r="D218" s="2" t="str">
        <x:v>S-C-AL</x:v>
      </x:c>
      <x:c r="E218" s="14" t="n">
        <x:v>5</x:v>
      </x:c>
      <x:c r="F218" s="2" t="str">
        <x:v>Sensor installation</x:v>
      </x:c>
      <x:c r="G218" s="9" t="str">
        <x:v>EL-01</x:v>
      </x:c>
      <x:c r="H218" s="15" t="n">
        <x:v>5</x:v>
      </x:c>
      <x:c r="I218" s="9" t="str">
        <x:v>P19</x:v>
      </x:c>
      <x:c r="J218" s="11" t="n">
        <x:v>46300.69236111111</x:v>
      </x:c>
      <x:c r="K218" s="15" t="n">
        <x:v>8</x:v>
      </x:c>
      <x:c r="L218" s="15" t="n">
        <x:v>5</x:v>
      </x:c>
      <x:c r="M218" s="13" t="n">
        <x:f>J218+(K218+L218)/1440</x:f>
        <x:v>46300.70138888889</x:v>
      </x:c>
      <x:c r="N218" s="13" t="n">
        <x:f>VLOOKUP(C218,'MES orders'!$A$8:$H$127,5,FALSE)</x:f>
        <x:v>46302.666666666664</x:v>
      </x:c>
      <x:c r="O218" s="16" t="n">
        <x:f>MAX(0,(M218-N218)*24)</x:f>
        <x:v>0</x:v>
      </x:c>
      <x:c r="P218" s="9" t="str">
        <x:v>No</x:v>
      </x:c>
      <x:c r="Q218" s="15" t="n">
        <x:v>13</x:v>
      </x:c>
      <x:c r="R218" s="13" t="n">
        <x:f>J218+Q218/1440</x:f>
        <x:v>46300.70138888889</x:v>
      </x:c>
      <x:c r="S218" s="2" t="str">
        <x:f>VLOOKUP(C218,'MES orders'!$A$8:$H$127,6,FALSE)</x:f>
        <x:v>Normal</x:v>
      </x:c>
      <x:c r="T218" s="9" t="str"/>
    </x:row>
    <x:row r="219" ht="22" customHeight="1">
      <x:c r="A219" s="2" t="str">
        <x:v>L00164-040</x:v>
      </x:c>
      <x:c r="B219" s="2" t="str">
        <x:v>L00164</x:v>
      </x:c>
      <x:c r="C219" s="2" t="str">
        <x:v>SO-26033</x:v>
      </x:c>
      <x:c r="D219" s="2" t="str">
        <x:v>R-S-AL</x:v>
      </x:c>
      <x:c r="E219" s="14" t="n">
        <x:v>10</x:v>
      </x:c>
      <x:c r="F219" s="2" t="str">
        <x:v>Mechanical assembly</x:v>
      </x:c>
      <x:c r="G219" s="9" t="str">
        <x:v>AS-03</x:v>
      </x:c>
      <x:c r="H219" s="15" t="n">
        <x:v>10</x:v>
      </x:c>
      <x:c r="I219" s="9" t="str">
        <x:v>P16</x:v>
      </x:c>
      <x:c r="J219" s="11" t="n">
        <x:v>46300.697222222225</x:v>
      </x:c>
      <x:c r="K219" s="15" t="n">
        <x:v>8</x:v>
      </x:c>
      <x:c r="L219" s="15" t="n">
        <x:v>18</x:v>
      </x:c>
      <x:c r="M219" s="13" t="n">
        <x:f>J219+(K219+L219)/1440</x:f>
        <x:v>46300.71527777778</x:v>
      </x:c>
      <x:c r="N219" s="13" t="n">
        <x:f>VLOOKUP(C219,'MES orders'!$A$8:$H$127,5,FALSE)</x:f>
        <x:v>46302.666666666664</x:v>
      </x:c>
      <x:c r="O219" s="16" t="n">
        <x:f>MAX(0,(M219-N219)*24)</x:f>
        <x:v>0</x:v>
      </x:c>
      <x:c r="P219" s="9" t="str">
        <x:v>No</x:v>
      </x:c>
      <x:c r="Q219" s="15" t="n">
        <x:v>26</x:v>
      </x:c>
      <x:c r="R219" s="13" t="n">
        <x:f>J219+Q219/1440</x:f>
        <x:v>46300.71527777778</x:v>
      </x:c>
      <x:c r="S219" s="2" t="str">
        <x:f>VLOOKUP(C219,'MES orders'!$A$8:$H$127,6,FALSE)</x:f>
        <x:v>Normal</x:v>
      </x:c>
      <x:c r="T219" s="9" t="str"/>
    </x:row>
    <x:row r="220" ht="22" customHeight="1">
      <x:c r="A220" s="2" t="str">
        <x:v>L00204-040</x:v>
      </x:c>
      <x:c r="B220" s="2" t="str">
        <x:v>L00204</x:v>
      </x:c>
      <x:c r="C220" s="2" t="str">
        <x:v>SO-26041</x:v>
      </x:c>
      <x:c r="D220" s="2" t="str">
        <x:v>R-L-AL</x:v>
      </x:c>
      <x:c r="E220" s="14" t="n">
        <x:v>15</x:v>
      </x:c>
      <x:c r="F220" s="2" t="str">
        <x:v>Mechanical assembly</x:v>
      </x:c>
      <x:c r="G220" s="9" t="str">
        <x:v>AS-04</x:v>
      </x:c>
      <x:c r="H220" s="15" t="n">
        <x:v>5</x:v>
      </x:c>
      <x:c r="I220" s="9" t="str">
        <x:v>P13</x:v>
      </x:c>
      <x:c r="J220" s="11" t="n">
        <x:v>46300.697222222225</x:v>
      </x:c>
      <x:c r="K220" s="15" t="n">
        <x:v>8</x:v>
      </x:c>
      <x:c r="L220" s="15" t="n">
        <x:v>36</x:v>
      </x:c>
      <x:c r="M220" s="13" t="n">
        <x:f>J220+(K220+L220)/1440</x:f>
        <x:v>46300.72777777778</x:v>
      </x:c>
      <x:c r="N220" s="13" t="n">
        <x:f>VLOOKUP(C220,'MES orders'!$A$8:$H$127,5,FALSE)</x:f>
        <x:v>46302.666666666664</x:v>
      </x:c>
      <x:c r="O220" s="16" t="n">
        <x:f>MAX(0,(M220-N220)*24)</x:f>
        <x:v>0</x:v>
      </x:c>
      <x:c r="P220" s="9" t="str">
        <x:v>No</x:v>
      </x:c>
      <x:c r="Q220" s="15" t="n">
        <x:v>44</x:v>
      </x:c>
      <x:c r="R220" s="13" t="n">
        <x:f>J220+Q220/1440</x:f>
        <x:v>46300.72777777778</x:v>
      </x:c>
      <x:c r="S220" s="2" t="str">
        <x:f>VLOOKUP(C220,'MES orders'!$A$8:$H$127,6,FALSE)</x:f>
        <x:v>Normal</x:v>
      </x:c>
      <x:c r="T220" s="9" t="str"/>
    </x:row>
    <x:row r="221" ht="22" customHeight="1">
      <x:c r="A221" s="2" t="str">
        <x:v>L00244-040</x:v>
      </x:c>
      <x:c r="B221" s="2" t="str">
        <x:v>L00244</x:v>
      </x:c>
      <x:c r="C221" s="2" t="str">
        <x:v>SO-26049</x:v>
      </x:c>
      <x:c r="D221" s="2" t="str">
        <x:v>S-C-AL</x:v>
      </x:c>
      <x:c r="E221" s="14" t="n">
        <x:v>5</x:v>
      </x:c>
      <x:c r="F221" s="2" t="str">
        <x:v>Mechanical preassembly</x:v>
      </x:c>
      <x:c r="G221" s="9" t="str">
        <x:v>AS-05</x:v>
      </x:c>
      <x:c r="H221" s="15" t="n">
        <x:v>6</x:v>
      </x:c>
      <x:c r="I221" s="9" t="str">
        <x:v>P14</x:v>
      </x:c>
      <x:c r="J221" s="11" t="n">
        <x:v>46300.697916666664</x:v>
      </x:c>
      <x:c r="K221" s="15" t="n">
        <x:v>6</x:v>
      </x:c>
      <x:c r="L221" s="15" t="n">
        <x:v>4</x:v>
      </x:c>
      <x:c r="M221" s="13" t="n">
        <x:f>J221+(K221+L221)/1440</x:f>
        <x:v>46300.70486111111</x:v>
      </x:c>
      <x:c r="N221" s="13" t="n">
        <x:f>VLOOKUP(C221,'MES orders'!$A$8:$H$127,5,FALSE)</x:f>
        <x:v>46302.666666666664</x:v>
      </x:c>
      <x:c r="O221" s="16" t="n">
        <x:f>MAX(0,(M221-N221)*24)</x:f>
        <x:v>0</x:v>
      </x:c>
      <x:c r="P221" s="9" t="str">
        <x:v>No</x:v>
      </x:c>
      <x:c r="Q221" s="15" t="n">
        <x:v>10</x:v>
      </x:c>
      <x:c r="R221" s="13" t="n">
        <x:f>J221+Q221/1440</x:f>
        <x:v>46300.70486111111</x:v>
      </x:c>
      <x:c r="S221" s="2" t="str">
        <x:f>VLOOKUP(C221,'MES orders'!$A$8:$H$127,6,FALSE)</x:f>
        <x:v>Normal</x:v>
      </x:c>
      <x:c r="T221" s="9" t="str"/>
    </x:row>
    <x:row r="222" ht="22" customHeight="1">
      <x:c r="A222" s="2" t="str">
        <x:v>L00245-010</x:v>
      </x:c>
      <x:c r="B222" s="2" t="str">
        <x:v>L00245</x:v>
      </x:c>
      <x:c r="C222" s="2" t="str">
        <x:v>SO-26049</x:v>
      </x:c>
      <x:c r="D222" s="2" t="str">
        <x:v>S-C-AL</x:v>
      </x:c>
      <x:c r="E222" s="14" t="n">
        <x:v>5</x:v>
      </x:c>
      <x:c r="F222" s="2" t="str">
        <x:v>CNC machining</x:v>
      </x:c>
      <x:c r="G222" s="9" t="str">
        <x:v>CNC-01</x:v>
      </x:c>
      <x:c r="H222" s="15" t="n">
        <x:v>13</x:v>
      </x:c>
      <x:c r="I222" s="9" t="str">
        <x:v>P15</x:v>
      </x:c>
      <x:c r="J222" s="11" t="n">
        <x:v>46300.697916666664</x:v>
      </x:c>
      <x:c r="K222" s="15" t="n">
        <x:v>18</x:v>
      </x:c>
      <x:c r="L222" s="15" t="n">
        <x:v>10</x:v>
      </x:c>
      <x:c r="M222" s="13" t="n">
        <x:f>J222+(K222+L222)/1440</x:f>
        <x:v>46300.71736111111</x:v>
      </x:c>
      <x:c r="N222" s="13" t="n">
        <x:f>VLOOKUP(C222,'MES orders'!$A$8:$H$127,5,FALSE)</x:f>
        <x:v>46302.666666666664</x:v>
      </x:c>
      <x:c r="O222" s="16" t="n">
        <x:f>MAX(0,(M222-N222)*24)</x:f>
        <x:v>0</x:v>
      </x:c>
      <x:c r="P222" s="9" t="str">
        <x:v>No</x:v>
      </x:c>
      <x:c r="Q222" s="15" t="n">
        <x:v>18</x:v>
      </x:c>
      <x:c r="R222" s="13" t="n">
        <x:f>J222+Q222/1440</x:f>
        <x:v>46300.71041666666</x:v>
      </x:c>
      <x:c r="S222" s="2" t="str">
        <x:f>VLOOKUP(C222,'MES orders'!$A$8:$H$127,6,FALSE)</x:f>
        <x:v>Normal</x:v>
      </x:c>
      <x:c r="T222" s="9" t="str"/>
    </x:row>
    <x:row r="223" ht="22" customHeight="1">
      <x:c r="A223" s="2" t="str">
        <x:v>L00243-060</x:v>
      </x:c>
      <x:c r="B223" s="2" t="str">
        <x:v>L00243</x:v>
      </x:c>
      <x:c r="C223" s="2" t="str">
        <x:v>SO-26049</x:v>
      </x:c>
      <x:c r="D223" s="2" t="str">
        <x:v>S-C-AL</x:v>
      </x:c>
      <x:c r="E223" s="14" t="n">
        <x:v>5</x:v>
      </x:c>
      <x:c r="F223" s="2" t="str">
        <x:v>Sensor calibration</x:v>
      </x:c>
      <x:c r="G223" s="9" t="str">
        <x:v>CAL-01</x:v>
      </x:c>
      <x:c r="H223" s="15" t="n">
        <x:v>6</x:v>
      </x:c>
      <x:c r="I223" s="9" t="str">
        <x:v>P21</x:v>
      </x:c>
      <x:c r="J223" s="11" t="n">
        <x:v>46300.70138888889</x:v>
      </x:c>
      <x:c r="K223" s="15" t="n">
        <x:v>10</x:v>
      </x:c>
      <x:c r="L223" s="15" t="n">
        <x:v>5</x:v>
      </x:c>
      <x:c r="M223" s="13" t="n">
        <x:f>J223+(K223+L223)/1440</x:f>
        <x:v>46300.711805555555</x:v>
      </x:c>
      <x:c r="N223" s="13" t="n">
        <x:f>VLOOKUP(C223,'MES orders'!$A$8:$H$127,5,FALSE)</x:f>
        <x:v>46302.666666666664</x:v>
      </x:c>
      <x:c r="O223" s="16" t="n">
        <x:f>MAX(0,(M223-N223)*24)</x:f>
        <x:v>0</x:v>
      </x:c>
      <x:c r="P223" s="9" t="str">
        <x:v>No</x:v>
      </x:c>
      <x:c r="Q223" s="15" t="n">
        <x:v>15</x:v>
      </x:c>
      <x:c r="R223" s="13" t="n">
        <x:f>J223+Q223/1440</x:f>
        <x:v>46300.711805555555</x:v>
      </x:c>
      <x:c r="S223" s="2" t="str">
        <x:f>VLOOKUP(C223,'MES orders'!$A$8:$H$127,6,FALSE)</x:f>
        <x:v>Normal</x:v>
      </x:c>
      <x:c r="T223" s="9" t="str"/>
    </x:row>
    <x:row r="224" ht="22" customHeight="1">
      <x:c r="A224" s="2" t="str">
        <x:v>L00163-050</x:v>
      </x:c>
      <x:c r="B224" s="2" t="str">
        <x:v>L00163</x:v>
      </x:c>
      <x:c r="C224" s="2" t="str">
        <x:v>SO-26033</x:v>
      </x:c>
      <x:c r="D224" s="2" t="str">
        <x:v>R-S-AL</x:v>
      </x:c>
      <x:c r="E224" s="14" t="n">
        <x:v>10</x:v>
      </x:c>
      <x:c r="F224" s="2" t="str">
        <x:v>Valve adjustment</x:v>
      </x:c>
      <x:c r="G224" s="9" t="str">
        <x:v>AS-02</x:v>
      </x:c>
      <x:c r="H224" s="15" t="n">
        <x:v>15</x:v>
      </x:c>
      <x:c r="I224" s="9" t="str">
        <x:v>P18</x:v>
      </x:c>
      <x:c r="J224" s="11" t="n">
        <x:v>46300.70208333333</x:v>
      </x:c>
      <x:c r="K224" s="15" t="n">
        <x:v>6</x:v>
      </x:c>
      <x:c r="L224" s="15" t="n">
        <x:v>11</x:v>
      </x:c>
      <x:c r="M224" s="13" t="n">
        <x:f>J224+(K224+L224)/1440</x:f>
        <x:v>46300.71388888889</x:v>
      </x:c>
      <x:c r="N224" s="13" t="n">
        <x:f>VLOOKUP(C224,'MES orders'!$A$8:$H$127,5,FALSE)</x:f>
        <x:v>46302.666666666664</x:v>
      </x:c>
      <x:c r="O224" s="16" t="n">
        <x:f>MAX(0,(M224-N224)*24)</x:f>
        <x:v>0</x:v>
      </x:c>
      <x:c r="P224" s="9" t="str">
        <x:v>No</x:v>
      </x:c>
      <x:c r="Q224" s="15" t="n">
        <x:v>17</x:v>
      </x:c>
      <x:c r="R224" s="13" t="n">
        <x:f>J224+Q224/1440</x:f>
        <x:v>46300.71388888889</x:v>
      </x:c>
      <x:c r="S224" s="2" t="str">
        <x:f>VLOOKUP(C224,'MES orders'!$A$8:$H$127,6,FALSE)</x:f>
        <x:v>Normal</x:v>
      </x:c>
      <x:c r="T224" s="9" t="str"/>
    </x:row>
    <x:row r="225" ht="22" customHeight="1">
      <x:c r="A225" s="2" t="str">
        <x:v>L00165-020</x:v>
      </x:c>
      <x:c r="B225" s="2" t="str">
        <x:v>L00165</x:v>
      </x:c>
      <x:c r="C225" s="2" t="str">
        <x:v>SO-26033</x:v>
      </x:c>
      <x:c r="D225" s="2" t="str">
        <x:v>R-S-AL</x:v>
      </x:c>
      <x:c r="E225" s="14" t="n">
        <x:v>10</x:v>
      </x:c>
      <x:c r="F225" s="2" t="str">
        <x:v>Deburr &amp; inspect</x:v>
      </x:c>
      <x:c r="G225" s="9" t="str">
        <x:v>DB-01</x:v>
      </x:c>
      <x:c r="H225" s="15" t="n">
        <x:v>24</x:v>
      </x:c>
      <x:c r="I225" s="9" t="str">
        <x:v>P17</x:v>
      </x:c>
      <x:c r="J225" s="11" t="n">
        <x:v>46300.70277777778</x:v>
      </x:c>
      <x:c r="K225" s="15" t="n">
        <x:v>4</x:v>
      </x:c>
      <x:c r="L225" s="15" t="n">
        <x:v>7</x:v>
      </x:c>
      <x:c r="M225" s="13" t="n">
        <x:f>J225+(K225+L225)/1440</x:f>
        <x:v>46300.71041666667</x:v>
      </x:c>
      <x:c r="N225" s="13" t="n">
        <x:f>VLOOKUP(C225,'MES orders'!$A$8:$H$127,5,FALSE)</x:f>
        <x:v>46302.666666666664</x:v>
      </x:c>
      <x:c r="O225" s="16" t="n">
        <x:f>MAX(0,(M225-N225)*24)</x:f>
        <x:v>0</x:v>
      </x:c>
      <x:c r="P225" s="9" t="str">
        <x:v>No</x:v>
      </x:c>
      <x:c r="Q225" s="15" t="n">
        <x:v>11</x:v>
      </x:c>
      <x:c r="R225" s="13" t="n">
        <x:f>J225+Q225/1440</x:f>
        <x:v>46300.71041666667</x:v>
      </x:c>
      <x:c r="S225" s="2" t="str">
        <x:f>VLOOKUP(C225,'MES orders'!$A$8:$H$127,6,FALSE)</x:f>
        <x:v>Normal</x:v>
      </x:c>
      <x:c r="T225" s="9" t="str"/>
    </x:row>
    <x:row r="226" ht="22" customHeight="1">
      <x:c r="A226" s="2" t="str">
        <x:v>L00124-060</x:v>
      </x:c>
      <x:c r="B226" s="2" t="str">
        <x:v>L00124</x:v>
      </x:c>
      <x:c r="C226" s="2" t="str">
        <x:v>SO-26025</x:v>
      </x:c>
      <x:c r="D226" s="2" t="str">
        <x:v>R-C-AL</x:v>
      </x:c>
      <x:c r="E226" s="14" t="n">
        <x:v>20</x:v>
      </x:c>
      <x:c r="F226" s="2" t="str">
        <x:v>Final leak / function test</x:v>
      </x:c>
      <x:c r="G226" s="9" t="str">
        <x:v>QA-03</x:v>
      </x:c>
      <x:c r="H226" s="15" t="n">
        <x:v>6</x:v>
      </x:c>
      <x:c r="I226" s="9" t="str">
        <x:v>P23</x:v>
      </x:c>
      <x:c r="J226" s="11" t="n">
        <x:v>46300.70347222222</x:v>
      </x:c>
      <x:c r="K226" s="15" t="n">
        <x:v>10</x:v>
      </x:c>
      <x:c r="L226" s="15" t="n">
        <x:v>14</x:v>
      </x:c>
      <x:c r="M226" s="13" t="n">
        <x:f>J226+(K226+L226)/1440</x:f>
        <x:v>46300.72013888889</x:v>
      </x:c>
      <x:c r="N226" s="13" t="n">
        <x:f>VLOOKUP(C226,'MES orders'!$A$8:$H$127,5,FALSE)</x:f>
        <x:v>46302.666666666664</x:v>
      </x:c>
      <x:c r="O226" s="16" t="n">
        <x:f>MAX(0,(M226-N226)*24)</x:f>
        <x:v>0</x:v>
      </x:c>
      <x:c r="P226" s="9" t="str">
        <x:v>No</x:v>
      </x:c>
      <x:c r="Q226" s="15" t="n">
        <x:v>24</x:v>
      </x:c>
      <x:c r="R226" s="13" t="n">
        <x:f>J226+Q226/1440</x:f>
        <x:v>46300.72013888889</x:v>
      </x:c>
      <x:c r="S226" s="2" t="str">
        <x:f>VLOOKUP(C226,'MES orders'!$A$8:$H$127,6,FALSE)</x:f>
        <x:v>Normal</x:v>
      </x:c>
      <x:c r="T226" s="9" t="str"/>
    </x:row>
    <x:row r="227" ht="22" customHeight="1">
      <x:c r="A227" s="2" t="str">
        <x:v>L00244-050</x:v>
      </x:c>
      <x:c r="B227" s="2" t="str">
        <x:v>L00244</x:v>
      </x:c>
      <x:c r="C227" s="2" t="str">
        <x:v>SO-26049</x:v>
      </x:c>
      <x:c r="D227" s="2" t="str">
        <x:v>S-C-AL</x:v>
      </x:c>
      <x:c r="E227" s="14" t="n">
        <x:v>5</x:v>
      </x:c>
      <x:c r="F227" s="2" t="str">
        <x:v>Sensor installation</x:v>
      </x:c>
      <x:c r="G227" s="9" t="str">
        <x:v>EL-01</x:v>
      </x:c>
      <x:c r="H227" s="15" t="n">
        <x:v>6</x:v>
      </x:c>
      <x:c r="I227" s="9" t="str">
        <x:v>P19</x:v>
      </x:c>
      <x:c r="J227" s="11" t="n">
        <x:v>46300.70486111111</x:v>
      </x:c>
      <x:c r="K227" s="15" t="n">
        <x:v>8</x:v>
      </x:c>
      <x:c r="L227" s="15" t="n">
        <x:v>5</x:v>
      </x:c>
      <x:c r="M227" s="13" t="n">
        <x:f>J227+(K227+L227)/1440</x:f>
        <x:v>46300.71388888889</x:v>
      </x:c>
      <x:c r="N227" s="13" t="n">
        <x:f>VLOOKUP(C227,'MES orders'!$A$8:$H$127,5,FALSE)</x:f>
        <x:v>46302.666666666664</x:v>
      </x:c>
      <x:c r="O227" s="16" t="n">
        <x:f>MAX(0,(M227-N227)*24)</x:f>
        <x:v>0</x:v>
      </x:c>
      <x:c r="P227" s="9" t="str">
        <x:v>No</x:v>
      </x:c>
      <x:c r="Q227" s="15" t="n">
        <x:v>13</x:v>
      </x:c>
      <x:c r="R227" s="13" t="n">
        <x:f>J227+Q227/1440</x:f>
        <x:v>46300.71388888889</x:v>
      </x:c>
      <x:c r="S227" s="2" t="str">
        <x:f>VLOOKUP(C227,'MES orders'!$A$8:$H$127,6,FALSE)</x:f>
        <x:v>Normal</x:v>
      </x:c>
      <x:c r="T227" s="9" t="str"/>
    </x:row>
    <x:row r="228" ht="22" customHeight="1">
      <x:c r="A228" s="2" t="str">
        <x:v>L00205-020</x:v>
      </x:c>
      <x:c r="B228" s="2" t="str">
        <x:v>L00205</x:v>
      </x:c>
      <x:c r="C228" s="2" t="str">
        <x:v>SO-26041</x:v>
      </x:c>
      <x:c r="D228" s="2" t="str">
        <x:v>R-L-AL</x:v>
      </x:c>
      <x:c r="E228" s="14" t="n">
        <x:v>15</x:v>
      </x:c>
      <x:c r="F228" s="2" t="str">
        <x:v>Deburr &amp; inspect</x:v>
      </x:c>
      <x:c r="G228" s="9" t="str">
        <x:v>DB-02</x:v>
      </x:c>
      <x:c r="H228" s="15" t="n">
        <x:v>16</x:v>
      </x:c>
      <x:c r="I228" s="9" t="str">
        <x:v>P14</x:v>
      </x:c>
      <x:c r="J228" s="11" t="n">
        <x:v>46300.705555555556</x:v>
      </x:c>
      <x:c r="K228" s="15" t="n">
        <x:v>4</x:v>
      </x:c>
      <x:c r="L228" s="15" t="n">
        <x:v>14</x:v>
      </x:c>
      <x:c r="M228" s="13" t="n">
        <x:f>J228+(K228+L228)/1440</x:f>
        <x:v>46300.71805555555</x:v>
      </x:c>
      <x:c r="N228" s="13" t="n">
        <x:f>VLOOKUP(C228,'MES orders'!$A$8:$H$127,5,FALSE)</x:f>
        <x:v>46302.666666666664</x:v>
      </x:c>
      <x:c r="O228" s="16" t="n">
        <x:f>MAX(0,(M228-N228)*24)</x:f>
        <x:v>0</x:v>
      </x:c>
      <x:c r="P228" s="9" t="str">
        <x:v>No</x:v>
      </x:c>
      <x:c r="Q228" s="15" t="n">
        <x:v>18</x:v>
      </x:c>
      <x:c r="R228" s="13" t="n">
        <x:f>J228+Q228/1440</x:f>
        <x:v>46300.71805555555</x:v>
      </x:c>
      <x:c r="S228" s="2" t="str">
        <x:f>VLOOKUP(C228,'MES orders'!$A$8:$H$127,6,FALSE)</x:f>
        <x:v>Normal</x:v>
      </x:c>
      <x:c r="T228" s="9" t="str"/>
    </x:row>
    <x:row r="229" ht="22" customHeight="1">
      <x:c r="A229" s="2" t="str">
        <x:v>L00125-060</x:v>
      </x:c>
      <x:c r="B229" s="2" t="str">
        <x:v>L00125</x:v>
      </x:c>
      <x:c r="C229" s="2" t="str">
        <x:v>SO-26025</x:v>
      </x:c>
      <x:c r="D229" s="2" t="str">
        <x:v>R-C-AL</x:v>
      </x:c>
      <x:c r="E229" s="14" t="n">
        <x:v>20</x:v>
      </x:c>
      <x:c r="F229" s="2" t="str">
        <x:v>Final leak / function test</x:v>
      </x:c>
      <x:c r="G229" s="9" t="str">
        <x:v>QA-02</x:v>
      </x:c>
      <x:c r="H229" s="15" t="n">
        <x:v>14</x:v>
      </x:c>
      <x:c r="I229" s="9" t="str">
        <x:v>P24</x:v>
      </x:c>
      <x:c r="J229" s="11" t="n">
        <x:v>46300.70694444444</x:v>
      </x:c>
      <x:c r="K229" s="15" t="n">
        <x:v>10</x:v>
      </x:c>
      <x:c r="L229" s="15" t="n">
        <x:v>14</x:v>
      </x:c>
      <x:c r="M229" s="13" t="n">
        <x:f>J229+(K229+L229)/1440</x:f>
        <x:v>46300.72361111111</x:v>
      </x:c>
      <x:c r="N229" s="13" t="n">
        <x:f>VLOOKUP(C229,'MES orders'!$A$8:$H$127,5,FALSE)</x:f>
        <x:v>46302.666666666664</x:v>
      </x:c>
      <x:c r="O229" s="16" t="n">
        <x:f>MAX(0,(M229-N229)*24)</x:f>
        <x:v>0</x:v>
      </x:c>
      <x:c r="P229" s="9" t="str">
        <x:v>No</x:v>
      </x:c>
      <x:c r="Q229" s="15" t="n">
        <x:v>24</x:v>
      </x:c>
      <x:c r="R229" s="13" t="n">
        <x:f>J229+Q229/1440</x:f>
        <x:v>46300.72361111111</x:v>
      </x:c>
      <x:c r="S229" s="2" t="str">
        <x:f>VLOOKUP(C229,'MES orders'!$A$8:$H$127,6,FALSE)</x:f>
        <x:v>Normal</x:v>
      </x:c>
      <x:c r="T229" s="9" t="str"/>
    </x:row>
    <x:row r="230" ht="22" customHeight="1">
      <x:c r="A230" s="2" t="str">
        <x:v>L00241-020</x:v>
      </x:c>
      <x:c r="B230" s="2" t="str">
        <x:v>L00241</x:v>
      </x:c>
      <x:c r="C230" s="2" t="str">
        <x:v>SO-26049</x:v>
      </x:c>
      <x:c r="D230" s="2" t="str">
        <x:v>S-C-AL</x:v>
      </x:c>
      <x:c r="E230" s="14" t="n">
        <x:v>5</x:v>
      </x:c>
      <x:c r="F230" s="2" t="str">
        <x:v>Deburr &amp; inspect</x:v>
      </x:c>
      <x:c r="G230" s="9" t="str">
        <x:v>DB-01</x:v>
      </x:c>
      <x:c r="H230" s="15" t="n">
        <x:v>25</x:v>
      </x:c>
      <x:c r="I230" s="9" t="str">
        <x:v>P17</x:v>
      </x:c>
      <x:c r="J230" s="11" t="n">
        <x:v>46300.71041666667</x:v>
      </x:c>
      <x:c r="K230" s="15" t="n">
        <x:v>4</x:v>
      </x:c>
      <x:c r="L230" s="15" t="n">
        <x:v>3</x:v>
      </x:c>
      <x:c r="M230" s="13" t="n">
        <x:f>J230+(K230+L230)/1440</x:f>
        <x:v>46300.71527777778</x:v>
      </x:c>
      <x:c r="N230" s="13" t="n">
        <x:f>VLOOKUP(C230,'MES orders'!$A$8:$H$127,5,FALSE)</x:f>
        <x:v>46302.666666666664</x:v>
      </x:c>
      <x:c r="O230" s="16" t="n">
        <x:f>MAX(0,(M230-N230)*24)</x:f>
        <x:v>0</x:v>
      </x:c>
      <x:c r="P230" s="9" t="str">
        <x:v>No</x:v>
      </x:c>
      <x:c r="Q230" s="15" t="n">
        <x:v>7</x:v>
      </x:c>
      <x:c r="R230" s="13" t="n">
        <x:f>J230+Q230/1440</x:f>
        <x:v>46300.71527777778</x:v>
      </x:c>
      <x:c r="S230" s="2" t="str">
        <x:f>VLOOKUP(C230,'MES orders'!$A$8:$H$127,6,FALSE)</x:f>
        <x:v>Normal</x:v>
      </x:c>
      <x:c r="T230" s="9" t="str"/>
    </x:row>
    <x:row r="231" ht="22" customHeight="1">
      <x:c r="A231" s="2" t="str">
        <x:v>L00243-070</x:v>
      </x:c>
      <x:c r="B231" s="2" t="str">
        <x:v>L00243</x:v>
      </x:c>
      <x:c r="C231" s="2" t="str">
        <x:v>SO-26049</x:v>
      </x:c>
      <x:c r="D231" s="2" t="str">
        <x:v>S-C-AL</x:v>
      </x:c>
      <x:c r="E231" s="14" t="n">
        <x:v>5</x:v>
      </x:c>
      <x:c r="F231" s="2" t="str">
        <x:v>Final assembly</x:v>
      </x:c>
      <x:c r="G231" s="9" t="str">
        <x:v>AS-05</x:v>
      </x:c>
      <x:c r="H231" s="15" t="n">
        <x:v>7</x:v>
      </x:c>
      <x:c r="I231" s="9" t="str">
        <x:v>P20</x:v>
      </x:c>
      <x:c r="J231" s="11" t="n">
        <x:v>46300.711805555555</x:v>
      </x:c>
      <x:c r="K231" s="15" t="n">
        <x:v>5</x:v>
      </x:c>
      <x:c r="L231" s="15" t="n">
        <x:v>3</x:v>
      </x:c>
      <x:c r="M231" s="13" t="n">
        <x:f>J231+(K231+L231)/1440</x:f>
        <x:v>46300.717361111114</x:v>
      </x:c>
      <x:c r="N231" s="13" t="n">
        <x:f>VLOOKUP(C231,'MES orders'!$A$8:$H$127,5,FALSE)</x:f>
        <x:v>46302.666666666664</x:v>
      </x:c>
      <x:c r="O231" s="16" t="n">
        <x:f>MAX(0,(M231-N231)*24)</x:f>
        <x:v>0</x:v>
      </x:c>
      <x:c r="P231" s="9" t="str">
        <x:v>No</x:v>
      </x:c>
      <x:c r="Q231" s="15" t="n">
        <x:v>8</x:v>
      </x:c>
      <x:c r="R231" s="13" t="n">
        <x:f>J231+Q231/1440</x:f>
        <x:v>46300.717361111114</x:v>
      </x:c>
      <x:c r="S231" s="2" t="str">
        <x:f>VLOOKUP(C231,'MES orders'!$A$8:$H$127,6,FALSE)</x:f>
        <x:v>Normal</x:v>
      </x:c>
      <x:c r="T231" s="9" t="str"/>
    </x:row>
    <x:row r="232" ht="22" customHeight="1">
      <x:c r="A232" s="2" t="str">
        <x:v>L00244-060</x:v>
      </x:c>
      <x:c r="B232" s="2" t="str">
        <x:v>L00244</x:v>
      </x:c>
      <x:c r="C232" s="2" t="str">
        <x:v>SO-26049</x:v>
      </x:c>
      <x:c r="D232" s="2" t="str">
        <x:v>S-C-AL</x:v>
      </x:c>
      <x:c r="E232" s="14" t="n">
        <x:v>5</x:v>
      </x:c>
      <x:c r="F232" s="2" t="str">
        <x:v>Sensor calibration</x:v>
      </x:c>
      <x:c r="G232" s="9" t="str">
        <x:v>CAL-01</x:v>
      </x:c>
      <x:c r="H232" s="15" t="n">
        <x:v>7</x:v>
      </x:c>
      <x:c r="I232" s="9" t="str">
        <x:v>P21</x:v>
      </x:c>
      <x:c r="J232" s="11" t="n">
        <x:v>46300.71388888889</x:v>
      </x:c>
      <x:c r="K232" s="15" t="n">
        <x:v>10</x:v>
      </x:c>
      <x:c r="L232" s="15" t="n">
        <x:v>5</x:v>
      </x:c>
      <x:c r="M232" s="13" t="n">
        <x:f>J232+(K232+L232)/1440</x:f>
        <x:v>46300.72430555555</x:v>
      </x:c>
      <x:c r="N232" s="13" t="n">
        <x:f>VLOOKUP(C232,'MES orders'!$A$8:$H$127,5,FALSE)</x:f>
        <x:v>46302.666666666664</x:v>
      </x:c>
      <x:c r="O232" s="16" t="n">
        <x:f>MAX(0,(M232-N232)*24)</x:f>
        <x:v>0</x:v>
      </x:c>
      <x:c r="P232" s="9" t="str">
        <x:v>No</x:v>
      </x:c>
      <x:c r="Q232" s="15" t="n">
        <x:v>15</x:v>
      </x:c>
      <x:c r="R232" s="13" t="n">
        <x:f>J232+Q232/1440</x:f>
        <x:v>46300.72430555555</x:v>
      </x:c>
      <x:c r="S232" s="2" t="str">
        <x:f>VLOOKUP(C232,'MES orders'!$A$8:$H$127,6,FALSE)</x:f>
        <x:v>Normal</x:v>
      </x:c>
      <x:c r="T232" s="9" t="str"/>
    </x:row>
    <x:row r="233" ht="22" customHeight="1">
      <x:c r="A233" s="2" t="str">
        <x:v>L00165-030</x:v>
      </x:c>
      <x:c r="B233" s="2" t="str">
        <x:v>L00165</x:v>
      </x:c>
      <x:c r="C233" s="2" t="str">
        <x:v>SO-26033</x:v>
      </x:c>
      <x:c r="D233" s="2" t="str">
        <x:v>R-S-AL</x:v>
      </x:c>
      <x:c r="E233" s="14" t="n">
        <x:v>10</x:v>
      </x:c>
      <x:c r="F233" s="2" t="str">
        <x:v>Wash &amp; dry</x:v>
      </x:c>
      <x:c r="G233" s="9" t="str">
        <x:v>WS-01</x:v>
      </x:c>
      <x:c r="H233" s="15" t="n">
        <x:v>24</x:v>
      </x:c>
      <x:c r="I233" s="9" t="str">
        <x:v>P18</x:v>
      </x:c>
      <x:c r="J233" s="11" t="n">
        <x:v>46300.71388888889</x:v>
      </x:c>
      <x:c r="K233" s="15" t="n">
        <x:v>12</x:v>
      </x:c>
      <x:c r="L233" s="15" t="n">
        <x:v>4</x:v>
      </x:c>
      <x:c r="M233" s="13" t="n">
        <x:f>J233+(K233+L233)/1440</x:f>
        <x:v>46300.725</x:v>
      </x:c>
      <x:c r="N233" s="13" t="n">
        <x:f>VLOOKUP(C233,'MES orders'!$A$8:$H$127,5,FALSE)</x:f>
        <x:v>46302.666666666664</x:v>
      </x:c>
      <x:c r="O233" s="16" t="n">
        <x:f>MAX(0,(M233-N233)*24)</x:f>
        <x:v>0</x:v>
      </x:c>
      <x:c r="P233" s="9" t="str">
        <x:v>No</x:v>
      </x:c>
      <x:c r="Q233" s="15" t="n">
        <x:v>16</x:v>
      </x:c>
      <x:c r="R233" s="13" t="n">
        <x:f>J233+Q233/1440</x:f>
        <x:v>46300.725</x:v>
      </x:c>
      <x:c r="S233" s="2" t="str">
        <x:f>VLOOKUP(C233,'MES orders'!$A$8:$H$127,6,FALSE)</x:f>
        <x:v>Normal</x:v>
      </x:c>
      <x:c r="T233" s="9" t="str"/>
    </x:row>
    <x:row r="234" ht="22" customHeight="1">
      <x:c r="A234" s="2" t="str">
        <x:v>L00164-050</x:v>
      </x:c>
      <x:c r="B234" s="2" t="str">
        <x:v>L00164</x:v>
      </x:c>
      <x:c r="C234" s="2" t="str">
        <x:v>SO-26033</x:v>
      </x:c>
      <x:c r="D234" s="2" t="str">
        <x:v>R-S-AL</x:v>
      </x:c>
      <x:c r="E234" s="14" t="n">
        <x:v>10</x:v>
      </x:c>
      <x:c r="F234" s="2" t="str">
        <x:v>Valve adjustment</x:v>
      </x:c>
      <x:c r="G234" s="9" t="str">
        <x:v>AS-01</x:v>
      </x:c>
      <x:c r="H234" s="15" t="n">
        <x:v>18</x:v>
      </x:c>
      <x:c r="I234" s="9" t="str">
        <x:v>P17</x:v>
      </x:c>
      <x:c r="J234" s="11" t="n">
        <x:v>46300.71527777778</x:v>
      </x:c>
      <x:c r="K234" s="15" t="n">
        <x:v>6</x:v>
      </x:c>
      <x:c r="L234" s="15" t="n">
        <x:v>11</x:v>
      </x:c>
      <x:c r="M234" s="13" t="n">
        <x:f>J234+(K234+L234)/1440</x:f>
        <x:v>46300.72708333334</x:v>
      </x:c>
      <x:c r="N234" s="13" t="n">
        <x:f>VLOOKUP(C234,'MES orders'!$A$8:$H$127,5,FALSE)</x:f>
        <x:v>46302.666666666664</x:v>
      </x:c>
      <x:c r="O234" s="16" t="n">
        <x:f>MAX(0,(M234-N234)*24)</x:f>
        <x:v>0</x:v>
      </x:c>
      <x:c r="P234" s="9" t="str">
        <x:v>No</x:v>
      </x:c>
      <x:c r="Q234" s="15" t="n">
        <x:v>17</x:v>
      </x:c>
      <x:c r="R234" s="13" t="n">
        <x:f>J234+Q234/1440</x:f>
        <x:v>46300.72708333334</x:v>
      </x:c>
      <x:c r="S234" s="2" t="str">
        <x:f>VLOOKUP(C234,'MES orders'!$A$8:$H$127,6,FALSE)</x:f>
        <x:v>Normal</x:v>
      </x:c>
      <x:c r="T234" s="9" t="str"/>
    </x:row>
    <x:row r="235" ht="22" customHeight="1">
      <x:c r="A235" s="2" t="str">
        <x:v>L00241-030</x:v>
      </x:c>
      <x:c r="B235" s="2" t="str">
        <x:v>L00241</x:v>
      </x:c>
      <x:c r="C235" s="2" t="str">
        <x:v>SO-26049</x:v>
      </x:c>
      <x:c r="D235" s="2" t="str">
        <x:v>S-C-AL</x:v>
      </x:c>
      <x:c r="E235" s="14" t="n">
        <x:v>5</x:v>
      </x:c>
      <x:c r="F235" s="2" t="str">
        <x:v>Wash &amp; dry</x:v>
      </x:c>
      <x:c r="G235" s="9" t="str">
        <x:v>WS-02</x:v>
      </x:c>
      <x:c r="H235" s="15" t="n">
        <x:v>16</x:v>
      </x:c>
      <x:c r="I235" s="9" t="str">
        <x:v>P16</x:v>
      </x:c>
      <x:c r="J235" s="11" t="n">
        <x:v>46300.71527777778</x:v>
      </x:c>
      <x:c r="K235" s="15" t="n">
        <x:v>12</x:v>
      </x:c>
      <x:c r="L235" s="15" t="n">
        <x:v>1</x:v>
      </x:c>
      <x:c r="M235" s="13" t="n">
        <x:f>J235+(K235+L235)/1440</x:f>
        <x:v>46300.72430555556</x:v>
      </x:c>
      <x:c r="N235" s="13" t="n">
        <x:f>VLOOKUP(C235,'MES orders'!$A$8:$H$127,5,FALSE)</x:f>
        <x:v>46302.666666666664</x:v>
      </x:c>
      <x:c r="O235" s="16" t="n">
        <x:f>MAX(0,(M235-N235)*24)</x:f>
        <x:v>0</x:v>
      </x:c>
      <x:c r="P235" s="9" t="str">
        <x:v>No</x:v>
      </x:c>
      <x:c r="Q235" s="15" t="n">
        <x:v>13</x:v>
      </x:c>
      <x:c r="R235" s="13" t="n">
        <x:f>J235+Q235/1440</x:f>
        <x:v>46300.72430555556</x:v>
      </x:c>
      <x:c r="S235" s="2" t="str">
        <x:f>VLOOKUP(C235,'MES orders'!$A$8:$H$127,6,FALSE)</x:f>
        <x:v>Normal</x:v>
      </x:c>
      <x:c r="T235" s="9" t="str"/>
    </x:row>
    <x:row r="236" ht="22" customHeight="1">
      <x:c r="A236" s="2" t="str">
        <x:v>L00245-020</x:v>
      </x:c>
      <x:c r="B236" s="2" t="str">
        <x:v>L00245</x:v>
      </x:c>
      <x:c r="C236" s="2" t="str">
        <x:v>SO-26049</x:v>
      </x:c>
      <x:c r="D236" s="2" t="str">
        <x:v>S-C-AL</x:v>
      </x:c>
      <x:c r="E236" s="14" t="n">
        <x:v>5</x:v>
      </x:c>
      <x:c r="F236" s="2" t="str">
        <x:v>Deburr &amp; inspect</x:v>
      </x:c>
      <x:c r="G236" s="9" t="str">
        <x:v>DB-01</x:v>
      </x:c>
      <x:c r="H236" s="15" t="n">
        <x:v>26</x:v>
      </x:c>
      <x:c r="I236" s="9" t="str">
        <x:v>P15</x:v>
      </x:c>
      <x:c r="J236" s="11" t="n">
        <x:v>46300.717361111114</x:v>
      </x:c>
      <x:c r="K236" s="15" t="n">
        <x:v>4</x:v>
      </x:c>
      <x:c r="L236" s="15" t="n">
        <x:v>3</x:v>
      </x:c>
      <x:c r="M236" s="13" t="n">
        <x:f>J236+(K236+L236)/1440</x:f>
        <x:v>46300.722222222226</x:v>
      </x:c>
      <x:c r="N236" s="13" t="n">
        <x:f>VLOOKUP(C236,'MES orders'!$A$8:$H$127,5,FALSE)</x:f>
        <x:v>46302.666666666664</x:v>
      </x:c>
      <x:c r="O236" s="16" t="n">
        <x:f>MAX(0,(M236-N236)*24)</x:f>
        <x:v>0</x:v>
      </x:c>
      <x:c r="P236" s="9" t="str">
        <x:v>No</x:v>
      </x:c>
      <x:c r="Q236" s="15" t="n">
        <x:v>7</x:v>
      </x:c>
      <x:c r="R236" s="13" t="n">
        <x:f>J236+Q236/1440</x:f>
        <x:v>46300.722222222226</x:v>
      </x:c>
      <x:c r="S236" s="2" t="str">
        <x:f>VLOOKUP(C236,'MES orders'!$A$8:$H$127,6,FALSE)</x:f>
        <x:v>Normal</x:v>
      </x:c>
      <x:c r="T236" s="9" t="str"/>
    </x:row>
    <x:row r="237" ht="22" customHeight="1">
      <x:c r="A237" s="2" t="str">
        <x:v>L00162-060</x:v>
      </x:c>
      <x:c r="B237" s="2" t="str">
        <x:v>L00162</x:v>
      </x:c>
      <x:c r="C237" s="2" t="str">
        <x:v>SO-26033</x:v>
      </x:c>
      <x:c r="D237" s="2" t="str">
        <x:v>R-S-AL</x:v>
      </x:c>
      <x:c r="E237" s="14" t="n">
        <x:v>10</x:v>
      </x:c>
      <x:c r="F237" s="2" t="str">
        <x:v>Final leak / function test</x:v>
      </x:c>
      <x:c r="G237" s="9" t="str">
        <x:v>QA-03</x:v>
      </x:c>
      <x:c r="H237" s="15" t="n">
        <x:v>7</x:v>
      </x:c>
      <x:c r="I237" s="9" t="str">
        <x:v>P23</x:v>
      </x:c>
      <x:c r="J237" s="11" t="n">
        <x:v>46300.720138888886</x:v>
      </x:c>
      <x:c r="K237" s="15" t="n">
        <x:v>10</x:v>
      </x:c>
      <x:c r="L237" s="15" t="n">
        <x:v>9</x:v>
      </x:c>
      <x:c r="M237" s="13" t="n">
        <x:f>J237+(K237+L237)/1440</x:f>
        <x:v>46300.73333333333</x:v>
      </x:c>
      <x:c r="N237" s="13" t="n">
        <x:f>VLOOKUP(C237,'MES orders'!$A$8:$H$127,5,FALSE)</x:f>
        <x:v>46302.666666666664</x:v>
      </x:c>
      <x:c r="O237" s="16" t="n">
        <x:f>MAX(0,(M237-N237)*24)</x:f>
        <x:v>0</x:v>
      </x:c>
      <x:c r="P237" s="9" t="str">
        <x:v>No</x:v>
      </x:c>
      <x:c r="Q237" s="15" t="n">
        <x:v>19</x:v>
      </x:c>
      <x:c r="R237" s="13" t="n">
        <x:f>J237+Q237/1440</x:f>
        <x:v>46300.73333333333</x:v>
      </x:c>
      <x:c r="S237" s="2" t="str">
        <x:f>VLOOKUP(C237,'MES orders'!$A$8:$H$127,6,FALSE)</x:f>
        <x:v>Normal</x:v>
      </x:c>
      <x:c r="T237" s="9" t="str"/>
    </x:row>
    <x:row r="238" ht="22" customHeight="1">
      <x:c r="A238" s="2" t="str">
        <x:v>L00321-010</x:v>
      </x:c>
      <x:c r="B238" s="2" t="str">
        <x:v>L00321</x:v>
      </x:c>
      <x:c r="C238" s="2" t="str">
        <x:v>SO-26065</x:v>
      </x:c>
      <x:c r="D238" s="2" t="str">
        <x:v>S-L-AL</x:v>
      </x:c>
      <x:c r="E238" s="14" t="n">
        <x:v>20</x:v>
      </x:c>
      <x:c r="F238" s="2" t="str">
        <x:v>CNC machining</x:v>
      </x:c>
      <x:c r="G238" s="9" t="str">
        <x:v>CNC-03</x:v>
      </x:c>
      <x:c r="H238" s="15" t="n">
        <x:v>8</x:v>
      </x:c>
      <x:c r="I238" s="9" t="str">
        <x:v>P15</x:v>
      </x:c>
      <x:c r="J238" s="11" t="n">
        <x:v>46300.72222222222</x:v>
      </x:c>
      <x:c r="K238" s="15" t="n">
        <x:v>18</x:v>
      </x:c>
      <x:c r="L238" s="15" t="n">
        <x:v>65</x:v>
      </x:c>
      <x:c r="M238" s="13" t="n">
        <x:f>J238+(K238+L238)/1440</x:f>
        <x:v>46300.77986111111</x:v>
      </x:c>
      <x:c r="N238" s="13" t="n">
        <x:f>VLOOKUP(C238,'MES orders'!$A$8:$H$127,5,FALSE)</x:f>
        <x:v>46302.666666666664</x:v>
      </x:c>
      <x:c r="O238" s="16" t="n">
        <x:f>MAX(0,(M238-N238)*24)</x:f>
        <x:v>0</x:v>
      </x:c>
      <x:c r="P238" s="9" t="str">
        <x:v>No</x:v>
      </x:c>
      <x:c r="Q238" s="15" t="n">
        <x:v>18</x:v>
      </x:c>
      <x:c r="R238" s="13" t="n">
        <x:f>J238+Q238/1440</x:f>
        <x:v>46300.734722222216</x:v>
      </x:c>
      <x:c r="S238" s="2" t="str">
        <x:f>VLOOKUP(C238,'MES orders'!$A$8:$H$127,6,FALSE)</x:f>
        <x:v>Normal</x:v>
      </x:c>
      <x:c r="T238" s="9" t="str"/>
    </x:row>
    <x:row r="239" ht="22" customHeight="1">
      <x:c r="A239" s="2" t="str">
        <x:v>L00163-060</x:v>
      </x:c>
      <x:c r="B239" s="2" t="str">
        <x:v>L00163</x:v>
      </x:c>
      <x:c r="C239" s="2" t="str">
        <x:v>SO-26033</x:v>
      </x:c>
      <x:c r="D239" s="2" t="str">
        <x:v>R-S-AL</x:v>
      </x:c>
      <x:c r="E239" s="14" t="n">
        <x:v>10</x:v>
      </x:c>
      <x:c r="F239" s="2" t="str">
        <x:v>Final leak / function test</x:v>
      </x:c>
      <x:c r="G239" s="9" t="str">
        <x:v>QA-02</x:v>
      </x:c>
      <x:c r="H239" s="15" t="n">
        <x:v>15</x:v>
      </x:c>
      <x:c r="I239" s="9" t="str">
        <x:v>P24</x:v>
      </x:c>
      <x:c r="J239" s="11" t="n">
        <x:v>46300.72361111111</x:v>
      </x:c>
      <x:c r="K239" s="15" t="n">
        <x:v>10</x:v>
      </x:c>
      <x:c r="L239" s="15" t="n">
        <x:v>9</x:v>
      </x:c>
      <x:c r="M239" s="13" t="n">
        <x:f>J239+(K239+L239)/1440</x:f>
        <x:v>46300.736805555556</x:v>
      </x:c>
      <x:c r="N239" s="13" t="n">
        <x:f>VLOOKUP(C239,'MES orders'!$A$8:$H$127,5,FALSE)</x:f>
        <x:v>46302.666666666664</x:v>
      </x:c>
      <x:c r="O239" s="16" t="n">
        <x:f>MAX(0,(M239-N239)*24)</x:f>
        <x:v>0</x:v>
      </x:c>
      <x:c r="P239" s="9" t="str">
        <x:v>No</x:v>
      </x:c>
      <x:c r="Q239" s="15" t="n">
        <x:v>19</x:v>
      </x:c>
      <x:c r="R239" s="13" t="n">
        <x:f>J239+Q239/1440</x:f>
        <x:v>46300.736805555556</x:v>
      </x:c>
      <x:c r="S239" s="2" t="str">
        <x:f>VLOOKUP(C239,'MES orders'!$A$8:$H$127,6,FALSE)</x:f>
        <x:v>Normal</x:v>
      </x:c>
      <x:c r="T239" s="9" t="str"/>
    </x:row>
    <x:row r="240" ht="22" customHeight="1">
      <x:c r="A240" s="2" t="str">
        <x:v>L00245-030</x:v>
      </x:c>
      <x:c r="B240" s="2" t="str">
        <x:v>L00245</x:v>
      </x:c>
      <x:c r="C240" s="2" t="str">
        <x:v>SO-26049</x:v>
      </x:c>
      <x:c r="D240" s="2" t="str">
        <x:v>S-C-AL</x:v>
      </x:c>
      <x:c r="E240" s="14" t="n">
        <x:v>5</x:v>
      </x:c>
      <x:c r="F240" s="2" t="str">
        <x:v>Wash &amp; dry</x:v>
      </x:c>
      <x:c r="G240" s="9" t="str">
        <x:v>WS-02</x:v>
      </x:c>
      <x:c r="H240" s="15" t="n">
        <x:v>17</x:v>
      </x:c>
      <x:c r="I240" s="9" t="str">
        <x:v>P14</x:v>
      </x:c>
      <x:c r="J240" s="11" t="n">
        <x:v>46300.72430555556</x:v>
      </x:c>
      <x:c r="K240" s="15" t="n">
        <x:v>12</x:v>
      </x:c>
      <x:c r="L240" s="15" t="n">
        <x:v>1</x:v>
      </x:c>
      <x:c r="M240" s="13" t="n">
        <x:f>J240+(K240+L240)/1440</x:f>
        <x:v>46300.73333333334</x:v>
      </x:c>
      <x:c r="N240" s="13" t="n">
        <x:f>VLOOKUP(C240,'MES orders'!$A$8:$H$127,5,FALSE)</x:f>
        <x:v>46302.666666666664</x:v>
      </x:c>
      <x:c r="O240" s="16" t="n">
        <x:f>MAX(0,(M240-N240)*24)</x:f>
        <x:v>0</x:v>
      </x:c>
      <x:c r="P240" s="9" t="str">
        <x:v>No</x:v>
      </x:c>
      <x:c r="Q240" s="15" t="n">
        <x:v>13</x:v>
      </x:c>
      <x:c r="R240" s="13" t="n">
        <x:f>J240+Q240/1440</x:f>
        <x:v>46300.73333333334</x:v>
      </x:c>
      <x:c r="S240" s="2" t="str">
        <x:f>VLOOKUP(C240,'MES orders'!$A$8:$H$127,6,FALSE)</x:f>
        <x:v>Normal</x:v>
      </x:c>
      <x:c r="T240" s="9" t="str"/>
    </x:row>
    <x:row r="241" ht="22" customHeight="1">
      <x:c r="A241" s="2" t="str">
        <x:v>L00165-040</x:v>
      </x:c>
      <x:c r="B241" s="2" t="str">
        <x:v>L00165</x:v>
      </x:c>
      <x:c r="C241" s="2" t="str">
        <x:v>SO-26033</x:v>
      </x:c>
      <x:c r="D241" s="2" t="str">
        <x:v>R-S-AL</x:v>
      </x:c>
      <x:c r="E241" s="14" t="n">
        <x:v>10</x:v>
      </x:c>
      <x:c r="F241" s="2" t="str">
        <x:v>Mechanical assembly</x:v>
      </x:c>
      <x:c r="G241" s="9" t="str">
        <x:v>AS-02</x:v>
      </x:c>
      <x:c r="H241" s="15" t="n">
        <x:v>16</x:v>
      </x:c>
      <x:c r="I241" s="9" t="str">
        <x:v>P16</x:v>
      </x:c>
      <x:c r="J241" s="11" t="n">
        <x:v>46300.725</x:v>
      </x:c>
      <x:c r="K241" s="15" t="n">
        <x:v>8</x:v>
      </x:c>
      <x:c r="L241" s="15" t="n">
        <x:v>18</x:v>
      </x:c>
      <x:c r="M241" s="13" t="n">
        <x:f>J241+(K241+L241)/1440</x:f>
        <x:v>46300.743055555555</x:v>
      </x:c>
      <x:c r="N241" s="13" t="n">
        <x:f>VLOOKUP(C241,'MES orders'!$A$8:$H$127,5,FALSE)</x:f>
        <x:v>46302.666666666664</x:v>
      </x:c>
      <x:c r="O241" s="16" t="n">
        <x:f>MAX(0,(M241-N241)*24)</x:f>
        <x:v>0</x:v>
      </x:c>
      <x:c r="P241" s="9" t="str">
        <x:v>No</x:v>
      </x:c>
      <x:c r="Q241" s="15" t="n">
        <x:v>26</x:v>
      </x:c>
      <x:c r="R241" s="13" t="n">
        <x:f>J241+Q241/1440</x:f>
        <x:v>46300.743055555555</x:v>
      </x:c>
      <x:c r="S241" s="2" t="str">
        <x:f>VLOOKUP(C241,'MES orders'!$A$8:$H$127,6,FALSE)</x:f>
        <x:v>Normal</x:v>
      </x:c>
      <x:c r="T241" s="9" t="str"/>
    </x:row>
    <x:row r="242" ht="22" customHeight="1">
      <x:c r="A242" s="2" t="str">
        <x:v>L00201-020</x:v>
      </x:c>
      <x:c r="B242" s="2" t="str">
        <x:v>L00201</x:v>
      </x:c>
      <x:c r="C242" s="2" t="str">
        <x:v>SO-26041</x:v>
      </x:c>
      <x:c r="D242" s="2" t="str">
        <x:v>R-L-AL</x:v>
      </x:c>
      <x:c r="E242" s="14" t="n">
        <x:v>15</x:v>
      </x:c>
      <x:c r="F242" s="2" t="str">
        <x:v>Deburr &amp; inspect</x:v>
      </x:c>
      <x:c r="G242" s="9" t="str">
        <x:v>DB-01</x:v>
      </x:c>
      <x:c r="H242" s="15" t="n">
        <x:v>27</x:v>
      </x:c>
      <x:c r="I242" s="9" t="str">
        <x:v>P18</x:v>
      </x:c>
      <x:c r="J242" s="11" t="n">
        <x:v>46300.725</x:v>
      </x:c>
      <x:c r="K242" s="15" t="n">
        <x:v>4</x:v>
      </x:c>
      <x:c r="L242" s="15" t="n">
        <x:v>14</x:v>
      </x:c>
      <x:c r="M242" s="13" t="n">
        <x:f>J242+(K242+L242)/1440</x:f>
        <x:v>46300.737499999996</x:v>
      </x:c>
      <x:c r="N242" s="13" t="n">
        <x:f>VLOOKUP(C242,'MES orders'!$A$8:$H$127,5,FALSE)</x:f>
        <x:v>46302.666666666664</x:v>
      </x:c>
      <x:c r="O242" s="16" t="n">
        <x:f>MAX(0,(M242-N242)*24)</x:f>
        <x:v>0</x:v>
      </x:c>
      <x:c r="P242" s="9" t="str">
        <x:v>No</x:v>
      </x:c>
      <x:c r="Q242" s="15" t="n">
        <x:v>18</x:v>
      </x:c>
      <x:c r="R242" s="13" t="n">
        <x:f>J242+Q242/1440</x:f>
        <x:v>46300.737499999996</x:v>
      </x:c>
      <x:c r="S242" s="2" t="str">
        <x:f>VLOOKUP(C242,'MES orders'!$A$8:$H$127,6,FALSE)</x:f>
        <x:v>Normal</x:v>
      </x:c>
      <x:c r="T242" s="9" t="str"/>
    </x:row>
    <x:row r="243" ht="22" customHeight="1">
      <x:c r="A243" s="2" t="str">
        <x:v>L00202-020</x:v>
      </x:c>
      <x:c r="B243" s="2" t="str">
        <x:v>L00202</x:v>
      </x:c>
      <x:c r="C243" s="2" t="str">
        <x:v>SO-26041</x:v>
      </x:c>
      <x:c r="D243" s="2" t="str">
        <x:v>R-L-AL</x:v>
      </x:c>
      <x:c r="E243" s="14" t="n">
        <x:v>15</x:v>
      </x:c>
      <x:c r="F243" s="2" t="str">
        <x:v>Deburr &amp; inspect</x:v>
      </x:c>
      <x:c r="G243" s="9" t="str">
        <x:v>DB-02</x:v>
      </x:c>
      <x:c r="H243" s="15" t="n">
        <x:v>17</x:v>
      </x:c>
      <x:c r="I243" s="9" t="str">
        <x:v>P17</x:v>
      </x:c>
      <x:c r="J243" s="11" t="n">
        <x:v>46300.72708333333</x:v>
      </x:c>
      <x:c r="K243" s="15" t="n">
        <x:v>4</x:v>
      </x:c>
      <x:c r="L243" s="15" t="n">
        <x:v>14</x:v>
      </x:c>
      <x:c r="M243" s="13" t="n">
        <x:f>J243+(K243+L243)/1440</x:f>
        <x:v>46300.73958333333</x:v>
      </x:c>
      <x:c r="N243" s="13" t="n">
        <x:f>VLOOKUP(C243,'MES orders'!$A$8:$H$127,5,FALSE)</x:f>
        <x:v>46302.666666666664</x:v>
      </x:c>
      <x:c r="O243" s="16" t="n">
        <x:f>MAX(0,(M243-N243)*24)</x:f>
        <x:v>0</x:v>
      </x:c>
      <x:c r="P243" s="9" t="str">
        <x:v>No</x:v>
      </x:c>
      <x:c r="Q243" s="15" t="n">
        <x:v>18</x:v>
      </x:c>
      <x:c r="R243" s="13" t="n">
        <x:f>J243+Q243/1440</x:f>
        <x:v>46300.73958333333</x:v>
      </x:c>
      <x:c r="S243" s="2" t="str">
        <x:f>VLOOKUP(C243,'MES orders'!$A$8:$H$127,6,FALSE)</x:f>
        <x:v>Normal</x:v>
      </x:c>
      <x:c r="T243" s="9" t="str"/>
    </x:row>
    <x:row r="244" ht="22" customHeight="1">
      <x:c r="A244" s="2" t="str">
        <x:v>L00204-050</x:v>
      </x:c>
      <x:c r="B244" s="2" t="str">
        <x:v>L00204</x:v>
      </x:c>
      <x:c r="C244" s="2" t="str">
        <x:v>SO-26041</x:v>
      </x:c>
      <x:c r="D244" s="2" t="str">
        <x:v>R-L-AL</x:v>
      </x:c>
      <x:c r="E244" s="14" t="n">
        <x:v>15</x:v>
      </x:c>
      <x:c r="F244" s="2" t="str">
        <x:v>Valve adjustment</x:v>
      </x:c>
      <x:c r="G244" s="9" t="str">
        <x:v>AS-01</x:v>
      </x:c>
      <x:c r="H244" s="15" t="n">
        <x:v>19</x:v>
      </x:c>
      <x:c r="I244" s="9" t="str">
        <x:v>P20</x:v>
      </x:c>
      <x:c r="J244" s="11" t="n">
        <x:v>46300.72777777778</x:v>
      </x:c>
      <x:c r="K244" s="15" t="n">
        <x:v>6</x:v>
      </x:c>
      <x:c r="L244" s="15" t="n">
        <x:v>22</x:v>
      </x:c>
      <x:c r="M244" s="13" t="n">
        <x:f>J244+(K244+L244)/1440</x:f>
        <x:v>46300.74722222222</x:v>
      </x:c>
      <x:c r="N244" s="13" t="n">
        <x:f>VLOOKUP(C244,'MES orders'!$A$8:$H$127,5,FALSE)</x:f>
        <x:v>46302.666666666664</x:v>
      </x:c>
      <x:c r="O244" s="16" t="n">
        <x:f>MAX(0,(M244-N244)*24)</x:f>
        <x:v>0</x:v>
      </x:c>
      <x:c r="P244" s="9" t="str">
        <x:v>No</x:v>
      </x:c>
      <x:c r="Q244" s="15" t="n">
        <x:v>28</x:v>
      </x:c>
      <x:c r="R244" s="13" t="n">
        <x:f>J244+Q244/1440</x:f>
        <x:v>46300.74722222222</x:v>
      </x:c>
      <x:c r="S244" s="2" t="str">
        <x:f>VLOOKUP(C244,'MES orders'!$A$8:$H$127,6,FALSE)</x:f>
        <x:v>Normal</x:v>
      </x:c>
      <x:c r="T244" s="9" t="str"/>
    </x:row>
    <x:row r="245" ht="22" customHeight="1">
      <x:c r="A245" s="2" t="str">
        <x:v>L00245-040</x:v>
      </x:c>
      <x:c r="B245" s="2" t="str">
        <x:v>L00245</x:v>
      </x:c>
      <x:c r="C245" s="2" t="str">
        <x:v>SO-26049</x:v>
      </x:c>
      <x:c r="D245" s="2" t="str">
        <x:v>S-C-AL</x:v>
      </x:c>
      <x:c r="E245" s="14" t="n">
        <x:v>5</x:v>
      </x:c>
      <x:c r="F245" s="2" t="str">
        <x:v>Mechanical preassembly</x:v>
      </x:c>
      <x:c r="G245" s="9" t="str">
        <x:v>AS-04</x:v>
      </x:c>
      <x:c r="H245" s="15" t="n">
        <x:v>6</x:v>
      </x:c>
      <x:c r="I245" s="9" t="str">
        <x:v>P13</x:v>
      </x:c>
      <x:c r="J245" s="11" t="n">
        <x:v>46300.73333333333</x:v>
      </x:c>
      <x:c r="K245" s="15" t="n">
        <x:v>6</x:v>
      </x:c>
      <x:c r="L245" s="15" t="n">
        <x:v>4</x:v>
      </x:c>
      <x:c r="M245" s="13" t="n">
        <x:f>J245+(K245+L245)/1440</x:f>
        <x:v>46300.740277777775</x:v>
      </x:c>
      <x:c r="N245" s="13" t="n">
        <x:f>VLOOKUP(C245,'MES orders'!$A$8:$H$127,5,FALSE)</x:f>
        <x:v>46302.666666666664</x:v>
      </x:c>
      <x:c r="O245" s="16" t="n">
        <x:f>MAX(0,(M245-N245)*24)</x:f>
        <x:v>0</x:v>
      </x:c>
      <x:c r="P245" s="9" t="str">
        <x:v>No</x:v>
      </x:c>
      <x:c r="Q245" s="15" t="n">
        <x:v>10</x:v>
      </x:c>
      <x:c r="R245" s="13" t="n">
        <x:f>J245+Q245/1440</x:f>
        <x:v>46300.740277777775</x:v>
      </x:c>
      <x:c r="S245" s="2" t="str">
        <x:f>VLOOKUP(C245,'MES orders'!$A$8:$H$127,6,FALSE)</x:f>
        <x:v>Normal</x:v>
      </x:c>
      <x:c r="T245" s="9" t="str"/>
    </x:row>
    <x:row r="246" ht="22" customHeight="1">
      <x:c r="A246" s="2" t="str">
        <x:v>L00322-010</x:v>
      </x:c>
      <x:c r="B246" s="2" t="str">
        <x:v>L00322</x:v>
      </x:c>
      <x:c r="C246" s="2" t="str">
        <x:v>SO-26065</x:v>
      </x:c>
      <x:c r="D246" s="2" t="str">
        <x:v>S-L-AL</x:v>
      </x:c>
      <x:c r="E246" s="14" t="n">
        <x:v>20</x:v>
      </x:c>
      <x:c r="F246" s="2" t="str">
        <x:v>CNC machining</x:v>
      </x:c>
      <x:c r="G246" s="9" t="str">
        <x:v>CNC-04</x:v>
      </x:c>
      <x:c r="H246" s="15" t="n">
        <x:v>7</x:v>
      </x:c>
      <x:c r="I246" s="9" t="str">
        <x:v>P14</x:v>
      </x:c>
      <x:c r="J246" s="11" t="n">
        <x:v>46300.73333333333</x:v>
      </x:c>
      <x:c r="K246" s="15" t="n">
        <x:v>18</x:v>
      </x:c>
      <x:c r="L246" s="15" t="n">
        <x:v>65</x:v>
      </x:c>
      <x:c r="M246" s="13" t="n">
        <x:f>J246+(K246+L246)/1440</x:f>
        <x:v>46300.79097222222</x:v>
      </x:c>
      <x:c r="N246" s="13" t="n">
        <x:f>VLOOKUP(C246,'MES orders'!$A$8:$H$127,5,FALSE)</x:f>
        <x:v>46302.666666666664</x:v>
      </x:c>
      <x:c r="O246" s="16" t="n">
        <x:f>MAX(0,(M246-N246)*24)</x:f>
        <x:v>0</x:v>
      </x:c>
      <x:c r="P246" s="9" t="str">
        <x:v>No</x:v>
      </x:c>
      <x:c r="Q246" s="15" t="n">
        <x:v>18</x:v>
      </x:c>
      <x:c r="R246" s="13" t="n">
        <x:f>J246+Q246/1440</x:f>
        <x:v>46300.74583333333</x:v>
      </x:c>
      <x:c r="S246" s="2" t="str">
        <x:f>VLOOKUP(C246,'MES orders'!$A$8:$H$127,6,FALSE)</x:f>
        <x:v>Normal</x:v>
      </x:c>
      <x:c r="T246" s="9" t="str"/>
    </x:row>
    <x:row r="247" ht="22" customHeight="1">
      <x:c r="A247" s="2" t="str">
        <x:v>L00164-060</x:v>
      </x:c>
      <x:c r="B247" s="2" t="str">
        <x:v>L00164</x:v>
      </x:c>
      <x:c r="C247" s="2" t="str">
        <x:v>SO-26033</x:v>
      </x:c>
      <x:c r="D247" s="2" t="str">
        <x:v>R-S-AL</x:v>
      </x:c>
      <x:c r="E247" s="14" t="n">
        <x:v>10</x:v>
      </x:c>
      <x:c r="F247" s="2" t="str">
        <x:v>Final leak / function test</x:v>
      </x:c>
      <x:c r="G247" s="9" t="str">
        <x:v>QA-03</x:v>
      </x:c>
      <x:c r="H247" s="15" t="n">
        <x:v>8</x:v>
      </x:c>
      <x:c r="I247" s="9" t="str">
        <x:v>P23</x:v>
      </x:c>
      <x:c r="J247" s="11" t="n">
        <x:v>46300.73333333333</x:v>
      </x:c>
      <x:c r="K247" s="15" t="n">
        <x:v>10</x:v>
      </x:c>
      <x:c r="L247" s="15" t="n">
        <x:v>9</x:v>
      </x:c>
      <x:c r="M247" s="13" t="n">
        <x:f>J247+(K247+L247)/1440</x:f>
        <x:v>46300.746527777774</x:v>
      </x:c>
      <x:c r="N247" s="13" t="n">
        <x:f>VLOOKUP(C247,'MES orders'!$A$8:$H$127,5,FALSE)</x:f>
        <x:v>46302.666666666664</x:v>
      </x:c>
      <x:c r="O247" s="16" t="n">
        <x:f>MAX(0,(M247-N247)*24)</x:f>
        <x:v>0</x:v>
      </x:c>
      <x:c r="P247" s="9" t="str">
        <x:v>No</x:v>
      </x:c>
      <x:c r="Q247" s="15" t="n">
        <x:v>19</x:v>
      </x:c>
      <x:c r="R247" s="13" t="n">
        <x:f>J247+Q247/1440</x:f>
        <x:v>46300.746527777774</x:v>
      </x:c>
      <x:c r="S247" s="2" t="str">
        <x:f>VLOOKUP(C247,'MES orders'!$A$8:$H$127,6,FALSE)</x:f>
        <x:v>Normal</x:v>
      </x:c>
      <x:c r="T247" s="9" t="str"/>
    </x:row>
    <x:row r="248" ht="22" customHeight="1">
      <x:c r="A248" s="2" t="str">
        <x:v>L00323-010</x:v>
      </x:c>
      <x:c r="B248" s="2" t="str">
        <x:v>L00323</x:v>
      </x:c>
      <x:c r="C248" s="2" t="str">
        <x:v>SO-26065</x:v>
      </x:c>
      <x:c r="D248" s="2" t="str">
        <x:v>S-L-AL</x:v>
      </x:c>
      <x:c r="E248" s="14" t="n">
        <x:v>20</x:v>
      </x:c>
      <x:c r="F248" s="2" t="str">
        <x:v>CNC machining</x:v>
      </x:c>
      <x:c r="G248" s="9" t="str">
        <x:v>CNC-05</x:v>
      </x:c>
      <x:c r="H248" s="15" t="n">
        <x:v>6</x:v>
      </x:c>
      <x:c r="I248" s="9" t="str">
        <x:v>P15</x:v>
      </x:c>
      <x:c r="J248" s="11" t="n">
        <x:v>46300.73472222222</x:v>
      </x:c>
      <x:c r="K248" s="15" t="n">
        <x:v>18</x:v>
      </x:c>
      <x:c r="L248" s="15" t="n">
        <x:v>65</x:v>
      </x:c>
      <x:c r="M248" s="13" t="n">
        <x:f>J248+(K248+L248)/1440</x:f>
        <x:v>46300.79236111111</x:v>
      </x:c>
      <x:c r="N248" s="13" t="n">
        <x:f>VLOOKUP(C248,'MES orders'!$A$8:$H$127,5,FALSE)</x:f>
        <x:v>46302.666666666664</x:v>
      </x:c>
      <x:c r="O248" s="16" t="n">
        <x:f>MAX(0,(M248-N248)*24)</x:f>
        <x:v>0</x:v>
      </x:c>
      <x:c r="P248" s="9" t="str">
        <x:v>No</x:v>
      </x:c>
      <x:c r="Q248" s="15" t="n">
        <x:v>18</x:v>
      </x:c>
      <x:c r="R248" s="13" t="n">
        <x:f>J248+Q248/1440</x:f>
        <x:v>46300.74722222222</x:v>
      </x:c>
      <x:c r="S248" s="2" t="str">
        <x:f>VLOOKUP(C248,'MES orders'!$A$8:$H$127,6,FALSE)</x:f>
        <x:v>Normal</x:v>
      </x:c>
      <x:c r="T248" s="9" t="str"/>
    </x:row>
    <x:row r="249" ht="22" customHeight="1">
      <x:c r="A249" s="2" t="str">
        <x:v>L00243-080</x:v>
      </x:c>
      <x:c r="B249" s="2" t="str">
        <x:v>L00243</x:v>
      </x:c>
      <x:c r="C249" s="2" t="str">
        <x:v>SO-26049</x:v>
      </x:c>
      <x:c r="D249" s="2" t="str">
        <x:v>S-C-AL</x:v>
      </x:c>
      <x:c r="E249" s="14" t="n">
        <x:v>5</x:v>
      </x:c>
      <x:c r="F249" s="2" t="str">
        <x:v>Final leak / function test</x:v>
      </x:c>
      <x:c r="G249" s="9" t="str">
        <x:v>QA-02</x:v>
      </x:c>
      <x:c r="H249" s="15" t="n">
        <x:v>16</x:v>
      </x:c>
      <x:c r="I249" s="9" t="str">
        <x:v>P24</x:v>
      </x:c>
      <x:c r="J249" s="11" t="n">
        <x:v>46300.736805555556</x:v>
      </x:c>
      <x:c r="K249" s="15" t="n">
        <x:v>10</x:v>
      </x:c>
      <x:c r="L249" s="15" t="n">
        <x:v>4</x:v>
      </x:c>
      <x:c r="M249" s="13" t="n">
        <x:f>J249+(K249+L249)/1440</x:f>
        <x:v>46300.74652777778</x:v>
      </x:c>
      <x:c r="N249" s="13" t="n">
        <x:f>VLOOKUP(C249,'MES orders'!$A$8:$H$127,5,FALSE)</x:f>
        <x:v>46302.666666666664</x:v>
      </x:c>
      <x:c r="O249" s="16" t="n">
        <x:f>MAX(0,(M249-N249)*24)</x:f>
        <x:v>0</x:v>
      </x:c>
      <x:c r="P249" s="9" t="str">
        <x:v>No</x:v>
      </x:c>
      <x:c r="Q249" s="15" t="n">
        <x:v>14</x:v>
      </x:c>
      <x:c r="R249" s="13" t="n">
        <x:f>J249+Q249/1440</x:f>
        <x:v>46300.74652777778</x:v>
      </x:c>
      <x:c r="S249" s="2" t="str">
        <x:f>VLOOKUP(C249,'MES orders'!$A$8:$H$127,6,FALSE)</x:f>
        <x:v>Normal</x:v>
      </x:c>
      <x:c r="T249" s="9" t="str"/>
    </x:row>
    <x:row r="250" ht="22" customHeight="1">
      <x:c r="A250" s="2" t="str">
        <x:v>L00203-020</x:v>
      </x:c>
      <x:c r="B250" s="2" t="str">
        <x:v>L00203</x:v>
      </x:c>
      <x:c r="C250" s="2" t="str">
        <x:v>SO-26041</x:v>
      </x:c>
      <x:c r="D250" s="2" t="str">
        <x:v>R-L-AL</x:v>
      </x:c>
      <x:c r="E250" s="14" t="n">
        <x:v>15</x:v>
      </x:c>
      <x:c r="F250" s="2" t="str">
        <x:v>Deburr &amp; inspect</x:v>
      </x:c>
      <x:c r="G250" s="9" t="str">
        <x:v>DB-01</x:v>
      </x:c>
      <x:c r="H250" s="15" t="n">
        <x:v>28</x:v>
      </x:c>
      <x:c r="I250" s="9" t="str">
        <x:v>P18</x:v>
      </x:c>
      <x:c r="J250" s="11" t="n">
        <x:v>46300.7375</x:v>
      </x:c>
      <x:c r="K250" s="15" t="n">
        <x:v>4</x:v>
      </x:c>
      <x:c r="L250" s="15" t="n">
        <x:v>14</x:v>
      </x:c>
      <x:c r="M250" s="13" t="n">
        <x:f>J250+(K250+L250)/1440</x:f>
        <x:v>46300.75</x:v>
      </x:c>
      <x:c r="N250" s="13" t="n">
        <x:f>VLOOKUP(C250,'MES orders'!$A$8:$H$127,5,FALSE)</x:f>
        <x:v>46302.666666666664</x:v>
      </x:c>
      <x:c r="O250" s="16" t="n">
        <x:f>MAX(0,(M250-N250)*24)</x:f>
        <x:v>0</x:v>
      </x:c>
      <x:c r="P250" s="9" t="str">
        <x:v>No</x:v>
      </x:c>
      <x:c r="Q250" s="15" t="n">
        <x:v>18</x:v>
      </x:c>
      <x:c r="R250" s="13" t="n">
        <x:f>J250+Q250/1440</x:f>
        <x:v>46300.75</x:v>
      </x:c>
      <x:c r="S250" s="2" t="str">
        <x:f>VLOOKUP(C250,'MES orders'!$A$8:$H$127,6,FALSE)</x:f>
        <x:v>Normal</x:v>
      </x:c>
      <x:c r="T250" s="9" t="str"/>
    </x:row>
    <x:row r="251" ht="22" customHeight="1">
      <x:c r="A251" s="2" t="str">
        <x:v>L00241-040</x:v>
      </x:c>
      <x:c r="B251" s="2" t="str">
        <x:v>L00241</x:v>
      </x:c>
      <x:c r="C251" s="2" t="str">
        <x:v>SO-26049</x:v>
      </x:c>
      <x:c r="D251" s="2" t="str">
        <x:v>S-C-AL</x:v>
      </x:c>
      <x:c r="E251" s="14" t="n">
        <x:v>5</x:v>
      </x:c>
      <x:c r="F251" s="2" t="str">
        <x:v>Mechanical preassembly</x:v>
      </x:c>
      <x:c r="G251" s="9" t="str">
        <x:v>AS-03</x:v>
      </x:c>
      <x:c r="H251" s="15" t="n">
        <x:v>11</x:v>
      </x:c>
      <x:c r="I251" s="9" t="str">
        <x:v>P17</x:v>
      </x:c>
      <x:c r="J251" s="11" t="n">
        <x:v>46300.739583333336</x:v>
      </x:c>
      <x:c r="K251" s="15" t="n">
        <x:v>6</x:v>
      </x:c>
      <x:c r="L251" s="15" t="n">
        <x:v>4</x:v>
      </x:c>
      <x:c r="M251" s="13" t="n">
        <x:f>J251+(K251+L251)/1440</x:f>
        <x:v>46300.74652777778</x:v>
      </x:c>
      <x:c r="N251" s="13" t="n">
        <x:f>VLOOKUP(C251,'MES orders'!$A$8:$H$127,5,FALSE)</x:f>
        <x:v>46302.666666666664</x:v>
      </x:c>
      <x:c r="O251" s="16" t="n">
        <x:f>MAX(0,(M251-N251)*24)</x:f>
        <x:v>0</x:v>
      </x:c>
      <x:c r="P251" s="9" t="str">
        <x:v>No</x:v>
      </x:c>
      <x:c r="Q251" s="15" t="n">
        <x:v>10</x:v>
      </x:c>
      <x:c r="R251" s="13" t="n">
        <x:f>J251+Q251/1440</x:f>
        <x:v>46300.74652777778</x:v>
      </x:c>
      <x:c r="S251" s="2" t="str">
        <x:f>VLOOKUP(C251,'MES orders'!$A$8:$H$127,6,FALSE)</x:f>
        <x:v>Normal</x:v>
      </x:c>
      <x:c r="T251" s="9" t="str"/>
    </x:row>
    <x:row r="252" ht="22" customHeight="1">
      <x:c r="A252" s="2" t="str">
        <x:v>L00245-050</x:v>
      </x:c>
      <x:c r="B252" s="2" t="str">
        <x:v>L00245</x:v>
      </x:c>
      <x:c r="C252" s="2" t="str">
        <x:v>SO-26049</x:v>
      </x:c>
      <x:c r="D252" s="2" t="str">
        <x:v>S-C-AL</x:v>
      </x:c>
      <x:c r="E252" s="14" t="n">
        <x:v>5</x:v>
      </x:c>
      <x:c r="F252" s="2" t="str">
        <x:v>Sensor installation</x:v>
      </x:c>
      <x:c r="G252" s="9" t="str">
        <x:v>EL-01</x:v>
      </x:c>
      <x:c r="H252" s="15" t="n">
        <x:v>7</x:v>
      </x:c>
      <x:c r="I252" s="9" t="str">
        <x:v>P19</x:v>
      </x:c>
      <x:c r="J252" s="11" t="n">
        <x:v>46300.740277777775</x:v>
      </x:c>
      <x:c r="K252" s="15" t="n">
        <x:v>8</x:v>
      </x:c>
      <x:c r="L252" s="15" t="n">
        <x:v>5</x:v>
      </x:c>
      <x:c r="M252" s="13" t="n">
        <x:f>J252+(K252+L252)/1440</x:f>
        <x:v>46300.74930555555</x:v>
      </x:c>
      <x:c r="N252" s="13" t="n">
        <x:f>VLOOKUP(C252,'MES orders'!$A$8:$H$127,5,FALSE)</x:f>
        <x:v>46302.666666666664</x:v>
      </x:c>
      <x:c r="O252" s="16" t="n">
        <x:f>MAX(0,(M252-N252)*24)</x:f>
        <x:v>0</x:v>
      </x:c>
      <x:c r="P252" s="9" t="str">
        <x:v>No</x:v>
      </x:c>
      <x:c r="Q252" s="15" t="n">
        <x:v>13</x:v>
      </x:c>
      <x:c r="R252" s="13" t="n">
        <x:f>J252+Q252/1440</x:f>
        <x:v>46300.74930555555</x:v>
      </x:c>
      <x:c r="S252" s="2" t="str">
        <x:f>VLOOKUP(C252,'MES orders'!$A$8:$H$127,6,FALSE)</x:f>
        <x:v>Normal</x:v>
      </x:c>
      <x:c r="T252" s="9" t="str"/>
    </x:row>
    <x:row r="253" ht="22" customHeight="1">
      <x:c r="A253" s="2" t="str">
        <x:v>L00242-040</x:v>
      </x:c>
      <x:c r="B253" s="2" t="str">
        <x:v>L00242</x:v>
      </x:c>
      <x:c r="C253" s="2" t="str">
        <x:v>SO-26049</x:v>
      </x:c>
      <x:c r="D253" s="2" t="str">
        <x:v>S-C-AL</x:v>
      </x:c>
      <x:c r="E253" s="14" t="n">
        <x:v>5</x:v>
      </x:c>
      <x:c r="F253" s="2" t="str">
        <x:v>Mechanical preassembly</x:v>
      </x:c>
      <x:c r="G253" s="9" t="str">
        <x:v>AS-02</x:v>
      </x:c>
      <x:c r="H253" s="15" t="n">
        <x:v>17</x:v>
      </x:c>
      <x:c r="I253" s="9" t="str">
        <x:v>P16</x:v>
      </x:c>
      <x:c r="J253" s="11" t="n">
        <x:v>46300.743055555555</x:v>
      </x:c>
      <x:c r="K253" s="15" t="n">
        <x:v>6</x:v>
      </x:c>
      <x:c r="L253" s="15" t="n">
        <x:v>4</x:v>
      </x:c>
      <x:c r="M253" s="13" t="n">
        <x:f>J253+(K253+L253)/1440</x:f>
        <x:v>46300.75</x:v>
      </x:c>
      <x:c r="N253" s="13" t="n">
        <x:f>VLOOKUP(C253,'MES orders'!$A$8:$H$127,5,FALSE)</x:f>
        <x:v>46302.666666666664</x:v>
      </x:c>
      <x:c r="O253" s="16" t="n">
        <x:f>MAX(0,(M253-N253)*24)</x:f>
        <x:v>0</x:v>
      </x:c>
      <x:c r="P253" s="9" t="str">
        <x:v>No</x:v>
      </x:c>
      <x:c r="Q253" s="15" t="n">
        <x:v>10</x:v>
      </x:c>
      <x:c r="R253" s="13" t="n">
        <x:f>J253+Q253/1440</x:f>
        <x:v>46300.75</x:v>
      </x:c>
      <x:c r="S253" s="2" t="str">
        <x:f>VLOOKUP(C253,'MES orders'!$A$8:$H$127,6,FALSE)</x:f>
        <x:v>Normal</x:v>
      </x:c>
      <x:c r="T253" s="9" t="str"/>
    </x:row>
    <x:row r="254" ht="22" customHeight="1">
      <x:c r="A254" s="2" t="str">
        <x:v>L00165-050</x:v>
      </x:c>
      <x:c r="B254" s="2" t="str">
        <x:v>L00165</x:v>
      </x:c>
      <x:c r="C254" s="2" t="str">
        <x:v>SO-26033</x:v>
      </x:c>
      <x:c r="D254" s="2" t="str">
        <x:v>R-S-AL</x:v>
      </x:c>
      <x:c r="E254" s="14" t="n">
        <x:v>10</x:v>
      </x:c>
      <x:c r="F254" s="2" t="str">
        <x:v>Valve adjustment</x:v>
      </x:c>
      <x:c r="G254" s="9" t="str">
        <x:v>AS-01</x:v>
      </x:c>
      <x:c r="H254" s="15" t="n">
        <x:v>20</x:v>
      </x:c>
      <x:c r="I254" s="9" t="str">
        <x:v>P17</x:v>
      </x:c>
      <x:c r="J254" s="11" t="n">
        <x:v>46300.770833333336</x:v>
      </x:c>
      <x:c r="K254" s="15" t="n">
        <x:v>6</x:v>
      </x:c>
      <x:c r="L254" s="15" t="n">
        <x:v>11</x:v>
      </x:c>
      <x:c r="M254" s="13" t="n">
        <x:f>J254+(K254+L254)/1440</x:f>
        <x:v>46300.78263888889</x:v>
      </x:c>
      <x:c r="N254" s="13" t="n">
        <x:f>VLOOKUP(C254,'MES orders'!$A$8:$H$127,5,FALSE)</x:f>
        <x:v>46302.666666666664</x:v>
      </x:c>
      <x:c r="O254" s="16" t="n">
        <x:f>MAX(0,(M254-N254)*24)</x:f>
        <x:v>0</x:v>
      </x:c>
      <x:c r="P254" s="9" t="str">
        <x:v>No</x:v>
      </x:c>
      <x:c r="Q254" s="15" t="n">
        <x:v>17</x:v>
      </x:c>
      <x:c r="R254" s="13" t="n">
        <x:f>J254+Q254/1440</x:f>
        <x:v>46300.78263888889</x:v>
      </x:c>
      <x:c r="S254" s="2" t="str">
        <x:f>VLOOKUP(C254,'MES orders'!$A$8:$H$127,6,FALSE)</x:f>
        <x:v>Normal</x:v>
      </x:c>
      <x:c r="T254" s="9" t="str"/>
    </x:row>
    <x:row r="255" ht="22" customHeight="1">
      <x:c r="A255" s="2" t="str">
        <x:v>L00361-010</x:v>
      </x:c>
      <x:c r="B255" s="2" t="str">
        <x:v>L00361</x:v>
      </x:c>
      <x:c r="C255" s="2" t="str">
        <x:v>SO-26073</x:v>
      </x:c>
      <x:c r="D255" s="2" t="str">
        <x:v>D-C-AL</x:v>
      </x:c>
      <x:c r="E255" s="14" t="n">
        <x:v>25</x:v>
      </x:c>
      <x:c r="F255" s="2" t="str">
        <x:v>CNC machining</x:v>
      </x:c>
      <x:c r="G255" s="9" t="str">
        <x:v>CNC-01</x:v>
      </x:c>
      <x:c r="H255" s="15" t="n">
        <x:v>14</x:v>
      </x:c>
      <x:c r="I255" s="9" t="str">
        <x:v>P15</x:v>
      </x:c>
      <x:c r="J255" s="11" t="n">
        <x:v>46300.770833333336</x:v>
      </x:c>
      <x:c r="K255" s="15" t="n">
        <x:v>18</x:v>
      </x:c>
      <x:c r="L255" s="15" t="n">
        <x:v>48</x:v>
      </x:c>
      <x:c r="M255" s="13" t="n">
        <x:f>J255+(K255+L255)/1440</x:f>
        <x:v>46300.816666666666</x:v>
      </x:c>
      <x:c r="N255" s="13" t="n">
        <x:f>VLOOKUP(C255,'MES orders'!$A$8:$H$127,5,FALSE)</x:f>
        <x:v>46302.666666666664</x:v>
      </x:c>
      <x:c r="O255" s="16" t="n">
        <x:f>MAX(0,(M255-N255)*24)</x:f>
        <x:v>0</x:v>
      </x:c>
      <x:c r="P255" s="9" t="str">
        <x:v>No</x:v>
      </x:c>
      <x:c r="Q255" s="15" t="n">
        <x:v>18</x:v>
      </x:c>
      <x:c r="R255" s="13" t="n">
        <x:f>J255+Q255/1440</x:f>
        <x:v>46300.78333333333</x:v>
      </x:c>
      <x:c r="S255" s="2" t="str">
        <x:f>VLOOKUP(C255,'MES orders'!$A$8:$H$127,6,FALSE)</x:f>
        <x:v>Normal</x:v>
      </x:c>
      <x:c r="T255" s="9" t="str"/>
    </x:row>
    <x:row r="256" ht="22" customHeight="1">
      <x:c r="A256" s="2" t="str">
        <x:v>L00324-010</x:v>
      </x:c>
      <x:c r="B256" s="2" t="str">
        <x:v>L00324</x:v>
      </x:c>
      <x:c r="C256" s="2" t="str">
        <x:v>SO-26065</x:v>
      </x:c>
      <x:c r="D256" s="2" t="str">
        <x:v>S-L-AL</x:v>
      </x:c>
      <x:c r="E256" s="14" t="n">
        <x:v>20</x:v>
      </x:c>
      <x:c r="F256" s="2" t="str">
        <x:v>CNC machining</x:v>
      </x:c>
      <x:c r="G256" s="9" t="str">
        <x:v>CNC-06</x:v>
      </x:c>
      <x:c r="H256" s="15" t="n">
        <x:v>5</x:v>
      </x:c>
      <x:c r="I256" s="9" t="str">
        <x:v>P13</x:v>
      </x:c>
      <x:c r="J256" s="11" t="n">
        <x:v>46300.770833333336</x:v>
      </x:c>
      <x:c r="K256" s="15" t="n">
        <x:v>18</x:v>
      </x:c>
      <x:c r="L256" s="15" t="n">
        <x:v>65</x:v>
      </x:c>
      <x:c r="M256" s="13" t="n">
        <x:f>J256+(K256+L256)/1440</x:f>
        <x:v>46300.82847222222</x:v>
      </x:c>
      <x:c r="N256" s="13" t="n">
        <x:f>VLOOKUP(C256,'MES orders'!$A$8:$H$127,5,FALSE)</x:f>
        <x:v>46302.666666666664</x:v>
      </x:c>
      <x:c r="O256" s="16" t="n">
        <x:f>MAX(0,(M256-N256)*24)</x:f>
        <x:v>0</x:v>
      </x:c>
      <x:c r="P256" s="9" t="str">
        <x:v>No</x:v>
      </x:c>
      <x:c r="Q256" s="15" t="n">
        <x:v>18</x:v>
      </x:c>
      <x:c r="R256" s="13" t="n">
        <x:f>J256+Q256/1440</x:f>
        <x:v>46300.78333333333</x:v>
      </x:c>
      <x:c r="S256" s="2" t="str">
        <x:f>VLOOKUP(C256,'MES orders'!$A$8:$H$127,6,FALSE)</x:f>
        <x:v>Normal</x:v>
      </x:c>
      <x:c r="T256" s="9" t="str"/>
    </x:row>
    <x:row r="257" ht="22" customHeight="1">
      <x:c r="A257" s="2" t="str">
        <x:v>L00241-050</x:v>
      </x:c>
      <x:c r="B257" s="2" t="str">
        <x:v>L00241</x:v>
      </x:c>
      <x:c r="C257" s="2" t="str">
        <x:v>SO-26049</x:v>
      </x:c>
      <x:c r="D257" s="2" t="str">
        <x:v>S-C-AL</x:v>
      </x:c>
      <x:c r="E257" s="14" t="n">
        <x:v>5</x:v>
      </x:c>
      <x:c r="F257" s="2" t="str">
        <x:v>Sensor installation</x:v>
      </x:c>
      <x:c r="G257" s="9" t="str">
        <x:v>EL-01</x:v>
      </x:c>
      <x:c r="H257" s="15" t="n">
        <x:v>8</x:v>
      </x:c>
      <x:c r="I257" s="9" t="str">
        <x:v>P19</x:v>
      </x:c>
      <x:c r="J257" s="11" t="n">
        <x:v>46300.770833333336</x:v>
      </x:c>
      <x:c r="K257" s="15" t="n">
        <x:v>8</x:v>
      </x:c>
      <x:c r="L257" s="15" t="n">
        <x:v>5</x:v>
      </x:c>
      <x:c r="M257" s="13" t="n">
        <x:f>J257+(K257+L257)/1440</x:f>
        <x:v>46300.779861111114</x:v>
      </x:c>
      <x:c r="N257" s="13" t="n">
        <x:f>VLOOKUP(C257,'MES orders'!$A$8:$H$127,5,FALSE)</x:f>
        <x:v>46302.666666666664</x:v>
      </x:c>
      <x:c r="O257" s="16" t="n">
        <x:f>MAX(0,(M257-N257)*24)</x:f>
        <x:v>0</x:v>
      </x:c>
      <x:c r="P257" s="9" t="str">
        <x:v>No</x:v>
      </x:c>
      <x:c r="Q257" s="15" t="n">
        <x:v>13</x:v>
      </x:c>
      <x:c r="R257" s="13" t="n">
        <x:f>J257+Q257/1440</x:f>
        <x:v>46300.779861111114</x:v>
      </x:c>
      <x:c r="S257" s="2" t="str">
        <x:f>VLOOKUP(C257,'MES orders'!$A$8:$H$127,6,FALSE)</x:f>
        <x:v>Normal</x:v>
      </x:c>
      <x:c r="T257" s="9" t="str"/>
    </x:row>
    <x:row r="258" ht="22" customHeight="1">
      <x:c r="A258" s="2" t="str">
        <x:v>L00242-050</x:v>
      </x:c>
      <x:c r="B258" s="2" t="str">
        <x:v>L00242</x:v>
      </x:c>
      <x:c r="C258" s="2" t="str">
        <x:v>SO-26049</x:v>
      </x:c>
      <x:c r="D258" s="2" t="str">
        <x:v>S-C-AL</x:v>
      </x:c>
      <x:c r="E258" s="14" t="n">
        <x:v>5</x:v>
      </x:c>
      <x:c r="F258" s="2" t="str">
        <x:v>Sensor installation</x:v>
      </x:c>
      <x:c r="G258" s="9" t="str">
        <x:v>EL-02</x:v>
      </x:c>
      <x:c r="H258" s="15" t="n">
        <x:v>2</x:v>
      </x:c>
      <x:c r="I258" s="9" t="str">
        <x:v>P20</x:v>
      </x:c>
      <x:c r="J258" s="11" t="n">
        <x:v>46300.770833333336</x:v>
      </x:c>
      <x:c r="K258" s="15" t="n">
        <x:v>8</x:v>
      </x:c>
      <x:c r="L258" s="15" t="n">
        <x:v>5</x:v>
      </x:c>
      <x:c r="M258" s="13" t="n">
        <x:f>J258+(K258+L258)/1440</x:f>
        <x:v>46300.779861111114</x:v>
      </x:c>
      <x:c r="N258" s="13" t="n">
        <x:f>VLOOKUP(C258,'MES orders'!$A$8:$H$127,5,FALSE)</x:f>
        <x:v>46302.666666666664</x:v>
      </x:c>
      <x:c r="O258" s="16" t="n">
        <x:f>MAX(0,(M258-N258)*24)</x:f>
        <x:v>0</x:v>
      </x:c>
      <x:c r="P258" s="9" t="str">
        <x:v>No</x:v>
      </x:c>
      <x:c r="Q258" s="15" t="n">
        <x:v>13</x:v>
      </x:c>
      <x:c r="R258" s="13" t="n">
        <x:f>J258+Q258/1440</x:f>
        <x:v>46300.779861111114</x:v>
      </x:c>
      <x:c r="S258" s="2" t="str">
        <x:f>VLOOKUP(C258,'MES orders'!$A$8:$H$127,6,FALSE)</x:f>
        <x:v>Normal</x:v>
      </x:c>
      <x:c r="T258" s="9" t="str"/>
    </x:row>
    <x:row r="259" ht="22" customHeight="1">
      <x:c r="A259" s="2" t="str">
        <x:v>L00204-060</x:v>
      </x:c>
      <x:c r="B259" s="2" t="str">
        <x:v>L00204</x:v>
      </x:c>
      <x:c r="C259" s="2" t="str">
        <x:v>SO-26041</x:v>
      </x:c>
      <x:c r="D259" s="2" t="str">
        <x:v>R-L-AL</x:v>
      </x:c>
      <x:c r="E259" s="14" t="n">
        <x:v>15</x:v>
      </x:c>
      <x:c r="F259" s="2" t="str">
        <x:v>Final leak / function test</x:v>
      </x:c>
      <x:c r="G259" s="9" t="str">
        <x:v>QA-03</x:v>
      </x:c>
      <x:c r="H259" s="15" t="n">
        <x:v>9</x:v>
      </x:c>
      <x:c r="I259" s="9" t="str">
        <x:v>P24</x:v>
      </x:c>
      <x:c r="J259" s="11" t="n">
        <x:v>46300.770833333336</x:v>
      </x:c>
      <x:c r="K259" s="15" t="n">
        <x:v>10</x:v>
      </x:c>
      <x:c r="L259" s="15" t="n">
        <x:v>18</x:v>
      </x:c>
      <x:c r="M259" s="13" t="n">
        <x:f>J259+(K259+L259)/1440</x:f>
        <x:v>46300.79027777778</x:v>
      </x:c>
      <x:c r="N259" s="13" t="n">
        <x:f>VLOOKUP(C259,'MES orders'!$A$8:$H$127,5,FALSE)</x:f>
        <x:v>46302.666666666664</x:v>
      </x:c>
      <x:c r="O259" s="16" t="n">
        <x:f>MAX(0,(M259-N259)*24)</x:f>
        <x:v>0</x:v>
      </x:c>
      <x:c r="P259" s="9" t="str">
        <x:v>No</x:v>
      </x:c>
      <x:c r="Q259" s="15" t="n">
        <x:v>28</x:v>
      </x:c>
      <x:c r="R259" s="13" t="n">
        <x:f>J259+Q259/1440</x:f>
        <x:v>46300.79027777778</x:v>
      </x:c>
      <x:c r="S259" s="2" t="str">
        <x:f>VLOOKUP(C259,'MES orders'!$A$8:$H$127,6,FALSE)</x:f>
        <x:v>Normal</x:v>
      </x:c>
      <x:c r="T259" s="9" t="str"/>
    </x:row>
    <x:row r="260" ht="22" customHeight="1">
      <x:c r="A260" s="2" t="str">
        <x:v>L00201-030</x:v>
      </x:c>
      <x:c r="B260" s="2" t="str">
        <x:v>L00201</x:v>
      </x:c>
      <x:c r="C260" s="2" t="str">
        <x:v>SO-26041</x:v>
      </x:c>
      <x:c r="D260" s="2" t="str">
        <x:v>R-L-AL</x:v>
      </x:c>
      <x:c r="E260" s="14" t="n">
        <x:v>15</x:v>
      </x:c>
      <x:c r="F260" s="2" t="str">
        <x:v>Wash &amp; dry</x:v>
      </x:c>
      <x:c r="G260" s="9" t="str">
        <x:v>WS-01</x:v>
      </x:c>
      <x:c r="H260" s="15" t="n">
        <x:v>25</x:v>
      </x:c>
      <x:c r="I260" s="9" t="str">
        <x:v>P16</x:v>
      </x:c>
      <x:c r="J260" s="11" t="n">
        <x:v>46300.770833333336</x:v>
      </x:c>
      <x:c r="K260" s="15" t="n">
        <x:v>12</x:v>
      </x:c>
      <x:c r="L260" s="15" t="n">
        <x:v>7</x:v>
      </x:c>
      <x:c r="M260" s="13" t="n">
        <x:f>J260+(K260+L260)/1440</x:f>
        <x:v>46300.78402777778</x:v>
      </x:c>
      <x:c r="N260" s="13" t="n">
        <x:f>VLOOKUP(C260,'MES orders'!$A$8:$H$127,5,FALSE)</x:f>
        <x:v>46302.666666666664</x:v>
      </x:c>
      <x:c r="O260" s="16" t="n">
        <x:f>MAX(0,(M260-N260)*24)</x:f>
        <x:v>0</x:v>
      </x:c>
      <x:c r="P260" s="9" t="str">
        <x:v>No</x:v>
      </x:c>
      <x:c r="Q260" s="15" t="n">
        <x:v>19</x:v>
      </x:c>
      <x:c r="R260" s="13" t="n">
        <x:f>J260+Q260/1440</x:f>
        <x:v>46300.78402777778</x:v>
      </x:c>
      <x:c r="S260" s="2" t="str">
        <x:f>VLOOKUP(C260,'MES orders'!$A$8:$H$127,6,FALSE)</x:f>
        <x:v>Normal</x:v>
      </x:c>
      <x:c r="T260" s="9" t="str"/>
    </x:row>
    <x:row r="261" ht="22" customHeight="1">
      <x:c r="A261" s="2" t="str">
        <x:v>L00202-030</x:v>
      </x:c>
      <x:c r="B261" s="2" t="str">
        <x:v>L00202</x:v>
      </x:c>
      <x:c r="C261" s="2" t="str">
        <x:v>SO-26041</x:v>
      </x:c>
      <x:c r="D261" s="2" t="str">
        <x:v>R-L-AL</x:v>
      </x:c>
      <x:c r="E261" s="14" t="n">
        <x:v>15</x:v>
      </x:c>
      <x:c r="F261" s="2" t="str">
        <x:v>Wash &amp; dry</x:v>
      </x:c>
      <x:c r="G261" s="9" t="str">
        <x:v>WS-02</x:v>
      </x:c>
      <x:c r="H261" s="15" t="n">
        <x:v>18</x:v>
      </x:c>
      <x:c r="I261" s="9" t="str">
        <x:v>P18</x:v>
      </x:c>
      <x:c r="J261" s="11" t="n">
        <x:v>46300.770833333336</x:v>
      </x:c>
      <x:c r="K261" s="15" t="n">
        <x:v>12</x:v>
      </x:c>
      <x:c r="L261" s="15" t="n">
        <x:v>7</x:v>
      </x:c>
      <x:c r="M261" s="13" t="n">
        <x:f>J261+(K261+L261)/1440</x:f>
        <x:v>46300.78402777778</x:v>
      </x:c>
      <x:c r="N261" s="13" t="n">
        <x:f>VLOOKUP(C261,'MES orders'!$A$8:$H$127,5,FALSE)</x:f>
        <x:v>46302.666666666664</x:v>
      </x:c>
      <x:c r="O261" s="16" t="n">
        <x:f>MAX(0,(M261-N261)*24)</x:f>
        <x:v>0</x:v>
      </x:c>
      <x:c r="P261" s="9" t="str">
        <x:v>No</x:v>
      </x:c>
      <x:c r="Q261" s="15" t="n">
        <x:v>19</x:v>
      </x:c>
      <x:c r="R261" s="13" t="n">
        <x:f>J261+Q261/1440</x:f>
        <x:v>46300.78402777778</x:v>
      </x:c>
      <x:c r="S261" s="2" t="str">
        <x:f>VLOOKUP(C261,'MES orders'!$A$8:$H$127,6,FALSE)</x:f>
        <x:v>Normal</x:v>
      </x:c>
      <x:c r="T261" s="9" t="str"/>
    </x:row>
    <x:row r="262" ht="22" customHeight="1">
      <x:c r="A262" s="2" t="str">
        <x:v>L00244-070</x:v>
      </x:c>
      <x:c r="B262" s="2" t="str">
        <x:v>L00244</x:v>
      </x:c>
      <x:c r="C262" s="2" t="str">
        <x:v>SO-26049</x:v>
      </x:c>
      <x:c r="D262" s="2" t="str">
        <x:v>S-C-AL</x:v>
      </x:c>
      <x:c r="E262" s="14" t="n">
        <x:v>5</x:v>
      </x:c>
      <x:c r="F262" s="2" t="str">
        <x:v>Final assembly</x:v>
      </x:c>
      <x:c r="G262" s="9" t="str">
        <x:v>AS-03</x:v>
      </x:c>
      <x:c r="H262" s="15" t="n">
        <x:v>12</x:v>
      </x:c>
      <x:c r="I262" s="9" t="str">
        <x:v>P20</x:v>
      </x:c>
      <x:c r="J262" s="11" t="n">
        <x:v>46300.779861111114</x:v>
      </x:c>
      <x:c r="K262" s="15" t="n">
        <x:v>5</x:v>
      </x:c>
      <x:c r="L262" s="15" t="n">
        <x:v>3</x:v>
      </x:c>
      <x:c r="M262" s="13" t="n">
        <x:f>J262+(K262+L262)/1440</x:f>
        <x:v>46300.78541666667</x:v>
      </x:c>
      <x:c r="N262" s="13" t="n">
        <x:f>VLOOKUP(C262,'MES orders'!$A$8:$H$127,5,FALSE)</x:f>
        <x:v>46302.666666666664</x:v>
      </x:c>
      <x:c r="O262" s="16" t="n">
        <x:f>MAX(0,(M262-N262)*24)</x:f>
        <x:v>0</x:v>
      </x:c>
      <x:c r="P262" s="9" t="str">
        <x:v>No</x:v>
      </x:c>
      <x:c r="Q262" s="15" t="n">
        <x:v>8</x:v>
      </x:c>
      <x:c r="R262" s="13" t="n">
        <x:f>J262+Q262/1440</x:f>
        <x:v>46300.78541666667</x:v>
      </x:c>
      <x:c r="S262" s="2" t="str">
        <x:f>VLOOKUP(C262,'MES orders'!$A$8:$H$127,6,FALSE)</x:f>
        <x:v>Normal</x:v>
      </x:c>
      <x:c r="T262" s="9" t="str"/>
    </x:row>
    <x:row r="263" ht="22" customHeight="1">
      <x:c r="A263" s="2" t="str">
        <x:v>L00241-060</x:v>
      </x:c>
      <x:c r="B263" s="2" t="str">
        <x:v>L00241</x:v>
      </x:c>
      <x:c r="C263" s="2" t="str">
        <x:v>SO-26049</x:v>
      </x:c>
      <x:c r="D263" s="2" t="str">
        <x:v>S-C-AL</x:v>
      </x:c>
      <x:c r="E263" s="14" t="n">
        <x:v>5</x:v>
      </x:c>
      <x:c r="F263" s="2" t="str">
        <x:v>Sensor calibration</x:v>
      </x:c>
      <x:c r="G263" s="9" t="str">
        <x:v>CAL-01</x:v>
      </x:c>
      <x:c r="H263" s="15" t="n">
        <x:v>8</x:v>
      </x:c>
      <x:c r="I263" s="9" t="str">
        <x:v>P21</x:v>
      </x:c>
      <x:c r="J263" s="11" t="n">
        <x:v>46300.779861111114</x:v>
      </x:c>
      <x:c r="K263" s="15" t="n">
        <x:v>10</x:v>
      </x:c>
      <x:c r="L263" s="15" t="n">
        <x:v>5</x:v>
      </x:c>
      <x:c r="M263" s="13" t="n">
        <x:f>J263+(K263+L263)/1440</x:f>
        <x:v>46300.79027777778</x:v>
      </x:c>
      <x:c r="N263" s="13" t="n">
        <x:f>VLOOKUP(C263,'MES orders'!$A$8:$H$127,5,FALSE)</x:f>
        <x:v>46302.666666666664</x:v>
      </x:c>
      <x:c r="O263" s="16" t="n">
        <x:f>MAX(0,(M263-N263)*24)</x:f>
        <x:v>0</x:v>
      </x:c>
      <x:c r="P263" s="9" t="str">
        <x:v>No</x:v>
      </x:c>
      <x:c r="Q263" s="15" t="n">
        <x:v>15</x:v>
      </x:c>
      <x:c r="R263" s="13" t="n">
        <x:f>J263+Q263/1440</x:f>
        <x:v>46300.79027777778</x:v>
      </x:c>
      <x:c r="S263" s="2" t="str">
        <x:f>VLOOKUP(C263,'MES orders'!$A$8:$H$127,6,FALSE)</x:f>
        <x:v>Normal</x:v>
      </x:c>
      <x:c r="T263" s="9" t="str"/>
    </x:row>
    <x:row r="264" ht="22" customHeight="1">
      <x:c r="A264" s="2" t="str">
        <x:v>L00325-010</x:v>
      </x:c>
      <x:c r="B264" s="2" t="str">
        <x:v>L00325</x:v>
      </x:c>
      <x:c r="C264" s="2" t="str">
        <x:v>SO-26065</x:v>
      </x:c>
      <x:c r="D264" s="2" t="str">
        <x:v>S-L-AL</x:v>
      </x:c>
      <x:c r="E264" s="14" t="n">
        <x:v>20</x:v>
      </x:c>
      <x:c r="F264" s="2" t="str">
        <x:v>CNC machining</x:v>
      </x:c>
      <x:c r="G264" s="9" t="str">
        <x:v>CNC-03</x:v>
      </x:c>
      <x:c r="H264" s="15" t="n">
        <x:v>9</x:v>
      </x:c>
      <x:c r="I264" s="9" t="str">
        <x:v>P14</x:v>
      </x:c>
      <x:c r="J264" s="11" t="n">
        <x:v>46300.779861111114</x:v>
      </x:c>
      <x:c r="K264" s="15" t="n">
        <x:v>18</x:v>
      </x:c>
      <x:c r="L264" s="15" t="n">
        <x:v>65</x:v>
      </x:c>
      <x:c r="M264" s="13" t="n">
        <x:f>J264+(K264+L264)/1440</x:f>
        <x:v>46300.8375</x:v>
      </x:c>
      <x:c r="N264" s="13" t="n">
        <x:f>VLOOKUP(C264,'MES orders'!$A$8:$H$127,5,FALSE)</x:f>
        <x:v>46302.666666666664</x:v>
      </x:c>
      <x:c r="O264" s="16" t="n">
        <x:f>MAX(0,(M264-N264)*24)</x:f>
        <x:v>0</x:v>
      </x:c>
      <x:c r="P264" s="9" t="str">
        <x:v>No</x:v>
      </x:c>
      <x:c r="Q264" s="15" t="n">
        <x:v>18</x:v>
      </x:c>
      <x:c r="R264" s="13" t="n">
        <x:f>J264+Q264/1440</x:f>
        <x:v>46300.79236111111</x:v>
      </x:c>
      <x:c r="S264" s="2" t="str">
        <x:f>VLOOKUP(C264,'MES orders'!$A$8:$H$127,6,FALSE)</x:f>
        <x:v>Normal</x:v>
      </x:c>
      <x:c r="T264" s="9" t="str"/>
    </x:row>
    <x:row r="265" ht="22" customHeight="1">
      <x:c r="A265" s="2" t="str">
        <x:v>L00165-060</x:v>
      </x:c>
      <x:c r="B265" s="2" t="str">
        <x:v>L00165</x:v>
      </x:c>
      <x:c r="C265" s="2" t="str">
        <x:v>SO-26033</x:v>
      </x:c>
      <x:c r="D265" s="2" t="str">
        <x:v>R-S-AL</x:v>
      </x:c>
      <x:c r="E265" s="14" t="n">
        <x:v>10</x:v>
      </x:c>
      <x:c r="F265" s="2" t="str">
        <x:v>Final leak / function test</x:v>
      </x:c>
      <x:c r="G265" s="9" t="str">
        <x:v>QA-02</x:v>
      </x:c>
      <x:c r="H265" s="15" t="n">
        <x:v>17</x:v>
      </x:c>
      <x:c r="I265" s="9" t="str">
        <x:v>P23</x:v>
      </x:c>
      <x:c r="J265" s="11" t="n">
        <x:v>46300.782638888886</x:v>
      </x:c>
      <x:c r="K265" s="15" t="n">
        <x:v>10</x:v>
      </x:c>
      <x:c r="L265" s="15" t="n">
        <x:v>9</x:v>
      </x:c>
      <x:c r="M265" s="13" t="n">
        <x:f>J265+(K265+L265)/1440</x:f>
        <x:v>46300.79583333333</x:v>
      </x:c>
      <x:c r="N265" s="13" t="n">
        <x:f>VLOOKUP(C265,'MES orders'!$A$8:$H$127,5,FALSE)</x:f>
        <x:v>46302.666666666664</x:v>
      </x:c>
      <x:c r="O265" s="16" t="n">
        <x:f>MAX(0,(M265-N265)*24)</x:f>
        <x:v>0</x:v>
      </x:c>
      <x:c r="P265" s="9" t="str">
        <x:v>No</x:v>
      </x:c>
      <x:c r="Q265" s="15" t="n">
        <x:v>19</x:v>
      </x:c>
      <x:c r="R265" s="13" t="n">
        <x:f>J265+Q265/1440</x:f>
        <x:v>46300.79583333333</x:v>
      </x:c>
      <x:c r="S265" s="2" t="str">
        <x:f>VLOOKUP(C265,'MES orders'!$A$8:$H$127,6,FALSE)</x:f>
        <x:v>Normal</x:v>
      </x:c>
      <x:c r="T265" s="9" t="str"/>
    </x:row>
    <x:row r="266" ht="22" customHeight="1">
      <x:c r="A266" s="2" t="str">
        <x:v>L00362-010</x:v>
      </x:c>
      <x:c r="B266" s="2" t="str">
        <x:v>L00362</x:v>
      </x:c>
      <x:c r="C266" s="2" t="str">
        <x:v>SO-26073</x:v>
      </x:c>
      <x:c r="D266" s="2" t="str">
        <x:v>D-C-AL</x:v>
      </x:c>
      <x:c r="E266" s="14" t="n">
        <x:v>25</x:v>
      </x:c>
      <x:c r="F266" s="2" t="str">
        <x:v>CNC machining</x:v>
      </x:c>
      <x:c r="G266" s="9" t="str">
        <x:v>CNC-02</x:v>
      </x:c>
      <x:c r="H266" s="15" t="n">
        <x:v>11</x:v>
      </x:c>
      <x:c r="I266" s="9" t="str">
        <x:v>P15</x:v>
      </x:c>
      <x:c r="J266" s="11" t="n">
        <x:v>46300.78333333333</x:v>
      </x:c>
      <x:c r="K266" s="15" t="n">
        <x:v>18</x:v>
      </x:c>
      <x:c r="L266" s="15" t="n">
        <x:v>48</x:v>
      </x:c>
      <x:c r="M266" s="13" t="n">
        <x:f>J266+(K266+L266)/1440</x:f>
        <x:v>46300.82916666666</x:v>
      </x:c>
      <x:c r="N266" s="13" t="n">
        <x:f>VLOOKUP(C266,'MES orders'!$A$8:$H$127,5,FALSE)</x:f>
        <x:v>46302.666666666664</x:v>
      </x:c>
      <x:c r="O266" s="16" t="n">
        <x:f>MAX(0,(M266-N266)*24)</x:f>
        <x:v>0</x:v>
      </x:c>
      <x:c r="P266" s="9" t="str">
        <x:v>No</x:v>
      </x:c>
      <x:c r="Q266" s="15" t="n">
        <x:v>18</x:v>
      </x:c>
      <x:c r="R266" s="13" t="n">
        <x:f>J266+Q266/1440</x:f>
        <x:v>46300.79583333333</x:v>
      </x:c>
      <x:c r="S266" s="2" t="str">
        <x:f>VLOOKUP(C266,'MES orders'!$A$8:$H$127,6,FALSE)</x:f>
        <x:v>Normal</x:v>
      </x:c>
      <x:c r="T266" s="9" t="str"/>
    </x:row>
    <x:row r="267" ht="22" customHeight="1">
      <x:c r="A267" s="2" t="str">
        <x:v>L00201-040</x:v>
      </x:c>
      <x:c r="B267" s="2" t="str">
        <x:v>L00201</x:v>
      </x:c>
      <x:c r="C267" s="2" t="str">
        <x:v>SO-26041</x:v>
      </x:c>
      <x:c r="D267" s="2" t="str">
        <x:v>R-L-AL</x:v>
      </x:c>
      <x:c r="E267" s="14" t="n">
        <x:v>15</x:v>
      </x:c>
      <x:c r="F267" s="2" t="str">
        <x:v>Mechanical assembly</x:v>
      </x:c>
      <x:c r="G267" s="9" t="str">
        <x:v>AS-01</x:v>
      </x:c>
      <x:c r="H267" s="15" t="n">
        <x:v>21</x:v>
      </x:c>
      <x:c r="I267" s="9" t="str">
        <x:v>P16</x:v>
      </x:c>
      <x:c r="J267" s="11" t="n">
        <x:v>46300.78402777778</x:v>
      </x:c>
      <x:c r="K267" s="15" t="n">
        <x:v>8</x:v>
      </x:c>
      <x:c r="L267" s="15" t="n">
        <x:v>36</x:v>
      </x:c>
      <x:c r="M267" s="13" t="n">
        <x:f>J267+(K267+L267)/1440</x:f>
        <x:v>46300.81458333333</x:v>
      </x:c>
      <x:c r="N267" s="13" t="n">
        <x:f>VLOOKUP(C267,'MES orders'!$A$8:$H$127,5,FALSE)</x:f>
        <x:v>46302.666666666664</x:v>
      </x:c>
      <x:c r="O267" s="16" t="n">
        <x:f>MAX(0,(M267-N267)*24)</x:f>
        <x:v>0</x:v>
      </x:c>
      <x:c r="P267" s="9" t="str">
        <x:v>No</x:v>
      </x:c>
      <x:c r="Q267" s="15" t="n">
        <x:v>44</x:v>
      </x:c>
      <x:c r="R267" s="13" t="n">
        <x:f>J267+Q267/1440</x:f>
        <x:v>46300.81458333333</x:v>
      </x:c>
      <x:c r="S267" s="2" t="str">
        <x:f>VLOOKUP(C267,'MES orders'!$A$8:$H$127,6,FALSE)</x:f>
        <x:v>Normal</x:v>
      </x:c>
      <x:c r="T267" s="9" t="str"/>
    </x:row>
    <x:row r="268" ht="22" customHeight="1">
      <x:c r="A268" s="2" t="str">
        <x:v>L00202-040</x:v>
      </x:c>
      <x:c r="B268" s="2" t="str">
        <x:v>L00202</x:v>
      </x:c>
      <x:c r="C268" s="2" t="str">
        <x:v>SO-26041</x:v>
      </x:c>
      <x:c r="D268" s="2" t="str">
        <x:v>R-L-AL</x:v>
      </x:c>
      <x:c r="E268" s="14" t="n">
        <x:v>15</x:v>
      </x:c>
      <x:c r="F268" s="2" t="str">
        <x:v>Mechanical assembly</x:v>
      </x:c>
      <x:c r="G268" s="9" t="str">
        <x:v>AS-02</x:v>
      </x:c>
      <x:c r="H268" s="15" t="n">
        <x:v>18</x:v>
      </x:c>
      <x:c r="I268" s="9" t="str">
        <x:v>P17</x:v>
      </x:c>
      <x:c r="J268" s="11" t="n">
        <x:v>46300.78402777778</x:v>
      </x:c>
      <x:c r="K268" s="15" t="n">
        <x:v>8</x:v>
      </x:c>
      <x:c r="L268" s="15" t="n">
        <x:v>36</x:v>
      </x:c>
      <x:c r="M268" s="13" t="n">
        <x:f>J268+(K268+L268)/1440</x:f>
        <x:v>46300.81458333333</x:v>
      </x:c>
      <x:c r="N268" s="13" t="n">
        <x:f>VLOOKUP(C268,'MES orders'!$A$8:$H$127,5,FALSE)</x:f>
        <x:v>46302.666666666664</x:v>
      </x:c>
      <x:c r="O268" s="16" t="n">
        <x:f>MAX(0,(M268-N268)*24)</x:f>
        <x:v>0</x:v>
      </x:c>
      <x:c r="P268" s="9" t="str">
        <x:v>No</x:v>
      </x:c>
      <x:c r="Q268" s="15" t="n">
        <x:v>44</x:v>
      </x:c>
      <x:c r="R268" s="13" t="n">
        <x:f>J268+Q268/1440</x:f>
        <x:v>46300.81458333333</x:v>
      </x:c>
      <x:c r="S268" s="2" t="str">
        <x:f>VLOOKUP(C268,'MES orders'!$A$8:$H$127,6,FALSE)</x:f>
        <x:v>Normal</x:v>
      </x:c>
      <x:c r="T268" s="9" t="str"/>
    </x:row>
    <x:row r="269" ht="22" customHeight="1">
      <x:c r="A269" s="2" t="str">
        <x:v>L00203-030</x:v>
      </x:c>
      <x:c r="B269" s="2" t="str">
        <x:v>L00203</x:v>
      </x:c>
      <x:c r="C269" s="2" t="str">
        <x:v>SO-26041</x:v>
      </x:c>
      <x:c r="D269" s="2" t="str">
        <x:v>R-L-AL</x:v>
      </x:c>
      <x:c r="E269" s="14" t="n">
        <x:v>15</x:v>
      </x:c>
      <x:c r="F269" s="2" t="str">
        <x:v>Wash &amp; dry</x:v>
      </x:c>
      <x:c r="G269" s="9" t="str">
        <x:v>WS-01</x:v>
      </x:c>
      <x:c r="H269" s="15" t="n">
        <x:v>26</x:v>
      </x:c>
      <x:c r="I269" s="9" t="str">
        <x:v>P18</x:v>
      </x:c>
      <x:c r="J269" s="11" t="n">
        <x:v>46300.78402777778</x:v>
      </x:c>
      <x:c r="K269" s="15" t="n">
        <x:v>12</x:v>
      </x:c>
      <x:c r="L269" s="15" t="n">
        <x:v>7</x:v>
      </x:c>
      <x:c r="M269" s="13" t="n">
        <x:f>J269+(K269+L269)/1440</x:f>
        <x:v>46300.79722222222</x:v>
      </x:c>
      <x:c r="N269" s="13" t="n">
        <x:f>VLOOKUP(C269,'MES orders'!$A$8:$H$127,5,FALSE)</x:f>
        <x:v>46302.666666666664</x:v>
      </x:c>
      <x:c r="O269" s="16" t="n">
        <x:f>MAX(0,(M269-N269)*24)</x:f>
        <x:v>0</x:v>
      </x:c>
      <x:c r="P269" s="9" t="str">
        <x:v>No</x:v>
      </x:c>
      <x:c r="Q269" s="15" t="n">
        <x:v>19</x:v>
      </x:c>
      <x:c r="R269" s="13" t="n">
        <x:f>J269+Q269/1440</x:f>
        <x:v>46300.79722222222</x:v>
      </x:c>
      <x:c r="S269" s="2" t="str">
        <x:f>VLOOKUP(C269,'MES orders'!$A$8:$H$127,6,FALSE)</x:f>
        <x:v>Normal</x:v>
      </x:c>
      <x:c r="T269" s="9" t="str"/>
    </x:row>
    <x:row r="270" ht="22" customHeight="1">
      <x:c r="A270" s="2" t="str">
        <x:v>L00242-060</x:v>
      </x:c>
      <x:c r="B270" s="2" t="str">
        <x:v>L00242</x:v>
      </x:c>
      <x:c r="C270" s="2" t="str">
        <x:v>SO-26049</x:v>
      </x:c>
      <x:c r="D270" s="2" t="str">
        <x:v>S-C-AL</x:v>
      </x:c>
      <x:c r="E270" s="14" t="n">
        <x:v>5</x:v>
      </x:c>
      <x:c r="F270" s="2" t="str">
        <x:v>Sensor calibration</x:v>
      </x:c>
      <x:c r="G270" s="9" t="str">
        <x:v>CAL-01</x:v>
      </x:c>
      <x:c r="H270" s="15" t="n">
        <x:v>9</x:v>
      </x:c>
      <x:c r="I270" s="9" t="str">
        <x:v>P21</x:v>
      </x:c>
      <x:c r="J270" s="11" t="n">
        <x:v>46300.79027777778</x:v>
      </x:c>
      <x:c r="K270" s="15" t="n">
        <x:v>10</x:v>
      </x:c>
      <x:c r="L270" s="15" t="n">
        <x:v>5</x:v>
      </x:c>
      <x:c r="M270" s="13" t="n">
        <x:f>J270+(K270+L270)/1440</x:f>
        <x:v>46300.80069444444</x:v>
      </x:c>
      <x:c r="N270" s="13" t="n">
        <x:f>VLOOKUP(C270,'MES orders'!$A$8:$H$127,5,FALSE)</x:f>
        <x:v>46302.666666666664</x:v>
      </x:c>
      <x:c r="O270" s="16" t="n">
        <x:f>MAX(0,(M270-N270)*24)</x:f>
        <x:v>0</x:v>
      </x:c>
      <x:c r="P270" s="9" t="str">
        <x:v>No</x:v>
      </x:c>
      <x:c r="Q270" s="15" t="n">
        <x:v>15</x:v>
      </x:c>
      <x:c r="R270" s="13" t="n">
        <x:f>J270+Q270/1440</x:f>
        <x:v>46300.80069444444</x:v>
      </x:c>
      <x:c r="S270" s="2" t="str">
        <x:f>VLOOKUP(C270,'MES orders'!$A$8:$H$127,6,FALSE)</x:f>
        <x:v>Normal</x:v>
      </x:c>
      <x:c r="T270" s="9" t="str"/>
    </x:row>
    <x:row r="271" ht="22" customHeight="1">
      <x:c r="A271" s="2" t="str">
        <x:v>L00244-080</x:v>
      </x:c>
      <x:c r="B271" s="2" t="str">
        <x:v>L00244</x:v>
      </x:c>
      <x:c r="C271" s="2" t="str">
        <x:v>SO-26049</x:v>
      </x:c>
      <x:c r="D271" s="2" t="str">
        <x:v>S-C-AL</x:v>
      </x:c>
      <x:c r="E271" s="14" t="n">
        <x:v>5</x:v>
      </x:c>
      <x:c r="F271" s="2" t="str">
        <x:v>Final leak / function test</x:v>
      </x:c>
      <x:c r="G271" s="9" t="str">
        <x:v>QA-03</x:v>
      </x:c>
      <x:c r="H271" s="15" t="n">
        <x:v>10</x:v>
      </x:c>
      <x:c r="I271" s="9" t="str">
        <x:v>P24</x:v>
      </x:c>
      <x:c r="J271" s="11" t="n">
        <x:v>46300.79027777778</x:v>
      </x:c>
      <x:c r="K271" s="15" t="n">
        <x:v>10</x:v>
      </x:c>
      <x:c r="L271" s="15" t="n">
        <x:v>4</x:v>
      </x:c>
      <x:c r="M271" s="13" t="n">
        <x:f>J271+(K271+L271)/1440</x:f>
        <x:v>46300.8</x:v>
      </x:c>
      <x:c r="N271" s="13" t="n">
        <x:f>VLOOKUP(C271,'MES orders'!$A$8:$H$127,5,FALSE)</x:f>
        <x:v>46302.666666666664</x:v>
      </x:c>
      <x:c r="O271" s="16" t="n">
        <x:f>MAX(0,(M271-N271)*24)</x:f>
        <x:v>0</x:v>
      </x:c>
      <x:c r="P271" s="9" t="str">
        <x:v>No</x:v>
      </x:c>
      <x:c r="Q271" s="15" t="n">
        <x:v>14</x:v>
      </x:c>
      <x:c r="R271" s="13" t="n">
        <x:f>J271+Q271/1440</x:f>
        <x:v>46300.8</x:v>
      </x:c>
      <x:c r="S271" s="2" t="str">
        <x:f>VLOOKUP(C271,'MES orders'!$A$8:$H$127,6,FALSE)</x:f>
        <x:v>Normal</x:v>
      </x:c>
      <x:c r="T271" s="9" t="str"/>
    </x:row>
    <x:row r="272" ht="22" customHeight="1">
      <x:c r="A272" s="2" t="str">
        <x:v>L00363-010</x:v>
      </x:c>
      <x:c r="B272" s="2" t="str">
        <x:v>L00363</x:v>
      </x:c>
      <x:c r="C272" s="2" t="str">
        <x:v>SO-26073</x:v>
      </x:c>
      <x:c r="D272" s="2" t="str">
        <x:v>D-C-AL</x:v>
      </x:c>
      <x:c r="E272" s="14" t="n">
        <x:v>25</x:v>
      </x:c>
      <x:c r="F272" s="2" t="str">
        <x:v>CNC machining</x:v>
      </x:c>
      <x:c r="G272" s="9" t="str">
        <x:v>CNC-04</x:v>
      </x:c>
      <x:c r="H272" s="15" t="n">
        <x:v>8</x:v>
      </x:c>
      <x:c r="I272" s="9" t="str">
        <x:v>P14</x:v>
      </x:c>
      <x:c r="J272" s="11" t="n">
        <x:v>46300.79236111111</x:v>
      </x:c>
      <x:c r="K272" s="15" t="n">
        <x:v>18</x:v>
      </x:c>
      <x:c r="L272" s="15" t="n">
        <x:v>48</x:v>
      </x:c>
      <x:c r="M272" s="13" t="n">
        <x:f>J272+(K272+L272)/1440</x:f>
        <x:v>46300.83819444444</x:v>
      </x:c>
      <x:c r="N272" s="13" t="n">
        <x:f>VLOOKUP(C272,'MES orders'!$A$8:$H$127,5,FALSE)</x:f>
        <x:v>46302.666666666664</x:v>
      </x:c>
      <x:c r="O272" s="16" t="n">
        <x:f>MAX(0,(M272-N272)*24)</x:f>
        <x:v>0</x:v>
      </x:c>
      <x:c r="P272" s="9" t="str">
        <x:v>No</x:v>
      </x:c>
      <x:c r="Q272" s="15" t="n">
        <x:v>18</x:v>
      </x:c>
      <x:c r="R272" s="13" t="n">
        <x:f>J272+Q272/1440</x:f>
        <x:v>46300.80486111111</x:v>
      </x:c>
      <x:c r="S272" s="2" t="str">
        <x:f>VLOOKUP(C272,'MES orders'!$A$8:$H$127,6,FALSE)</x:f>
        <x:v>Normal</x:v>
      </x:c>
      <x:c r="T272" s="9" t="str"/>
    </x:row>
    <x:row r="273" ht="22" customHeight="1">
      <x:c r="A273" s="2" t="str">
        <x:v>L00323-020</x:v>
      </x:c>
      <x:c r="B273" s="2" t="str">
        <x:v>L00323</x:v>
      </x:c>
      <x:c r="C273" s="2" t="str">
        <x:v>SO-26065</x:v>
      </x:c>
      <x:c r="D273" s="2" t="str">
        <x:v>S-L-AL</x:v>
      </x:c>
      <x:c r="E273" s="14" t="n">
        <x:v>20</x:v>
      </x:c>
      <x:c r="F273" s="2" t="str">
        <x:v>Deburr &amp; inspect</x:v>
      </x:c>
      <x:c r="G273" s="9" t="str">
        <x:v>DB-01</x:v>
      </x:c>
      <x:c r="H273" s="15" t="n">
        <x:v>29</x:v>
      </x:c>
      <x:c r="I273" s="9" t="str">
        <x:v>P13</x:v>
      </x:c>
      <x:c r="J273" s="11" t="n">
        <x:v>46300.79236111111</x:v>
      </x:c>
      <x:c r="K273" s="15" t="n">
        <x:v>4</x:v>
      </x:c>
      <x:c r="L273" s="15" t="n">
        <x:v>19</x:v>
      </x:c>
      <x:c r="M273" s="13" t="n">
        <x:f>J273+(K273+L273)/1440</x:f>
        <x:v>46300.808333333334</x:v>
      </x:c>
      <x:c r="N273" s="13" t="n">
        <x:f>VLOOKUP(C273,'MES orders'!$A$8:$H$127,5,FALSE)</x:f>
        <x:v>46302.666666666664</x:v>
      </x:c>
      <x:c r="O273" s="16" t="n">
        <x:f>MAX(0,(M273-N273)*24)</x:f>
        <x:v>0</x:v>
      </x:c>
      <x:c r="P273" s="9" t="str">
        <x:v>No</x:v>
      </x:c>
      <x:c r="Q273" s="15" t="n">
        <x:v>23</x:v>
      </x:c>
      <x:c r="R273" s="13" t="n">
        <x:f>J273+Q273/1440</x:f>
        <x:v>46300.808333333334</x:v>
      </x:c>
      <x:c r="S273" s="2" t="str">
        <x:f>VLOOKUP(C273,'MES orders'!$A$8:$H$127,6,FALSE)</x:f>
        <x:v>Normal</x:v>
      </x:c>
      <x:c r="T273" s="9" t="str"/>
    </x:row>
    <x:row r="274" ht="22" customHeight="1">
      <x:c r="A274" s="2" t="str">
        <x:v>L00364-010</x:v>
      </x:c>
      <x:c r="B274" s="2" t="str">
        <x:v>L00364</x:v>
      </x:c>
      <x:c r="C274" s="2" t="str">
        <x:v>SO-26073</x:v>
      </x:c>
      <x:c r="D274" s="2" t="str">
        <x:v>D-C-AL</x:v>
      </x:c>
      <x:c r="E274" s="14" t="n">
        <x:v>25</x:v>
      </x:c>
      <x:c r="F274" s="2" t="str">
        <x:v>CNC machining</x:v>
      </x:c>
      <x:c r="G274" s="9" t="str">
        <x:v>CNC-05</x:v>
      </x:c>
      <x:c r="H274" s="15" t="n">
        <x:v>7</x:v>
      </x:c>
      <x:c r="I274" s="9" t="str">
        <x:v>P15</x:v>
      </x:c>
      <x:c r="J274" s="11" t="n">
        <x:v>46300.79583333333</x:v>
      </x:c>
      <x:c r="K274" s="15" t="n">
        <x:v>18</x:v>
      </x:c>
      <x:c r="L274" s="15" t="n">
        <x:v>48</x:v>
      </x:c>
      <x:c r="M274" s="13" t="n">
        <x:f>J274+(K274+L274)/1440</x:f>
        <x:v>46300.84166666666</x:v>
      </x:c>
      <x:c r="N274" s="13" t="n">
        <x:f>VLOOKUP(C274,'MES orders'!$A$8:$H$127,5,FALSE)</x:f>
        <x:v>46302.666666666664</x:v>
      </x:c>
      <x:c r="O274" s="16" t="n">
        <x:f>MAX(0,(M274-N274)*24)</x:f>
        <x:v>0</x:v>
      </x:c>
      <x:c r="P274" s="9" t="str">
        <x:v>No</x:v>
      </x:c>
      <x:c r="Q274" s="15" t="n">
        <x:v>18</x:v>
      </x:c>
      <x:c r="R274" s="13" t="n">
        <x:f>J274+Q274/1440</x:f>
        <x:v>46300.80833333333</x:v>
      </x:c>
      <x:c r="S274" s="2" t="str">
        <x:f>VLOOKUP(C274,'MES orders'!$A$8:$H$127,6,FALSE)</x:f>
        <x:v>Normal</x:v>
      </x:c>
      <x:c r="T274" s="9" t="str"/>
    </x:row>
    <x:row r="275" ht="22" customHeight="1">
      <x:c r="A275" s="2" t="str">
        <x:v>L00205-030</x:v>
      </x:c>
      <x:c r="B275" s="2" t="str">
        <x:v>L00205</x:v>
      </x:c>
      <x:c r="C275" s="2" t="str">
        <x:v>SO-26041</x:v>
      </x:c>
      <x:c r="D275" s="2" t="str">
        <x:v>R-L-AL</x:v>
      </x:c>
      <x:c r="E275" s="14" t="n">
        <x:v>15</x:v>
      </x:c>
      <x:c r="F275" s="2" t="str">
        <x:v>Wash &amp; dry</x:v>
      </x:c>
      <x:c r="G275" s="9" t="str">
        <x:v>WS-01</x:v>
      </x:c>
      <x:c r="H275" s="15" t="n">
        <x:v>27</x:v>
      </x:c>
      <x:c r="I275" s="9" t="str">
        <x:v>P18</x:v>
      </x:c>
      <x:c r="J275" s="11" t="n">
        <x:v>46300.79722222222</x:v>
      </x:c>
      <x:c r="K275" s="15" t="n">
        <x:v>12</x:v>
      </x:c>
      <x:c r="L275" s="15" t="n">
        <x:v>7</x:v>
      </x:c>
      <x:c r="M275" s="13" t="n">
        <x:f>J275+(K275+L275)/1440</x:f>
        <x:v>46300.81041666667</x:v>
      </x:c>
      <x:c r="N275" s="13" t="n">
        <x:f>VLOOKUP(C275,'MES orders'!$A$8:$H$127,5,FALSE)</x:f>
        <x:v>46302.666666666664</x:v>
      </x:c>
      <x:c r="O275" s="16" t="n">
        <x:f>MAX(0,(M275-N275)*24)</x:f>
        <x:v>0</x:v>
      </x:c>
      <x:c r="P275" s="9" t="str">
        <x:v>No</x:v>
      </x:c>
      <x:c r="Q275" s="15" t="n">
        <x:v>19</x:v>
      </x:c>
      <x:c r="R275" s="13" t="n">
        <x:f>J275+Q275/1440</x:f>
        <x:v>46300.81041666667</x:v>
      </x:c>
      <x:c r="S275" s="2" t="str">
        <x:f>VLOOKUP(C275,'MES orders'!$A$8:$H$127,6,FALSE)</x:f>
        <x:v>Normal</x:v>
      </x:c>
      <x:c r="T275" s="9" t="str"/>
    </x:row>
    <x:row r="276" ht="22" customHeight="1">
      <x:c r="A276" s="2" t="str">
        <x:v>L00245-060</x:v>
      </x:c>
      <x:c r="B276" s="2" t="str">
        <x:v>L00245</x:v>
      </x:c>
      <x:c r="C276" s="2" t="str">
        <x:v>SO-26049</x:v>
      </x:c>
      <x:c r="D276" s="2" t="str">
        <x:v>S-C-AL</x:v>
      </x:c>
      <x:c r="E276" s="14" t="n">
        <x:v>5</x:v>
      </x:c>
      <x:c r="F276" s="2" t="str">
        <x:v>Sensor calibration</x:v>
      </x:c>
      <x:c r="G276" s="9" t="str">
        <x:v>CAL-01</x:v>
      </x:c>
      <x:c r="H276" s="15" t="n">
        <x:v>10</x:v>
      </x:c>
      <x:c r="I276" s="9" t="str">
        <x:v>P21</x:v>
      </x:c>
      <x:c r="J276" s="11" t="n">
        <x:v>46300.80069444444</x:v>
      </x:c>
      <x:c r="K276" s="15" t="n">
        <x:v>10</x:v>
      </x:c>
      <x:c r="L276" s="15" t="n">
        <x:v>5</x:v>
      </x:c>
      <x:c r="M276" s="13" t="n">
        <x:f>J276+(K276+L276)/1440</x:f>
        <x:v>46300.81111111111</x:v>
      </x:c>
      <x:c r="N276" s="13" t="n">
        <x:f>VLOOKUP(C276,'MES orders'!$A$8:$H$127,5,FALSE)</x:f>
        <x:v>46302.666666666664</x:v>
      </x:c>
      <x:c r="O276" s="16" t="n">
        <x:f>MAX(0,(M276-N276)*24)</x:f>
        <x:v>0</x:v>
      </x:c>
      <x:c r="P276" s="9" t="str">
        <x:v>No</x:v>
      </x:c>
      <x:c r="Q276" s="15" t="n">
        <x:v>15</x:v>
      </x:c>
      <x:c r="R276" s="13" t="n">
        <x:f>J276+Q276/1440</x:f>
        <x:v>46300.81111111111</x:v>
      </x:c>
      <x:c r="S276" s="2" t="str">
        <x:f>VLOOKUP(C276,'MES orders'!$A$8:$H$127,6,FALSE)</x:f>
        <x:v>Normal</x:v>
      </x:c>
      <x:c r="T276" s="9" t="str"/>
    </x:row>
    <x:row r="277" ht="22" customHeight="1">
      <x:c r="A277" s="2" t="str">
        <x:v>L00201-050</x:v>
      </x:c>
      <x:c r="B277" s="2" t="str">
        <x:v>L00201</x:v>
      </x:c>
      <x:c r="C277" s="2" t="str">
        <x:v>SO-26041</x:v>
      </x:c>
      <x:c r="D277" s="2" t="str">
        <x:v>R-L-AL</x:v>
      </x:c>
      <x:c r="E277" s="14" t="n">
        <x:v>15</x:v>
      </x:c>
      <x:c r="F277" s="2" t="str">
        <x:v>Valve adjustment</x:v>
      </x:c>
      <x:c r="G277" s="9" t="str">
        <x:v>AS-01</x:v>
      </x:c>
      <x:c r="H277" s="15" t="n">
        <x:v>22</x:v>
      </x:c>
      <x:c r="I277" s="9" t="str">
        <x:v>P17</x:v>
      </x:c>
      <x:c r="J277" s="11" t="n">
        <x:v>46300.81458333333</x:v>
      </x:c>
      <x:c r="K277" s="15" t="n">
        <x:v>6</x:v>
      </x:c>
      <x:c r="L277" s="15" t="n">
        <x:v>22</x:v>
      </x:c>
      <x:c r="M277" s="13" t="n">
        <x:f>J277+(K277+L277)/1440</x:f>
        <x:v>46300.834027777775</x:v>
      </x:c>
      <x:c r="N277" s="13" t="n">
        <x:f>VLOOKUP(C277,'MES orders'!$A$8:$H$127,5,FALSE)</x:f>
        <x:v>46302.666666666664</x:v>
      </x:c>
      <x:c r="O277" s="16" t="n">
        <x:f>MAX(0,(M277-N277)*24)</x:f>
        <x:v>0</x:v>
      </x:c>
      <x:c r="P277" s="9" t="str">
        <x:v>No</x:v>
      </x:c>
      <x:c r="Q277" s="15" t="n">
        <x:v>28</x:v>
      </x:c>
      <x:c r="R277" s="13" t="n">
        <x:f>J277+Q277/1440</x:f>
        <x:v>46300.834027777775</x:v>
      </x:c>
      <x:c r="S277" s="2" t="str">
        <x:f>VLOOKUP(C277,'MES orders'!$A$8:$H$127,6,FALSE)</x:f>
        <x:v>Normal</x:v>
      </x:c>
      <x:c r="T277" s="9" t="str"/>
    </x:row>
    <x:row r="278" ht="22" customHeight="1">
      <x:c r="A278" s="2" t="str">
        <x:v>L00202-050</x:v>
      </x:c>
      <x:c r="B278" s="2" t="str">
        <x:v>L00202</x:v>
      </x:c>
      <x:c r="C278" s="2" t="str">
        <x:v>SO-26041</x:v>
      </x:c>
      <x:c r="D278" s="2" t="str">
        <x:v>R-L-AL</x:v>
      </x:c>
      <x:c r="E278" s="14" t="n">
        <x:v>15</x:v>
      </x:c>
      <x:c r="F278" s="2" t="str">
        <x:v>Valve adjustment</x:v>
      </x:c>
      <x:c r="G278" s="9" t="str">
        <x:v>AS-02</x:v>
      </x:c>
      <x:c r="H278" s="15" t="n">
        <x:v>19</x:v>
      </x:c>
      <x:c r="I278" s="9" t="str">
        <x:v>P18</x:v>
      </x:c>
      <x:c r="J278" s="11" t="n">
        <x:v>46300.81458333333</x:v>
      </x:c>
      <x:c r="K278" s="15" t="n">
        <x:v>6</x:v>
      </x:c>
      <x:c r="L278" s="15" t="n">
        <x:v>22</x:v>
      </x:c>
      <x:c r="M278" s="13" t="n">
        <x:f>J278+(K278+L278)/1440</x:f>
        <x:v>46300.834027777775</x:v>
      </x:c>
      <x:c r="N278" s="13" t="n">
        <x:f>VLOOKUP(C278,'MES orders'!$A$8:$H$127,5,FALSE)</x:f>
        <x:v>46302.666666666664</x:v>
      </x:c>
      <x:c r="O278" s="16" t="n">
        <x:f>MAX(0,(M278-N278)*24)</x:f>
        <x:v>0</x:v>
      </x:c>
      <x:c r="P278" s="9" t="str">
        <x:v>No</x:v>
      </x:c>
      <x:c r="Q278" s="15" t="n">
        <x:v>28</x:v>
      </x:c>
      <x:c r="R278" s="13" t="n">
        <x:f>J278+Q278/1440</x:f>
        <x:v>46300.834027777775</x:v>
      </x:c>
      <x:c r="S278" s="2" t="str">
        <x:f>VLOOKUP(C278,'MES orders'!$A$8:$H$127,6,FALSE)</x:f>
        <x:v>Normal</x:v>
      </x:c>
      <x:c r="T278" s="9" t="str"/>
    </x:row>
    <x:row r="279" ht="22" customHeight="1">
      <x:c r="A279" s="2" t="str">
        <x:v>L00203-040</x:v>
      </x:c>
      <x:c r="B279" s="2" t="str">
        <x:v>L00203</x:v>
      </x:c>
      <x:c r="C279" s="2" t="str">
        <x:v>SO-26041</x:v>
      </x:c>
      <x:c r="D279" s="2" t="str">
        <x:v>R-L-AL</x:v>
      </x:c>
      <x:c r="E279" s="14" t="n">
        <x:v>15</x:v>
      </x:c>
      <x:c r="F279" s="2" t="str">
        <x:v>Mechanical assembly</x:v>
      </x:c>
      <x:c r="G279" s="9" t="str">
        <x:v>AS-03</x:v>
      </x:c>
      <x:c r="H279" s="15" t="n">
        <x:v>13</x:v>
      </x:c>
      <x:c r="I279" s="9" t="str">
        <x:v>P16</x:v>
      </x:c>
      <x:c r="J279" s="11" t="n">
        <x:v>46300.81458333333</x:v>
      </x:c>
      <x:c r="K279" s="15" t="n">
        <x:v>8</x:v>
      </x:c>
      <x:c r="L279" s="15" t="n">
        <x:v>36</x:v>
      </x:c>
      <x:c r="M279" s="13" t="n">
        <x:f>J279+(K279+L279)/1440</x:f>
        <x:v>46300.845138888886</x:v>
      </x:c>
      <x:c r="N279" s="13" t="n">
        <x:f>VLOOKUP(C279,'MES orders'!$A$8:$H$127,5,FALSE)</x:f>
        <x:v>46302.666666666664</x:v>
      </x:c>
      <x:c r="O279" s="16" t="n">
        <x:f>MAX(0,(M279-N279)*24)</x:f>
        <x:v>0</x:v>
      </x:c>
      <x:c r="P279" s="9" t="str">
        <x:v>No</x:v>
      </x:c>
      <x:c r="Q279" s="15" t="n">
        <x:v>44</x:v>
      </x:c>
      <x:c r="R279" s="13" t="n">
        <x:f>J279+Q279/1440</x:f>
        <x:v>46300.845138888886</x:v>
      </x:c>
      <x:c r="S279" s="2" t="str">
        <x:f>VLOOKUP(C279,'MES orders'!$A$8:$H$127,6,FALSE)</x:f>
        <x:v>Normal</x:v>
      </x:c>
      <x:c r="T279" s="9" t="str"/>
    </x:row>
    <x:row r="280" ht="22" customHeight="1">
      <x:c r="A280" s="2" t="str">
        <x:v>L00365-010</x:v>
      </x:c>
      <x:c r="B280" s="2" t="str">
        <x:v>L00365</x:v>
      </x:c>
      <x:c r="C280" s="2" t="str">
        <x:v>SO-26073</x:v>
      </x:c>
      <x:c r="D280" s="2" t="str">
        <x:v>D-C-AL</x:v>
      </x:c>
      <x:c r="E280" s="14" t="n">
        <x:v>25</x:v>
      </x:c>
      <x:c r="F280" s="2" t="str">
        <x:v>CNC machining</x:v>
      </x:c>
      <x:c r="G280" s="9" t="str">
        <x:v>CNC-01</x:v>
      </x:c>
      <x:c r="H280" s="15" t="n">
        <x:v>15</x:v>
      </x:c>
      <x:c r="I280" s="9" t="str">
        <x:v>P14</x:v>
      </x:c>
      <x:c r="J280" s="11" t="n">
        <x:v>46300.816666666666</x:v>
      </x:c>
      <x:c r="K280" s="15" t="n">
        <x:v>18</x:v>
      </x:c>
      <x:c r="L280" s="15" t="n">
        <x:v>48</x:v>
      </x:c>
      <x:c r="M280" s="13" t="n">
        <x:f>J280+(K280+L280)/1440</x:f>
        <x:v>46300.862499999996</x:v>
      </x:c>
      <x:c r="N280" s="13" t="n">
        <x:f>VLOOKUP(C280,'MES orders'!$A$8:$H$127,5,FALSE)</x:f>
        <x:v>46302.666666666664</x:v>
      </x:c>
      <x:c r="O280" s="16" t="n">
        <x:f>MAX(0,(M280-N280)*24)</x:f>
        <x:v>0</x:v>
      </x:c>
      <x:c r="P280" s="9" t="str">
        <x:v>No</x:v>
      </x:c>
      <x:c r="Q280" s="15" t="n">
        <x:v>18</x:v>
      </x:c>
      <x:c r="R280" s="13" t="n">
        <x:f>J280+Q280/1440</x:f>
        <x:v>46300.82916666666</x:v>
      </x:c>
      <x:c r="S280" s="2" t="str">
        <x:f>VLOOKUP(C280,'MES orders'!$A$8:$H$127,6,FALSE)</x:f>
        <x:v>Normal</x:v>
      </x:c>
      <x:c r="T280" s="9" t="str"/>
    </x:row>
    <x:row r="281" ht="22" customHeight="1">
      <x:c r="A281" s="2" t="str">
        <x:v>L00361-020</x:v>
      </x:c>
      <x:c r="B281" s="2" t="str">
        <x:v>L00361</x:v>
      </x:c>
      <x:c r="C281" s="2" t="str">
        <x:v>SO-26073</x:v>
      </x:c>
      <x:c r="D281" s="2" t="str">
        <x:v>D-C-AL</x:v>
      </x:c>
      <x:c r="E281" s="14" t="n">
        <x:v>25</x:v>
      </x:c>
      <x:c r="F281" s="2" t="str">
        <x:v>Deburr &amp; inspect</x:v>
      </x:c>
      <x:c r="G281" s="9" t="str">
        <x:v>DB-01</x:v>
      </x:c>
      <x:c r="H281" s="15" t="n">
        <x:v>30</x:v>
      </x:c>
      <x:c r="I281" s="9" t="str">
        <x:v>P13</x:v>
      </x:c>
      <x:c r="J281" s="11" t="n">
        <x:v>46300.816666666666</x:v>
      </x:c>
      <x:c r="K281" s="15" t="n">
        <x:v>4</x:v>
      </x:c>
      <x:c r="L281" s="15" t="n">
        <x:v>14</x:v>
      </x:c>
      <x:c r="M281" s="13" t="n">
        <x:f>J281+(K281+L281)/1440</x:f>
        <x:v>46300.82916666666</x:v>
      </x:c>
      <x:c r="N281" s="13" t="n">
        <x:f>VLOOKUP(C281,'MES orders'!$A$8:$H$127,5,FALSE)</x:f>
        <x:v>46302.666666666664</x:v>
      </x:c>
      <x:c r="O281" s="16" t="n">
        <x:f>MAX(0,(M281-N281)*24)</x:f>
        <x:v>0</x:v>
      </x:c>
      <x:c r="P281" s="9" t="str">
        <x:v>No</x:v>
      </x:c>
      <x:c r="Q281" s="15" t="n">
        <x:v>18</x:v>
      </x:c>
      <x:c r="R281" s="13" t="n">
        <x:f>J281+Q281/1440</x:f>
        <x:v>46300.82916666666</x:v>
      </x:c>
      <x:c r="S281" s="2" t="str">
        <x:f>VLOOKUP(C281,'MES orders'!$A$8:$H$127,6,FALSE)</x:f>
        <x:v>Normal</x:v>
      </x:c>
      <x:c r="T281" s="9" t="str"/>
    </x:row>
    <x:row r="282" ht="22" customHeight="1">
      <x:c r="A282" s="2" t="str">
        <x:v>L00401-010</x:v>
      </x:c>
      <x:c r="B282" s="2" t="str">
        <x:v>L00401</x:v>
      </x:c>
      <x:c r="C282" s="2" t="str">
        <x:v>SO-26081</x:v>
      </x:c>
      <x:c r="D282" s="2" t="str">
        <x:v>D-S-AL</x:v>
      </x:c>
      <x:c r="E282" s="14" t="n">
        <x:v>25</x:v>
      </x:c>
      <x:c r="F282" s="2" t="str">
        <x:v>CNC machining</x:v>
      </x:c>
      <x:c r="G282" s="9" t="str">
        <x:v>CNC-06</x:v>
      </x:c>
      <x:c r="H282" s="15" t="n">
        <x:v>6</x:v>
      </x:c>
      <x:c r="I282" s="9" t="str">
        <x:v>P15</x:v>
      </x:c>
      <x:c r="J282" s="11" t="n">
        <x:v>46300.82847222222</x:v>
      </x:c>
      <x:c r="K282" s="15" t="n">
        <x:v>18</x:v>
      </x:c>
      <x:c r="L282" s="15" t="n">
        <x:v>60</x:v>
      </x:c>
      <x:c r="M282" s="13" t="n">
        <x:f>J282+(K282+L282)/1440</x:f>
        <x:v>46300.88263888889</x:v>
      </x:c>
      <x:c r="N282" s="13" t="n">
        <x:f>VLOOKUP(C282,'MES orders'!$A$8:$H$127,5,FALSE)</x:f>
        <x:v>46302.666666666664</x:v>
      </x:c>
      <x:c r="O282" s="16" t="n">
        <x:f>MAX(0,(M282-N282)*24)</x:f>
        <x:v>0</x:v>
      </x:c>
      <x:c r="P282" s="9" t="str">
        <x:v>No</x:v>
      </x:c>
      <x:c r="Q282" s="15" t="n">
        <x:v>18</x:v>
      </x:c>
      <x:c r="R282" s="13" t="n">
        <x:f>J282+Q282/1440</x:f>
        <x:v>46300.84097222222</x:v>
      </x:c>
      <x:c r="S282" s="2" t="str">
        <x:f>VLOOKUP(C282,'MES orders'!$A$8:$H$127,6,FALSE)</x:f>
        <x:v>Normal</x:v>
      </x:c>
      <x:c r="T282" s="9" t="str"/>
    </x:row>
    <x:row r="283" ht="22" customHeight="1">
      <x:c r="A283" s="2" t="str">
        <x:v>L00362-020</x:v>
      </x:c>
      <x:c r="B283" s="2" t="str">
        <x:v>L00362</x:v>
      </x:c>
      <x:c r="C283" s="2" t="str">
        <x:v>SO-26073</x:v>
      </x:c>
      <x:c r="D283" s="2" t="str">
        <x:v>D-C-AL</x:v>
      </x:c>
      <x:c r="E283" s="14" t="n">
        <x:v>25</x:v>
      </x:c>
      <x:c r="F283" s="2" t="str">
        <x:v>Deburr &amp; inspect</x:v>
      </x:c>
      <x:c r="G283" s="9" t="str">
        <x:v>DB-01</x:v>
      </x:c>
      <x:c r="H283" s="15" t="n">
        <x:v>31</x:v>
      </x:c>
      <x:c r="I283" s="9" t="str">
        <x:v>P13</x:v>
      </x:c>
      <x:c r="J283" s="11" t="n">
        <x:v>46300.82916666667</x:v>
      </x:c>
      <x:c r="K283" s="15" t="n">
        <x:v>4</x:v>
      </x:c>
      <x:c r="L283" s="15" t="n">
        <x:v>14</x:v>
      </x:c>
      <x:c r="M283" s="13" t="n">
        <x:f>J283+(K283+L283)/1440</x:f>
        <x:v>46300.84166666667</x:v>
      </x:c>
      <x:c r="N283" s="13" t="n">
        <x:f>VLOOKUP(C283,'MES orders'!$A$8:$H$127,5,FALSE)</x:f>
        <x:v>46302.666666666664</x:v>
      </x:c>
      <x:c r="O283" s="16" t="n">
        <x:f>MAX(0,(M283-N283)*24)</x:f>
        <x:v>0</x:v>
      </x:c>
      <x:c r="P283" s="9" t="str">
        <x:v>No</x:v>
      </x:c>
      <x:c r="Q283" s="15" t="n">
        <x:v>18</x:v>
      </x:c>
      <x:c r="R283" s="13" t="n">
        <x:f>J283+Q283/1440</x:f>
        <x:v>46300.84166666667</x:v>
      </x:c>
      <x:c r="S283" s="2" t="str">
        <x:f>VLOOKUP(C283,'MES orders'!$A$8:$H$127,6,FALSE)</x:f>
        <x:v>Normal</x:v>
      </x:c>
      <x:c r="T283" s="9" t="str"/>
    </x:row>
    <x:row r="284" ht="22" customHeight="1">
      <x:c r="A284" s="2" t="str">
        <x:v>L00241-070</x:v>
      </x:c>
      <x:c r="B284" s="2" t="str">
        <x:v>L00241</x:v>
      </x:c>
      <x:c r="C284" s="2" t="str">
        <x:v>SO-26049</x:v>
      </x:c>
      <x:c r="D284" s="2" t="str">
        <x:v>S-C-AL</x:v>
      </x:c>
      <x:c r="E284" s="14" t="n">
        <x:v>5</x:v>
      </x:c>
      <x:c r="F284" s="2" t="str">
        <x:v>Final assembly</x:v>
      </x:c>
      <x:c r="G284" s="9" t="str">
        <x:v>AS-01</x:v>
      </x:c>
      <x:c r="H284" s="15" t="n">
        <x:v>23</x:v>
      </x:c>
      <x:c r="I284" s="9" t="str">
        <x:v>P17</x:v>
      </x:c>
      <x:c r="J284" s="11" t="n">
        <x:v>46300.834027777775</x:v>
      </x:c>
      <x:c r="K284" s="15" t="n">
        <x:v>5</x:v>
      </x:c>
      <x:c r="L284" s="15" t="n">
        <x:v>3</x:v>
      </x:c>
      <x:c r="M284" s="13" t="n">
        <x:f>J284+(K284+L284)/1440</x:f>
        <x:v>46300.839583333334</x:v>
      </x:c>
      <x:c r="N284" s="13" t="n">
        <x:f>VLOOKUP(C284,'MES orders'!$A$8:$H$127,5,FALSE)</x:f>
        <x:v>46302.666666666664</x:v>
      </x:c>
      <x:c r="O284" s="16" t="n">
        <x:f>MAX(0,(M284-N284)*24)</x:f>
        <x:v>0</x:v>
      </x:c>
      <x:c r="P284" s="9" t="str">
        <x:v>No</x:v>
      </x:c>
      <x:c r="Q284" s="15" t="n">
        <x:v>8</x:v>
      </x:c>
      <x:c r="R284" s="13" t="n">
        <x:f>J284+Q284/1440</x:f>
        <x:v>46300.839583333334</x:v>
      </x:c>
      <x:c r="S284" s="2" t="str">
        <x:f>VLOOKUP(C284,'MES orders'!$A$8:$H$127,6,FALSE)</x:f>
        <x:v>Normal</x:v>
      </x:c>
      <x:c r="T284" s="9" t="str"/>
    </x:row>
    <x:row r="285" ht="22" customHeight="1">
      <x:c r="A285" s="2" t="str">
        <x:v>L00205-040</x:v>
      </x:c>
      <x:c r="B285" s="2" t="str">
        <x:v>L00205</x:v>
      </x:c>
      <x:c r="C285" s="2" t="str">
        <x:v>SO-26041</x:v>
      </x:c>
      <x:c r="D285" s="2" t="str">
        <x:v>R-L-AL</x:v>
      </x:c>
      <x:c r="E285" s="14" t="n">
        <x:v>15</x:v>
      </x:c>
      <x:c r="F285" s="2" t="str">
        <x:v>Mechanical assembly</x:v>
      </x:c>
      <x:c r="G285" s="9" t="str">
        <x:v>AS-02</x:v>
      </x:c>
      <x:c r="H285" s="15" t="n">
        <x:v>20</x:v>
      </x:c>
      <x:c r="I285" s="9" t="str">
        <x:v>P18</x:v>
      </x:c>
      <x:c r="J285" s="11" t="n">
        <x:v>46300.834027777775</x:v>
      </x:c>
      <x:c r="K285" s="15" t="n">
        <x:v>8</x:v>
      </x:c>
      <x:c r="L285" s="15" t="n">
        <x:v>36</x:v>
      </x:c>
      <x:c r="M285" s="13" t="n">
        <x:f>J285+(K285+L285)/1440</x:f>
        <x:v>46300.86458333333</x:v>
      </x:c>
      <x:c r="N285" s="13" t="n">
        <x:f>VLOOKUP(C285,'MES orders'!$A$8:$H$127,5,FALSE)</x:f>
        <x:v>46302.666666666664</x:v>
      </x:c>
      <x:c r="O285" s="16" t="n">
        <x:f>MAX(0,(M285-N285)*24)</x:f>
        <x:v>0</x:v>
      </x:c>
      <x:c r="P285" s="9" t="str">
        <x:v>No</x:v>
      </x:c>
      <x:c r="Q285" s="15" t="n">
        <x:v>44</x:v>
      </x:c>
      <x:c r="R285" s="13" t="n">
        <x:f>J285+Q285/1440</x:f>
        <x:v>46300.86458333333</x:v>
      </x:c>
      <x:c r="S285" s="2" t="str">
        <x:f>VLOOKUP(C285,'MES orders'!$A$8:$H$127,6,FALSE)</x:f>
        <x:v>Normal</x:v>
      </x:c>
      <x:c r="T285" s="9" t="str"/>
    </x:row>
    <x:row r="286" ht="22" customHeight="1">
      <x:c r="A286" s="2" t="str">
        <x:v>L00201-060</x:v>
      </x:c>
      <x:c r="B286" s="2" t="str">
        <x:v>L00201</x:v>
      </x:c>
      <x:c r="C286" s="2" t="str">
        <x:v>SO-26041</x:v>
      </x:c>
      <x:c r="D286" s="2" t="str">
        <x:v>R-L-AL</x:v>
      </x:c>
      <x:c r="E286" s="14" t="n">
        <x:v>15</x:v>
      </x:c>
      <x:c r="F286" s="2" t="str">
        <x:v>Final leak / function test</x:v>
      </x:c>
      <x:c r="G286" s="9" t="str">
        <x:v>QA-02</x:v>
      </x:c>
      <x:c r="H286" s="15" t="n">
        <x:v>18</x:v>
      </x:c>
      <x:c r="I286" s="9" t="str">
        <x:v>P23</x:v>
      </x:c>
      <x:c r="J286" s="11" t="n">
        <x:v>46300.834027777775</x:v>
      </x:c>
      <x:c r="K286" s="15" t="n">
        <x:v>10</x:v>
      </x:c>
      <x:c r="L286" s="15" t="n">
        <x:v>18</x:v>
      </x:c>
      <x:c r="M286" s="13" t="n">
        <x:f>J286+(K286+L286)/1440</x:f>
        <x:v>46300.85347222222</x:v>
      </x:c>
      <x:c r="N286" s="13" t="n">
        <x:f>VLOOKUP(C286,'MES orders'!$A$8:$H$127,5,FALSE)</x:f>
        <x:v>46302.666666666664</x:v>
      </x:c>
      <x:c r="O286" s="16" t="n">
        <x:f>MAX(0,(M286-N286)*24)</x:f>
        <x:v>0</x:v>
      </x:c>
      <x:c r="P286" s="9" t="str">
        <x:v>No</x:v>
      </x:c>
      <x:c r="Q286" s="15" t="n">
        <x:v>28</x:v>
      </x:c>
      <x:c r="R286" s="13" t="n">
        <x:f>J286+Q286/1440</x:f>
        <x:v>46300.85347222222</x:v>
      </x:c>
      <x:c r="S286" s="2" t="str">
        <x:f>VLOOKUP(C286,'MES orders'!$A$8:$H$127,6,FALSE)</x:f>
        <x:v>Normal</x:v>
      </x:c>
      <x:c r="T286" s="9" t="str"/>
    </x:row>
    <x:row r="287" ht="22" customHeight="1">
      <x:c r="A287" s="2" t="str">
        <x:v>L00202-060</x:v>
      </x:c>
      <x:c r="B287" s="2" t="str">
        <x:v>L00202</x:v>
      </x:c>
      <x:c r="C287" s="2" t="str">
        <x:v>SO-26041</x:v>
      </x:c>
      <x:c r="D287" s="2" t="str">
        <x:v>R-L-AL</x:v>
      </x:c>
      <x:c r="E287" s="14" t="n">
        <x:v>15</x:v>
      </x:c>
      <x:c r="F287" s="2" t="str">
        <x:v>Final leak / function test</x:v>
      </x:c>
      <x:c r="G287" s="9" t="str">
        <x:v>QA-03</x:v>
      </x:c>
      <x:c r="H287" s="15" t="n">
        <x:v>11</x:v>
      </x:c>
      <x:c r="I287" s="9" t="str">
        <x:v>P24</x:v>
      </x:c>
      <x:c r="J287" s="11" t="n">
        <x:v>46300.834027777775</x:v>
      </x:c>
      <x:c r="K287" s="15" t="n">
        <x:v>10</x:v>
      </x:c>
      <x:c r="L287" s="15" t="n">
        <x:v>18</x:v>
      </x:c>
      <x:c r="M287" s="13" t="n">
        <x:f>J287+(K287+L287)/1440</x:f>
        <x:v>46300.85347222222</x:v>
      </x:c>
      <x:c r="N287" s="13" t="n">
        <x:f>VLOOKUP(C287,'MES orders'!$A$8:$H$127,5,FALSE)</x:f>
        <x:v>46302.666666666664</x:v>
      </x:c>
      <x:c r="O287" s="16" t="n">
        <x:f>MAX(0,(M287-N287)*24)</x:f>
        <x:v>0</x:v>
      </x:c>
      <x:c r="P287" s="9" t="str">
        <x:v>No</x:v>
      </x:c>
      <x:c r="Q287" s="15" t="n">
        <x:v>28</x:v>
      </x:c>
      <x:c r="R287" s="13" t="n">
        <x:f>J287+Q287/1440</x:f>
        <x:v>46300.85347222222</x:v>
      </x:c>
      <x:c r="S287" s="2" t="str">
        <x:f>VLOOKUP(C287,'MES orders'!$A$8:$H$127,6,FALSE)</x:f>
        <x:v>Normal</x:v>
      </x:c>
      <x:c r="T287" s="9" t="str"/>
    </x:row>
    <x:row r="288" ht="22" customHeight="1">
      <x:c r="A288" s="2" t="str">
        <x:v>L00363-020</x:v>
      </x:c>
      <x:c r="B288" s="2" t="str">
        <x:v>L00363</x:v>
      </x:c>
      <x:c r="C288" s="2" t="str">
        <x:v>SO-26073</x:v>
      </x:c>
      <x:c r="D288" s="2" t="str">
        <x:v>D-C-AL</x:v>
      </x:c>
      <x:c r="E288" s="14" t="n">
        <x:v>25</x:v>
      </x:c>
      <x:c r="F288" s="2" t="str">
        <x:v>Deburr &amp; inspect</x:v>
      </x:c>
      <x:c r="G288" s="9" t="str">
        <x:v>DB-02</x:v>
      </x:c>
      <x:c r="H288" s="15" t="n">
        <x:v>18</x:v>
      </x:c>
      <x:c r="I288" s="9" t="str">
        <x:v>P14</x:v>
      </x:c>
      <x:c r="J288" s="11" t="n">
        <x:v>46300.83819444444</x:v>
      </x:c>
      <x:c r="K288" s="15" t="n">
        <x:v>4</x:v>
      </x:c>
      <x:c r="L288" s="15" t="n">
        <x:v>14</x:v>
      </x:c>
      <x:c r="M288" s="13" t="n">
        <x:f>J288+(K288+L288)/1440</x:f>
        <x:v>46300.85069444444</x:v>
      </x:c>
      <x:c r="N288" s="13" t="n">
        <x:f>VLOOKUP(C288,'MES orders'!$A$8:$H$127,5,FALSE)</x:f>
        <x:v>46302.666666666664</x:v>
      </x:c>
      <x:c r="O288" s="16" t="n">
        <x:f>MAX(0,(M288-N288)*24)</x:f>
        <x:v>0</x:v>
      </x:c>
      <x:c r="P288" s="9" t="str">
        <x:v>No</x:v>
      </x:c>
      <x:c r="Q288" s="15" t="n">
        <x:v>18</x:v>
      </x:c>
      <x:c r="R288" s="13" t="n">
        <x:f>J288+Q288/1440</x:f>
        <x:v>46300.85069444444</x:v>
      </x:c>
      <x:c r="S288" s="2" t="str">
        <x:f>VLOOKUP(C288,'MES orders'!$A$8:$H$127,6,FALSE)</x:f>
        <x:v>Normal</x:v>
      </x:c>
      <x:c r="T288" s="9" t="str"/>
    </x:row>
    <x:row r="289" ht="22" customHeight="1">
      <x:c r="A289" s="2" t="str">
        <x:v>L00242-070</x:v>
      </x:c>
      <x:c r="B289" s="2" t="str">
        <x:v>L00242</x:v>
      </x:c>
      <x:c r="C289" s="2" t="str">
        <x:v>SO-26049</x:v>
      </x:c>
      <x:c r="D289" s="2" t="str">
        <x:v>S-C-AL</x:v>
      </x:c>
      <x:c r="E289" s="14" t="n">
        <x:v>5</x:v>
      </x:c>
      <x:c r="F289" s="2" t="str">
        <x:v>Final assembly</x:v>
      </x:c>
      <x:c r="G289" s="9" t="str">
        <x:v>AS-01</x:v>
      </x:c>
      <x:c r="H289" s="15" t="n">
        <x:v>24</x:v>
      </x:c>
      <x:c r="I289" s="9" t="str">
        <x:v>P17</x:v>
      </x:c>
      <x:c r="J289" s="11" t="n">
        <x:v>46300.839583333334</x:v>
      </x:c>
      <x:c r="K289" s="15" t="n">
        <x:v>5</x:v>
      </x:c>
      <x:c r="L289" s="15" t="n">
        <x:v>3</x:v>
      </x:c>
      <x:c r="M289" s="13" t="n">
        <x:f>J289+(K289+L289)/1440</x:f>
        <x:v>46300.84513888889</x:v>
      </x:c>
      <x:c r="N289" s="13" t="n">
        <x:f>VLOOKUP(C289,'MES orders'!$A$8:$H$127,5,FALSE)</x:f>
        <x:v>46302.666666666664</x:v>
      </x:c>
      <x:c r="O289" s="16" t="n">
        <x:f>MAX(0,(M289-N289)*24)</x:f>
        <x:v>0</x:v>
      </x:c>
      <x:c r="P289" s="9" t="str">
        <x:v>No</x:v>
      </x:c>
      <x:c r="Q289" s="15" t="n">
        <x:v>8</x:v>
      </x:c>
      <x:c r="R289" s="13" t="n">
        <x:f>J289+Q289/1440</x:f>
        <x:v>46300.84513888889</x:v>
      </x:c>
      <x:c r="S289" s="2" t="str">
        <x:f>VLOOKUP(C289,'MES orders'!$A$8:$H$127,6,FALSE)</x:f>
        <x:v>Normal</x:v>
      </x:c>
      <x:c r="T289" s="9" t="str"/>
    </x:row>
    <x:row r="290" ht="22" customHeight="1">
      <x:c r="A290" s="2" t="str">
        <x:v>L00362-030</x:v>
      </x:c>
      <x:c r="B290" s="2" t="str">
        <x:v>L00362</x:v>
      </x:c>
      <x:c r="C290" s="2" t="str">
        <x:v>SO-26073</x:v>
      </x:c>
      <x:c r="D290" s="2" t="str">
        <x:v>D-C-AL</x:v>
      </x:c>
      <x:c r="E290" s="14" t="n">
        <x:v>25</x:v>
      </x:c>
      <x:c r="F290" s="2" t="str">
        <x:v>Wash &amp; dry</x:v>
      </x:c>
      <x:c r="G290" s="9" t="str">
        <x:v>WS-01</x:v>
      </x:c>
      <x:c r="H290" s="15" t="n">
        <x:v>28</x:v>
      </x:c>
      <x:c r="I290" s="9" t="str">
        <x:v>P13</x:v>
      </x:c>
      <x:c r="J290" s="11" t="n">
        <x:v>46300.84166666667</x:v>
      </x:c>
      <x:c r="K290" s="15" t="n">
        <x:v>12</x:v>
      </x:c>
      <x:c r="L290" s="15" t="n">
        <x:v>7</x:v>
      </x:c>
      <x:c r="M290" s="13" t="n">
        <x:f>J290+(K290+L290)/1440</x:f>
        <x:v>46300.85486111111</x:v>
      </x:c>
      <x:c r="N290" s="13" t="n">
        <x:f>VLOOKUP(C290,'MES orders'!$A$8:$H$127,5,FALSE)</x:f>
        <x:v>46302.666666666664</x:v>
      </x:c>
      <x:c r="O290" s="16" t="n">
        <x:f>MAX(0,(M290-N290)*24)</x:f>
        <x:v>0</x:v>
      </x:c>
      <x:c r="P290" s="9" t="str">
        <x:v>No</x:v>
      </x:c>
      <x:c r="Q290" s="15" t="n">
        <x:v>19</x:v>
      </x:c>
      <x:c r="R290" s="13" t="n">
        <x:f>J290+Q290/1440</x:f>
        <x:v>46300.85486111111</x:v>
      </x:c>
      <x:c r="S290" s="2" t="str">
        <x:f>VLOOKUP(C290,'MES orders'!$A$8:$H$127,6,FALSE)</x:f>
        <x:v>Normal</x:v>
      </x:c>
      <x:c r="T290" s="9" t="str"/>
    </x:row>
    <x:row r="291" ht="22" customHeight="1">
      <x:c r="A291" s="2" t="str">
        <x:v>L00203-050</x:v>
      </x:c>
      <x:c r="B291" s="2" t="str">
        <x:v>L00203</x:v>
      </x:c>
      <x:c r="C291" s="2" t="str">
        <x:v>SO-26041</x:v>
      </x:c>
      <x:c r="D291" s="2" t="str">
        <x:v>R-L-AL</x:v>
      </x:c>
      <x:c r="E291" s="14" t="n">
        <x:v>15</x:v>
      </x:c>
      <x:c r="F291" s="2" t="str">
        <x:v>Valve adjustment</x:v>
      </x:c>
      <x:c r="G291" s="9" t="str">
        <x:v>AS-01</x:v>
      </x:c>
      <x:c r="H291" s="15" t="n">
        <x:v>25</x:v>
      </x:c>
      <x:c r="I291" s="9" t="str">
        <x:v>P17</x:v>
      </x:c>
      <x:c r="J291" s="11" t="n">
        <x:v>46300.845138888886</x:v>
      </x:c>
      <x:c r="K291" s="15" t="n">
        <x:v>6</x:v>
      </x:c>
      <x:c r="L291" s="15" t="n">
        <x:v>22</x:v>
      </x:c>
      <x:c r="M291" s="13" t="n">
        <x:f>J291+(K291+L291)/1440</x:f>
        <x:v>46300.86458333333</x:v>
      </x:c>
      <x:c r="N291" s="13" t="n">
        <x:f>VLOOKUP(C291,'MES orders'!$A$8:$H$127,5,FALSE)</x:f>
        <x:v>46302.666666666664</x:v>
      </x:c>
      <x:c r="O291" s="16" t="n">
        <x:f>MAX(0,(M291-N291)*24)</x:f>
        <x:v>0</x:v>
      </x:c>
      <x:c r="P291" s="9" t="str">
        <x:v>No</x:v>
      </x:c>
      <x:c r="Q291" s="15" t="n">
        <x:v>28</x:v>
      </x:c>
      <x:c r="R291" s="13" t="n">
        <x:f>J291+Q291/1440</x:f>
        <x:v>46300.86458333333</x:v>
      </x:c>
      <x:c r="S291" s="2" t="str">
        <x:f>VLOOKUP(C291,'MES orders'!$A$8:$H$127,6,FALSE)</x:f>
        <x:v>Normal</x:v>
      </x:c>
      <x:c r="T291" s="9" t="str"/>
    </x:row>
    <x:row r="292" ht="22" customHeight="1">
      <x:c r="A292" s="2" t="str">
        <x:v>L00321-020</x:v>
      </x:c>
      <x:c r="B292" s="2" t="str">
        <x:v>L00321</x:v>
      </x:c>
      <x:c r="C292" s="2" t="str">
        <x:v>SO-26065</x:v>
      </x:c>
      <x:c r="D292" s="2" t="str">
        <x:v>S-L-AL</x:v>
      </x:c>
      <x:c r="E292" s="14" t="n">
        <x:v>20</x:v>
      </x:c>
      <x:c r="F292" s="2" t="str">
        <x:v>Deburr &amp; inspect</x:v>
      </x:c>
      <x:c r="G292" s="9" t="str">
        <x:v>DB-01</x:v>
      </x:c>
      <x:c r="H292" s="15" t="n">
        <x:v>32</x:v>
      </x:c>
      <x:c r="I292" s="9" t="str">
        <x:v>P16</x:v>
      </x:c>
      <x:c r="J292" s="11" t="n">
        <x:v>46300.845138888886</x:v>
      </x:c>
      <x:c r="K292" s="15" t="n">
        <x:v>4</x:v>
      </x:c>
      <x:c r="L292" s="15" t="n">
        <x:v>19</x:v>
      </x:c>
      <x:c r="M292" s="13" t="n">
        <x:f>J292+(K292+L292)/1440</x:f>
        <x:v>46300.86111111111</x:v>
      </x:c>
      <x:c r="N292" s="13" t="n">
        <x:f>VLOOKUP(C292,'MES orders'!$A$8:$H$127,5,FALSE)</x:f>
        <x:v>46302.666666666664</x:v>
      </x:c>
      <x:c r="O292" s="16" t="n">
        <x:f>MAX(0,(M292-N292)*24)</x:f>
        <x:v>0</x:v>
      </x:c>
      <x:c r="P292" s="9" t="str">
        <x:v>No</x:v>
      </x:c>
      <x:c r="Q292" s="15" t="n">
        <x:v>23</x:v>
      </x:c>
      <x:c r="R292" s="13" t="n">
        <x:f>J292+Q292/1440</x:f>
        <x:v>46300.86111111111</x:v>
      </x:c>
      <x:c r="S292" s="2" t="str">
        <x:f>VLOOKUP(C292,'MES orders'!$A$8:$H$127,6,FALSE)</x:f>
        <x:v>Normal</x:v>
      </x:c>
      <x:c r="T292" s="9" t="str"/>
    </x:row>
    <x:row r="293" ht="22" customHeight="1">
      <x:c r="A293" s="2" t="str">
        <x:v>L00364-020</x:v>
      </x:c>
      <x:c r="B293" s="2" t="str">
        <x:v>L00364</x:v>
      </x:c>
      <x:c r="C293" s="2" t="str">
        <x:v>SO-26073</x:v>
      </x:c>
      <x:c r="D293" s="2" t="str">
        <x:v>D-C-AL</x:v>
      </x:c>
      <x:c r="E293" s="14" t="n">
        <x:v>25</x:v>
      </x:c>
      <x:c r="F293" s="2" t="str">
        <x:v>Deburr &amp; inspect</x:v>
      </x:c>
      <x:c r="G293" s="9" t="str">
        <x:v>DB-02</x:v>
      </x:c>
      <x:c r="H293" s="15" t="n">
        <x:v>19</x:v>
      </x:c>
      <x:c r="I293" s="9" t="str">
        <x:v>P15</x:v>
      </x:c>
      <x:c r="J293" s="11" t="n">
        <x:v>46300.850694444445</x:v>
      </x:c>
      <x:c r="K293" s="15" t="n">
        <x:v>4</x:v>
      </x:c>
      <x:c r="L293" s="15" t="n">
        <x:v>14</x:v>
      </x:c>
      <x:c r="M293" s="13" t="n">
        <x:f>J293+(K293+L293)/1440</x:f>
        <x:v>46300.86319444444</x:v>
      </x:c>
      <x:c r="N293" s="13" t="n">
        <x:f>VLOOKUP(C293,'MES orders'!$A$8:$H$127,5,FALSE)</x:f>
        <x:v>46302.666666666664</x:v>
      </x:c>
      <x:c r="O293" s="16" t="n">
        <x:f>MAX(0,(M293-N293)*24)</x:f>
        <x:v>0</x:v>
      </x:c>
      <x:c r="P293" s="9" t="str">
        <x:v>No</x:v>
      </x:c>
      <x:c r="Q293" s="15" t="n">
        <x:v>18</x:v>
      </x:c>
      <x:c r="R293" s="13" t="n">
        <x:f>J293+Q293/1440</x:f>
        <x:v>46300.86319444444</x:v>
      </x:c>
      <x:c r="S293" s="2" t="str">
        <x:f>VLOOKUP(C293,'MES orders'!$A$8:$H$127,6,FALSE)</x:f>
        <x:v>Normal</x:v>
      </x:c>
      <x:c r="T293" s="9" t="str"/>
    </x:row>
    <x:row r="294" ht="22" customHeight="1">
      <x:c r="A294" s="2" t="str">
        <x:v>L00363-030</x:v>
      </x:c>
      <x:c r="B294" s="2" t="str">
        <x:v>L00363</x:v>
      </x:c>
      <x:c r="C294" s="2" t="str">
        <x:v>SO-26073</x:v>
      </x:c>
      <x:c r="D294" s="2" t="str">
        <x:v>D-C-AL</x:v>
      </x:c>
      <x:c r="E294" s="14" t="n">
        <x:v>25</x:v>
      </x:c>
      <x:c r="F294" s="2" t="str">
        <x:v>Wash &amp; dry</x:v>
      </x:c>
      <x:c r="G294" s="9" t="str">
        <x:v>WS-02</x:v>
      </x:c>
      <x:c r="H294" s="15" t="n">
        <x:v>19</x:v>
      </x:c>
      <x:c r="I294" s="9" t="str">
        <x:v>P14</x:v>
      </x:c>
      <x:c r="J294" s="11" t="n">
        <x:v>46300.850694444445</x:v>
      </x:c>
      <x:c r="K294" s="15" t="n">
        <x:v>12</x:v>
      </x:c>
      <x:c r="L294" s="15" t="n">
        <x:v>7</x:v>
      </x:c>
      <x:c r="M294" s="13" t="n">
        <x:f>J294+(K294+L294)/1440</x:f>
        <x:v>46300.86388888889</x:v>
      </x:c>
      <x:c r="N294" s="13" t="n">
        <x:f>VLOOKUP(C294,'MES orders'!$A$8:$H$127,5,FALSE)</x:f>
        <x:v>46302.666666666664</x:v>
      </x:c>
      <x:c r="O294" s="16" t="n">
        <x:f>MAX(0,(M294-N294)*24)</x:f>
        <x:v>0</x:v>
      </x:c>
      <x:c r="P294" s="9" t="str">
        <x:v>No</x:v>
      </x:c>
      <x:c r="Q294" s="15" t="n">
        <x:v>19</x:v>
      </x:c>
      <x:c r="R294" s="13" t="n">
        <x:f>J294+Q294/1440</x:f>
        <x:v>46300.86388888889</x:v>
      </x:c>
      <x:c r="S294" s="2" t="str">
        <x:f>VLOOKUP(C294,'MES orders'!$A$8:$H$127,6,FALSE)</x:f>
        <x:v>Normal</x:v>
      </x:c>
      <x:c r="T294" s="9" t="str"/>
    </x:row>
    <x:row r="295" ht="22" customHeight="1">
      <x:c r="A295" s="2" t="str">
        <x:v>L00241-080</x:v>
      </x:c>
      <x:c r="B295" s="2" t="str">
        <x:v>L00241</x:v>
      </x:c>
      <x:c r="C295" s="2" t="str">
        <x:v>SO-26049</x:v>
      </x:c>
      <x:c r="D295" s="2" t="str">
        <x:v>S-C-AL</x:v>
      </x:c>
      <x:c r="E295" s="14" t="n">
        <x:v>5</x:v>
      </x:c>
      <x:c r="F295" s="2" t="str">
        <x:v>Final leak / function test</x:v>
      </x:c>
      <x:c r="G295" s="9" t="str">
        <x:v>QA-02</x:v>
      </x:c>
      <x:c r="H295" s="15" t="n">
        <x:v>19</x:v>
      </x:c>
      <x:c r="I295" s="9" t="str">
        <x:v>P23</x:v>
      </x:c>
      <x:c r="J295" s="11" t="n">
        <x:v>46300.853472222225</x:v>
      </x:c>
      <x:c r="K295" s="15" t="n">
        <x:v>10</x:v>
      </x:c>
      <x:c r="L295" s="15" t="n">
        <x:v>4</x:v>
      </x:c>
      <x:c r="M295" s="13" t="n">
        <x:f>J295+(K295+L295)/1440</x:f>
        <x:v>46300.86319444445</x:v>
      </x:c>
      <x:c r="N295" s="13" t="n">
        <x:f>VLOOKUP(C295,'MES orders'!$A$8:$H$127,5,FALSE)</x:f>
        <x:v>46302.666666666664</x:v>
      </x:c>
      <x:c r="O295" s="16" t="n">
        <x:f>MAX(0,(M295-N295)*24)</x:f>
        <x:v>0</x:v>
      </x:c>
      <x:c r="P295" s="9" t="str">
        <x:v>No</x:v>
      </x:c>
      <x:c r="Q295" s="15" t="n">
        <x:v>14</x:v>
      </x:c>
      <x:c r="R295" s="13" t="n">
        <x:f>J295+Q295/1440</x:f>
        <x:v>46300.86319444445</x:v>
      </x:c>
      <x:c r="S295" s="2" t="str">
        <x:f>VLOOKUP(C295,'MES orders'!$A$8:$H$127,6,FALSE)</x:f>
        <x:v>Normal</x:v>
      </x:c>
      <x:c r="T295" s="9" t="str"/>
    </x:row>
    <x:row r="296" ht="22" customHeight="1">
      <x:c r="A296" s="2" t="str">
        <x:v>L00242-080</x:v>
      </x:c>
      <x:c r="B296" s="2" t="str">
        <x:v>L00242</x:v>
      </x:c>
      <x:c r="C296" s="2" t="str">
        <x:v>SO-26049</x:v>
      </x:c>
      <x:c r="D296" s="2" t="str">
        <x:v>S-C-AL</x:v>
      </x:c>
      <x:c r="E296" s="14" t="n">
        <x:v>5</x:v>
      </x:c>
      <x:c r="F296" s="2" t="str">
        <x:v>Final leak / function test</x:v>
      </x:c>
      <x:c r="G296" s="9" t="str">
        <x:v>QA-03</x:v>
      </x:c>
      <x:c r="H296" s="15" t="n">
        <x:v>12</x:v>
      </x:c>
      <x:c r="I296" s="9" t="str">
        <x:v>P24</x:v>
      </x:c>
      <x:c r="J296" s="11" t="n">
        <x:v>46300.853472222225</x:v>
      </x:c>
      <x:c r="K296" s="15" t="n">
        <x:v>10</x:v>
      </x:c>
      <x:c r="L296" s="15" t="n">
        <x:v>4</x:v>
      </x:c>
      <x:c r="M296" s="13" t="n">
        <x:f>J296+(K296+L296)/1440</x:f>
        <x:v>46300.86319444445</x:v>
      </x:c>
      <x:c r="N296" s="13" t="n">
        <x:f>VLOOKUP(C296,'MES orders'!$A$8:$H$127,5,FALSE)</x:f>
        <x:v>46302.666666666664</x:v>
      </x:c>
      <x:c r="O296" s="16" t="n">
        <x:f>MAX(0,(M296-N296)*24)</x:f>
        <x:v>0</x:v>
      </x:c>
      <x:c r="P296" s="9" t="str">
        <x:v>No</x:v>
      </x:c>
      <x:c r="Q296" s="15" t="n">
        <x:v>14</x:v>
      </x:c>
      <x:c r="R296" s="13" t="n">
        <x:f>J296+Q296/1440</x:f>
        <x:v>46300.86319444445</x:v>
      </x:c>
      <x:c r="S296" s="2" t="str">
        <x:f>VLOOKUP(C296,'MES orders'!$A$8:$H$127,6,FALSE)</x:f>
        <x:v>Normal</x:v>
      </x:c>
      <x:c r="T296" s="9" t="str"/>
    </x:row>
    <x:row r="297" ht="22" customHeight="1">
      <x:c r="A297" s="2" t="str">
        <x:v>L00362-040</x:v>
      </x:c>
      <x:c r="B297" s="2" t="str">
        <x:v>L00362</x:v>
      </x:c>
      <x:c r="C297" s="2" t="str">
        <x:v>SO-26073</x:v>
      </x:c>
      <x:c r="D297" s="2" t="str">
        <x:v>D-C-AL</x:v>
      </x:c>
      <x:c r="E297" s="14" t="n">
        <x:v>25</x:v>
      </x:c>
      <x:c r="F297" s="2" t="str">
        <x:v>Mechanical assembly</x:v>
      </x:c>
      <x:c r="G297" s="9" t="str">
        <x:v>AS-03</x:v>
      </x:c>
      <x:c r="H297" s="15" t="n">
        <x:v>14</x:v>
      </x:c>
      <x:c r="I297" s="9" t="str">
        <x:v>P13</x:v>
      </x:c>
      <x:c r="J297" s="11" t="n">
        <x:v>46300.85486111111</x:v>
      </x:c>
      <x:c r="K297" s="15" t="n">
        <x:v>8</x:v>
      </x:c>
      <x:c r="L297" s="15" t="n">
        <x:v>36</x:v>
      </x:c>
      <x:c r="M297" s="13" t="n">
        <x:f>J297+(K297+L297)/1440</x:f>
        <x:v>46300.885416666664</x:v>
      </x:c>
      <x:c r="N297" s="13" t="n">
        <x:f>VLOOKUP(C297,'MES orders'!$A$8:$H$127,5,FALSE)</x:f>
        <x:v>46302.666666666664</x:v>
      </x:c>
      <x:c r="O297" s="16" t="n">
        <x:f>MAX(0,(M297-N297)*24)</x:f>
        <x:v>0</x:v>
      </x:c>
      <x:c r="P297" s="9" t="str">
        <x:v>No</x:v>
      </x:c>
      <x:c r="Q297" s="15" t="n">
        <x:v>44</x:v>
      </x:c>
      <x:c r="R297" s="13" t="n">
        <x:f>J297+Q297/1440</x:f>
        <x:v>46300.885416666664</x:v>
      </x:c>
      <x:c r="S297" s="2" t="str">
        <x:f>VLOOKUP(C297,'MES orders'!$A$8:$H$127,6,FALSE)</x:f>
        <x:v>Normal</x:v>
      </x:c>
      <x:c r="T297" s="9" t="str"/>
    </x:row>
    <x:row r="298" ht="22" customHeight="1">
      <x:c r="A298" s="2" t="str">
        <x:v>L00321-030</x:v>
      </x:c>
      <x:c r="B298" s="2" t="str">
        <x:v>L00321</x:v>
      </x:c>
      <x:c r="C298" s="2" t="str">
        <x:v>SO-26065</x:v>
      </x:c>
      <x:c r="D298" s="2" t="str">
        <x:v>S-L-AL</x:v>
      </x:c>
      <x:c r="E298" s="14" t="n">
        <x:v>20</x:v>
      </x:c>
      <x:c r="F298" s="2" t="str">
        <x:v>Wash &amp; dry</x:v>
      </x:c>
      <x:c r="G298" s="9" t="str">
        <x:v>WS-01</x:v>
      </x:c>
      <x:c r="H298" s="15" t="n">
        <x:v>29</x:v>
      </x:c>
      <x:c r="I298" s="9" t="str">
        <x:v>P16</x:v>
      </x:c>
      <x:c r="J298" s="11" t="n">
        <x:v>46300.86111111111</x:v>
      </x:c>
      <x:c r="K298" s="15" t="n">
        <x:v>12</x:v>
      </x:c>
      <x:c r="L298" s="15" t="n">
        <x:v>9</x:v>
      </x:c>
      <x:c r="M298" s="13" t="n">
        <x:f>J298+(K298+L298)/1440</x:f>
        <x:v>46300.87569444444</x:v>
      </x:c>
      <x:c r="N298" s="13" t="n">
        <x:f>VLOOKUP(C298,'MES orders'!$A$8:$H$127,5,FALSE)</x:f>
        <x:v>46302.666666666664</x:v>
      </x:c>
      <x:c r="O298" s="16" t="n">
        <x:f>MAX(0,(M298-N298)*24)</x:f>
        <x:v>0</x:v>
      </x:c>
      <x:c r="P298" s="9" t="str">
        <x:v>No</x:v>
      </x:c>
      <x:c r="Q298" s="15" t="n">
        <x:v>21</x:v>
      </x:c>
      <x:c r="R298" s="13" t="n">
        <x:f>J298+Q298/1440</x:f>
        <x:v>46300.87569444444</x:v>
      </x:c>
      <x:c r="S298" s="2" t="str">
        <x:f>VLOOKUP(C298,'MES orders'!$A$8:$H$127,6,FALSE)</x:f>
        <x:v>Normal</x:v>
      </x:c>
      <x:c r="T298" s="9" t="str"/>
    </x:row>
    <x:row r="299" ht="22" customHeight="1">
      <x:c r="A299" s="2" t="str">
        <x:v>L00365-020</x:v>
      </x:c>
      <x:c r="B299" s="2" t="str">
        <x:v>L00365</x:v>
      </x:c>
      <x:c r="C299" s="2" t="str">
        <x:v>SO-26073</x:v>
      </x:c>
      <x:c r="D299" s="2" t="str">
        <x:v>D-C-AL</x:v>
      </x:c>
      <x:c r="E299" s="14" t="n">
        <x:v>25</x:v>
      </x:c>
      <x:c r="F299" s="2" t="str">
        <x:v>Deburr &amp; inspect</x:v>
      </x:c>
      <x:c r="G299" s="9" t="str">
        <x:v>DB-02</x:v>
      </x:c>
      <x:c r="H299" s="15" t="n">
        <x:v>20</x:v>
      </x:c>
      <x:c r="I299" s="9" t="str">
        <x:v>P19</x:v>
      </x:c>
      <x:c r="J299" s="11" t="n">
        <x:v>46300.86319444444</x:v>
      </x:c>
      <x:c r="K299" s="15" t="n">
        <x:v>4</x:v>
      </x:c>
      <x:c r="L299" s="15" t="n">
        <x:v>14</x:v>
      </x:c>
      <x:c r="M299" s="13" t="n">
        <x:f>J299+(K299+L299)/1440</x:f>
        <x:v>46300.87569444444</x:v>
      </x:c>
      <x:c r="N299" s="13" t="n">
        <x:f>VLOOKUP(C299,'MES orders'!$A$8:$H$127,5,FALSE)</x:f>
        <x:v>46302.666666666664</x:v>
      </x:c>
      <x:c r="O299" s="16" t="n">
        <x:f>MAX(0,(M299-N299)*24)</x:f>
        <x:v>0</x:v>
      </x:c>
      <x:c r="P299" s="9" t="str">
        <x:v>No</x:v>
      </x:c>
      <x:c r="Q299" s="15" t="n">
        <x:v>18</x:v>
      </x:c>
      <x:c r="R299" s="13" t="n">
        <x:f>J299+Q299/1440</x:f>
        <x:v>46300.87569444444</x:v>
      </x:c>
      <x:c r="S299" s="2" t="str">
        <x:f>VLOOKUP(C299,'MES orders'!$A$8:$H$127,6,FALSE)</x:f>
        <x:v>Normal</x:v>
      </x:c>
      <x:c r="T299" s="9" t="str"/>
    </x:row>
    <x:row r="300" ht="22" customHeight="1">
      <x:c r="A300" s="2" t="str">
        <x:v>L00363-040</x:v>
      </x:c>
      <x:c r="B300" s="2" t="str">
        <x:v>L00363</x:v>
      </x:c>
      <x:c r="C300" s="2" t="str">
        <x:v>SO-26073</x:v>
      </x:c>
      <x:c r="D300" s="2" t="str">
        <x:v>D-C-AL</x:v>
      </x:c>
      <x:c r="E300" s="14" t="n">
        <x:v>25</x:v>
      </x:c>
      <x:c r="F300" s="2" t="str">
        <x:v>Mechanical assembly</x:v>
      </x:c>
      <x:c r="G300" s="9" t="str">
        <x:v>AS-04</x:v>
      </x:c>
      <x:c r="H300" s="15" t="n">
        <x:v>7</x:v>
      </x:c>
      <x:c r="I300" s="9" t="str">
        <x:v>P14</x:v>
      </x:c>
      <x:c r="J300" s="11" t="n">
        <x:v>46300.86388888889</x:v>
      </x:c>
      <x:c r="K300" s="15" t="n">
        <x:v>8</x:v>
      </x:c>
      <x:c r="L300" s="15" t="n">
        <x:v>36</x:v>
      </x:c>
      <x:c r="M300" s="13" t="n">
        <x:f>J300+(K300+L300)/1440</x:f>
        <x:v>46300.89444444444</x:v>
      </x:c>
      <x:c r="N300" s="13" t="n">
        <x:f>VLOOKUP(C300,'MES orders'!$A$8:$H$127,5,FALSE)</x:f>
        <x:v>46302.666666666664</x:v>
      </x:c>
      <x:c r="O300" s="16" t="n">
        <x:f>MAX(0,(M300-N300)*24)</x:f>
        <x:v>0</x:v>
      </x:c>
      <x:c r="P300" s="9" t="str">
        <x:v>No</x:v>
      </x:c>
      <x:c r="Q300" s="15" t="n">
        <x:v>44</x:v>
      </x:c>
      <x:c r="R300" s="13" t="n">
        <x:f>J300+Q300/1440</x:f>
        <x:v>46300.89444444444</x:v>
      </x:c>
      <x:c r="S300" s="2" t="str">
        <x:f>VLOOKUP(C300,'MES orders'!$A$8:$H$127,6,FALSE)</x:f>
        <x:v>Normal</x:v>
      </x:c>
      <x:c r="T300" s="9" t="str"/>
    </x:row>
    <x:row r="301" ht="22" customHeight="1">
      <x:c r="A301" s="2" t="str">
        <x:v>L00364-030</x:v>
      </x:c>
      <x:c r="B301" s="2" t="str">
        <x:v>L00364</x:v>
      </x:c>
      <x:c r="C301" s="2" t="str">
        <x:v>SO-26073</x:v>
      </x:c>
      <x:c r="D301" s="2" t="str">
        <x:v>D-C-AL</x:v>
      </x:c>
      <x:c r="E301" s="14" t="n">
        <x:v>25</x:v>
      </x:c>
      <x:c r="F301" s="2" t="str">
        <x:v>Wash &amp; dry</x:v>
      </x:c>
      <x:c r="G301" s="9" t="str">
        <x:v>WS-02</x:v>
      </x:c>
      <x:c r="H301" s="15" t="n">
        <x:v>20</x:v>
      </x:c>
      <x:c r="I301" s="9" t="str">
        <x:v>P15</x:v>
      </x:c>
      <x:c r="J301" s="11" t="n">
        <x:v>46300.86388888889</x:v>
      </x:c>
      <x:c r="K301" s="15" t="n">
        <x:v>12</x:v>
      </x:c>
      <x:c r="L301" s="15" t="n">
        <x:v>7</x:v>
      </x:c>
      <x:c r="M301" s="13" t="n">
        <x:f>J301+(K301+L301)/1440</x:f>
        <x:v>46300.87708333333</x:v>
      </x:c>
      <x:c r="N301" s="13" t="n">
        <x:f>VLOOKUP(C301,'MES orders'!$A$8:$H$127,5,FALSE)</x:f>
        <x:v>46302.666666666664</x:v>
      </x:c>
      <x:c r="O301" s="16" t="n">
        <x:f>MAX(0,(M301-N301)*24)</x:f>
        <x:v>0</x:v>
      </x:c>
      <x:c r="P301" s="9" t="str">
        <x:v>No</x:v>
      </x:c>
      <x:c r="Q301" s="15" t="n">
        <x:v>19</x:v>
      </x:c>
      <x:c r="R301" s="13" t="n">
        <x:f>J301+Q301/1440</x:f>
        <x:v>46300.87708333333</x:v>
      </x:c>
      <x:c r="S301" s="2" t="str">
        <x:f>VLOOKUP(C301,'MES orders'!$A$8:$H$127,6,FALSE)</x:f>
        <x:v>Normal</x:v>
      </x:c>
      <x:c r="T301" s="9" t="str"/>
    </x:row>
    <x:row r="302" ht="22" customHeight="1">
      <x:c r="A302" s="2" t="str">
        <x:v>L00205-050</x:v>
      </x:c>
      <x:c r="B302" s="2" t="str">
        <x:v>L00205</x:v>
      </x:c>
      <x:c r="C302" s="2" t="str">
        <x:v>SO-26041</x:v>
      </x:c>
      <x:c r="D302" s="2" t="str">
        <x:v>R-L-AL</x:v>
      </x:c>
      <x:c r="E302" s="14" t="n">
        <x:v>15</x:v>
      </x:c>
      <x:c r="F302" s="2" t="str">
        <x:v>Valve adjustment</x:v>
      </x:c>
      <x:c r="G302" s="9" t="str">
        <x:v>AS-01</x:v>
      </x:c>
      <x:c r="H302" s="15" t="n">
        <x:v>26</x:v>
      </x:c>
      <x:c r="I302" s="9" t="str">
        <x:v>P17</x:v>
      </x:c>
      <x:c r="J302" s="11" t="n">
        <x:v>46300.864583333336</x:v>
      </x:c>
      <x:c r="K302" s="15" t="n">
        <x:v>6</x:v>
      </x:c>
      <x:c r="L302" s="15" t="n">
        <x:v>22</x:v>
      </x:c>
      <x:c r="M302" s="13" t="n">
        <x:f>J302+(K302+L302)/1440</x:f>
        <x:v>46300.88402777778</x:v>
      </x:c>
      <x:c r="N302" s="13" t="n">
        <x:f>VLOOKUP(C302,'MES orders'!$A$8:$H$127,5,FALSE)</x:f>
        <x:v>46302.666666666664</x:v>
      </x:c>
      <x:c r="O302" s="16" t="n">
        <x:f>MAX(0,(M302-N302)*24)</x:f>
        <x:v>0</x:v>
      </x:c>
      <x:c r="P302" s="9" t="str">
        <x:v>No</x:v>
      </x:c>
      <x:c r="Q302" s="15" t="n">
        <x:v>28</x:v>
      </x:c>
      <x:c r="R302" s="13" t="n">
        <x:f>J302+Q302/1440</x:f>
        <x:v>46300.88402777778</x:v>
      </x:c>
      <x:c r="S302" s="2" t="str">
        <x:f>VLOOKUP(C302,'MES orders'!$A$8:$H$127,6,FALSE)</x:f>
        <x:v>Normal</x:v>
      </x:c>
      <x:c r="T302" s="9" t="str"/>
    </x:row>
    <x:row r="303" ht="22" customHeight="1">
      <x:c r="A303" s="2" t="str">
        <x:v>L00245-070</x:v>
      </x:c>
      <x:c r="B303" s="2" t="str">
        <x:v>L00245</x:v>
      </x:c>
      <x:c r="C303" s="2" t="str">
        <x:v>SO-26049</x:v>
      </x:c>
      <x:c r="D303" s="2" t="str">
        <x:v>S-C-AL</x:v>
      </x:c>
      <x:c r="E303" s="14" t="n">
        <x:v>5</x:v>
      </x:c>
      <x:c r="F303" s="2" t="str">
        <x:v>Final assembly</x:v>
      </x:c>
      <x:c r="G303" s="9" t="str">
        <x:v>AS-02</x:v>
      </x:c>
      <x:c r="H303" s="15" t="n">
        <x:v>21</x:v>
      </x:c>
      <x:c r="I303" s="9" t="str">
        <x:v>P18</x:v>
      </x:c>
      <x:c r="J303" s="11" t="n">
        <x:v>46300.864583333336</x:v>
      </x:c>
      <x:c r="K303" s="15" t="n">
        <x:v>5</x:v>
      </x:c>
      <x:c r="L303" s="15" t="n">
        <x:v>3</x:v>
      </x:c>
      <x:c r="M303" s="13" t="n">
        <x:f>J303+(K303+L303)/1440</x:f>
        <x:v>46300.870138888895</x:v>
      </x:c>
      <x:c r="N303" s="13" t="n">
        <x:f>VLOOKUP(C303,'MES orders'!$A$8:$H$127,5,FALSE)</x:f>
        <x:v>46302.666666666664</x:v>
      </x:c>
      <x:c r="O303" s="16" t="n">
        <x:f>MAX(0,(M303-N303)*24)</x:f>
        <x:v>0</x:v>
      </x:c>
      <x:c r="P303" s="9" t="str">
        <x:v>No</x:v>
      </x:c>
      <x:c r="Q303" s="15" t="n">
        <x:v>8</x:v>
      </x:c>
      <x:c r="R303" s="13" t="n">
        <x:f>J303+Q303/1440</x:f>
        <x:v>46300.870138888895</x:v>
      </x:c>
      <x:c r="S303" s="2" t="str">
        <x:f>VLOOKUP(C303,'MES orders'!$A$8:$H$127,6,FALSE)</x:f>
        <x:v>Normal</x:v>
      </x:c>
      <x:c r="T303" s="9" t="str"/>
    </x:row>
    <x:row r="304" ht="22" customHeight="1">
      <x:c r="A304" s="2" t="str">
        <x:v>L00203-060</x:v>
      </x:c>
      <x:c r="B304" s="2" t="str">
        <x:v>L00203</x:v>
      </x:c>
      <x:c r="C304" s="2" t="str">
        <x:v>SO-26041</x:v>
      </x:c>
      <x:c r="D304" s="2" t="str">
        <x:v>R-L-AL</x:v>
      </x:c>
      <x:c r="E304" s="14" t="n">
        <x:v>15</x:v>
      </x:c>
      <x:c r="F304" s="2" t="str">
        <x:v>Final leak / function test</x:v>
      </x:c>
      <x:c r="G304" s="9" t="str">
        <x:v>QA-02</x:v>
      </x:c>
      <x:c r="H304" s="15" t="n">
        <x:v>20</x:v>
      </x:c>
      <x:c r="I304" s="9" t="str">
        <x:v>P23</x:v>
      </x:c>
      <x:c r="J304" s="11" t="n">
        <x:v>46300.864583333336</x:v>
      </x:c>
      <x:c r="K304" s="15" t="n">
        <x:v>10</x:v>
      </x:c>
      <x:c r="L304" s="15" t="n">
        <x:v>18</x:v>
      </x:c>
      <x:c r="M304" s="13" t="n">
        <x:f>J304+(K304+L304)/1440</x:f>
        <x:v>46300.88402777778</x:v>
      </x:c>
      <x:c r="N304" s="13" t="n">
        <x:f>VLOOKUP(C304,'MES orders'!$A$8:$H$127,5,FALSE)</x:f>
        <x:v>46302.666666666664</x:v>
      </x:c>
      <x:c r="O304" s="16" t="n">
        <x:f>MAX(0,(M304-N304)*24)</x:f>
        <x:v>0</x:v>
      </x:c>
      <x:c r="P304" s="9" t="str">
        <x:v>No</x:v>
      </x:c>
      <x:c r="Q304" s="15" t="n">
        <x:v>28</x:v>
      </x:c>
      <x:c r="R304" s="13" t="n">
        <x:f>J304+Q304/1440</x:f>
        <x:v>46300.88402777778</x:v>
      </x:c>
      <x:c r="S304" s="2" t="str">
        <x:f>VLOOKUP(C304,'MES orders'!$A$8:$H$127,6,FALSE)</x:f>
        <x:v>Normal</x:v>
      </x:c>
      <x:c r="T304" s="9" t="str"/>
    </x:row>
    <x:row r="305" ht="22" customHeight="1">
      <x:c r="A305" s="2" t="str">
        <x:v>L00322-020</x:v>
      </x:c>
      <x:c r="B305" s="2" t="str">
        <x:v>L00322</x:v>
      </x:c>
      <x:c r="C305" s="2" t="str">
        <x:v>SO-26065</x:v>
      </x:c>
      <x:c r="D305" s="2" t="str">
        <x:v>S-L-AL</x:v>
      </x:c>
      <x:c r="E305" s="14" t="n">
        <x:v>20</x:v>
      </x:c>
      <x:c r="F305" s="2" t="str">
        <x:v>Deburr &amp; inspect</x:v>
      </x:c>
      <x:c r="G305" s="9" t="str">
        <x:v>DB-01</x:v>
      </x:c>
      <x:c r="H305" s="15" t="n">
        <x:v>33</x:v>
      </x:c>
      <x:c r="I305" s="9" t="str">
        <x:v>P18</x:v>
      </x:c>
      <x:c r="J305" s="11" t="n">
        <x:v>46300.87013888889</x:v>
      </x:c>
      <x:c r="K305" s="15" t="n">
        <x:v>4</x:v>
      </x:c>
      <x:c r="L305" s="15" t="n">
        <x:v>19</x:v>
      </x:c>
      <x:c r="M305" s="13" t="n">
        <x:f>J305+(K305+L305)/1440</x:f>
        <x:v>46300.88611111111</x:v>
      </x:c>
      <x:c r="N305" s="13" t="n">
        <x:f>VLOOKUP(C305,'MES orders'!$A$8:$H$127,5,FALSE)</x:f>
        <x:v>46302.666666666664</x:v>
      </x:c>
      <x:c r="O305" s="16" t="n">
        <x:f>MAX(0,(M305-N305)*24)</x:f>
        <x:v>0</x:v>
      </x:c>
      <x:c r="P305" s="9" t="str">
        <x:v>No</x:v>
      </x:c>
      <x:c r="Q305" s="15" t="n">
        <x:v>23</x:v>
      </x:c>
      <x:c r="R305" s="13" t="n">
        <x:f>J305+Q305/1440</x:f>
        <x:v>46300.88611111111</x:v>
      </x:c>
      <x:c r="S305" s="2" t="str">
        <x:f>VLOOKUP(C305,'MES orders'!$A$8:$H$127,6,FALSE)</x:f>
        <x:v>Normal</x:v>
      </x:c>
      <x:c r="T305" s="9" t="str"/>
    </x:row>
    <x:row r="306" ht="22" customHeight="1">
      <x:c r="A306" s="2" t="str">
        <x:v>L00245-080</x:v>
      </x:c>
      <x:c r="B306" s="2" t="str">
        <x:v>L00245</x:v>
      </x:c>
      <x:c r="C306" s="2" t="str">
        <x:v>SO-26049</x:v>
      </x:c>
      <x:c r="D306" s="2" t="str">
        <x:v>S-C-AL</x:v>
      </x:c>
      <x:c r="E306" s="14" t="n">
        <x:v>5</x:v>
      </x:c>
      <x:c r="F306" s="2" t="str">
        <x:v>Final leak / function test</x:v>
      </x:c>
      <x:c r="G306" s="9" t="str">
        <x:v>QA-03</x:v>
      </x:c>
      <x:c r="H306" s="15" t="n">
        <x:v>13</x:v>
      </x:c>
      <x:c r="I306" s="9" t="str">
        <x:v>P24</x:v>
      </x:c>
      <x:c r="J306" s="11" t="n">
        <x:v>46300.87013888889</x:v>
      </x:c>
      <x:c r="K306" s="15" t="n">
        <x:v>10</x:v>
      </x:c>
      <x:c r="L306" s="15" t="n">
        <x:v>4</x:v>
      </x:c>
      <x:c r="M306" s="13" t="n">
        <x:f>J306+(K306+L306)/1440</x:f>
        <x:v>46300.87986111111</x:v>
      </x:c>
      <x:c r="N306" s="13" t="n">
        <x:f>VLOOKUP(C306,'MES orders'!$A$8:$H$127,5,FALSE)</x:f>
        <x:v>46302.666666666664</x:v>
      </x:c>
      <x:c r="O306" s="16" t="n">
        <x:f>MAX(0,(M306-N306)*24)</x:f>
        <x:v>0</x:v>
      </x:c>
      <x:c r="P306" s="9" t="str">
        <x:v>No</x:v>
      </x:c>
      <x:c r="Q306" s="15" t="n">
        <x:v>14</x:v>
      </x:c>
      <x:c r="R306" s="13" t="n">
        <x:f>J306+Q306/1440</x:f>
        <x:v>46300.87986111111</x:v>
      </x:c>
      <x:c r="S306" s="2" t="str">
        <x:f>VLOOKUP(C306,'MES orders'!$A$8:$H$127,6,FALSE)</x:f>
        <x:v>Normal</x:v>
      </x:c>
      <x:c r="T306" s="9" t="str"/>
    </x:row>
    <x:row r="307" ht="22" customHeight="1">
      <x:c r="A307" s="2" t="str">
        <x:v>L00321-040</x:v>
      </x:c>
      <x:c r="B307" s="2" t="str">
        <x:v>L00321</x:v>
      </x:c>
      <x:c r="C307" s="2" t="str">
        <x:v>SO-26065</x:v>
      </x:c>
      <x:c r="D307" s="2" t="str">
        <x:v>S-L-AL</x:v>
      </x:c>
      <x:c r="E307" s="14" t="n">
        <x:v>20</x:v>
      </x:c>
      <x:c r="F307" s="2" t="str">
        <x:v>Mechanical preassembly</x:v>
      </x:c>
      <x:c r="G307" s="9" t="str">
        <x:v>AS-02</x:v>
      </x:c>
      <x:c r="H307" s="15" t="n">
        <x:v>22</x:v>
      </x:c>
      <x:c r="I307" s="9" t="str">
        <x:v>P16</x:v>
      </x:c>
      <x:c r="J307" s="11" t="n">
        <x:v>46300.87569444445</x:v>
      </x:c>
      <x:c r="K307" s="15" t="n">
        <x:v>6</x:v>
      </x:c>
      <x:c r="L307" s="15" t="n">
        <x:v>30</x:v>
      </x:c>
      <x:c r="M307" s="13" t="n">
        <x:f>J307+(K307+L307)/1440</x:f>
        <x:v>46300.90069444445</x:v>
      </x:c>
      <x:c r="N307" s="13" t="n">
        <x:f>VLOOKUP(C307,'MES orders'!$A$8:$H$127,5,FALSE)</x:f>
        <x:v>46302.666666666664</x:v>
      </x:c>
      <x:c r="O307" s="16" t="n">
        <x:f>MAX(0,(M307-N307)*24)</x:f>
        <x:v>0</x:v>
      </x:c>
      <x:c r="P307" s="9" t="str">
        <x:v>No</x:v>
      </x:c>
      <x:c r="Q307" s="15" t="n">
        <x:v>36</x:v>
      </x:c>
      <x:c r="R307" s="13" t="n">
        <x:f>J307+Q307/1440</x:f>
        <x:v>46300.90069444445</x:v>
      </x:c>
      <x:c r="S307" s="2" t="str">
        <x:f>VLOOKUP(C307,'MES orders'!$A$8:$H$127,6,FALSE)</x:f>
        <x:v>Normal</x:v>
      </x:c>
      <x:c r="T307" s="9" t="str"/>
    </x:row>
    <x:row r="308" ht="22" customHeight="1">
      <x:c r="A308" s="2" t="str">
        <x:v>L00364-040</x:v>
      </x:c>
      <x:c r="B308" s="2" t="str">
        <x:v>L00364</x:v>
      </x:c>
      <x:c r="C308" s="2" t="str">
        <x:v>SO-26073</x:v>
      </x:c>
      <x:c r="D308" s="2" t="str">
        <x:v>D-C-AL</x:v>
      </x:c>
      <x:c r="E308" s="14" t="n">
        <x:v>25</x:v>
      </x:c>
      <x:c r="F308" s="2" t="str">
        <x:v>Mechanical assembly</x:v>
      </x:c>
      <x:c r="G308" s="9" t="str">
        <x:v>AS-05</x:v>
      </x:c>
      <x:c r="H308" s="15" t="n">
        <x:v>8</x:v>
      </x:c>
      <x:c r="I308" s="9" t="str">
        <x:v>P15</x:v>
      </x:c>
      <x:c r="J308" s="11" t="n">
        <x:v>46300.87708333333</x:v>
      </x:c>
      <x:c r="K308" s="15" t="n">
        <x:v>8</x:v>
      </x:c>
      <x:c r="L308" s="15" t="n">
        <x:v>36</x:v>
      </x:c>
      <x:c r="M308" s="13" t="n">
        <x:f>J308+(K308+L308)/1440</x:f>
        <x:v>46300.907638888886</x:v>
      </x:c>
      <x:c r="N308" s="13" t="n">
        <x:f>VLOOKUP(C308,'MES orders'!$A$8:$H$127,5,FALSE)</x:f>
        <x:v>46302.666666666664</x:v>
      </x:c>
      <x:c r="O308" s="16" t="n">
        <x:f>MAX(0,(M308-N308)*24)</x:f>
        <x:v>0</x:v>
      </x:c>
      <x:c r="P308" s="9" t="str">
        <x:v>No</x:v>
      </x:c>
      <x:c r="Q308" s="15" t="n">
        <x:v>44</x:v>
      </x:c>
      <x:c r="R308" s="13" t="n">
        <x:f>J308+Q308/1440</x:f>
        <x:v>46300.907638888886</x:v>
      </x:c>
      <x:c r="S308" s="2" t="str">
        <x:f>VLOOKUP(C308,'MES orders'!$A$8:$H$127,6,FALSE)</x:f>
        <x:v>Normal</x:v>
      </x:c>
      <x:c r="T308" s="9" t="str"/>
    </x:row>
    <x:row r="309" ht="22" customHeight="1">
      <x:c r="A309" s="2" t="str">
        <x:v>L00401-020</x:v>
      </x:c>
      <x:c r="B309" s="2" t="str">
        <x:v>L00401</x:v>
      </x:c>
      <x:c r="C309" s="2" t="str">
        <x:v>SO-26081</x:v>
      </x:c>
      <x:c r="D309" s="2" t="str">
        <x:v>D-S-AL</x:v>
      </x:c>
      <x:c r="E309" s="14" t="n">
        <x:v>25</x:v>
      </x:c>
      <x:c r="F309" s="2" t="str">
        <x:v>Deburr &amp; inspect</x:v>
      </x:c>
      <x:c r="G309" s="9" t="str">
        <x:v>DB-02</x:v>
      </x:c>
      <x:c r="H309" s="15" t="n">
        <x:v>21</x:v>
      </x:c>
      <x:c r="I309" s="9" t="str">
        <x:v>P19</x:v>
      </x:c>
      <x:c r="J309" s="11" t="n">
        <x:v>46300.88263888889</x:v>
      </x:c>
      <x:c r="K309" s="15" t="n">
        <x:v>4</x:v>
      </x:c>
      <x:c r="L309" s="15" t="n">
        <x:v>18</x:v>
      </x:c>
      <x:c r="M309" s="13" t="n">
        <x:f>J309+(K309+L309)/1440</x:f>
        <x:v>46300.89791666667</x:v>
      </x:c>
      <x:c r="N309" s="13" t="n">
        <x:f>VLOOKUP(C309,'MES orders'!$A$8:$H$127,5,FALSE)</x:f>
        <x:v>46302.666666666664</x:v>
      </x:c>
      <x:c r="O309" s="16" t="n">
        <x:f>MAX(0,(M309-N309)*24)</x:f>
        <x:v>0</x:v>
      </x:c>
      <x:c r="P309" s="9" t="str">
        <x:v>No</x:v>
      </x:c>
      <x:c r="Q309" s="15" t="n">
        <x:v>22</x:v>
      </x:c>
      <x:c r="R309" s="13" t="n">
        <x:f>J309+Q309/1440</x:f>
        <x:v>46300.89791666667</x:v>
      </x:c>
      <x:c r="S309" s="2" t="str">
        <x:f>VLOOKUP(C309,'MES orders'!$A$8:$H$127,6,FALSE)</x:f>
        <x:v>Normal</x:v>
      </x:c>
      <x:c r="T309" s="9" t="str"/>
    </x:row>
    <x:row r="310" ht="22" customHeight="1">
      <x:c r="A310" s="2" t="str">
        <x:v>L00205-060</x:v>
      </x:c>
      <x:c r="B310" s="2" t="str">
        <x:v>L00205</x:v>
      </x:c>
      <x:c r="C310" s="2" t="str">
        <x:v>SO-26041</x:v>
      </x:c>
      <x:c r="D310" s="2" t="str">
        <x:v>R-L-AL</x:v>
      </x:c>
      <x:c r="E310" s="14" t="n">
        <x:v>15</x:v>
      </x:c>
      <x:c r="F310" s="2" t="str">
        <x:v>Final leak / function test</x:v>
      </x:c>
      <x:c r="G310" s="9" t="str">
        <x:v>QA-02</x:v>
      </x:c>
      <x:c r="H310" s="15" t="n">
        <x:v>21</x:v>
      </x:c>
      <x:c r="I310" s="9" t="str">
        <x:v>P23</x:v>
      </x:c>
      <x:c r="J310" s="11" t="n">
        <x:v>46300.88402777778</x:v>
      </x:c>
      <x:c r="K310" s="15" t="n">
        <x:v>10</x:v>
      </x:c>
      <x:c r="L310" s="15" t="n">
        <x:v>18</x:v>
      </x:c>
      <x:c r="M310" s="13" t="n">
        <x:f>J310+(K310+L310)/1440</x:f>
        <x:v>46300.90347222222</x:v>
      </x:c>
      <x:c r="N310" s="13" t="n">
        <x:f>VLOOKUP(C310,'MES orders'!$A$8:$H$127,5,FALSE)</x:f>
        <x:v>46302.666666666664</x:v>
      </x:c>
      <x:c r="O310" s="16" t="n">
        <x:f>MAX(0,(M310-N310)*24)</x:f>
        <x:v>0</x:v>
      </x:c>
      <x:c r="P310" s="9" t="str">
        <x:v>No</x:v>
      </x:c>
      <x:c r="Q310" s="15" t="n">
        <x:v>28</x:v>
      </x:c>
      <x:c r="R310" s="13" t="n">
        <x:f>J310+Q310/1440</x:f>
        <x:v>46300.90347222222</x:v>
      </x:c>
      <x:c r="S310" s="2" t="str">
        <x:f>VLOOKUP(C310,'MES orders'!$A$8:$H$127,6,FALSE)</x:f>
        <x:v>Normal</x:v>
      </x:c>
      <x:c r="T310" s="9" t="str"/>
    </x:row>
    <x:row r="311" ht="22" customHeight="1">
      <x:c r="A311" s="2" t="str">
        <x:v>L00006-010</x:v>
      </x:c>
      <x:c r="B311" s="2" t="str">
        <x:v>L00006</x:v>
      </x:c>
      <x:c r="C311" s="2" t="str">
        <x:v>SO-26002</x:v>
      </x:c>
      <x:c r="D311" s="2" t="str">
        <x:v>R-C-SS</x:v>
      </x:c>
      <x:c r="E311" s="14" t="n">
        <x:v>5</x:v>
      </x:c>
      <x:c r="F311" s="2" t="str">
        <x:v>CNC machining</x:v>
      </x:c>
      <x:c r="G311" s="9" t="str">
        <x:v>CNC-03</x:v>
      </x:c>
      <x:c r="H311" s="15" t="n">
        <x:v>10</x:v>
      </x:c>
      <x:c r="I311" s="9" t="str">
        <x:v>P13</x:v>
      </x:c>
      <x:c r="J311" s="11" t="n">
        <x:v>46300.885416666664</x:v>
      </x:c>
      <x:c r="K311" s="15" t="n">
        <x:v>18</x:v>
      </x:c>
      <x:c r="L311" s="15" t="n">
        <x:v>12</x:v>
      </x:c>
      <x:c r="M311" s="13" t="n">
        <x:f>J311+(K311+L311)/1440</x:f>
        <x:v>46300.90625</x:v>
      </x:c>
      <x:c r="N311" s="13" t="n">
        <x:f>VLOOKUP(C311,'MES orders'!$A$8:$H$127,5,FALSE)</x:f>
        <x:v>46303.666666666664</x:v>
      </x:c>
      <x:c r="O311" s="16" t="n">
        <x:f>MAX(0,(M311-N311)*24)</x:f>
        <x:v>0</x:v>
      </x:c>
      <x:c r="P311" s="9" t="str">
        <x:v>No</x:v>
      </x:c>
      <x:c r="Q311" s="15" t="n">
        <x:v>18</x:v>
      </x:c>
      <x:c r="R311" s="13" t="n">
        <x:f>J311+Q311/1440</x:f>
        <x:v>46300.89791666666</x:v>
      </x:c>
      <x:c r="S311" s="2" t="str">
        <x:f>VLOOKUP(C311,'MES orders'!$A$8:$H$127,6,FALSE)</x:f>
        <x:v>Normal</x:v>
      </x:c>
      <x:c r="T311" s="9" t="str"/>
    </x:row>
    <x:row r="312" ht="22" customHeight="1">
      <x:c r="A312" s="2" t="str">
        <x:v>L00362-050</x:v>
      </x:c>
      <x:c r="B312" s="2" t="str">
        <x:v>L00362</x:v>
      </x:c>
      <x:c r="C312" s="2" t="str">
        <x:v>SO-26073</x:v>
      </x:c>
      <x:c r="D312" s="2" t="str">
        <x:v>D-C-AL</x:v>
      </x:c>
      <x:c r="E312" s="14" t="n">
        <x:v>25</x:v>
      </x:c>
      <x:c r="F312" s="2" t="str">
        <x:v>Final leak / function test</x:v>
      </x:c>
      <x:c r="G312" s="9" t="str">
        <x:v>QA-01</x:v>
      </x:c>
      <x:c r="H312" s="15" t="n">
        <x:v>12</x:v>
      </x:c>
      <x:c r="I312" s="9" t="str">
        <x:v>P24</x:v>
      </x:c>
      <x:c r="J312" s="11" t="n">
        <x:v>46300.885416666664</x:v>
      </x:c>
      <x:c r="K312" s="15" t="n">
        <x:v>10</x:v>
      </x:c>
      <x:c r="L312" s="15" t="n">
        <x:v>18</x:v>
      </x:c>
      <x:c r="M312" s="13" t="n">
        <x:f>J312+(K312+L312)/1440</x:f>
        <x:v>46300.90486111111</x:v>
      </x:c>
      <x:c r="N312" s="13" t="n">
        <x:f>VLOOKUP(C312,'MES orders'!$A$8:$H$127,5,FALSE)</x:f>
        <x:v>46302.666666666664</x:v>
      </x:c>
      <x:c r="O312" s="16" t="n">
        <x:f>MAX(0,(M312-N312)*24)</x:f>
        <x:v>0</x:v>
      </x:c>
      <x:c r="P312" s="9" t="str">
        <x:v>No</x:v>
      </x:c>
      <x:c r="Q312" s="15" t="n">
        <x:v>28</x:v>
      </x:c>
      <x:c r="R312" s="13" t="n">
        <x:f>J312+Q312/1440</x:f>
        <x:v>46300.90486111111</x:v>
      </x:c>
      <x:c r="S312" s="2" t="str">
        <x:f>VLOOKUP(C312,'MES orders'!$A$8:$H$127,6,FALSE)</x:f>
        <x:v>Normal</x:v>
      </x:c>
      <x:c r="T312" s="9" t="str"/>
    </x:row>
    <x:row r="313" ht="22" customHeight="1">
      <x:c r="A313" s="2" t="str">
        <x:v>L00322-030</x:v>
      </x:c>
      <x:c r="B313" s="2" t="str">
        <x:v>L00322</x:v>
      </x:c>
      <x:c r="C313" s="2" t="str">
        <x:v>SO-26065</x:v>
      </x:c>
      <x:c r="D313" s="2" t="str">
        <x:v>S-L-AL</x:v>
      </x:c>
      <x:c r="E313" s="14" t="n">
        <x:v>20</x:v>
      </x:c>
      <x:c r="F313" s="2" t="str">
        <x:v>Wash &amp; dry</x:v>
      </x:c>
      <x:c r="G313" s="9" t="str">
        <x:v>WS-01</x:v>
      </x:c>
      <x:c r="H313" s="15" t="n">
        <x:v>30</x:v>
      </x:c>
      <x:c r="I313" s="9" t="str">
        <x:v>P17</x:v>
      </x:c>
      <x:c r="J313" s="11" t="n">
        <x:v>46300.88611111111</x:v>
      </x:c>
      <x:c r="K313" s="15" t="n">
        <x:v>12</x:v>
      </x:c>
      <x:c r="L313" s="15" t="n">
        <x:v>9</x:v>
      </x:c>
      <x:c r="M313" s="13" t="n">
        <x:f>J313+(K313+L313)/1440</x:f>
        <x:v>46300.90069444444</x:v>
      </x:c>
      <x:c r="N313" s="13" t="n">
        <x:f>VLOOKUP(C313,'MES orders'!$A$8:$H$127,5,FALSE)</x:f>
        <x:v>46302.666666666664</x:v>
      </x:c>
      <x:c r="O313" s="16" t="n">
        <x:f>MAX(0,(M313-N313)*24)</x:f>
        <x:v>0</x:v>
      </x:c>
      <x:c r="P313" s="9" t="str">
        <x:v>No</x:v>
      </x:c>
      <x:c r="Q313" s="15" t="n">
        <x:v>21</x:v>
      </x:c>
      <x:c r="R313" s="13" t="n">
        <x:f>J313+Q313/1440</x:f>
        <x:v>46300.90069444444</x:v>
      </x:c>
      <x:c r="S313" s="2" t="str">
        <x:f>VLOOKUP(C313,'MES orders'!$A$8:$H$127,6,FALSE)</x:f>
        <x:v>Normal</x:v>
      </x:c>
      <x:c r="T313" s="9" t="str"/>
    </x:row>
    <x:row r="314" ht="22" customHeight="1">
      <x:c r="A314" s="2" t="str">
        <x:v>L00323-030</x:v>
      </x:c>
      <x:c r="B314" s="2" t="str">
        <x:v>L00323</x:v>
      </x:c>
      <x:c r="C314" s="2" t="str">
        <x:v>SO-26065</x:v>
      </x:c>
      <x:c r="D314" s="2" t="str">
        <x:v>S-L-AL</x:v>
      </x:c>
      <x:c r="E314" s="14" t="n">
        <x:v>20</x:v>
      </x:c>
      <x:c r="F314" s="2" t="str">
        <x:v>Wash &amp; dry</x:v>
      </x:c>
      <x:c r="G314" s="9" t="str">
        <x:v>WS-02</x:v>
      </x:c>
      <x:c r="H314" s="15" t="n">
        <x:v>21</x:v>
      </x:c>
      <x:c r="I314" s="9" t="str">
        <x:v>P18</x:v>
      </x:c>
      <x:c r="J314" s="11" t="n">
        <x:v>46300.88611111111</x:v>
      </x:c>
      <x:c r="K314" s="15" t="n">
        <x:v>12</x:v>
      </x:c>
      <x:c r="L314" s="15" t="n">
        <x:v>9</x:v>
      </x:c>
      <x:c r="M314" s="13" t="n">
        <x:f>J314+(K314+L314)/1440</x:f>
        <x:v>46300.90069444444</x:v>
      </x:c>
      <x:c r="N314" s="13" t="n">
        <x:f>VLOOKUP(C314,'MES orders'!$A$8:$H$127,5,FALSE)</x:f>
        <x:v>46302.666666666664</x:v>
      </x:c>
      <x:c r="O314" s="16" t="n">
        <x:f>MAX(0,(M314-N314)*24)</x:f>
        <x:v>0</x:v>
      </x:c>
      <x:c r="P314" s="9" t="str">
        <x:v>No</x:v>
      </x:c>
      <x:c r="Q314" s="15" t="n">
        <x:v>21</x:v>
      </x:c>
      <x:c r="R314" s="13" t="n">
        <x:f>J314+Q314/1440</x:f>
        <x:v>46300.90069444444</x:v>
      </x:c>
      <x:c r="S314" s="2" t="str">
        <x:f>VLOOKUP(C314,'MES orders'!$A$8:$H$127,6,FALSE)</x:f>
        <x:v>Normal</x:v>
      </x:c>
      <x:c r="T314" s="9" t="str"/>
    </x:row>
    <x:row r="315" ht="22" customHeight="1">
      <x:c r="A315" s="2" t="str">
        <x:v>L00007-010</x:v>
      </x:c>
      <x:c r="B315" s="2" t="str">
        <x:v>L00007</x:v>
      </x:c>
      <x:c r="C315" s="2" t="str">
        <x:v>SO-26002</x:v>
      </x:c>
      <x:c r="D315" s="2" t="str">
        <x:v>R-C-SS</x:v>
      </x:c>
      <x:c r="E315" s="14" t="n">
        <x:v>5</x:v>
      </x:c>
      <x:c r="F315" s="2" t="str">
        <x:v>CNC machining</x:v>
      </x:c>
      <x:c r="G315" s="9" t="str">
        <x:v>CNC-04</x:v>
      </x:c>
      <x:c r="H315" s="15" t="n">
        <x:v>9</x:v>
      </x:c>
      <x:c r="I315" s="9" t="str">
        <x:v>P14</x:v>
      </x:c>
      <x:c r="J315" s="11" t="n">
        <x:v>46300.89444444444</x:v>
      </x:c>
      <x:c r="K315" s="15" t="n">
        <x:v>18</x:v>
      </x:c>
      <x:c r="L315" s="15" t="n">
        <x:v>12</x:v>
      </x:c>
      <x:c r="M315" s="13" t="n">
        <x:f>J315+(K315+L315)/1440</x:f>
        <x:v>46300.91527777778</x:v>
      </x:c>
      <x:c r="N315" s="13" t="n">
        <x:f>VLOOKUP(C315,'MES orders'!$A$8:$H$127,5,FALSE)</x:f>
        <x:v>46303.666666666664</x:v>
      </x:c>
      <x:c r="O315" s="16" t="n">
        <x:f>MAX(0,(M315-N315)*24)</x:f>
        <x:v>0</x:v>
      </x:c>
      <x:c r="P315" s="9" t="str">
        <x:v>No</x:v>
      </x:c>
      <x:c r="Q315" s="15" t="n">
        <x:v>18</x:v>
      </x:c>
      <x:c r="R315" s="13" t="n">
        <x:f>J315+Q315/1440</x:f>
        <x:v>46300.90694444444</x:v>
      </x:c>
      <x:c r="S315" s="2" t="str">
        <x:f>VLOOKUP(C315,'MES orders'!$A$8:$H$127,6,FALSE)</x:f>
        <x:v>Normal</x:v>
      </x:c>
      <x:c r="T315" s="9" t="str"/>
    </x:row>
    <x:row r="316" ht="22" customHeight="1">
      <x:c r="A316" s="2" t="str">
        <x:v>L00363-050</x:v>
      </x:c>
      <x:c r="B316" s="2" t="str">
        <x:v>L00363</x:v>
      </x:c>
      <x:c r="C316" s="2" t="str">
        <x:v>SO-26073</x:v>
      </x:c>
      <x:c r="D316" s="2" t="str">
        <x:v>D-C-AL</x:v>
      </x:c>
      <x:c r="E316" s="14" t="n">
        <x:v>25</x:v>
      </x:c>
      <x:c r="F316" s="2" t="str">
        <x:v>Final leak / function test</x:v>
      </x:c>
      <x:c r="G316" s="9" t="str">
        <x:v>QA-03</x:v>
      </x:c>
      <x:c r="H316" s="15" t="n">
        <x:v>14</x:v>
      </x:c>
      <x:c r="I316" s="9" t="str">
        <x:v>P22</x:v>
      </x:c>
      <x:c r="J316" s="11" t="n">
        <x:v>46300.89444444444</x:v>
      </x:c>
      <x:c r="K316" s="15" t="n">
        <x:v>10</x:v>
      </x:c>
      <x:c r="L316" s="15" t="n">
        <x:v>18</x:v>
      </x:c>
      <x:c r="M316" s="13" t="n">
        <x:f>J316+(K316+L316)/1440</x:f>
        <x:v>46300.913888888885</x:v>
      </x:c>
      <x:c r="N316" s="13" t="n">
        <x:f>VLOOKUP(C316,'MES orders'!$A$8:$H$127,5,FALSE)</x:f>
        <x:v>46302.666666666664</x:v>
      </x:c>
      <x:c r="O316" s="16" t="n">
        <x:f>MAX(0,(M316-N316)*24)</x:f>
        <x:v>0</x:v>
      </x:c>
      <x:c r="P316" s="9" t="str">
        <x:v>No</x:v>
      </x:c>
      <x:c r="Q316" s="15" t="n">
        <x:v>28</x:v>
      </x:c>
      <x:c r="R316" s="13" t="n">
        <x:f>J316+Q316/1440</x:f>
        <x:v>46300.913888888885</x:v>
      </x:c>
      <x:c r="S316" s="2" t="str">
        <x:f>VLOOKUP(C316,'MES orders'!$A$8:$H$127,6,FALSE)</x:f>
        <x:v>Normal</x:v>
      </x:c>
      <x:c r="T316" s="9" t="str"/>
    </x:row>
    <x:row r="317" ht="22" customHeight="1">
      <x:c r="A317" s="2" t="str">
        <x:v>L00324-020</x:v>
      </x:c>
      <x:c r="B317" s="2" t="str">
        <x:v>L00324</x:v>
      </x:c>
      <x:c r="C317" s="2" t="str">
        <x:v>SO-26065</x:v>
      </x:c>
      <x:c r="D317" s="2" t="str">
        <x:v>S-L-AL</x:v>
      </x:c>
      <x:c r="E317" s="14" t="n">
        <x:v>20</x:v>
      </x:c>
      <x:c r="F317" s="2" t="str">
        <x:v>Deburr &amp; inspect</x:v>
      </x:c>
      <x:c r="G317" s="9" t="str">
        <x:v>DB-01</x:v>
      </x:c>
      <x:c r="H317" s="15" t="n">
        <x:v>34</x:v>
      </x:c>
      <x:c r="I317" s="9" t="str">
        <x:v>P16</x:v>
      </x:c>
      <x:c r="J317" s="11" t="n">
        <x:v>46300.90069444444</x:v>
      </x:c>
      <x:c r="K317" s="15" t="n">
        <x:v>4</x:v>
      </x:c>
      <x:c r="L317" s="15" t="n">
        <x:v>19</x:v>
      </x:c>
      <x:c r="M317" s="13" t="n">
        <x:f>J317+(K317+L317)/1440</x:f>
        <x:v>46300.916666666664</x:v>
      </x:c>
      <x:c r="N317" s="13" t="n">
        <x:f>VLOOKUP(C317,'MES orders'!$A$8:$H$127,5,FALSE)</x:f>
        <x:v>46302.666666666664</x:v>
      </x:c>
      <x:c r="O317" s="16" t="n">
        <x:f>MAX(0,(M317-N317)*24)</x:f>
        <x:v>0</x:v>
      </x:c>
      <x:c r="P317" s="9" t="str">
        <x:v>No</x:v>
      </x:c>
      <x:c r="Q317" s="15" t="n">
        <x:v>23</x:v>
      </x:c>
      <x:c r="R317" s="13" t="n">
        <x:f>J317+Q317/1440</x:f>
        <x:v>46300.916666666664</x:v>
      </x:c>
      <x:c r="S317" s="2" t="str">
        <x:f>VLOOKUP(C317,'MES orders'!$A$8:$H$127,6,FALSE)</x:f>
        <x:v>Normal</x:v>
      </x:c>
      <x:c r="T317" s="9" t="str"/>
    </x:row>
    <x:row r="318" ht="22" customHeight="1">
      <x:c r="A318" s="2" t="str">
        <x:v>L00325-020</x:v>
      </x:c>
      <x:c r="B318" s="2" t="str">
        <x:v>L00325</x:v>
      </x:c>
      <x:c r="C318" s="2" t="str">
        <x:v>SO-26065</x:v>
      </x:c>
      <x:c r="D318" s="2" t="str">
        <x:v>S-L-AL</x:v>
      </x:c>
      <x:c r="E318" s="14" t="n">
        <x:v>20</x:v>
      </x:c>
      <x:c r="F318" s="2" t="str">
        <x:v>Deburr &amp; inspect</x:v>
      </x:c>
      <x:c r="G318" s="9" t="str">
        <x:v>DB-02</x:v>
      </x:c>
      <x:c r="H318" s="15" t="n">
        <x:v>22</x:v>
      </x:c>
      <x:c r="I318" s="9" t="str">
        <x:v>P17</x:v>
      </x:c>
      <x:c r="J318" s="11" t="n">
        <x:v>46300.90069444444</x:v>
      </x:c>
      <x:c r="K318" s="15" t="n">
        <x:v>4</x:v>
      </x:c>
      <x:c r="L318" s="15" t="n">
        <x:v>19</x:v>
      </x:c>
      <x:c r="M318" s="13" t="n">
        <x:f>J318+(K318+L318)/1440</x:f>
        <x:v>46300.916666666664</x:v>
      </x:c>
      <x:c r="N318" s="13" t="n">
        <x:f>VLOOKUP(C318,'MES orders'!$A$8:$H$127,5,FALSE)</x:f>
        <x:v>46302.666666666664</x:v>
      </x:c>
      <x:c r="O318" s="16" t="n">
        <x:f>MAX(0,(M318-N318)*24)</x:f>
        <x:v>0</x:v>
      </x:c>
      <x:c r="P318" s="9" t="str">
        <x:v>No</x:v>
      </x:c>
      <x:c r="Q318" s="15" t="n">
        <x:v>23</x:v>
      </x:c>
      <x:c r="R318" s="13" t="n">
        <x:f>J318+Q318/1440</x:f>
        <x:v>46300.916666666664</x:v>
      </x:c>
      <x:c r="S318" s="2" t="str">
        <x:f>VLOOKUP(C318,'MES orders'!$A$8:$H$127,6,FALSE)</x:f>
        <x:v>Normal</x:v>
      </x:c>
      <x:c r="T318" s="9" t="str"/>
    </x:row>
    <x:row r="319" ht="22" customHeight="1">
      <x:c r="A319" s="2" t="str">
        <x:v>L00361-030</x:v>
      </x:c>
      <x:c r="B319" s="2" t="str">
        <x:v>L00361</x:v>
      </x:c>
      <x:c r="C319" s="2" t="str">
        <x:v>SO-26073</x:v>
      </x:c>
      <x:c r="D319" s="2" t="str">
        <x:v>D-C-AL</x:v>
      </x:c>
      <x:c r="E319" s="14" t="n">
        <x:v>25</x:v>
      </x:c>
      <x:c r="F319" s="2" t="str">
        <x:v>Wash &amp; dry</x:v>
      </x:c>
      <x:c r="G319" s="9" t="str">
        <x:v>WS-01</x:v>
      </x:c>
      <x:c r="H319" s="15" t="n">
        <x:v>31</x:v>
      </x:c>
      <x:c r="I319" s="9" t="str">
        <x:v>P18</x:v>
      </x:c>
      <x:c r="J319" s="11" t="n">
        <x:v>46300.90069444444</x:v>
      </x:c>
      <x:c r="K319" s="15" t="n">
        <x:v>12</x:v>
      </x:c>
      <x:c r="L319" s="15" t="n">
        <x:v>7</x:v>
      </x:c>
      <x:c r="M319" s="13" t="n">
        <x:f>J319+(K319+L319)/1440</x:f>
        <x:v>46300.913888888885</x:v>
      </x:c>
      <x:c r="N319" s="13" t="n">
        <x:f>VLOOKUP(C319,'MES orders'!$A$8:$H$127,5,FALSE)</x:f>
        <x:v>46302.666666666664</x:v>
      </x:c>
      <x:c r="O319" s="16" t="n">
        <x:f>MAX(0,(M319-N319)*24)</x:f>
        <x:v>0</x:v>
      </x:c>
      <x:c r="P319" s="9" t="str">
        <x:v>No</x:v>
      </x:c>
      <x:c r="Q319" s="15" t="n">
        <x:v>19</x:v>
      </x:c>
      <x:c r="R319" s="13" t="n">
        <x:f>J319+Q319/1440</x:f>
        <x:v>46300.913888888885</x:v>
      </x:c>
      <x:c r="S319" s="2" t="str">
        <x:f>VLOOKUP(C319,'MES orders'!$A$8:$H$127,6,FALSE)</x:f>
        <x:v>Normal</x:v>
      </x:c>
      <x:c r="T319" s="9" t="str"/>
    </x:row>
    <x:row r="320" ht="22" customHeight="1">
      <x:c r="A320" s="2" t="str">
        <x:v>L00365-030</x:v>
      </x:c>
      <x:c r="B320" s="2" t="str">
        <x:v>L00365</x:v>
      </x:c>
      <x:c r="C320" s="2" t="str">
        <x:v>SO-26073</x:v>
      </x:c>
      <x:c r="D320" s="2" t="str">
        <x:v>D-C-AL</x:v>
      </x:c>
      <x:c r="E320" s="14" t="n">
        <x:v>25</x:v>
      </x:c>
      <x:c r="F320" s="2" t="str">
        <x:v>Wash &amp; dry</x:v>
      </x:c>
      <x:c r="G320" s="9" t="str">
        <x:v>WS-02</x:v>
      </x:c>
      <x:c r="H320" s="15" t="n">
        <x:v>22</x:v>
      </x:c>
      <x:c r="I320" s="9" t="str">
        <x:v>P13</x:v>
      </x:c>
      <x:c r="J320" s="11" t="n">
        <x:v>46300.90069444444</x:v>
      </x:c>
      <x:c r="K320" s="15" t="n">
        <x:v>12</x:v>
      </x:c>
      <x:c r="L320" s="15" t="n">
        <x:v>7</x:v>
      </x:c>
      <x:c r="M320" s="13" t="n">
        <x:f>J320+(K320+L320)/1440</x:f>
        <x:v>46300.913888888885</x:v>
      </x:c>
      <x:c r="N320" s="13" t="n">
        <x:f>VLOOKUP(C320,'MES orders'!$A$8:$H$127,5,FALSE)</x:f>
        <x:v>46302.666666666664</x:v>
      </x:c>
      <x:c r="O320" s="16" t="n">
        <x:f>MAX(0,(M320-N320)*24)</x:f>
        <x:v>0</x:v>
      </x:c>
      <x:c r="P320" s="9" t="str">
        <x:v>No</x:v>
      </x:c>
      <x:c r="Q320" s="15" t="n">
        <x:v>19</x:v>
      </x:c>
      <x:c r="R320" s="13" t="n">
        <x:f>J320+Q320/1440</x:f>
        <x:v>46300.913888888885</x:v>
      </x:c>
      <x:c r="S320" s="2" t="str">
        <x:f>VLOOKUP(C320,'MES orders'!$A$8:$H$127,6,FALSE)</x:f>
        <x:v>Normal</x:v>
      </x:c>
      <x:c r="T320" s="9" t="str"/>
    </x:row>
    <x:row r="321" ht="22" customHeight="1">
      <x:c r="A321" s="2" t="str">
        <x:v>L00322-040</x:v>
      </x:c>
      <x:c r="B321" s="2" t="str">
        <x:v>L00322</x:v>
      </x:c>
      <x:c r="C321" s="2" t="str">
        <x:v>SO-26065</x:v>
      </x:c>
      <x:c r="D321" s="2" t="str">
        <x:v>S-L-AL</x:v>
      </x:c>
      <x:c r="E321" s="14" t="n">
        <x:v>20</x:v>
      </x:c>
      <x:c r="F321" s="2" t="str">
        <x:v>Mechanical preassembly</x:v>
      </x:c>
      <x:c r="G321" s="9" t="str">
        <x:v>AS-01</x:v>
      </x:c>
      <x:c r="H321" s="15" t="n">
        <x:v>27</x:v>
      </x:c>
      <x:c r="I321" s="9" t="str">
        <x:v>P04</x:v>
      </x:c>
      <x:c r="J321" s="11" t="n">
        <x:v>46301.25</x:v>
      </x:c>
      <x:c r="K321" s="15" t="n">
        <x:v>6</x:v>
      </x:c>
      <x:c r="L321" s="15" t="n">
        <x:v>30</x:v>
      </x:c>
      <x:c r="M321" s="13" t="n">
        <x:f>J321+(K321+L321)/1440</x:f>
        <x:v>46301.275</x:v>
      </x:c>
      <x:c r="N321" s="13" t="n">
        <x:f>VLOOKUP(C321,'MES orders'!$A$8:$H$127,5,FALSE)</x:f>
        <x:v>46302.666666666664</x:v>
      </x:c>
      <x:c r="O321" s="16" t="n">
        <x:f>MAX(0,(M321-N321)*24)</x:f>
        <x:v>0</x:v>
      </x:c>
      <x:c r="P321" s="9" t="str">
        <x:v>No</x:v>
      </x:c>
      <x:c r="Q321" s="15" t="n">
        <x:v>36</x:v>
      </x:c>
      <x:c r="R321" s="13" t="n">
        <x:f>J321+Q321/1440</x:f>
        <x:v>46301.275</x:v>
      </x:c>
      <x:c r="S321" s="2" t="str">
        <x:f>VLOOKUP(C321,'MES orders'!$A$8:$H$127,6,FALSE)</x:f>
        <x:v>Normal</x:v>
      </x:c>
      <x:c r="T321" s="9" t="str"/>
    </x:row>
    <x:row r="322" ht="22" customHeight="1">
      <x:c r="A322" s="2" t="str">
        <x:v>L00323-040</x:v>
      </x:c>
      <x:c r="B322" s="2" t="str">
        <x:v>L00323</x:v>
      </x:c>
      <x:c r="C322" s="2" t="str">
        <x:v>SO-26065</x:v>
      </x:c>
      <x:c r="D322" s="2" t="str">
        <x:v>S-L-AL</x:v>
      </x:c>
      <x:c r="E322" s="14" t="n">
        <x:v>20</x:v>
      </x:c>
      <x:c r="F322" s="2" t="str">
        <x:v>Mechanical preassembly</x:v>
      </x:c>
      <x:c r="G322" s="9" t="str">
        <x:v>AS-02</x:v>
      </x:c>
      <x:c r="H322" s="15" t="n">
        <x:v>23</x:v>
      </x:c>
      <x:c r="I322" s="9" t="str">
        <x:v>P05</x:v>
      </x:c>
      <x:c r="J322" s="11" t="n">
        <x:v>46301.25</x:v>
      </x:c>
      <x:c r="K322" s="15" t="n">
        <x:v>6</x:v>
      </x:c>
      <x:c r="L322" s="15" t="n">
        <x:v>30</x:v>
      </x:c>
      <x:c r="M322" s="13" t="n">
        <x:f>J322+(K322+L322)/1440</x:f>
        <x:v>46301.275</x:v>
      </x:c>
      <x:c r="N322" s="13" t="n">
        <x:f>VLOOKUP(C322,'MES orders'!$A$8:$H$127,5,FALSE)</x:f>
        <x:v>46302.666666666664</x:v>
      </x:c>
      <x:c r="O322" s="16" t="n">
        <x:f>MAX(0,(M322-N322)*24)</x:f>
        <x:v>0</x:v>
      </x:c>
      <x:c r="P322" s="9" t="str">
        <x:v>No</x:v>
      </x:c>
      <x:c r="Q322" s="15" t="n">
        <x:v>36</x:v>
      </x:c>
      <x:c r="R322" s="13" t="n">
        <x:f>J322+Q322/1440</x:f>
        <x:v>46301.275</x:v>
      </x:c>
      <x:c r="S322" s="2" t="str">
        <x:f>VLOOKUP(C322,'MES orders'!$A$8:$H$127,6,FALSE)</x:f>
        <x:v>Normal</x:v>
      </x:c>
      <x:c r="T322" s="9" t="str"/>
    </x:row>
    <x:row r="323" ht="22" customHeight="1">
      <x:c r="A323" s="2" t="str">
        <x:v>L00402-010</x:v>
      </x:c>
      <x:c r="B323" s="2" t="str">
        <x:v>L00402</x:v>
      </x:c>
      <x:c r="C323" s="2" t="str">
        <x:v>SO-26081</x:v>
      </x:c>
      <x:c r="D323" s="2" t="str">
        <x:v>D-S-AL</x:v>
      </x:c>
      <x:c r="E323" s="14" t="n">
        <x:v>25</x:v>
      </x:c>
      <x:c r="F323" s="2" t="str">
        <x:v>CNC machining</x:v>
      </x:c>
      <x:c r="G323" s="9" t="str">
        <x:v>CNC-01</x:v>
      </x:c>
      <x:c r="H323" s="15" t="n">
        <x:v>16</x:v>
      </x:c>
      <x:c r="I323" s="9" t="str">
        <x:v>P01</x:v>
      </x:c>
      <x:c r="J323" s="11" t="n">
        <x:v>46301.25</x:v>
      </x:c>
      <x:c r="K323" s="15" t="n">
        <x:v>18</x:v>
      </x:c>
      <x:c r="L323" s="15" t="n">
        <x:v>60</x:v>
      </x:c>
      <x:c r="M323" s="13" t="n">
        <x:f>J323+(K323+L323)/1440</x:f>
        <x:v>46301.30416666667</x:v>
      </x:c>
      <x:c r="N323" s="13" t="n">
        <x:f>VLOOKUP(C323,'MES orders'!$A$8:$H$127,5,FALSE)</x:f>
        <x:v>46302.666666666664</x:v>
      </x:c>
      <x:c r="O323" s="16" t="n">
        <x:f>MAX(0,(M323-N323)*24)</x:f>
        <x:v>0</x:v>
      </x:c>
      <x:c r="P323" s="9" t="str">
        <x:v>No</x:v>
      </x:c>
      <x:c r="Q323" s="15" t="n">
        <x:v>18</x:v>
      </x:c>
      <x:c r="R323" s="13" t="n">
        <x:f>J323+Q323/1440</x:f>
        <x:v>46301.2625</x:v>
      </x:c>
      <x:c r="S323" s="2" t="str">
        <x:f>VLOOKUP(C323,'MES orders'!$A$8:$H$127,6,FALSE)</x:f>
        <x:v>Normal</x:v>
      </x:c>
      <x:c r="T323" s="9" t="str"/>
    </x:row>
    <x:row r="324" ht="22" customHeight="1">
      <x:c r="A324" s="2" t="str">
        <x:v>L00403-010</x:v>
      </x:c>
      <x:c r="B324" s="2" t="str">
        <x:v>L00403</x:v>
      </x:c>
      <x:c r="C324" s="2" t="str">
        <x:v>SO-26081</x:v>
      </x:c>
      <x:c r="D324" s="2" t="str">
        <x:v>D-S-AL</x:v>
      </x:c>
      <x:c r="E324" s="14" t="n">
        <x:v>25</x:v>
      </x:c>
      <x:c r="F324" s="2" t="str">
        <x:v>CNC machining</x:v>
      </x:c>
      <x:c r="G324" s="9" t="str">
        <x:v>CNC-02</x:v>
      </x:c>
      <x:c r="H324" s="15" t="n">
        <x:v>12</x:v>
      </x:c>
      <x:c r="I324" s="9" t="str">
        <x:v>P02</x:v>
      </x:c>
      <x:c r="J324" s="11" t="n">
        <x:v>46301.25</x:v>
      </x:c>
      <x:c r="K324" s="15" t="n">
        <x:v>18</x:v>
      </x:c>
      <x:c r="L324" s="15" t="n">
        <x:v>60</x:v>
      </x:c>
      <x:c r="M324" s="13" t="n">
        <x:f>J324+(K324+L324)/1440</x:f>
        <x:v>46301.30416666667</x:v>
      </x:c>
      <x:c r="N324" s="13" t="n">
        <x:f>VLOOKUP(C324,'MES orders'!$A$8:$H$127,5,FALSE)</x:f>
        <x:v>46302.666666666664</x:v>
      </x:c>
      <x:c r="O324" s="16" t="n">
        <x:f>MAX(0,(M324-N324)*24)</x:f>
        <x:v>0</x:v>
      </x:c>
      <x:c r="P324" s="9" t="str">
        <x:v>No</x:v>
      </x:c>
      <x:c r="Q324" s="15" t="n">
        <x:v>18</x:v>
      </x:c>
      <x:c r="R324" s="13" t="n">
        <x:f>J324+Q324/1440</x:f>
        <x:v>46301.2625</x:v>
      </x:c>
      <x:c r="S324" s="2" t="str">
        <x:f>VLOOKUP(C324,'MES orders'!$A$8:$H$127,6,FALSE)</x:f>
        <x:v>Normal</x:v>
      </x:c>
      <x:c r="T324" s="9" t="str"/>
    </x:row>
    <x:row r="325" ht="22" customHeight="1">
      <x:c r="A325" s="2" t="str">
        <x:v>L00404-010</x:v>
      </x:c>
      <x:c r="B325" s="2" t="str">
        <x:v>L00404</x:v>
      </x:c>
      <x:c r="C325" s="2" t="str">
        <x:v>SO-26081</x:v>
      </x:c>
      <x:c r="D325" s="2" t="str">
        <x:v>D-S-AL</x:v>
      </x:c>
      <x:c r="E325" s="14" t="n">
        <x:v>25</x:v>
      </x:c>
      <x:c r="F325" s="2" t="str">
        <x:v>CNC machining</x:v>
      </x:c>
      <x:c r="G325" s="9" t="str">
        <x:v>CNC-03</x:v>
      </x:c>
      <x:c r="H325" s="15" t="n">
        <x:v>11</x:v>
      </x:c>
      <x:c r="I325" s="9" t="str">
        <x:v>P03</x:v>
      </x:c>
      <x:c r="J325" s="11" t="n">
        <x:v>46301.25</x:v>
      </x:c>
      <x:c r="K325" s="15" t="n">
        <x:v>18</x:v>
      </x:c>
      <x:c r="L325" s="15" t="n">
        <x:v>60</x:v>
      </x:c>
      <x:c r="M325" s="13" t="n">
        <x:f>J325+(K325+L325)/1440</x:f>
        <x:v>46301.30416666667</x:v>
      </x:c>
      <x:c r="N325" s="13" t="n">
        <x:f>VLOOKUP(C325,'MES orders'!$A$8:$H$127,5,FALSE)</x:f>
        <x:v>46302.666666666664</x:v>
      </x:c>
      <x:c r="O325" s="16" t="n">
        <x:f>MAX(0,(M325-N325)*24)</x:f>
        <x:v>0</x:v>
      </x:c>
      <x:c r="P325" s="9" t="str">
        <x:v>No</x:v>
      </x:c>
      <x:c r="Q325" s="15" t="n">
        <x:v>18</x:v>
      </x:c>
      <x:c r="R325" s="13" t="n">
        <x:f>J325+Q325/1440</x:f>
        <x:v>46301.2625</x:v>
      </x:c>
      <x:c r="S325" s="2" t="str">
        <x:f>VLOOKUP(C325,'MES orders'!$A$8:$H$127,6,FALSE)</x:f>
        <x:v>Normal</x:v>
      </x:c>
      <x:c r="T325" s="9" t="str"/>
    </x:row>
    <x:row r="326" ht="22" customHeight="1">
      <x:c r="A326" s="2" t="str">
        <x:v>L00006-020</x:v>
      </x:c>
      <x:c r="B326" s="2" t="str">
        <x:v>L00006</x:v>
      </x:c>
      <x:c r="C326" s="2" t="str">
        <x:v>SO-26002</x:v>
      </x:c>
      <x:c r="D326" s="2" t="str">
        <x:v>R-C-SS</x:v>
      </x:c>
      <x:c r="E326" s="14" t="n">
        <x:v>5</x:v>
      </x:c>
      <x:c r="F326" s="2" t="str">
        <x:v>Deburr &amp; inspect</x:v>
      </x:c>
      <x:c r="G326" s="9" t="str">
        <x:v>DB-01</x:v>
      </x:c>
      <x:c r="H326" s="15" t="n">
        <x:v>35</x:v>
      </x:c>
      <x:c r="I326" s="9" t="str">
        <x:v>P08</x:v>
      </x:c>
      <x:c r="J326" s="11" t="n">
        <x:v>46301.25</x:v>
      </x:c>
      <x:c r="K326" s="15" t="n">
        <x:v>4</x:v>
      </x:c>
      <x:c r="L326" s="15" t="n">
        <x:v>3</x:v>
      </x:c>
      <x:c r="M326" s="13" t="n">
        <x:f>J326+(K326+L326)/1440</x:f>
        <x:v>46301.25486111111</x:v>
      </x:c>
      <x:c r="N326" s="13" t="n">
        <x:f>VLOOKUP(C326,'MES orders'!$A$8:$H$127,5,FALSE)</x:f>
        <x:v>46303.666666666664</x:v>
      </x:c>
      <x:c r="O326" s="16" t="n">
        <x:f>MAX(0,(M326-N326)*24)</x:f>
        <x:v>0</x:v>
      </x:c>
      <x:c r="P326" s="9" t="str">
        <x:v>No</x:v>
      </x:c>
      <x:c r="Q326" s="15" t="n">
        <x:v>7</x:v>
      </x:c>
      <x:c r="R326" s="13" t="n">
        <x:f>J326+Q326/1440</x:f>
        <x:v>46301.25486111111</x:v>
      </x:c>
      <x:c r="S326" s="2" t="str">
        <x:f>VLOOKUP(C326,'MES orders'!$A$8:$H$127,6,FALSE)</x:f>
        <x:v>Normal</x:v>
      </x:c>
      <x:c r="T326" s="9" t="str"/>
    </x:row>
    <x:row r="327" ht="22" customHeight="1">
      <x:c r="A327" s="2" t="str">
        <x:v>L00007-020</x:v>
      </x:c>
      <x:c r="B327" s="2" t="str">
        <x:v>L00007</x:v>
      </x:c>
      <x:c r="C327" s="2" t="str">
        <x:v>SO-26002</x:v>
      </x:c>
      <x:c r="D327" s="2" t="str">
        <x:v>R-C-SS</x:v>
      </x:c>
      <x:c r="E327" s="14" t="n">
        <x:v>5</x:v>
      </x:c>
      <x:c r="F327" s="2" t="str">
        <x:v>Deburr &amp; inspect</x:v>
      </x:c>
      <x:c r="G327" s="9" t="str">
        <x:v>DB-02</x:v>
      </x:c>
      <x:c r="H327" s="15" t="n">
        <x:v>23</x:v>
      </x:c>
      <x:c r="I327" s="9" t="str">
        <x:v>P12</x:v>
      </x:c>
      <x:c r="J327" s="11" t="n">
        <x:v>46301.25</x:v>
      </x:c>
      <x:c r="K327" s="15" t="n">
        <x:v>4</x:v>
      </x:c>
      <x:c r="L327" s="15" t="n">
        <x:v>3</x:v>
      </x:c>
      <x:c r="M327" s="13" t="n">
        <x:f>J327+(K327+L327)/1440</x:f>
        <x:v>46301.25486111111</x:v>
      </x:c>
      <x:c r="N327" s="13" t="n">
        <x:f>VLOOKUP(C327,'MES orders'!$A$8:$H$127,5,FALSE)</x:f>
        <x:v>46303.666666666664</x:v>
      </x:c>
      <x:c r="O327" s="16" t="n">
        <x:f>MAX(0,(M327-N327)*24)</x:f>
        <x:v>0</x:v>
      </x:c>
      <x:c r="P327" s="9" t="str">
        <x:v>No</x:v>
      </x:c>
      <x:c r="Q327" s="15" t="n">
        <x:v>7</x:v>
      </x:c>
      <x:c r="R327" s="13" t="n">
        <x:f>J327+Q327/1440</x:f>
        <x:v>46301.25486111111</x:v>
      </x:c>
      <x:c r="S327" s="2" t="str">
        <x:f>VLOOKUP(C327,'MES orders'!$A$8:$H$127,6,FALSE)</x:f>
        <x:v>Normal</x:v>
      </x:c>
      <x:c r="T327" s="9" t="str"/>
    </x:row>
    <x:row r="328" ht="22" customHeight="1">
      <x:c r="A328" s="2" t="str">
        <x:v>L00321-050</x:v>
      </x:c>
      <x:c r="B328" s="2" t="str">
        <x:v>L00321</x:v>
      </x:c>
      <x:c r="C328" s="2" t="str">
        <x:v>SO-26065</x:v>
      </x:c>
      <x:c r="D328" s="2" t="str">
        <x:v>S-L-AL</x:v>
      </x:c>
      <x:c r="E328" s="14" t="n">
        <x:v>20</x:v>
      </x:c>
      <x:c r="F328" s="2" t="str">
        <x:v>Sensor installation</x:v>
      </x:c>
      <x:c r="G328" s="9" t="str">
        <x:v>EL-01</x:v>
      </x:c>
      <x:c r="H328" s="15" t="n">
        <x:v>9</x:v>
      </x:c>
      <x:c r="I328" s="9" t="str">
        <x:v>P07</x:v>
      </x:c>
      <x:c r="J328" s="11" t="n">
        <x:v>46301.25</x:v>
      </x:c>
      <x:c r="K328" s="15" t="n">
        <x:v>8</x:v>
      </x:c>
      <x:c r="L328" s="15" t="n">
        <x:v>32</x:v>
      </x:c>
      <x:c r="M328" s="13" t="n">
        <x:f>J328+(K328+L328)/1440</x:f>
        <x:v>46301.27777777778</x:v>
      </x:c>
      <x:c r="N328" s="13" t="n">
        <x:f>VLOOKUP(C328,'MES orders'!$A$8:$H$127,5,FALSE)</x:f>
        <x:v>46302.666666666664</x:v>
      </x:c>
      <x:c r="O328" s="16" t="n">
        <x:f>MAX(0,(M328-N328)*24)</x:f>
        <x:v>0</x:v>
      </x:c>
      <x:c r="P328" s="9" t="str">
        <x:v>No</x:v>
      </x:c>
      <x:c r="Q328" s="15" t="n">
        <x:v>40</x:v>
      </x:c>
      <x:c r="R328" s="13" t="n">
        <x:f>J328+Q328/1440</x:f>
        <x:v>46301.27777777778</x:v>
      </x:c>
      <x:c r="S328" s="2" t="str">
        <x:f>VLOOKUP(C328,'MES orders'!$A$8:$H$127,6,FALSE)</x:f>
        <x:v>Normal</x:v>
      </x:c>
      <x:c r="T328" s="9" t="str"/>
    </x:row>
    <x:row r="329" ht="22" customHeight="1">
      <x:c r="A329" s="2" t="str">
        <x:v>L00364-050</x:v>
      </x:c>
      <x:c r="B329" s="2" t="str">
        <x:v>L00364</x:v>
      </x:c>
      <x:c r="C329" s="2" t="str">
        <x:v>SO-26073</x:v>
      </x:c>
      <x:c r="D329" s="2" t="str">
        <x:v>D-C-AL</x:v>
      </x:c>
      <x:c r="E329" s="14" t="n">
        <x:v>25</x:v>
      </x:c>
      <x:c r="F329" s="2" t="str">
        <x:v>Final leak / function test</x:v>
      </x:c>
      <x:c r="G329" s="9" t="str">
        <x:v>QA-01</x:v>
      </x:c>
      <x:c r="H329" s="15" t="n">
        <x:v>13</x:v>
      </x:c>
      <x:c r="I329" s="9" t="str">
        <x:v>P11</x:v>
      </x:c>
      <x:c r="J329" s="11" t="n">
        <x:v>46301.25</x:v>
      </x:c>
      <x:c r="K329" s="15" t="n">
        <x:v>10</x:v>
      </x:c>
      <x:c r="L329" s="15" t="n">
        <x:v>18</x:v>
      </x:c>
      <x:c r="M329" s="13" t="n">
        <x:f>J329+(K329+L329)/1440</x:f>
        <x:v>46301.26944444444</x:v>
      </x:c>
      <x:c r="N329" s="13" t="n">
        <x:f>VLOOKUP(C329,'MES orders'!$A$8:$H$127,5,FALSE)</x:f>
        <x:v>46302.666666666664</x:v>
      </x:c>
      <x:c r="O329" s="16" t="n">
        <x:f>MAX(0,(M329-N329)*24)</x:f>
        <x:v>0</x:v>
      </x:c>
      <x:c r="P329" s="9" t="str">
        <x:v>No</x:v>
      </x:c>
      <x:c r="Q329" s="15" t="n">
        <x:v>28</x:v>
      </x:c>
      <x:c r="R329" s="13" t="n">
        <x:f>J329+Q329/1440</x:f>
        <x:v>46301.26944444444</x:v>
      </x:c>
      <x:c r="S329" s="2" t="str">
        <x:f>VLOOKUP(C329,'MES orders'!$A$8:$H$127,6,FALSE)</x:f>
        <x:v>Normal</x:v>
      </x:c>
      <x:c r="T329" s="9" t="str"/>
    </x:row>
    <x:row r="330" ht="22" customHeight="1">
      <x:c r="A330" s="2" t="str">
        <x:v>L00324-030</x:v>
      </x:c>
      <x:c r="B330" s="2" t="str">
        <x:v>L00324</x:v>
      </x:c>
      <x:c r="C330" s="2" t="str">
        <x:v>SO-26065</x:v>
      </x:c>
      <x:c r="D330" s="2" t="str">
        <x:v>S-L-AL</x:v>
      </x:c>
      <x:c r="E330" s="14" t="n">
        <x:v>20</x:v>
      </x:c>
      <x:c r="F330" s="2" t="str">
        <x:v>Wash &amp; dry</x:v>
      </x:c>
      <x:c r="G330" s="9" t="str">
        <x:v>WS-01</x:v>
      </x:c>
      <x:c r="H330" s="15" t="n">
        <x:v>32</x:v>
      </x:c>
      <x:c r="I330" s="9" t="str">
        <x:v>P06</x:v>
      </x:c>
      <x:c r="J330" s="11" t="n">
        <x:v>46301.25</x:v>
      </x:c>
      <x:c r="K330" s="15" t="n">
        <x:v>12</x:v>
      </x:c>
      <x:c r="L330" s="15" t="n">
        <x:v>9</x:v>
      </x:c>
      <x:c r="M330" s="13" t="n">
        <x:f>J330+(K330+L330)/1440</x:f>
        <x:v>46301.26458333333</x:v>
      </x:c>
      <x:c r="N330" s="13" t="n">
        <x:f>VLOOKUP(C330,'MES orders'!$A$8:$H$127,5,FALSE)</x:f>
        <x:v>46302.666666666664</x:v>
      </x:c>
      <x:c r="O330" s="16" t="n">
        <x:f>MAX(0,(M330-N330)*24)</x:f>
        <x:v>0</x:v>
      </x:c>
      <x:c r="P330" s="9" t="str">
        <x:v>No</x:v>
      </x:c>
      <x:c r="Q330" s="15" t="n">
        <x:v>21</x:v>
      </x:c>
      <x:c r="R330" s="13" t="n">
        <x:f>J330+Q330/1440</x:f>
        <x:v>46301.26458333333</x:v>
      </x:c>
      <x:c r="S330" s="2" t="str">
        <x:f>VLOOKUP(C330,'MES orders'!$A$8:$H$127,6,FALSE)</x:f>
        <x:v>Normal</x:v>
      </x:c>
      <x:c r="T330" s="9" t="str"/>
    </x:row>
    <x:row r="331" ht="22" customHeight="1">
      <x:c r="A331" s="2" t="str">
        <x:v>L00006-030</x:v>
      </x:c>
      <x:c r="B331" s="2" t="str">
        <x:v>L00006</x:v>
      </x:c>
      <x:c r="C331" s="2" t="str">
        <x:v>SO-26002</x:v>
      </x:c>
      <x:c r="D331" s="2" t="str">
        <x:v>R-C-SS</x:v>
      </x:c>
      <x:c r="E331" s="14" t="n">
        <x:v>5</x:v>
      </x:c>
      <x:c r="F331" s="2" t="str">
        <x:v>Wash &amp; dry</x:v>
      </x:c>
      <x:c r="G331" s="9" t="str">
        <x:v>WS-02</x:v>
      </x:c>
      <x:c r="H331" s="15" t="n">
        <x:v>23</x:v>
      </x:c>
      <x:c r="I331" s="9" t="str">
        <x:v>P08</x:v>
      </x:c>
      <x:c r="J331" s="11" t="n">
        <x:v>46301.25486111111</x:v>
      </x:c>
      <x:c r="K331" s="15" t="n">
        <x:v>12</x:v>
      </x:c>
      <x:c r="L331" s="15" t="n">
        <x:v>1</x:v>
      </x:c>
      <x:c r="M331" s="13" t="n">
        <x:f>J331+(K331+L331)/1440</x:f>
        <x:v>46301.26388888889</x:v>
      </x:c>
      <x:c r="N331" s="13" t="n">
        <x:f>VLOOKUP(C331,'MES orders'!$A$8:$H$127,5,FALSE)</x:f>
        <x:v>46303.666666666664</x:v>
      </x:c>
      <x:c r="O331" s="16" t="n">
        <x:f>MAX(0,(M331-N331)*24)</x:f>
        <x:v>0</x:v>
      </x:c>
      <x:c r="P331" s="9" t="str">
        <x:v>No</x:v>
      </x:c>
      <x:c r="Q331" s="15" t="n">
        <x:v>13</x:v>
      </x:c>
      <x:c r="R331" s="13" t="n">
        <x:f>J331+Q331/1440</x:f>
        <x:v>46301.26388888889</x:v>
      </x:c>
      <x:c r="S331" s="2" t="str">
        <x:f>VLOOKUP(C331,'MES orders'!$A$8:$H$127,6,FALSE)</x:f>
        <x:v>Normal</x:v>
      </x:c>
      <x:c r="T331" s="9" t="str"/>
    </x:row>
    <x:row r="332" ht="22" customHeight="1">
      <x:c r="A332" s="2" t="str">
        <x:v>L00405-010</x:v>
      </x:c>
      <x:c r="B332" s="2" t="str">
        <x:v>L00405</x:v>
      </x:c>
      <x:c r="C332" s="2" t="str">
        <x:v>SO-26081</x:v>
      </x:c>
      <x:c r="D332" s="2" t="str">
        <x:v>D-S-AL</x:v>
      </x:c>
      <x:c r="E332" s="14" t="n">
        <x:v>25</x:v>
      </x:c>
      <x:c r="F332" s="2" t="str">
        <x:v>CNC machining</x:v>
      </x:c>
      <x:c r="G332" s="9" t="str">
        <x:v>CNC-04</x:v>
      </x:c>
      <x:c r="H332" s="15" t="n">
        <x:v>10</x:v>
      </x:c>
      <x:c r="I332" s="9" t="str">
        <x:v>P01</x:v>
      </x:c>
      <x:c r="J332" s="11" t="n">
        <x:v>46301.2625</x:v>
      </x:c>
      <x:c r="K332" s="15" t="n">
        <x:v>18</x:v>
      </x:c>
      <x:c r="L332" s="15" t="n">
        <x:v>60</x:v>
      </x:c>
      <x:c r="M332" s="13" t="n">
        <x:f>J332+(K332+L332)/1440</x:f>
        <x:v>46301.316666666666</x:v>
      </x:c>
      <x:c r="N332" s="13" t="n">
        <x:f>VLOOKUP(C332,'MES orders'!$A$8:$H$127,5,FALSE)</x:f>
        <x:v>46302.666666666664</x:v>
      </x:c>
      <x:c r="O332" s="16" t="n">
        <x:f>MAX(0,(M332-N332)*24)</x:f>
        <x:v>0</x:v>
      </x:c>
      <x:c r="P332" s="9" t="str">
        <x:v>No</x:v>
      </x:c>
      <x:c r="Q332" s="15" t="n">
        <x:v>18</x:v>
      </x:c>
      <x:c r="R332" s="13" t="n">
        <x:f>J332+Q332/1440</x:f>
        <x:v>46301.274999999994</x:v>
      </x:c>
      <x:c r="S332" s="2" t="str">
        <x:f>VLOOKUP(C332,'MES orders'!$A$8:$H$127,6,FALSE)</x:f>
        <x:v>Normal</x:v>
      </x:c>
      <x:c r="T332" s="9" t="str"/>
    </x:row>
    <x:row r="333" ht="22" customHeight="1">
      <x:c r="A333" s="2" t="str">
        <x:v>L00441-010</x:v>
      </x:c>
      <x:c r="B333" s="2" t="str">
        <x:v>L00441</x:v>
      </x:c>
      <x:c r="C333" s="2" t="str">
        <x:v>SO-26089</x:v>
      </x:c>
      <x:c r="D333" s="2" t="str">
        <x:v>D-L-AL</x:v>
      </x:c>
      <x:c r="E333" s="14" t="n">
        <x:v>15</x:v>
      </x:c>
      <x:c r="F333" s="2" t="str">
        <x:v>CNC machining</x:v>
      </x:c>
      <x:c r="G333" s="9" t="str">
        <x:v>CNC-05</x:v>
      </x:c>
      <x:c r="H333" s="15" t="n">
        <x:v>8</x:v>
      </x:c>
      <x:c r="I333" s="9" t="str">
        <x:v>P02</x:v>
      </x:c>
      <x:c r="J333" s="11" t="n">
        <x:v>46301.2625</x:v>
      </x:c>
      <x:c r="K333" s="15" t="n">
        <x:v>18</x:v>
      </x:c>
      <x:c r="L333" s="15" t="n">
        <x:v>49</x:v>
      </x:c>
      <x:c r="M333" s="13" t="n">
        <x:f>J333+(K333+L333)/1440</x:f>
        <x:v>46301.309027777774</x:v>
      </x:c>
      <x:c r="N333" s="13" t="n">
        <x:f>VLOOKUP(C333,'MES orders'!$A$8:$H$127,5,FALSE)</x:f>
        <x:v>46302.666666666664</x:v>
      </x:c>
      <x:c r="O333" s="16" t="n">
        <x:f>MAX(0,(M333-N333)*24)</x:f>
        <x:v>0</x:v>
      </x:c>
      <x:c r="P333" s="9" t="str">
        <x:v>No</x:v>
      </x:c>
      <x:c r="Q333" s="15" t="n">
        <x:v>18</x:v>
      </x:c>
      <x:c r="R333" s="13" t="n">
        <x:f>J333+Q333/1440</x:f>
        <x:v>46301.274999999994</x:v>
      </x:c>
      <x:c r="S333" s="2" t="str">
        <x:f>VLOOKUP(C333,'MES orders'!$A$8:$H$127,6,FALSE)</x:f>
        <x:v>Normal</x:v>
      </x:c>
      <x:c r="T333" s="9" t="str"/>
    </x:row>
    <x:row r="334" ht="22" customHeight="1">
      <x:c r="A334" s="2" t="str">
        <x:v>L00442-010</x:v>
      </x:c>
      <x:c r="B334" s="2" t="str">
        <x:v>L00442</x:v>
      </x:c>
      <x:c r="C334" s="2" t="str">
        <x:v>SO-26089</x:v>
      </x:c>
      <x:c r="D334" s="2" t="str">
        <x:v>D-L-AL</x:v>
      </x:c>
      <x:c r="E334" s="14" t="n">
        <x:v>15</x:v>
      </x:c>
      <x:c r="F334" s="2" t="str">
        <x:v>CNC machining</x:v>
      </x:c>
      <x:c r="G334" s="9" t="str">
        <x:v>CNC-06</x:v>
      </x:c>
      <x:c r="H334" s="15" t="n">
        <x:v>7</x:v>
      </x:c>
      <x:c r="I334" s="9" t="str">
        <x:v>P03</x:v>
      </x:c>
      <x:c r="J334" s="11" t="n">
        <x:v>46301.2625</x:v>
      </x:c>
      <x:c r="K334" s="15" t="n">
        <x:v>18</x:v>
      </x:c>
      <x:c r="L334" s="15" t="n">
        <x:v>49</x:v>
      </x:c>
      <x:c r="M334" s="13" t="n">
        <x:f>J334+(K334+L334)/1440</x:f>
        <x:v>46301.309027777774</x:v>
      </x:c>
      <x:c r="N334" s="13" t="n">
        <x:f>VLOOKUP(C334,'MES orders'!$A$8:$H$127,5,FALSE)</x:f>
        <x:v>46302.666666666664</x:v>
      </x:c>
      <x:c r="O334" s="16" t="n">
        <x:f>MAX(0,(M334-N334)*24)</x:f>
        <x:v>0</x:v>
      </x:c>
      <x:c r="P334" s="9" t="str">
        <x:v>No</x:v>
      </x:c>
      <x:c r="Q334" s="15" t="n">
        <x:v>18</x:v>
      </x:c>
      <x:c r="R334" s="13" t="n">
        <x:f>J334+Q334/1440</x:f>
        <x:v>46301.274999999994</x:v>
      </x:c>
      <x:c r="S334" s="2" t="str">
        <x:f>VLOOKUP(C334,'MES orders'!$A$8:$H$127,6,FALSE)</x:f>
        <x:v>Normal</x:v>
      </x:c>
      <x:c r="T334" s="9" t="str"/>
    </x:row>
    <x:row r="335" ht="22" customHeight="1">
      <x:c r="A335" s="2" t="str">
        <x:v>L00006-040</x:v>
      </x:c>
      <x:c r="B335" s="2" t="str">
        <x:v>L00006</x:v>
      </x:c>
      <x:c r="C335" s="2" t="str">
        <x:v>SO-26002</x:v>
      </x:c>
      <x:c r="D335" s="2" t="str">
        <x:v>R-C-SS</x:v>
      </x:c>
      <x:c r="E335" s="14" t="n">
        <x:v>5</x:v>
      </x:c>
      <x:c r="F335" s="2" t="str">
        <x:v>Mechanical assembly</x:v>
      </x:c>
      <x:c r="G335" s="9" t="str">
        <x:v>AS-04</x:v>
      </x:c>
      <x:c r="H335" s="15" t="n">
        <x:v>8</x:v>
      </x:c>
      <x:c r="I335" s="9" t="str">
        <x:v>P08</x:v>
      </x:c>
      <x:c r="J335" s="11" t="n">
        <x:v>46301.26388888889</x:v>
      </x:c>
      <x:c r="K335" s="15" t="n">
        <x:v>8</x:v>
      </x:c>
      <x:c r="L335" s="15" t="n">
        <x:v>7</x:v>
      </x:c>
      <x:c r="M335" s="13" t="n">
        <x:f>J335+(K335+L335)/1440</x:f>
        <x:v>46301.274305555555</x:v>
      </x:c>
      <x:c r="N335" s="13" t="n">
        <x:f>VLOOKUP(C335,'MES orders'!$A$8:$H$127,5,FALSE)</x:f>
        <x:v>46303.666666666664</x:v>
      </x:c>
      <x:c r="O335" s="16" t="n">
        <x:f>MAX(0,(M335-N335)*24)</x:f>
        <x:v>0</x:v>
      </x:c>
      <x:c r="P335" s="9" t="str">
        <x:v>No</x:v>
      </x:c>
      <x:c r="Q335" s="15" t="n">
        <x:v>15</x:v>
      </x:c>
      <x:c r="R335" s="13" t="n">
        <x:f>J335+Q335/1440</x:f>
        <x:v>46301.274305555555</x:v>
      </x:c>
      <x:c r="S335" s="2" t="str">
        <x:f>VLOOKUP(C335,'MES orders'!$A$8:$H$127,6,FALSE)</x:f>
        <x:v>Normal</x:v>
      </x:c>
      <x:c r="T335" s="9" t="str"/>
    </x:row>
    <x:row r="336" ht="22" customHeight="1">
      <x:c r="A336" s="2" t="str">
        <x:v>L00007-030</x:v>
      </x:c>
      <x:c r="B336" s="2" t="str">
        <x:v>L00007</x:v>
      </x:c>
      <x:c r="C336" s="2" t="str">
        <x:v>SO-26002</x:v>
      </x:c>
      <x:c r="D336" s="2" t="str">
        <x:v>R-C-SS</x:v>
      </x:c>
      <x:c r="E336" s="14" t="n">
        <x:v>5</x:v>
      </x:c>
      <x:c r="F336" s="2" t="str">
        <x:v>Wash &amp; dry</x:v>
      </x:c>
      <x:c r="G336" s="9" t="str">
        <x:v>WS-02</x:v>
      </x:c>
      <x:c r="H336" s="15" t="n">
        <x:v>24</x:v>
      </x:c>
      <x:c r="I336" s="9" t="str">
        <x:v>P12</x:v>
      </x:c>
      <x:c r="J336" s="11" t="n">
        <x:v>46301.26388888889</x:v>
      </x:c>
      <x:c r="K336" s="15" t="n">
        <x:v>12</x:v>
      </x:c>
      <x:c r="L336" s="15" t="n">
        <x:v>1</x:v>
      </x:c>
      <x:c r="M336" s="13" t="n">
        <x:f>J336+(K336+L336)/1440</x:f>
        <x:v>46301.27291666667</x:v>
      </x:c>
      <x:c r="N336" s="13" t="n">
        <x:f>VLOOKUP(C336,'MES orders'!$A$8:$H$127,5,FALSE)</x:f>
        <x:v>46303.666666666664</x:v>
      </x:c>
      <x:c r="O336" s="16" t="n">
        <x:f>MAX(0,(M336-N336)*24)</x:f>
        <x:v>0</x:v>
      </x:c>
      <x:c r="P336" s="9" t="str">
        <x:v>No</x:v>
      </x:c>
      <x:c r="Q336" s="15" t="n">
        <x:v>13</x:v>
      </x:c>
      <x:c r="R336" s="13" t="n">
        <x:f>J336+Q336/1440</x:f>
        <x:v>46301.27291666667</x:v>
      </x:c>
      <x:c r="S336" s="2" t="str">
        <x:f>VLOOKUP(C336,'MES orders'!$A$8:$H$127,6,FALSE)</x:f>
        <x:v>Normal</x:v>
      </x:c>
      <x:c r="T336" s="9" t="str"/>
    </x:row>
    <x:row r="337" ht="22" customHeight="1">
      <x:c r="A337" s="2" t="str">
        <x:v>L00324-040</x:v>
      </x:c>
      <x:c r="B337" s="2" t="str">
        <x:v>L00324</x:v>
      </x:c>
      <x:c r="C337" s="2" t="str">
        <x:v>SO-26065</x:v>
      </x:c>
      <x:c r="D337" s="2" t="str">
        <x:v>S-L-AL</x:v>
      </x:c>
      <x:c r="E337" s="14" t="n">
        <x:v>20</x:v>
      </x:c>
      <x:c r="F337" s="2" t="str">
        <x:v>Mechanical preassembly</x:v>
      </x:c>
      <x:c r="G337" s="9" t="str">
        <x:v>AS-03</x:v>
      </x:c>
      <x:c r="H337" s="15" t="n">
        <x:v>15</x:v>
      </x:c>
      <x:c r="I337" s="9" t="str">
        <x:v>P06</x:v>
      </x:c>
      <x:c r="J337" s="11" t="n">
        <x:v>46301.26458333333</x:v>
      </x:c>
      <x:c r="K337" s="15" t="n">
        <x:v>6</x:v>
      </x:c>
      <x:c r="L337" s="15" t="n">
        <x:v>30</x:v>
      </x:c>
      <x:c r="M337" s="13" t="n">
        <x:f>J337+(K337+L337)/1440</x:f>
        <x:v>46301.28958333333</x:v>
      </x:c>
      <x:c r="N337" s="13" t="n">
        <x:f>VLOOKUP(C337,'MES orders'!$A$8:$H$127,5,FALSE)</x:f>
        <x:v>46302.666666666664</x:v>
      </x:c>
      <x:c r="O337" s="16" t="n">
        <x:f>MAX(0,(M337-N337)*24)</x:f>
        <x:v>0</x:v>
      </x:c>
      <x:c r="P337" s="9" t="str">
        <x:v>No</x:v>
      </x:c>
      <x:c r="Q337" s="15" t="n">
        <x:v>36</x:v>
      </x:c>
      <x:c r="R337" s="13" t="n">
        <x:f>J337+Q337/1440</x:f>
        <x:v>46301.28958333333</x:v>
      </x:c>
      <x:c r="S337" s="2" t="str">
        <x:f>VLOOKUP(C337,'MES orders'!$A$8:$H$127,6,FALSE)</x:f>
        <x:v>Normal</x:v>
      </x:c>
      <x:c r="T337" s="9" t="str"/>
    </x:row>
    <x:row r="338" ht="22" customHeight="1">
      <x:c r="A338" s="2" t="str">
        <x:v>L00007-040</x:v>
      </x:c>
      <x:c r="B338" s="2" t="str">
        <x:v>L00007</x:v>
      </x:c>
      <x:c r="C338" s="2" t="str">
        <x:v>SO-26002</x:v>
      </x:c>
      <x:c r="D338" s="2" t="str">
        <x:v>R-C-SS</x:v>
      </x:c>
      <x:c r="E338" s="14" t="n">
        <x:v>5</x:v>
      </x:c>
      <x:c r="F338" s="2" t="str">
        <x:v>Mechanical assembly</x:v>
      </x:c>
      <x:c r="G338" s="9" t="str">
        <x:v>AS-05</x:v>
      </x:c>
      <x:c r="H338" s="15" t="n">
        <x:v>9</x:v>
      </x:c>
      <x:c r="I338" s="9" t="str">
        <x:v>P11</x:v>
      </x:c>
      <x:c r="J338" s="11" t="n">
        <x:v>46301.27291666667</x:v>
      </x:c>
      <x:c r="K338" s="15" t="n">
        <x:v>8</x:v>
      </x:c>
      <x:c r="L338" s="15" t="n">
        <x:v>7</x:v>
      </x:c>
      <x:c r="M338" s="13" t="n">
        <x:f>J338+(K338+L338)/1440</x:f>
        <x:v>46301.28333333333</x:v>
      </x:c>
      <x:c r="N338" s="13" t="n">
        <x:f>VLOOKUP(C338,'MES orders'!$A$8:$H$127,5,FALSE)</x:f>
        <x:v>46303.666666666664</x:v>
      </x:c>
      <x:c r="O338" s="16" t="n">
        <x:f>MAX(0,(M338-N338)*24)</x:f>
        <x:v>0</x:v>
      </x:c>
      <x:c r="P338" s="9" t="str">
        <x:v>No</x:v>
      </x:c>
      <x:c r="Q338" s="15" t="n">
        <x:v>15</x:v>
      </x:c>
      <x:c r="R338" s="13" t="n">
        <x:f>J338+Q338/1440</x:f>
        <x:v>46301.28333333333</x:v>
      </x:c>
      <x:c r="S338" s="2" t="str">
        <x:f>VLOOKUP(C338,'MES orders'!$A$8:$H$127,6,FALSE)</x:f>
        <x:v>Normal</x:v>
      </x:c>
      <x:c r="T338" s="9" t="str"/>
    </x:row>
    <x:row r="339" ht="22" customHeight="1">
      <x:c r="A339" s="2" t="str">
        <x:v>L00361-040</x:v>
      </x:c>
      <x:c r="B339" s="2" t="str">
        <x:v>L00361</x:v>
      </x:c>
      <x:c r="C339" s="2" t="str">
        <x:v>SO-26073</x:v>
      </x:c>
      <x:c r="D339" s="2" t="str">
        <x:v>D-C-AL</x:v>
      </x:c>
      <x:c r="E339" s="14" t="n">
        <x:v>25</x:v>
      </x:c>
      <x:c r="F339" s="2" t="str">
        <x:v>Mechanical assembly</x:v>
      </x:c>
      <x:c r="G339" s="9" t="str">
        <x:v>AS-01</x:v>
      </x:c>
      <x:c r="H339" s="15" t="n">
        <x:v>28</x:v>
      </x:c>
      <x:c r="I339" s="9" t="str">
        <x:v>P05</x:v>
      </x:c>
      <x:c r="J339" s="11" t="n">
        <x:v>46301.275</x:v>
      </x:c>
      <x:c r="K339" s="15" t="n">
        <x:v>8</x:v>
      </x:c>
      <x:c r="L339" s="15" t="n">
        <x:v>36</x:v>
      </x:c>
      <x:c r="M339" s="13" t="n">
        <x:f>J339+(K339+L339)/1440</x:f>
        <x:v>46301.305555555555</x:v>
      </x:c>
      <x:c r="N339" s="13" t="n">
        <x:f>VLOOKUP(C339,'MES orders'!$A$8:$H$127,5,FALSE)</x:f>
        <x:v>46302.666666666664</x:v>
      </x:c>
      <x:c r="O339" s="16" t="n">
        <x:f>MAX(0,(M339-N339)*24)</x:f>
        <x:v>0</x:v>
      </x:c>
      <x:c r="P339" s="9" t="str">
        <x:v>No</x:v>
      </x:c>
      <x:c r="Q339" s="15" t="n">
        <x:v>44</x:v>
      </x:c>
      <x:c r="R339" s="13" t="n">
        <x:f>J339+Q339/1440</x:f>
        <x:v>46301.305555555555</x:v>
      </x:c>
      <x:c r="S339" s="2" t="str">
        <x:f>VLOOKUP(C339,'MES orders'!$A$8:$H$127,6,FALSE)</x:f>
        <x:v>Normal</x:v>
      </x:c>
      <x:c r="T339" s="9" t="str"/>
    </x:row>
    <x:row r="340" ht="22" customHeight="1">
      <x:c r="A340" s="2" t="str">
        <x:v>L00322-050</x:v>
      </x:c>
      <x:c r="B340" s="2" t="str">
        <x:v>L00322</x:v>
      </x:c>
      <x:c r="C340" s="2" t="str">
        <x:v>SO-26065</x:v>
      </x:c>
      <x:c r="D340" s="2" t="str">
        <x:v>S-L-AL</x:v>
      </x:c>
      <x:c r="E340" s="14" t="n">
        <x:v>20</x:v>
      </x:c>
      <x:c r="F340" s="2" t="str">
        <x:v>Sensor installation</x:v>
      </x:c>
      <x:c r="G340" s="9" t="str">
        <x:v>EL-02</x:v>
      </x:c>
      <x:c r="H340" s="15" t="n">
        <x:v>3</x:v>
      </x:c>
      <x:c r="I340" s="9" t="str">
        <x:v>P08</x:v>
      </x:c>
      <x:c r="J340" s="11" t="n">
        <x:v>46301.275</x:v>
      </x:c>
      <x:c r="K340" s="15" t="n">
        <x:v>8</x:v>
      </x:c>
      <x:c r="L340" s="15" t="n">
        <x:v>32</x:v>
      </x:c>
      <x:c r="M340" s="13" t="n">
        <x:f>J340+(K340+L340)/1440</x:f>
        <x:v>46301.30277777778</x:v>
      </x:c>
      <x:c r="N340" s="13" t="n">
        <x:f>VLOOKUP(C340,'MES orders'!$A$8:$H$127,5,FALSE)</x:f>
        <x:v>46302.666666666664</x:v>
      </x:c>
      <x:c r="O340" s="16" t="n">
        <x:f>MAX(0,(M340-N340)*24)</x:f>
        <x:v>0</x:v>
      </x:c>
      <x:c r="P340" s="9" t="str">
        <x:v>No</x:v>
      </x:c>
      <x:c r="Q340" s="15" t="n">
        <x:v>40</x:v>
      </x:c>
      <x:c r="R340" s="13" t="n">
        <x:f>J340+Q340/1440</x:f>
        <x:v>46301.30277777778</x:v>
      </x:c>
      <x:c r="S340" s="2" t="str">
        <x:f>VLOOKUP(C340,'MES orders'!$A$8:$H$127,6,FALSE)</x:f>
        <x:v>Normal</x:v>
      </x:c>
      <x:c r="T340" s="9" t="str"/>
    </x:row>
    <x:row r="341" ht="22" customHeight="1">
      <x:c r="A341" s="2" t="str">
        <x:v>L00325-030</x:v>
      </x:c>
      <x:c r="B341" s="2" t="str">
        <x:v>L00325</x:v>
      </x:c>
      <x:c r="C341" s="2" t="str">
        <x:v>SO-26065</x:v>
      </x:c>
      <x:c r="D341" s="2" t="str">
        <x:v>S-L-AL</x:v>
      </x:c>
      <x:c r="E341" s="14" t="n">
        <x:v>20</x:v>
      </x:c>
      <x:c r="F341" s="2" t="str">
        <x:v>Wash &amp; dry</x:v>
      </x:c>
      <x:c r="G341" s="9" t="str">
        <x:v>WS-01</x:v>
      </x:c>
      <x:c r="H341" s="15" t="n">
        <x:v>33</x:v>
      </x:c>
      <x:c r="I341" s="9" t="str">
        <x:v>P04</x:v>
      </x:c>
      <x:c r="J341" s="11" t="n">
        <x:v>46301.275</x:v>
      </x:c>
      <x:c r="K341" s="15" t="n">
        <x:v>12</x:v>
      </x:c>
      <x:c r="L341" s="15" t="n">
        <x:v>9</x:v>
      </x:c>
      <x:c r="M341" s="13" t="n">
        <x:f>J341+(K341+L341)/1440</x:f>
        <x:v>46301.28958333333</x:v>
      </x:c>
      <x:c r="N341" s="13" t="n">
        <x:f>VLOOKUP(C341,'MES orders'!$A$8:$H$127,5,FALSE)</x:f>
        <x:v>46302.666666666664</x:v>
      </x:c>
      <x:c r="O341" s="16" t="n">
        <x:f>MAX(0,(M341-N341)*24)</x:f>
        <x:v>0</x:v>
      </x:c>
      <x:c r="P341" s="9" t="str">
        <x:v>No</x:v>
      </x:c>
      <x:c r="Q341" s="15" t="n">
        <x:v>21</x:v>
      </x:c>
      <x:c r="R341" s="13" t="n">
        <x:f>J341+Q341/1440</x:f>
        <x:v>46301.28958333333</x:v>
      </x:c>
      <x:c r="S341" s="2" t="str">
        <x:f>VLOOKUP(C341,'MES orders'!$A$8:$H$127,6,FALSE)</x:f>
        <x:v>Normal</x:v>
      </x:c>
      <x:c r="T341" s="9" t="str"/>
    </x:row>
    <x:row r="342" ht="22" customHeight="1">
      <x:c r="A342" s="2" t="str">
        <x:v>L00321-060</x:v>
      </x:c>
      <x:c r="B342" s="2" t="str">
        <x:v>L00321</x:v>
      </x:c>
      <x:c r="C342" s="2" t="str">
        <x:v>SO-26065</x:v>
      </x:c>
      <x:c r="D342" s="2" t="str">
        <x:v>S-L-AL</x:v>
      </x:c>
      <x:c r="E342" s="14" t="n">
        <x:v>20</x:v>
      </x:c>
      <x:c r="F342" s="2" t="str">
        <x:v>Sensor calibration</x:v>
      </x:c>
      <x:c r="G342" s="9" t="str">
        <x:v>CAL-01</x:v>
      </x:c>
      <x:c r="H342" s="15" t="n">
        <x:v>11</x:v>
      </x:c>
      <x:c r="I342" s="9" t="str">
        <x:v>P09</x:v>
      </x:c>
      <x:c r="J342" s="11" t="n">
        <x:v>46301.27777777778</x:v>
      </x:c>
      <x:c r="K342" s="15" t="n">
        <x:v>10</x:v>
      </x:c>
      <x:c r="L342" s="15" t="n">
        <x:v>35</x:v>
      </x:c>
      <x:c r="M342" s="13" t="n">
        <x:f>J342+(K342+L342)/1440</x:f>
        <x:v>46301.30902777778</x:v>
      </x:c>
      <x:c r="N342" s="13" t="n">
        <x:f>VLOOKUP(C342,'MES orders'!$A$8:$H$127,5,FALSE)</x:f>
        <x:v>46302.666666666664</x:v>
      </x:c>
      <x:c r="O342" s="16" t="n">
        <x:f>MAX(0,(M342-N342)*24)</x:f>
        <x:v>0</x:v>
      </x:c>
      <x:c r="P342" s="9" t="str">
        <x:v>No</x:v>
      </x:c>
      <x:c r="Q342" s="15" t="n">
        <x:v>45</x:v>
      </x:c>
      <x:c r="R342" s="13" t="n">
        <x:f>J342+Q342/1440</x:f>
        <x:v>46301.30902777778</x:v>
      </x:c>
      <x:c r="S342" s="2" t="str">
        <x:f>VLOOKUP(C342,'MES orders'!$A$8:$H$127,6,FALSE)</x:f>
        <x:v>Normal</x:v>
      </x:c>
      <x:c r="T342" s="9" t="str"/>
    </x:row>
    <x:row r="343" ht="22" customHeight="1">
      <x:c r="A343" s="2" t="str">
        <x:v>L00323-050</x:v>
      </x:c>
      <x:c r="B343" s="2" t="str">
        <x:v>L00323</x:v>
      </x:c>
      <x:c r="C343" s="2" t="str">
        <x:v>SO-26065</x:v>
      </x:c>
      <x:c r="D343" s="2" t="str">
        <x:v>S-L-AL</x:v>
      </x:c>
      <x:c r="E343" s="14" t="n">
        <x:v>20</x:v>
      </x:c>
      <x:c r="F343" s="2" t="str">
        <x:v>Sensor installation</x:v>
      </x:c>
      <x:c r="G343" s="9" t="str">
        <x:v>EL-01</x:v>
      </x:c>
      <x:c r="H343" s="15" t="n">
        <x:v>10</x:v>
      </x:c>
      <x:c r="I343" s="9" t="str">
        <x:v>P07</x:v>
      </x:c>
      <x:c r="J343" s="11" t="n">
        <x:v>46301.27777777778</x:v>
      </x:c>
      <x:c r="K343" s="15" t="n">
        <x:v>8</x:v>
      </x:c>
      <x:c r="L343" s="15" t="n">
        <x:v>32</x:v>
      </x:c>
      <x:c r="M343" s="13" t="n">
        <x:f>J343+(K343+L343)/1440</x:f>
        <x:v>46301.30555555556</x:v>
      </x:c>
      <x:c r="N343" s="13" t="n">
        <x:f>VLOOKUP(C343,'MES orders'!$A$8:$H$127,5,FALSE)</x:f>
        <x:v>46302.666666666664</x:v>
      </x:c>
      <x:c r="O343" s="16" t="n">
        <x:f>MAX(0,(M343-N343)*24)</x:f>
        <x:v>0</x:v>
      </x:c>
      <x:c r="P343" s="9" t="str">
        <x:v>No</x:v>
      </x:c>
      <x:c r="Q343" s="15" t="n">
        <x:v>40</x:v>
      </x:c>
      <x:c r="R343" s="13" t="n">
        <x:f>J343+Q343/1440</x:f>
        <x:v>46301.30555555556</x:v>
      </x:c>
      <x:c r="S343" s="2" t="str">
        <x:f>VLOOKUP(C343,'MES orders'!$A$8:$H$127,6,FALSE)</x:f>
        <x:v>Normal</x:v>
      </x:c>
      <x:c r="T343" s="9" t="str"/>
    </x:row>
    <x:row r="344" ht="22" customHeight="1">
      <x:c r="A344" s="2" t="str">
        <x:v>L00325-040</x:v>
      </x:c>
      <x:c r="B344" s="2" t="str">
        <x:v>L00325</x:v>
      </x:c>
      <x:c r="C344" s="2" t="str">
        <x:v>SO-26065</x:v>
      </x:c>
      <x:c r="D344" s="2" t="str">
        <x:v>S-L-AL</x:v>
      </x:c>
      <x:c r="E344" s="14" t="n">
        <x:v>20</x:v>
      </x:c>
      <x:c r="F344" s="2" t="str">
        <x:v>Mechanical preassembly</x:v>
      </x:c>
      <x:c r="G344" s="9" t="str">
        <x:v>AS-02</x:v>
      </x:c>
      <x:c r="H344" s="15" t="n">
        <x:v>24</x:v>
      </x:c>
      <x:c r="I344" s="9" t="str">
        <x:v>P04</x:v>
      </x:c>
      <x:c r="J344" s="11" t="n">
        <x:v>46301.28958333333</x:v>
      </x:c>
      <x:c r="K344" s="15" t="n">
        <x:v>6</x:v>
      </x:c>
      <x:c r="L344" s="15" t="n">
        <x:v>30</x:v>
      </x:c>
      <x:c r="M344" s="13" t="n">
        <x:f>J344+(K344+L344)/1440</x:f>
        <x:v>46301.31458333333</x:v>
      </x:c>
      <x:c r="N344" s="13" t="n">
        <x:f>VLOOKUP(C344,'MES orders'!$A$8:$H$127,5,FALSE)</x:f>
        <x:v>46302.666666666664</x:v>
      </x:c>
      <x:c r="O344" s="16" t="n">
        <x:f>MAX(0,(M344-N344)*24)</x:f>
        <x:v>0</x:v>
      </x:c>
      <x:c r="P344" s="9" t="str">
        <x:v>No</x:v>
      </x:c>
      <x:c r="Q344" s="15" t="n">
        <x:v>36</x:v>
      </x:c>
      <x:c r="R344" s="13" t="n">
        <x:f>J344+Q344/1440</x:f>
        <x:v>46301.31458333333</x:v>
      </x:c>
      <x:c r="S344" s="2" t="str">
        <x:f>VLOOKUP(C344,'MES orders'!$A$8:$H$127,6,FALSE)</x:f>
        <x:v>Normal</x:v>
      </x:c>
      <x:c r="T344" s="9" t="str"/>
    </x:row>
    <x:row r="345" ht="22" customHeight="1">
      <x:c r="A345" s="2" t="str">
        <x:v>L00365-040</x:v>
      </x:c>
      <x:c r="B345" s="2" t="str">
        <x:v>L00365</x:v>
      </x:c>
      <x:c r="C345" s="2" t="str">
        <x:v>SO-26073</x:v>
      </x:c>
      <x:c r="D345" s="2" t="str">
        <x:v>D-C-AL</x:v>
      </x:c>
      <x:c r="E345" s="14" t="n">
        <x:v>25</x:v>
      </x:c>
      <x:c r="F345" s="2" t="str">
        <x:v>Mechanical assembly</x:v>
      </x:c>
      <x:c r="G345" s="9" t="str">
        <x:v>AS-03</x:v>
      </x:c>
      <x:c r="H345" s="15" t="n">
        <x:v>16</x:v>
      </x:c>
      <x:c r="I345" s="9" t="str">
        <x:v>P06</x:v>
      </x:c>
      <x:c r="J345" s="11" t="n">
        <x:v>46301.28958333333</x:v>
      </x:c>
      <x:c r="K345" s="15" t="n">
        <x:v>8</x:v>
      </x:c>
      <x:c r="L345" s="15" t="n">
        <x:v>36</x:v>
      </x:c>
      <x:c r="M345" s="13" t="n">
        <x:f>J345+(K345+L345)/1440</x:f>
        <x:v>46301.320138888885</x:v>
      </x:c>
      <x:c r="N345" s="13" t="n">
        <x:f>VLOOKUP(C345,'MES orders'!$A$8:$H$127,5,FALSE)</x:f>
        <x:v>46302.666666666664</x:v>
      </x:c>
      <x:c r="O345" s="16" t="n">
        <x:f>MAX(0,(M345-N345)*24)</x:f>
        <x:v>0</x:v>
      </x:c>
      <x:c r="P345" s="9" t="str">
        <x:v>No</x:v>
      </x:c>
      <x:c r="Q345" s="15" t="n">
        <x:v>44</x:v>
      </x:c>
      <x:c r="R345" s="13" t="n">
        <x:f>J345+Q345/1440</x:f>
        <x:v>46301.320138888885</x:v>
      </x:c>
      <x:c r="S345" s="2" t="str">
        <x:f>VLOOKUP(C345,'MES orders'!$A$8:$H$127,6,FALSE)</x:f>
        <x:v>Normal</x:v>
      </x:c>
      <x:c r="T345" s="9" t="str"/>
    </x:row>
    <x:row r="346" ht="22" customHeight="1">
      <x:c r="A346" s="2" t="str">
        <x:v>L00324-050</x:v>
      </x:c>
      <x:c r="B346" s="2" t="str">
        <x:v>L00324</x:v>
      </x:c>
      <x:c r="C346" s="2" t="str">
        <x:v>SO-26065</x:v>
      </x:c>
      <x:c r="D346" s="2" t="str">
        <x:v>S-L-AL</x:v>
      </x:c>
      <x:c r="E346" s="14" t="n">
        <x:v>20</x:v>
      </x:c>
      <x:c r="F346" s="2" t="str">
        <x:v>Sensor installation</x:v>
      </x:c>
      <x:c r="G346" s="9" t="str">
        <x:v>EL-02</x:v>
      </x:c>
      <x:c r="H346" s="15" t="n">
        <x:v>4</x:v>
      </x:c>
      <x:c r="I346" s="9" t="str">
        <x:v>P08</x:v>
      </x:c>
      <x:c r="J346" s="11" t="n">
        <x:v>46301.302777777775</x:v>
      </x:c>
      <x:c r="K346" s="15" t="n">
        <x:v>8</x:v>
      </x:c>
      <x:c r="L346" s="15" t="n">
        <x:v>32</x:v>
      </x:c>
      <x:c r="M346" s="13" t="n">
        <x:f>J346+(K346+L346)/1440</x:f>
        <x:v>46301.330555555556</x:v>
      </x:c>
      <x:c r="N346" s="13" t="n">
        <x:f>VLOOKUP(C346,'MES orders'!$A$8:$H$127,5,FALSE)</x:f>
        <x:v>46302.666666666664</x:v>
      </x:c>
      <x:c r="O346" s="16" t="n">
        <x:f>MAX(0,(M346-N346)*24)</x:f>
        <x:v>0</x:v>
      </x:c>
      <x:c r="P346" s="9" t="str">
        <x:v>No</x:v>
      </x:c>
      <x:c r="Q346" s="15" t="n">
        <x:v>40</x:v>
      </x:c>
      <x:c r="R346" s="13" t="n">
        <x:f>J346+Q346/1440</x:f>
        <x:v>46301.330555555556</x:v>
      </x:c>
      <x:c r="S346" s="2" t="str">
        <x:f>VLOOKUP(C346,'MES orders'!$A$8:$H$127,6,FALSE)</x:f>
        <x:v>Normal</x:v>
      </x:c>
      <x:c r="T346" s="9" t="str"/>
    </x:row>
    <x:row r="347" ht="22" customHeight="1">
      <x:c r="A347" s="2" t="str">
        <x:v>L00443-010</x:v>
      </x:c>
      <x:c r="B347" s="2" t="str">
        <x:v>L00443</x:v>
      </x:c>
      <x:c r="C347" s="2" t="str">
        <x:v>SO-26089</x:v>
      </x:c>
      <x:c r="D347" s="2" t="str">
        <x:v>D-L-AL</x:v>
      </x:c>
      <x:c r="E347" s="14" t="n">
        <x:v>15</x:v>
      </x:c>
      <x:c r="F347" s="2" t="str">
        <x:v>CNC machining</x:v>
      </x:c>
      <x:c r="G347" s="9" t="str">
        <x:v>CNC-03</x:v>
      </x:c>
      <x:c r="H347" s="15" t="n">
        <x:v>12</x:v>
      </x:c>
      <x:c r="I347" s="9" t="str">
        <x:v>P01</x:v>
      </x:c>
      <x:c r="J347" s="11" t="n">
        <x:v>46301.30416666667</x:v>
      </x:c>
      <x:c r="K347" s="15" t="n">
        <x:v>18</x:v>
      </x:c>
      <x:c r="L347" s="15" t="n">
        <x:v>49</x:v>
      </x:c>
      <x:c r="M347" s="13" t="n">
        <x:f>J347+(K347+L347)/1440</x:f>
        <x:v>46301.350694444445</x:v>
      </x:c>
      <x:c r="N347" s="13" t="n">
        <x:f>VLOOKUP(C347,'MES orders'!$A$8:$H$127,5,FALSE)</x:f>
        <x:v>46302.666666666664</x:v>
      </x:c>
      <x:c r="O347" s="16" t="n">
        <x:f>MAX(0,(M347-N347)*24)</x:f>
        <x:v>0</x:v>
      </x:c>
      <x:c r="P347" s="9" t="str">
        <x:v>No</x:v>
      </x:c>
      <x:c r="Q347" s="15" t="n">
        <x:v>18</x:v>
      </x:c>
      <x:c r="R347" s="13" t="n">
        <x:f>J347+Q347/1440</x:f>
        <x:v>46301.316666666666</x:v>
      </x:c>
      <x:c r="S347" s="2" t="str">
        <x:f>VLOOKUP(C347,'MES orders'!$A$8:$H$127,6,FALSE)</x:f>
        <x:v>Normal</x:v>
      </x:c>
      <x:c r="T347" s="9" t="str"/>
    </x:row>
    <x:row r="348" ht="22" customHeight="1">
      <x:c r="A348" s="2" t="str">
        <x:v>L00361-050</x:v>
      </x:c>
      <x:c r="B348" s="2" t="str">
        <x:v>L00361</x:v>
      </x:c>
      <x:c r="C348" s="2" t="str">
        <x:v>SO-26073</x:v>
      </x:c>
      <x:c r="D348" s="2" t="str">
        <x:v>D-C-AL</x:v>
      </x:c>
      <x:c r="E348" s="14" t="n">
        <x:v>25</x:v>
      </x:c>
      <x:c r="F348" s="2" t="str">
        <x:v>Final leak / function test</x:v>
      </x:c>
      <x:c r="G348" s="9" t="str">
        <x:v>QA-01</x:v>
      </x:c>
      <x:c r="H348" s="15" t="n">
        <x:v>14</x:v>
      </x:c>
      <x:c r="I348" s="9" t="str">
        <x:v>P11</x:v>
      </x:c>
      <x:c r="J348" s="11" t="n">
        <x:v>46301.305555555555</x:v>
      </x:c>
      <x:c r="K348" s="15" t="n">
        <x:v>10</x:v>
      </x:c>
      <x:c r="L348" s="15" t="n">
        <x:v>18</x:v>
      </x:c>
      <x:c r="M348" s="13" t="n">
        <x:f>J348+(K348+L348)/1440</x:f>
        <x:v>46301.325</x:v>
      </x:c>
      <x:c r="N348" s="13" t="n">
        <x:f>VLOOKUP(C348,'MES orders'!$A$8:$H$127,5,FALSE)</x:f>
        <x:v>46302.666666666664</x:v>
      </x:c>
      <x:c r="O348" s="16" t="n">
        <x:f>MAX(0,(M348-N348)*24)</x:f>
        <x:v>0</x:v>
      </x:c>
      <x:c r="P348" s="9" t="str">
        <x:v>No</x:v>
      </x:c>
      <x:c r="Q348" s="15" t="n">
        <x:v>28</x:v>
      </x:c>
      <x:c r="R348" s="13" t="n">
        <x:f>J348+Q348/1440</x:f>
        <x:v>46301.325</x:v>
      </x:c>
      <x:c r="S348" s="2" t="str">
        <x:f>VLOOKUP(C348,'MES orders'!$A$8:$H$127,6,FALSE)</x:f>
        <x:v>Normal</x:v>
      </x:c>
      <x:c r="T348" s="9" t="str"/>
    </x:row>
    <x:row r="349" ht="22" customHeight="1">
      <x:c r="A349" s="2" t="str">
        <x:v>L00321-070</x:v>
      </x:c>
      <x:c r="B349" s="2" t="str">
        <x:v>L00321</x:v>
      </x:c>
      <x:c r="C349" s="2" t="str">
        <x:v>SO-26065</x:v>
      </x:c>
      <x:c r="D349" s="2" t="str">
        <x:v>S-L-AL</x:v>
      </x:c>
      <x:c r="E349" s="14" t="n">
        <x:v>20</x:v>
      </x:c>
      <x:c r="F349" s="2" t="str">
        <x:v>Final assembly</x:v>
      </x:c>
      <x:c r="G349" s="9" t="str">
        <x:v>AS-01</x:v>
      </x:c>
      <x:c r="H349" s="15" t="n">
        <x:v>29</x:v>
      </x:c>
      <x:c r="I349" s="9" t="str">
        <x:v>P05</x:v>
      </x:c>
      <x:c r="J349" s="11" t="n">
        <x:v>46301.30902777778</x:v>
      </x:c>
      <x:c r="K349" s="15" t="n">
        <x:v>5</x:v>
      </x:c>
      <x:c r="L349" s="15" t="n">
        <x:v>22</x:v>
      </x:c>
      <x:c r="M349" s="13" t="n">
        <x:f>J349+(K349+L349)/1440</x:f>
        <x:v>46301.327777777784</x:v>
      </x:c>
      <x:c r="N349" s="13" t="n">
        <x:f>VLOOKUP(C349,'MES orders'!$A$8:$H$127,5,FALSE)</x:f>
        <x:v>46302.666666666664</x:v>
      </x:c>
      <x:c r="O349" s="16" t="n">
        <x:f>MAX(0,(M349-N349)*24)</x:f>
        <x:v>0</x:v>
      </x:c>
      <x:c r="P349" s="9" t="str">
        <x:v>No</x:v>
      </x:c>
      <x:c r="Q349" s="15" t="n">
        <x:v>27</x:v>
      </x:c>
      <x:c r="R349" s="13" t="n">
        <x:f>J349+Q349/1440</x:f>
        <x:v>46301.327777777784</x:v>
      </x:c>
      <x:c r="S349" s="2" t="str">
        <x:f>VLOOKUP(C349,'MES orders'!$A$8:$H$127,6,FALSE)</x:f>
        <x:v>Normal</x:v>
      </x:c>
      <x:c r="T349" s="9" t="str"/>
    </x:row>
    <x:row r="350" ht="22" customHeight="1">
      <x:c r="A350" s="2" t="str">
        <x:v>L00322-060</x:v>
      </x:c>
      <x:c r="B350" s="2" t="str">
        <x:v>L00322</x:v>
      </x:c>
      <x:c r="C350" s="2" t="str">
        <x:v>SO-26065</x:v>
      </x:c>
      <x:c r="D350" s="2" t="str">
        <x:v>S-L-AL</x:v>
      </x:c>
      <x:c r="E350" s="14" t="n">
        <x:v>20</x:v>
      </x:c>
      <x:c r="F350" s="2" t="str">
        <x:v>Sensor calibration</x:v>
      </x:c>
      <x:c r="G350" s="9" t="str">
        <x:v>CAL-01</x:v>
      </x:c>
      <x:c r="H350" s="15" t="n">
        <x:v>12</x:v>
      </x:c>
      <x:c r="I350" s="9" t="str">
        <x:v>P09</x:v>
      </x:c>
      <x:c r="J350" s="11" t="n">
        <x:v>46301.30902777778</x:v>
      </x:c>
      <x:c r="K350" s="15" t="n">
        <x:v>10</x:v>
      </x:c>
      <x:c r="L350" s="15" t="n">
        <x:v>35</x:v>
      </x:c>
      <x:c r="M350" s="13" t="n">
        <x:f>J350+(K350+L350)/1440</x:f>
        <x:v>46301.34027777778</x:v>
      </x:c>
      <x:c r="N350" s="13" t="n">
        <x:f>VLOOKUP(C350,'MES orders'!$A$8:$H$127,5,FALSE)</x:f>
        <x:v>46302.666666666664</x:v>
      </x:c>
      <x:c r="O350" s="16" t="n">
        <x:f>MAX(0,(M350-N350)*24)</x:f>
        <x:v>0</x:v>
      </x:c>
      <x:c r="P350" s="9" t="str">
        <x:v>No</x:v>
      </x:c>
      <x:c r="Q350" s="15" t="n">
        <x:v>45</x:v>
      </x:c>
      <x:c r="R350" s="13" t="n">
        <x:f>J350+Q350/1440</x:f>
        <x:v>46301.34027777778</x:v>
      </x:c>
      <x:c r="S350" s="2" t="str">
        <x:f>VLOOKUP(C350,'MES orders'!$A$8:$H$127,6,FALSE)</x:f>
        <x:v>Normal</x:v>
      </x:c>
      <x:c r="T350" s="9" t="str"/>
    </x:row>
    <x:row r="351" ht="22" customHeight="1">
      <x:c r="A351" s="2" t="str">
        <x:v>L00444-010</x:v>
      </x:c>
      <x:c r="B351" s="2" t="str">
        <x:v>L00444</x:v>
      </x:c>
      <x:c r="C351" s="2" t="str">
        <x:v>SO-26089</x:v>
      </x:c>
      <x:c r="D351" s="2" t="str">
        <x:v>D-L-AL</x:v>
      </x:c>
      <x:c r="E351" s="14" t="n">
        <x:v>15</x:v>
      </x:c>
      <x:c r="F351" s="2" t="str">
        <x:v>CNC machining</x:v>
      </x:c>
      <x:c r="G351" s="9" t="str">
        <x:v>CNC-05</x:v>
      </x:c>
      <x:c r="H351" s="15" t="n">
        <x:v>9</x:v>
      </x:c>
      <x:c r="I351" s="9" t="str">
        <x:v>P02</x:v>
      </x:c>
      <x:c r="J351" s="11" t="n">
        <x:v>46301.30902777778</x:v>
      </x:c>
      <x:c r="K351" s="15" t="n">
        <x:v>18</x:v>
      </x:c>
      <x:c r="L351" s="15" t="n">
        <x:v>49</x:v>
      </x:c>
      <x:c r="M351" s="13" t="n">
        <x:f>J351+(K351+L351)/1440</x:f>
        <x:v>46301.35555555556</x:v>
      </x:c>
      <x:c r="N351" s="13" t="n">
        <x:f>VLOOKUP(C351,'MES orders'!$A$8:$H$127,5,FALSE)</x:f>
        <x:v>46302.666666666664</x:v>
      </x:c>
      <x:c r="O351" s="16" t="n">
        <x:f>MAX(0,(M351-N351)*24)</x:f>
        <x:v>0</x:v>
      </x:c>
      <x:c r="P351" s="9" t="str">
        <x:v>No</x:v>
      </x:c>
      <x:c r="Q351" s="15" t="n">
        <x:v>18</x:v>
      </x:c>
      <x:c r="R351" s="13" t="n">
        <x:f>J351+Q351/1440</x:f>
        <x:v>46301.32152777778</x:v>
      </x:c>
      <x:c r="S351" s="2" t="str">
        <x:f>VLOOKUP(C351,'MES orders'!$A$8:$H$127,6,FALSE)</x:f>
        <x:v>Normal</x:v>
      </x:c>
      <x:c r="T351" s="9" t="str"/>
    </x:row>
    <x:row r="352" ht="22" customHeight="1">
      <x:c r="A352" s="2" t="str">
        <x:v>L00445-010</x:v>
      </x:c>
      <x:c r="B352" s="2" t="str">
        <x:v>L00445</x:v>
      </x:c>
      <x:c r="C352" s="2" t="str">
        <x:v>SO-26089</x:v>
      </x:c>
      <x:c r="D352" s="2" t="str">
        <x:v>D-L-AL</x:v>
      </x:c>
      <x:c r="E352" s="14" t="n">
        <x:v>15</x:v>
      </x:c>
      <x:c r="F352" s="2" t="str">
        <x:v>CNC machining</x:v>
      </x:c>
      <x:c r="G352" s="9" t="str">
        <x:v>CNC-06</x:v>
      </x:c>
      <x:c r="H352" s="15" t="n">
        <x:v>8</x:v>
      </x:c>
      <x:c r="I352" s="9" t="str">
        <x:v>P03</x:v>
      </x:c>
      <x:c r="J352" s="11" t="n">
        <x:v>46301.30902777778</x:v>
      </x:c>
      <x:c r="K352" s="15" t="n">
        <x:v>18</x:v>
      </x:c>
      <x:c r="L352" s="15" t="n">
        <x:v>49</x:v>
      </x:c>
      <x:c r="M352" s="13" t="n">
        <x:f>J352+(K352+L352)/1440</x:f>
        <x:v>46301.35555555556</x:v>
      </x:c>
      <x:c r="N352" s="13" t="n">
        <x:f>VLOOKUP(C352,'MES orders'!$A$8:$H$127,5,FALSE)</x:f>
        <x:v>46302.666666666664</x:v>
      </x:c>
      <x:c r="O352" s="16" t="n">
        <x:f>MAX(0,(M352-N352)*24)</x:f>
        <x:v>0</x:v>
      </x:c>
      <x:c r="P352" s="9" t="str">
        <x:v>No</x:v>
      </x:c>
      <x:c r="Q352" s="15" t="n">
        <x:v>18</x:v>
      </x:c>
      <x:c r="R352" s="13" t="n">
        <x:f>J352+Q352/1440</x:f>
        <x:v>46301.32152777778</x:v>
      </x:c>
      <x:c r="S352" s="2" t="str">
        <x:f>VLOOKUP(C352,'MES orders'!$A$8:$H$127,6,FALSE)</x:f>
        <x:v>Normal</x:v>
      </x:c>
      <x:c r="T352" s="9" t="str"/>
    </x:row>
    <x:row r="353" ht="22" customHeight="1">
      <x:c r="A353" s="2" t="str">
        <x:v>L00325-050</x:v>
      </x:c>
      <x:c r="B353" s="2" t="str">
        <x:v>L00325</x:v>
      </x:c>
      <x:c r="C353" s="2" t="str">
        <x:v>SO-26065</x:v>
      </x:c>
      <x:c r="D353" s="2" t="str">
        <x:v>S-L-AL</x:v>
      </x:c>
      <x:c r="E353" s="14" t="n">
        <x:v>20</x:v>
      </x:c>
      <x:c r="F353" s="2" t="str">
        <x:v>Sensor installation</x:v>
      </x:c>
      <x:c r="G353" s="9" t="str">
        <x:v>EL-01</x:v>
      </x:c>
      <x:c r="H353" s="15" t="n">
        <x:v>11</x:v>
      </x:c>
      <x:c r="I353" s="9" t="str">
        <x:v>P07</x:v>
      </x:c>
      <x:c r="J353" s="11" t="n">
        <x:v>46301.31458333333</x:v>
      </x:c>
      <x:c r="K353" s="15" t="n">
        <x:v>8</x:v>
      </x:c>
      <x:c r="L353" s="15" t="n">
        <x:v>32</x:v>
      </x:c>
      <x:c r="M353" s="13" t="n">
        <x:f>J353+(K353+L353)/1440</x:f>
        <x:v>46301.342361111114</x:v>
      </x:c>
      <x:c r="N353" s="13" t="n">
        <x:f>VLOOKUP(C353,'MES orders'!$A$8:$H$127,5,FALSE)</x:f>
        <x:v>46302.666666666664</x:v>
      </x:c>
      <x:c r="O353" s="16" t="n">
        <x:f>MAX(0,(M353-N353)*24)</x:f>
        <x:v>0</x:v>
      </x:c>
      <x:c r="P353" s="9" t="str">
        <x:v>No</x:v>
      </x:c>
      <x:c r="Q353" s="15" t="n">
        <x:v>40</x:v>
      </x:c>
      <x:c r="R353" s="13" t="n">
        <x:f>J353+Q353/1440</x:f>
        <x:v>46301.342361111114</x:v>
      </x:c>
      <x:c r="S353" s="2" t="str">
        <x:f>VLOOKUP(C353,'MES orders'!$A$8:$H$127,6,FALSE)</x:f>
        <x:v>Normal</x:v>
      </x:c>
      <x:c r="T353" s="9" t="str"/>
    </x:row>
    <x:row r="354" ht="22" customHeight="1">
      <x:c r="A354" s="2" t="str">
        <x:v>L00401-030</x:v>
      </x:c>
      <x:c r="B354" s="2" t="str">
        <x:v>L00401</x:v>
      </x:c>
      <x:c r="C354" s="2" t="str">
        <x:v>SO-26081</x:v>
      </x:c>
      <x:c r="D354" s="2" t="str">
        <x:v>D-S-AL</x:v>
      </x:c>
      <x:c r="E354" s="14" t="n">
        <x:v>25</x:v>
      </x:c>
      <x:c r="F354" s="2" t="str">
        <x:v>Wash &amp; dry</x:v>
      </x:c>
      <x:c r="G354" s="9" t="str">
        <x:v>WS-01</x:v>
      </x:c>
      <x:c r="H354" s="15" t="n">
        <x:v>34</x:v>
      </x:c>
      <x:c r="I354" s="9" t="str">
        <x:v>P04</x:v>
      </x:c>
      <x:c r="J354" s="11" t="n">
        <x:v>46301.31458333333</x:v>
      </x:c>
      <x:c r="K354" s="15" t="n">
        <x:v>12</x:v>
      </x:c>
      <x:c r="L354" s="15" t="n">
        <x:v>9</x:v>
      </x:c>
      <x:c r="M354" s="13" t="n">
        <x:f>J354+(K354+L354)/1440</x:f>
        <x:v>46301.32916666666</x:v>
      </x:c>
      <x:c r="N354" s="13" t="n">
        <x:f>VLOOKUP(C354,'MES orders'!$A$8:$H$127,5,FALSE)</x:f>
        <x:v>46302.666666666664</x:v>
      </x:c>
      <x:c r="O354" s="16" t="n">
        <x:f>MAX(0,(M354-N354)*24)</x:f>
        <x:v>0</x:v>
      </x:c>
      <x:c r="P354" s="9" t="str">
        <x:v>No</x:v>
      </x:c>
      <x:c r="Q354" s="15" t="n">
        <x:v>21</x:v>
      </x:c>
      <x:c r="R354" s="13" t="n">
        <x:f>J354+Q354/1440</x:f>
        <x:v>46301.32916666666</x:v>
      </x:c>
      <x:c r="S354" s="2" t="str">
        <x:f>VLOOKUP(C354,'MES orders'!$A$8:$H$127,6,FALSE)</x:f>
        <x:v>Normal</x:v>
      </x:c>
      <x:c r="T354" s="9" t="str"/>
    </x:row>
    <x:row r="355" ht="22" customHeight="1">
      <x:c r="A355" s="2" t="str">
        <x:v>L00481-010</x:v>
      </x:c>
      <x:c r="B355" s="2" t="str">
        <x:v>L00481</x:v>
      </x:c>
      <x:c r="C355" s="2" t="str">
        <x:v>SO-26097</x:v>
      </x:c>
      <x:c r="D355" s="2" t="str">
        <x:v>R-C-AL</x:v>
      </x:c>
      <x:c r="E355" s="14" t="n">
        <x:v>20</x:v>
      </x:c>
      <x:c r="F355" s="2" t="str">
        <x:v>CNC machining</x:v>
      </x:c>
      <x:c r="G355" s="9" t="str">
        <x:v>CNC-01</x:v>
      </x:c>
      <x:c r="H355" s="15" t="n">
        <x:v>17</x:v>
      </x:c>
      <x:c r="I355" s="9" t="str">
        <x:v>P01</x:v>
      </x:c>
      <x:c r="J355" s="11" t="n">
        <x:v>46301.316666666666</x:v>
      </x:c>
      <x:c r="K355" s="15" t="n">
        <x:v>18</x:v>
      </x:c>
      <x:c r="L355" s="15" t="n">
        <x:v>38</x:v>
      </x:c>
      <x:c r="M355" s="13" t="n">
        <x:f>J355+(K355+L355)/1440</x:f>
        <x:v>46301.35555555556</x:v>
      </x:c>
      <x:c r="N355" s="13" t="n">
        <x:f>VLOOKUP(C355,'MES orders'!$A$8:$H$127,5,FALSE)</x:f>
        <x:v>46302.666666666664</x:v>
      </x:c>
      <x:c r="O355" s="16" t="n">
        <x:f>MAX(0,(M355-N355)*24)</x:f>
        <x:v>0</x:v>
      </x:c>
      <x:c r="P355" s="9" t="str">
        <x:v>No</x:v>
      </x:c>
      <x:c r="Q355" s="15" t="n">
        <x:v>18</x:v>
      </x:c>
      <x:c r="R355" s="13" t="n">
        <x:f>J355+Q355/1440</x:f>
        <x:v>46301.32916666666</x:v>
      </x:c>
      <x:c r="S355" s="2" t="str">
        <x:f>VLOOKUP(C355,'MES orders'!$A$8:$H$127,6,FALSE)</x:f>
        <x:v>Normal</x:v>
      </x:c>
      <x:c r="T355" s="9" t="str"/>
    </x:row>
    <x:row r="356" ht="22" customHeight="1">
      <x:c r="A356" s="2" t="str">
        <x:v>L00402-020</x:v>
      </x:c>
      <x:c r="B356" s="2" t="str">
        <x:v>L00402</x:v>
      </x:c>
      <x:c r="C356" s="2" t="str">
        <x:v>SO-26081</x:v>
      </x:c>
      <x:c r="D356" s="2" t="str">
        <x:v>D-S-AL</x:v>
      </x:c>
      <x:c r="E356" s="14" t="n">
        <x:v>25</x:v>
      </x:c>
      <x:c r="F356" s="2" t="str">
        <x:v>Deburr &amp; inspect</x:v>
      </x:c>
      <x:c r="G356" s="9" t="str">
        <x:v>DB-01</x:v>
      </x:c>
      <x:c r="H356" s="15" t="n">
        <x:v>36</x:v>
      </x:c>
      <x:c r="I356" s="9" t="str">
        <x:v>P06</x:v>
      </x:c>
      <x:c r="J356" s="11" t="n">
        <x:v>46301.32013888889</x:v>
      </x:c>
      <x:c r="K356" s="15" t="n">
        <x:v>4</x:v>
      </x:c>
      <x:c r="L356" s="15" t="n">
        <x:v>18</x:v>
      </x:c>
      <x:c r="M356" s="13" t="n">
        <x:f>J356+(K356+L356)/1440</x:f>
        <x:v>46301.33541666667</x:v>
      </x:c>
      <x:c r="N356" s="13" t="n">
        <x:f>VLOOKUP(C356,'MES orders'!$A$8:$H$127,5,FALSE)</x:f>
        <x:v>46302.666666666664</x:v>
      </x:c>
      <x:c r="O356" s="16" t="n">
        <x:f>MAX(0,(M356-N356)*24)</x:f>
        <x:v>0</x:v>
      </x:c>
      <x:c r="P356" s="9" t="str">
        <x:v>No</x:v>
      </x:c>
      <x:c r="Q356" s="15" t="n">
        <x:v>22</x:v>
      </x:c>
      <x:c r="R356" s="13" t="n">
        <x:f>J356+Q356/1440</x:f>
        <x:v>46301.33541666667</x:v>
      </x:c>
      <x:c r="S356" s="2" t="str">
        <x:f>VLOOKUP(C356,'MES orders'!$A$8:$H$127,6,FALSE)</x:f>
        <x:v>Normal</x:v>
      </x:c>
      <x:c r="T356" s="9" t="str"/>
    </x:row>
    <x:row r="357" ht="22" customHeight="1">
      <x:c r="A357" s="2" t="str">
        <x:v>L00365-050</x:v>
      </x:c>
      <x:c r="B357" s="2" t="str">
        <x:v>L00365</x:v>
      </x:c>
      <x:c r="C357" s="2" t="str">
        <x:v>SO-26073</x:v>
      </x:c>
      <x:c r="D357" s="2" t="str">
        <x:v>D-C-AL</x:v>
      </x:c>
      <x:c r="E357" s="14" t="n">
        <x:v>25</x:v>
      </x:c>
      <x:c r="F357" s="2" t="str">
        <x:v>Final leak / function test</x:v>
      </x:c>
      <x:c r="G357" s="9" t="str">
        <x:v>QA-03</x:v>
      </x:c>
      <x:c r="H357" s="15" t="n">
        <x:v>15</x:v>
      </x:c>
      <x:c r="I357" s="9" t="str">
        <x:v>P12</x:v>
      </x:c>
      <x:c r="J357" s="11" t="n">
        <x:v>46301.32013888889</x:v>
      </x:c>
      <x:c r="K357" s="15" t="n">
        <x:v>10</x:v>
      </x:c>
      <x:c r="L357" s="15" t="n">
        <x:v>18</x:v>
      </x:c>
      <x:c r="M357" s="13" t="n">
        <x:f>J357+(K357+L357)/1440</x:f>
        <x:v>46301.339583333334</x:v>
      </x:c>
      <x:c r="N357" s="13" t="n">
        <x:f>VLOOKUP(C357,'MES orders'!$A$8:$H$127,5,FALSE)</x:f>
        <x:v>46302.666666666664</x:v>
      </x:c>
      <x:c r="O357" s="16" t="n">
        <x:f>MAX(0,(M357-N357)*24)</x:f>
        <x:v>0</x:v>
      </x:c>
      <x:c r="P357" s="9" t="str">
        <x:v>No</x:v>
      </x:c>
      <x:c r="Q357" s="15" t="n">
        <x:v>28</x:v>
      </x:c>
      <x:c r="R357" s="13" t="n">
        <x:f>J357+Q357/1440</x:f>
        <x:v>46301.339583333334</x:v>
      </x:c>
      <x:c r="S357" s="2" t="str">
        <x:f>VLOOKUP(C357,'MES orders'!$A$8:$H$127,6,FALSE)</x:f>
        <x:v>Normal</x:v>
      </x:c>
      <x:c r="T357" s="9" t="str"/>
    </x:row>
    <x:row r="358" ht="22" customHeight="1">
      <x:c r="A358" s="2" t="str">
        <x:v>L00482-010</x:v>
      </x:c>
      <x:c r="B358" s="2" t="str">
        <x:v>L00482</x:v>
      </x:c>
      <x:c r="C358" s="2" t="str">
        <x:v>SO-26097</x:v>
      </x:c>
      <x:c r="D358" s="2" t="str">
        <x:v>R-C-AL</x:v>
      </x:c>
      <x:c r="E358" s="14" t="n">
        <x:v>20</x:v>
      </x:c>
      <x:c r="F358" s="2" t="str">
        <x:v>CNC machining</x:v>
      </x:c>
      <x:c r="G358" s="9" t="str">
        <x:v>CNC-02</x:v>
      </x:c>
      <x:c r="H358" s="15" t="n">
        <x:v>13</x:v>
      </x:c>
      <x:c r="I358" s="9" t="str">
        <x:v>P02</x:v>
      </x:c>
      <x:c r="J358" s="11" t="n">
        <x:v>46301.32152777778</x:v>
      </x:c>
      <x:c r="K358" s="15" t="n">
        <x:v>18</x:v>
      </x:c>
      <x:c r="L358" s="15" t="n">
        <x:v>38</x:v>
      </x:c>
      <x:c r="M358" s="13" t="n">
        <x:f>J358+(K358+L358)/1440</x:f>
        <x:v>46301.36041666667</x:v>
      </x:c>
      <x:c r="N358" s="13" t="n">
        <x:f>VLOOKUP(C358,'MES orders'!$A$8:$H$127,5,FALSE)</x:f>
        <x:v>46302.666666666664</x:v>
      </x:c>
      <x:c r="O358" s="16" t="n">
        <x:f>MAX(0,(M358-N358)*24)</x:f>
        <x:v>0</x:v>
      </x:c>
      <x:c r="P358" s="9" t="str">
        <x:v>No</x:v>
      </x:c>
      <x:c r="Q358" s="15" t="n">
        <x:v>18</x:v>
      </x:c>
      <x:c r="R358" s="13" t="n">
        <x:f>J358+Q358/1440</x:f>
        <x:v>46301.334027777775</x:v>
      </x:c>
      <x:c r="S358" s="2" t="str">
        <x:f>VLOOKUP(C358,'MES orders'!$A$8:$H$127,6,FALSE)</x:f>
        <x:v>Normal</x:v>
      </x:c>
      <x:c r="T358" s="9" t="str"/>
    </x:row>
    <x:row r="359" ht="22" customHeight="1">
      <x:c r="A359" s="2" t="str">
        <x:v>L00483-010</x:v>
      </x:c>
      <x:c r="B359" s="2" t="str">
        <x:v>L00483</x:v>
      </x:c>
      <x:c r="C359" s="2" t="str">
        <x:v>SO-26097</x:v>
      </x:c>
      <x:c r="D359" s="2" t="str">
        <x:v>R-C-AL</x:v>
      </x:c>
      <x:c r="E359" s="14" t="n">
        <x:v>20</x:v>
      </x:c>
      <x:c r="F359" s="2" t="str">
        <x:v>CNC machining</x:v>
      </x:c>
      <x:c r="G359" s="9" t="str">
        <x:v>CNC-04</x:v>
      </x:c>
      <x:c r="H359" s="15" t="n">
        <x:v>11</x:v>
      </x:c>
      <x:c r="I359" s="9" t="str">
        <x:v>P03</x:v>
      </x:c>
      <x:c r="J359" s="11" t="n">
        <x:v>46301.32152777778</x:v>
      </x:c>
      <x:c r="K359" s="15" t="n">
        <x:v>18</x:v>
      </x:c>
      <x:c r="L359" s="15" t="n">
        <x:v>38</x:v>
      </x:c>
      <x:c r="M359" s="13" t="n">
        <x:f>J359+(K359+L359)/1440</x:f>
        <x:v>46301.36041666667</x:v>
      </x:c>
      <x:c r="N359" s="13" t="n">
        <x:f>VLOOKUP(C359,'MES orders'!$A$8:$H$127,5,FALSE)</x:f>
        <x:v>46302.666666666664</x:v>
      </x:c>
      <x:c r="O359" s="16" t="n">
        <x:f>MAX(0,(M359-N359)*24)</x:f>
        <x:v>0</x:v>
      </x:c>
      <x:c r="P359" s="9" t="str">
        <x:v>No</x:v>
      </x:c>
      <x:c r="Q359" s="15" t="n">
        <x:v>18</x:v>
      </x:c>
      <x:c r="R359" s="13" t="n">
        <x:f>J359+Q359/1440</x:f>
        <x:v>46301.334027777775</x:v>
      </x:c>
      <x:c r="S359" s="2" t="str">
        <x:f>VLOOKUP(C359,'MES orders'!$A$8:$H$127,6,FALSE)</x:f>
        <x:v>Normal</x:v>
      </x:c>
      <x:c r="T359" s="9" t="str"/>
    </x:row>
    <x:row r="360" ht="22" customHeight="1">
      <x:c r="A360" s="2" t="str">
        <x:v>L00441-020</x:v>
      </x:c>
      <x:c r="B360" s="2" t="str">
        <x:v>L00441</x:v>
      </x:c>
      <x:c r="C360" s="2" t="str">
        <x:v>SO-26089</x:v>
      </x:c>
      <x:c r="D360" s="2" t="str">
        <x:v>D-L-AL</x:v>
      </x:c>
      <x:c r="E360" s="14" t="n">
        <x:v>15</x:v>
      </x:c>
      <x:c r="F360" s="2" t="str">
        <x:v>Deburr &amp; inspect</x:v>
      </x:c>
      <x:c r="G360" s="9" t="str">
        <x:v>DB-02</x:v>
      </x:c>
      <x:c r="H360" s="15" t="n">
        <x:v>24</x:v>
      </x:c>
      <x:c r="I360" s="9" t="str">
        <x:v>P05</x:v>
      </x:c>
      <x:c r="J360" s="11" t="n">
        <x:v>46301.32777777778</x:v>
      </x:c>
      <x:c r="K360" s="15" t="n">
        <x:v>4</x:v>
      </x:c>
      <x:c r="L360" s="15" t="n">
        <x:v>14</x:v>
      </x:c>
      <x:c r="M360" s="13" t="n">
        <x:f>J360+(K360+L360)/1440</x:f>
        <x:v>46301.340277777774</x:v>
      </x:c>
      <x:c r="N360" s="13" t="n">
        <x:f>VLOOKUP(C360,'MES orders'!$A$8:$H$127,5,FALSE)</x:f>
        <x:v>46302.666666666664</x:v>
      </x:c>
      <x:c r="O360" s="16" t="n">
        <x:f>MAX(0,(M360-N360)*24)</x:f>
        <x:v>0</x:v>
      </x:c>
      <x:c r="P360" s="9" t="str">
        <x:v>No</x:v>
      </x:c>
      <x:c r="Q360" s="15" t="n">
        <x:v>18</x:v>
      </x:c>
      <x:c r="R360" s="13" t="n">
        <x:f>J360+Q360/1440</x:f>
        <x:v>46301.340277777774</x:v>
      </x:c>
      <x:c r="S360" s="2" t="str">
        <x:f>VLOOKUP(C360,'MES orders'!$A$8:$H$127,6,FALSE)</x:f>
        <x:v>Normal</x:v>
      </x:c>
      <x:c r="T360" s="9" t="str"/>
    </x:row>
    <x:row r="361" ht="22" customHeight="1">
      <x:c r="A361" s="2" t="str">
        <x:v>L00321-080</x:v>
      </x:c>
      <x:c r="B361" s="2" t="str">
        <x:v>L00321</x:v>
      </x:c>
      <x:c r="C361" s="2" t="str">
        <x:v>SO-26065</x:v>
      </x:c>
      <x:c r="D361" s="2" t="str">
        <x:v>S-L-AL</x:v>
      </x:c>
      <x:c r="E361" s="14" t="n">
        <x:v>20</x:v>
      </x:c>
      <x:c r="F361" s="2" t="str">
        <x:v>Final leak / function test</x:v>
      </x:c>
      <x:c r="G361" s="9" t="str">
        <x:v>QA-02</x:v>
      </x:c>
      <x:c r="H361" s="15" t="n">
        <x:v>22</x:v>
      </x:c>
      <x:c r="I361" s="9" t="str">
        <x:v>P11</x:v>
      </x:c>
      <x:c r="J361" s="11" t="n">
        <x:v>46301.32777777778</x:v>
      </x:c>
      <x:c r="K361" s="15" t="n">
        <x:v>10</x:v>
      </x:c>
      <x:c r="L361" s="15" t="n">
        <x:v>24</x:v>
      </x:c>
      <x:c r="M361" s="13" t="n">
        <x:f>J361+(K361+L361)/1440</x:f>
        <x:v>46301.351388888885</x:v>
      </x:c>
      <x:c r="N361" s="13" t="n">
        <x:f>VLOOKUP(C361,'MES orders'!$A$8:$H$127,5,FALSE)</x:f>
        <x:v>46302.666666666664</x:v>
      </x:c>
      <x:c r="O361" s="16" t="n">
        <x:f>MAX(0,(M361-N361)*24)</x:f>
        <x:v>0</x:v>
      </x:c>
      <x:c r="P361" s="9" t="str">
        <x:v>No</x:v>
      </x:c>
      <x:c r="Q361" s="15" t="n">
        <x:v>34</x:v>
      </x:c>
      <x:c r="R361" s="13" t="n">
        <x:f>J361+Q361/1440</x:f>
        <x:v>46301.351388888885</x:v>
      </x:c>
      <x:c r="S361" s="2" t="str">
        <x:f>VLOOKUP(C361,'MES orders'!$A$8:$H$127,6,FALSE)</x:f>
        <x:v>Normal</x:v>
      </x:c>
      <x:c r="T361" s="9" t="str"/>
    </x:row>
    <x:row r="362" ht="22" customHeight="1">
      <x:c r="A362" s="2" t="str">
        <x:v>L00401-040</x:v>
      </x:c>
      <x:c r="B362" s="2" t="str">
        <x:v>L00401</x:v>
      </x:c>
      <x:c r="C362" s="2" t="str">
        <x:v>SO-26081</x:v>
      </x:c>
      <x:c r="D362" s="2" t="str">
        <x:v>D-S-AL</x:v>
      </x:c>
      <x:c r="E362" s="14" t="n">
        <x:v>25</x:v>
      </x:c>
      <x:c r="F362" s="2" t="str">
        <x:v>Mechanical assembly</x:v>
      </x:c>
      <x:c r="G362" s="9" t="str">
        <x:v>AS-02</x:v>
      </x:c>
      <x:c r="H362" s="15" t="n">
        <x:v>25</x:v>
      </x:c>
      <x:c r="I362" s="9" t="str">
        <x:v>P04</x:v>
      </x:c>
      <x:c r="J362" s="11" t="n">
        <x:v>46301.32916666667</x:v>
      </x:c>
      <x:c r="K362" s="15" t="n">
        <x:v>8</x:v>
      </x:c>
      <x:c r="L362" s="15" t="n">
        <x:v>45</x:v>
      </x:c>
      <x:c r="M362" s="13" t="n">
        <x:f>J362+(K362+L362)/1440</x:f>
        <x:v>46301.36597222223</x:v>
      </x:c>
      <x:c r="N362" s="13" t="n">
        <x:f>VLOOKUP(C362,'MES orders'!$A$8:$H$127,5,FALSE)</x:f>
        <x:v>46302.666666666664</x:v>
      </x:c>
      <x:c r="O362" s="16" t="n">
        <x:f>MAX(0,(M362-N362)*24)</x:f>
        <x:v>0</x:v>
      </x:c>
      <x:c r="P362" s="9" t="str">
        <x:v>No</x:v>
      </x:c>
      <x:c r="Q362" s="15" t="n">
        <x:v>53</x:v>
      </x:c>
      <x:c r="R362" s="13" t="n">
        <x:f>J362+Q362/1440</x:f>
        <x:v>46301.36597222223</x:v>
      </x:c>
      <x:c r="S362" s="2" t="str">
        <x:f>VLOOKUP(C362,'MES orders'!$A$8:$H$127,6,FALSE)</x:f>
        <x:v>Normal</x:v>
      </x:c>
      <x:c r="T362" s="9" t="str"/>
    </x:row>
    <x:row r="363" ht="22" customHeight="1">
      <x:c r="A363" s="2" t="str">
        <x:v>L00006-050</x:v>
      </x:c>
      <x:c r="B363" s="2" t="str">
        <x:v>L00006</x:v>
      </x:c>
      <x:c r="C363" s="2" t="str">
        <x:v>SO-26002</x:v>
      </x:c>
      <x:c r="D363" s="2" t="str">
        <x:v>R-C-SS</x:v>
      </x:c>
      <x:c r="E363" s="14" t="n">
        <x:v>5</x:v>
      </x:c>
      <x:c r="F363" s="2" t="str">
        <x:v>Valve adjustment</x:v>
      </x:c>
      <x:c r="G363" s="9" t="str">
        <x:v>AS-01</x:v>
      </x:c>
      <x:c r="H363" s="15" t="n">
        <x:v>30</x:v>
      </x:c>
      <x:c r="I363" s="9" t="str">
        <x:v>P08</x:v>
      </x:c>
      <x:c r="J363" s="11" t="n">
        <x:v>46301.330555555556</x:v>
      </x:c>
      <x:c r="K363" s="15" t="n">
        <x:v>6</x:v>
      </x:c>
      <x:c r="L363" s="15" t="n">
        <x:v>4</x:v>
      </x:c>
      <x:c r="M363" s="13" t="n">
        <x:f>J363+(K363+L363)/1440</x:f>
        <x:v>46301.3375</x:v>
      </x:c>
      <x:c r="N363" s="13" t="n">
        <x:f>VLOOKUP(C363,'MES orders'!$A$8:$H$127,5,FALSE)</x:f>
        <x:v>46303.666666666664</x:v>
      </x:c>
      <x:c r="O363" s="16" t="n">
        <x:f>MAX(0,(M363-N363)*24)</x:f>
        <x:v>0</x:v>
      </x:c>
      <x:c r="P363" s="9" t="str">
        <x:v>No</x:v>
      </x:c>
      <x:c r="Q363" s="15" t="n">
        <x:v>10</x:v>
      </x:c>
      <x:c r="R363" s="13" t="n">
        <x:f>J363+Q363/1440</x:f>
        <x:v>46301.3375</x:v>
      </x:c>
      <x:c r="S363" s="2" t="str">
        <x:f>VLOOKUP(C363,'MES orders'!$A$8:$H$127,6,FALSE)</x:f>
        <x:v>Normal</x:v>
      </x:c>
      <x:c r="T363" s="9" t="str"/>
    </x:row>
    <x:row r="364" ht="22" customHeight="1">
      <x:c r="A364" s="2" t="str">
        <x:v>L00402-030</x:v>
      </x:c>
      <x:c r="B364" s="2" t="str">
        <x:v>L00402</x:v>
      </x:c>
      <x:c r="C364" s="2" t="str">
        <x:v>SO-26081</x:v>
      </x:c>
      <x:c r="D364" s="2" t="str">
        <x:v>D-S-AL</x:v>
      </x:c>
      <x:c r="E364" s="14" t="n">
        <x:v>25</x:v>
      </x:c>
      <x:c r="F364" s="2" t="str">
        <x:v>Wash &amp; dry</x:v>
      </x:c>
      <x:c r="G364" s="9" t="str">
        <x:v>WS-01</x:v>
      </x:c>
      <x:c r="H364" s="15" t="n">
        <x:v>35</x:v>
      </x:c>
      <x:c r="I364" s="9" t="str">
        <x:v>P06</x:v>
      </x:c>
      <x:c r="J364" s="11" t="n">
        <x:v>46301.33541666667</x:v>
      </x:c>
      <x:c r="K364" s="15" t="n">
        <x:v>12</x:v>
      </x:c>
      <x:c r="L364" s="15" t="n">
        <x:v>9</x:v>
      </x:c>
      <x:c r="M364" s="13" t="n">
        <x:f>J364+(K364+L364)/1440</x:f>
        <x:v>46301.35</x:v>
      </x:c>
      <x:c r="N364" s="13" t="n">
        <x:f>VLOOKUP(C364,'MES orders'!$A$8:$H$127,5,FALSE)</x:f>
        <x:v>46302.666666666664</x:v>
      </x:c>
      <x:c r="O364" s="16" t="n">
        <x:f>MAX(0,(M364-N364)*24)</x:f>
        <x:v>0</x:v>
      </x:c>
      <x:c r="P364" s="9" t="str">
        <x:v>No</x:v>
      </x:c>
      <x:c r="Q364" s="15" t="n">
        <x:v>21</x:v>
      </x:c>
      <x:c r="R364" s="13" t="n">
        <x:f>J364+Q364/1440</x:f>
        <x:v>46301.35</x:v>
      </x:c>
      <x:c r="S364" s="2" t="str">
        <x:f>VLOOKUP(C364,'MES orders'!$A$8:$H$127,6,FALSE)</x:f>
        <x:v>Normal</x:v>
      </x:c>
      <x:c r="T364" s="9" t="str"/>
    </x:row>
    <x:row r="365" ht="22" customHeight="1">
      <x:c r="A365" s="2" t="str">
        <x:v>L00007-050</x:v>
      </x:c>
      <x:c r="B365" s="2" t="str">
        <x:v>L00007</x:v>
      </x:c>
      <x:c r="C365" s="2" t="str">
        <x:v>SO-26002</x:v>
      </x:c>
      <x:c r="D365" s="2" t="str">
        <x:v>R-C-SS</x:v>
      </x:c>
      <x:c r="E365" s="14" t="n">
        <x:v>5</x:v>
      </x:c>
      <x:c r="F365" s="2" t="str">
        <x:v>Valve adjustment</x:v>
      </x:c>
      <x:c r="G365" s="9" t="str">
        <x:v>AS-03</x:v>
      </x:c>
      <x:c r="H365" s="15" t="n">
        <x:v>17</x:v>
      </x:c>
      <x:c r="I365" s="9" t="str">
        <x:v>P08</x:v>
      </x:c>
      <x:c r="J365" s="11" t="n">
        <x:v>46301.3375</x:v>
      </x:c>
      <x:c r="K365" s="15" t="n">
        <x:v>6</x:v>
      </x:c>
      <x:c r="L365" s="15" t="n">
        <x:v>4</x:v>
      </x:c>
      <x:c r="M365" s="13" t="n">
        <x:f>J365+(K365+L365)/1440</x:f>
        <x:v>46301.34444444445</x:v>
      </x:c>
      <x:c r="N365" s="13" t="n">
        <x:f>VLOOKUP(C365,'MES orders'!$A$8:$H$127,5,FALSE)</x:f>
        <x:v>46303.666666666664</x:v>
      </x:c>
      <x:c r="O365" s="16" t="n">
        <x:f>MAX(0,(M365-N365)*24)</x:f>
        <x:v>0</x:v>
      </x:c>
      <x:c r="P365" s="9" t="str">
        <x:v>No</x:v>
      </x:c>
      <x:c r="Q365" s="15" t="n">
        <x:v>10</x:v>
      </x:c>
      <x:c r="R365" s="13" t="n">
        <x:f>J365+Q365/1440</x:f>
        <x:v>46301.34444444445</x:v>
      </x:c>
      <x:c r="S365" s="2" t="str">
        <x:f>VLOOKUP(C365,'MES orders'!$A$8:$H$127,6,FALSE)</x:f>
        <x:v>Normal</x:v>
      </x:c>
      <x:c r="T365" s="9" t="str"/>
    </x:row>
    <x:row r="366" ht="22" customHeight="1">
      <x:c r="A366" s="2" t="str">
        <x:v>L00006-060</x:v>
      </x:c>
      <x:c r="B366" s="2" t="str">
        <x:v>L00006</x:v>
      </x:c>
      <x:c r="C366" s="2" t="str">
        <x:v>SO-26002</x:v>
      </x:c>
      <x:c r="D366" s="2" t="str">
        <x:v>R-C-SS</x:v>
      </x:c>
      <x:c r="E366" s="14" t="n">
        <x:v>5</x:v>
      </x:c>
      <x:c r="F366" s="2" t="str">
        <x:v>Final leak / function test</x:v>
      </x:c>
      <x:c r="G366" s="9" t="str">
        <x:v>QA-03</x:v>
      </x:c>
      <x:c r="H366" s="15" t="n">
        <x:v>16</x:v>
      </x:c>
      <x:c r="I366" s="9" t="str">
        <x:v>P12</x:v>
      </x:c>
      <x:c r="J366" s="11" t="n">
        <x:v>46301.339583333334</x:v>
      </x:c>
      <x:c r="K366" s="15" t="n">
        <x:v>10</x:v>
      </x:c>
      <x:c r="L366" s="15" t="n">
        <x:v>4</x:v>
      </x:c>
      <x:c r="M366" s="13" t="n">
        <x:f>J366+(K366+L366)/1440</x:f>
        <x:v>46301.34930555556</x:v>
      </x:c>
      <x:c r="N366" s="13" t="n">
        <x:f>VLOOKUP(C366,'MES orders'!$A$8:$H$127,5,FALSE)</x:f>
        <x:v>46303.666666666664</x:v>
      </x:c>
      <x:c r="O366" s="16" t="n">
        <x:f>MAX(0,(M366-N366)*24)</x:f>
        <x:v>0</x:v>
      </x:c>
      <x:c r="P366" s="9" t="str">
        <x:v>No</x:v>
      </x:c>
      <x:c r="Q366" s="15" t="n">
        <x:v>14</x:v>
      </x:c>
      <x:c r="R366" s="13" t="n">
        <x:f>J366+Q366/1440</x:f>
        <x:v>46301.34930555556</x:v>
      </x:c>
      <x:c r="S366" s="2" t="str">
        <x:f>VLOOKUP(C366,'MES orders'!$A$8:$H$127,6,FALSE)</x:f>
        <x:v>Normal</x:v>
      </x:c>
      <x:c r="T366" s="9" t="str"/>
    </x:row>
    <x:row r="367" ht="22" customHeight="1">
      <x:c r="A367" s="2" t="str">
        <x:v>L00322-070</x:v>
      </x:c>
      <x:c r="B367" s="2" t="str">
        <x:v>L00322</x:v>
      </x:c>
      <x:c r="C367" s="2" t="str">
        <x:v>SO-26065</x:v>
      </x:c>
      <x:c r="D367" s="2" t="str">
        <x:v>S-L-AL</x:v>
      </x:c>
      <x:c r="E367" s="14" t="n">
        <x:v>20</x:v>
      </x:c>
      <x:c r="F367" s="2" t="str">
        <x:v>Final assembly</x:v>
      </x:c>
      <x:c r="G367" s="9" t="str">
        <x:v>AS-01</x:v>
      </x:c>
      <x:c r="H367" s="15" t="n">
        <x:v>31</x:v>
      </x:c>
      <x:c r="I367" s="9" t="str">
        <x:v>P05</x:v>
      </x:c>
      <x:c r="J367" s="11" t="n">
        <x:v>46301.34027777778</x:v>
      </x:c>
      <x:c r="K367" s="15" t="n">
        <x:v>5</x:v>
      </x:c>
      <x:c r="L367" s="15" t="n">
        <x:v>22</x:v>
      </x:c>
      <x:c r="M367" s="13" t="n">
        <x:f>J367+(K367+L367)/1440</x:f>
        <x:v>46301.359027777784</x:v>
      </x:c>
      <x:c r="N367" s="13" t="n">
        <x:f>VLOOKUP(C367,'MES orders'!$A$8:$H$127,5,FALSE)</x:f>
        <x:v>46302.666666666664</x:v>
      </x:c>
      <x:c r="O367" s="16" t="n">
        <x:f>MAX(0,(M367-N367)*24)</x:f>
        <x:v>0</x:v>
      </x:c>
      <x:c r="P367" s="9" t="str">
        <x:v>No</x:v>
      </x:c>
      <x:c r="Q367" s="15" t="n">
        <x:v>27</x:v>
      </x:c>
      <x:c r="R367" s="13" t="n">
        <x:f>J367+Q367/1440</x:f>
        <x:v>46301.359027777784</x:v>
      </x:c>
      <x:c r="S367" s="2" t="str">
        <x:f>VLOOKUP(C367,'MES orders'!$A$8:$H$127,6,FALSE)</x:f>
        <x:v>Normal</x:v>
      </x:c>
      <x:c r="T367" s="9" t="str"/>
    </x:row>
    <x:row r="368" ht="22" customHeight="1">
      <x:c r="A368" s="2" t="str">
        <x:v>L00323-060</x:v>
      </x:c>
      <x:c r="B368" s="2" t="str">
        <x:v>L00323</x:v>
      </x:c>
      <x:c r="C368" s="2" t="str">
        <x:v>SO-26065</x:v>
      </x:c>
      <x:c r="D368" s="2" t="str">
        <x:v>S-L-AL</x:v>
      </x:c>
      <x:c r="E368" s="14" t="n">
        <x:v>20</x:v>
      </x:c>
      <x:c r="F368" s="2" t="str">
        <x:v>Sensor calibration</x:v>
      </x:c>
      <x:c r="G368" s="9" t="str">
        <x:v>CAL-01</x:v>
      </x:c>
      <x:c r="H368" s="15" t="n">
        <x:v>13</x:v>
      </x:c>
      <x:c r="I368" s="9" t="str">
        <x:v>P09</x:v>
      </x:c>
      <x:c r="J368" s="11" t="n">
        <x:v>46301.34027777778</x:v>
      </x:c>
      <x:c r="K368" s="15" t="n">
        <x:v>10</x:v>
      </x:c>
      <x:c r="L368" s="15" t="n">
        <x:v>35</x:v>
      </x:c>
      <x:c r="M368" s="13" t="n">
        <x:f>J368+(K368+L368)/1440</x:f>
        <x:v>46301.37152777778</x:v>
      </x:c>
      <x:c r="N368" s="13" t="n">
        <x:f>VLOOKUP(C368,'MES orders'!$A$8:$H$127,5,FALSE)</x:f>
        <x:v>46302.666666666664</x:v>
      </x:c>
      <x:c r="O368" s="16" t="n">
        <x:f>MAX(0,(M368-N368)*24)</x:f>
        <x:v>0</x:v>
      </x:c>
      <x:c r="P368" s="9" t="str">
        <x:v>No</x:v>
      </x:c>
      <x:c r="Q368" s="15" t="n">
        <x:v>45</x:v>
      </x:c>
      <x:c r="R368" s="13" t="n">
        <x:f>J368+Q368/1440</x:f>
        <x:v>46301.37152777778</x:v>
      </x:c>
      <x:c r="S368" s="2" t="str">
        <x:f>VLOOKUP(C368,'MES orders'!$A$8:$H$127,6,FALSE)</x:f>
        <x:v>Normal</x:v>
      </x:c>
      <x:c r="T368" s="9" t="str"/>
    </x:row>
    <x:row r="369" ht="22" customHeight="1">
      <x:c r="A369" s="2" t="str">
        <x:v>L00007-060</x:v>
      </x:c>
      <x:c r="B369" s="2" t="str">
        <x:v>L00007</x:v>
      </x:c>
      <x:c r="C369" s="2" t="str">
        <x:v>SO-26002</x:v>
      </x:c>
      <x:c r="D369" s="2" t="str">
        <x:v>R-C-SS</x:v>
      </x:c>
      <x:c r="E369" s="14" t="n">
        <x:v>5</x:v>
      </x:c>
      <x:c r="F369" s="2" t="str">
        <x:v>Final leak / function test</x:v>
      </x:c>
      <x:c r="G369" s="9" t="str">
        <x:v>QA-03</x:v>
      </x:c>
      <x:c r="H369" s="15" t="n">
        <x:v>17</x:v>
      </x:c>
      <x:c r="I369" s="9" t="str">
        <x:v>P12</x:v>
      </x:c>
      <x:c r="J369" s="11" t="n">
        <x:v>46301.34930555556</x:v>
      </x:c>
      <x:c r="K369" s="15" t="n">
        <x:v>10</x:v>
      </x:c>
      <x:c r="L369" s="15" t="n">
        <x:v>4</x:v>
      </x:c>
      <x:c r="M369" s="13" t="n">
        <x:f>J369+(K369+L369)/1440</x:f>
        <x:v>46301.359027777784</x:v>
      </x:c>
      <x:c r="N369" s="13" t="n">
        <x:f>VLOOKUP(C369,'MES orders'!$A$8:$H$127,5,FALSE)</x:f>
        <x:v>46303.666666666664</x:v>
      </x:c>
      <x:c r="O369" s="16" t="n">
        <x:f>MAX(0,(M369-N369)*24)</x:f>
        <x:v>0</x:v>
      </x:c>
      <x:c r="P369" s="9" t="str">
        <x:v>No</x:v>
      </x:c>
      <x:c r="Q369" s="15" t="n">
        <x:v>14</x:v>
      </x:c>
      <x:c r="R369" s="13" t="n">
        <x:f>J369+Q369/1440</x:f>
        <x:v>46301.359027777784</x:v>
      </x:c>
      <x:c r="S369" s="2" t="str">
        <x:f>VLOOKUP(C369,'MES orders'!$A$8:$H$127,6,FALSE)</x:f>
        <x:v>Normal</x:v>
      </x:c>
      <x:c r="T369" s="9" t="str"/>
    </x:row>
    <x:row r="370" ht="22" customHeight="1">
      <x:c r="A370" s="2" t="str">
        <x:v>L00402-040</x:v>
      </x:c>
      <x:c r="B370" s="2" t="str">
        <x:v>L00402</x:v>
      </x:c>
      <x:c r="C370" s="2" t="str">
        <x:v>SO-26081</x:v>
      </x:c>
      <x:c r="D370" s="2" t="str">
        <x:v>D-S-AL</x:v>
      </x:c>
      <x:c r="E370" s="14" t="n">
        <x:v>25</x:v>
      </x:c>
      <x:c r="F370" s="2" t="str">
        <x:v>Mechanical assembly</x:v>
      </x:c>
      <x:c r="G370" s="9" t="str">
        <x:v>AS-03</x:v>
      </x:c>
      <x:c r="H370" s="15" t="n">
        <x:v>18</x:v>
      </x:c>
      <x:c r="I370" s="9" t="str">
        <x:v>P06</x:v>
      </x:c>
      <x:c r="J370" s="11" t="n">
        <x:v>46301.35</x:v>
      </x:c>
      <x:c r="K370" s="15" t="n">
        <x:v>8</x:v>
      </x:c>
      <x:c r="L370" s="15" t="n">
        <x:v>45</x:v>
      </x:c>
      <x:c r="M370" s="13" t="n">
        <x:f>J370+(K370+L370)/1440</x:f>
        <x:v>46301.38680555556</x:v>
      </x:c>
      <x:c r="N370" s="13" t="n">
        <x:f>VLOOKUP(C370,'MES orders'!$A$8:$H$127,5,FALSE)</x:f>
        <x:v>46302.666666666664</x:v>
      </x:c>
      <x:c r="O370" s="16" t="n">
        <x:f>MAX(0,(M370-N370)*24)</x:f>
        <x:v>0</x:v>
      </x:c>
      <x:c r="P370" s="9" t="str">
        <x:v>No</x:v>
      </x:c>
      <x:c r="Q370" s="15" t="n">
        <x:v>53</x:v>
      </x:c>
      <x:c r="R370" s="13" t="n">
        <x:f>J370+Q370/1440</x:f>
        <x:v>46301.38680555556</x:v>
      </x:c>
      <x:c r="S370" s="2" t="str">
        <x:f>VLOOKUP(C370,'MES orders'!$A$8:$H$127,6,FALSE)</x:f>
        <x:v>Normal</x:v>
      </x:c>
      <x:c r="T370" s="9" t="str"/>
    </x:row>
    <x:row r="371" ht="22" customHeight="1">
      <x:c r="A371" s="2" t="str">
        <x:v>L00484-010</x:v>
      </x:c>
      <x:c r="B371" s="2" t="str">
        <x:v>L00484</x:v>
      </x:c>
      <x:c r="C371" s="2" t="str">
        <x:v>SO-26097</x:v>
      </x:c>
      <x:c r="D371" s="2" t="str">
        <x:v>R-C-AL</x:v>
      </x:c>
      <x:c r="E371" s="14" t="n">
        <x:v>20</x:v>
      </x:c>
      <x:c r="F371" s="2" t="str">
        <x:v>CNC machining</x:v>
      </x:c>
      <x:c r="G371" s="9" t="str">
        <x:v>CNC-03</x:v>
      </x:c>
      <x:c r="H371" s="15" t="n">
        <x:v>13</x:v>
      </x:c>
      <x:c r="I371" s="9" t="str">
        <x:v>P02</x:v>
      </x:c>
      <x:c r="J371" s="11" t="n">
        <x:v>46301.350694444445</x:v>
      </x:c>
      <x:c r="K371" s="15" t="n">
        <x:v>18</x:v>
      </x:c>
      <x:c r="L371" s="15" t="n">
        <x:v>38</x:v>
      </x:c>
      <x:c r="M371" s="13" t="n">
        <x:f>J371+(K371+L371)/1440</x:f>
        <x:v>46301.38958333334</x:v>
      </x:c>
      <x:c r="N371" s="13" t="n">
        <x:f>VLOOKUP(C371,'MES orders'!$A$8:$H$127,5,FALSE)</x:f>
        <x:v>46302.666666666664</x:v>
      </x:c>
      <x:c r="O371" s="16" t="n">
        <x:f>MAX(0,(M371-N371)*24)</x:f>
        <x:v>0</x:v>
      </x:c>
      <x:c r="P371" s="9" t="str">
        <x:v>No</x:v>
      </x:c>
      <x:c r="Q371" s="15" t="n">
        <x:v>18</x:v>
      </x:c>
      <x:c r="R371" s="13" t="n">
        <x:f>J371+Q371/1440</x:f>
        <x:v>46301.36319444444</x:v>
      </x:c>
      <x:c r="S371" s="2" t="str">
        <x:f>VLOOKUP(C371,'MES orders'!$A$8:$H$127,6,FALSE)</x:f>
        <x:v>Normal</x:v>
      </x:c>
      <x:c r="T371" s="9" t="str"/>
    </x:row>
    <x:row r="372" ht="22" customHeight="1">
      <x:c r="A372" s="2" t="str">
        <x:v>L00443-020</x:v>
      </x:c>
      <x:c r="B372" s="2" t="str">
        <x:v>L00443</x:v>
      </x:c>
      <x:c r="C372" s="2" t="str">
        <x:v>SO-26089</x:v>
      </x:c>
      <x:c r="D372" s="2" t="str">
        <x:v>D-L-AL</x:v>
      </x:c>
      <x:c r="E372" s="14" t="n">
        <x:v>15</x:v>
      </x:c>
      <x:c r="F372" s="2" t="str">
        <x:v>Deburr &amp; inspect</x:v>
      </x:c>
      <x:c r="G372" s="9" t="str">
        <x:v>DB-01</x:v>
      </x:c>
      <x:c r="H372" s="15" t="n">
        <x:v>37</x:v>
      </x:c>
      <x:c r="I372" s="9" t="str">
        <x:v>P01</x:v>
      </x:c>
      <x:c r="J372" s="11" t="n">
        <x:v>46301.350694444445</x:v>
      </x:c>
      <x:c r="K372" s="15" t="n">
        <x:v>4</x:v>
      </x:c>
      <x:c r="L372" s="15" t="n">
        <x:v>14</x:v>
      </x:c>
      <x:c r="M372" s="13" t="n">
        <x:f>J372+(K372+L372)/1440</x:f>
        <x:v>46301.36319444444</x:v>
      </x:c>
      <x:c r="N372" s="13" t="n">
        <x:f>VLOOKUP(C372,'MES orders'!$A$8:$H$127,5,FALSE)</x:f>
        <x:v>46302.666666666664</x:v>
      </x:c>
      <x:c r="O372" s="16" t="n">
        <x:f>MAX(0,(M372-N372)*24)</x:f>
        <x:v>0</x:v>
      </x:c>
      <x:c r="P372" s="9" t="str">
        <x:v>No</x:v>
      </x:c>
      <x:c r="Q372" s="15" t="n">
        <x:v>18</x:v>
      </x:c>
      <x:c r="R372" s="13" t="n">
        <x:f>J372+Q372/1440</x:f>
        <x:v>46301.36319444444</x:v>
      </x:c>
      <x:c r="S372" s="2" t="str">
        <x:f>VLOOKUP(C372,'MES orders'!$A$8:$H$127,6,FALSE)</x:f>
        <x:v>Normal</x:v>
      </x:c>
      <x:c r="T372" s="9" t="str"/>
    </x:row>
    <x:row r="373" ht="22" customHeight="1">
      <x:c r="A373" s="2" t="str">
        <x:v>L00485-010</x:v>
      </x:c>
      <x:c r="B373" s="2" t="str">
        <x:v>L00485</x:v>
      </x:c>
      <x:c r="C373" s="2" t="str">
        <x:v>SO-26097</x:v>
      </x:c>
      <x:c r="D373" s="2" t="str">
        <x:v>R-C-AL</x:v>
      </x:c>
      <x:c r="E373" s="14" t="n">
        <x:v>20</x:v>
      </x:c>
      <x:c r="F373" s="2" t="str">
        <x:v>CNC machining</x:v>
      </x:c>
      <x:c r="G373" s="9" t="str">
        <x:v>CNC-01</x:v>
      </x:c>
      <x:c r="H373" s="15" t="n">
        <x:v>18</x:v>
      </x:c>
      <x:c r="I373" s="9" t="str">
        <x:v>P03</x:v>
      </x:c>
      <x:c r="J373" s="11" t="n">
        <x:v>46301.35555555556</x:v>
      </x:c>
      <x:c r="K373" s="15" t="n">
        <x:v>18</x:v>
      </x:c>
      <x:c r="L373" s="15" t="n">
        <x:v>38</x:v>
      </x:c>
      <x:c r="M373" s="13" t="n">
        <x:f>J373+(K373+L373)/1440</x:f>
        <x:v>46301.39444444445</x:v>
      </x:c>
      <x:c r="N373" s="13" t="n">
        <x:f>VLOOKUP(C373,'MES orders'!$A$8:$H$127,5,FALSE)</x:f>
        <x:v>46302.666666666664</x:v>
      </x:c>
      <x:c r="O373" s="16" t="n">
        <x:f>MAX(0,(M373-N373)*24)</x:f>
        <x:v>0</x:v>
      </x:c>
      <x:c r="P373" s="9" t="str">
        <x:v>No</x:v>
      </x:c>
      <x:c r="Q373" s="15" t="n">
        <x:v>18</x:v>
      </x:c>
      <x:c r="R373" s="13" t="n">
        <x:f>J373+Q373/1440</x:f>
        <x:v>46301.368055555555</x:v>
      </x:c>
      <x:c r="S373" s="2" t="str">
        <x:f>VLOOKUP(C373,'MES orders'!$A$8:$H$127,6,FALSE)</x:f>
        <x:v>Normal</x:v>
      </x:c>
      <x:c r="T373" s="9" t="str"/>
    </x:row>
    <x:row r="374" ht="22" customHeight="1">
      <x:c r="A374" s="2" t="str">
        <x:v>L00442-020</x:v>
      </x:c>
      <x:c r="B374" s="2" t="str">
        <x:v>L00442</x:v>
      </x:c>
      <x:c r="C374" s="2" t="str">
        <x:v>SO-26089</x:v>
      </x:c>
      <x:c r="D374" s="2" t="str">
        <x:v>D-L-AL</x:v>
      </x:c>
      <x:c r="E374" s="14" t="n">
        <x:v>15</x:v>
      </x:c>
      <x:c r="F374" s="2" t="str">
        <x:v>Deburr &amp; inspect</x:v>
      </x:c>
      <x:c r="G374" s="9" t="str">
        <x:v>DB-02</x:v>
      </x:c>
      <x:c r="H374" s="15" t="n">
        <x:v>25</x:v>
      </x:c>
      <x:c r="I374" s="9" t="str">
        <x:v>P05</x:v>
      </x:c>
      <x:c r="J374" s="11" t="n">
        <x:v>46301.35902777778</x:v>
      </x:c>
      <x:c r="K374" s="15" t="n">
        <x:v>4</x:v>
      </x:c>
      <x:c r="L374" s="15" t="n">
        <x:v>14</x:v>
      </x:c>
      <x:c r="M374" s="13" t="n">
        <x:f>J374+(K374+L374)/1440</x:f>
        <x:v>46301.371527777774</x:v>
      </x:c>
      <x:c r="N374" s="13" t="n">
        <x:f>VLOOKUP(C374,'MES orders'!$A$8:$H$127,5,FALSE)</x:f>
        <x:v>46302.666666666664</x:v>
      </x:c>
      <x:c r="O374" s="16" t="n">
        <x:f>MAX(0,(M374-N374)*24)</x:f>
        <x:v>0</x:v>
      </x:c>
      <x:c r="P374" s="9" t="str">
        <x:v>No</x:v>
      </x:c>
      <x:c r="Q374" s="15" t="n">
        <x:v>18</x:v>
      </x:c>
      <x:c r="R374" s="13" t="n">
        <x:f>J374+Q374/1440</x:f>
        <x:v>46301.371527777774</x:v>
      </x:c>
      <x:c r="S374" s="2" t="str">
        <x:f>VLOOKUP(C374,'MES orders'!$A$8:$H$127,6,FALSE)</x:f>
        <x:v>Normal</x:v>
      </x:c>
      <x:c r="T374" s="9" t="str"/>
    </x:row>
    <x:row r="375" ht="22" customHeight="1">
      <x:c r="A375" s="2" t="str">
        <x:v>L00322-080</x:v>
      </x:c>
      <x:c r="B375" s="2" t="str">
        <x:v>L00322</x:v>
      </x:c>
      <x:c r="C375" s="2" t="str">
        <x:v>SO-26065</x:v>
      </x:c>
      <x:c r="D375" s="2" t="str">
        <x:v>S-L-AL</x:v>
      </x:c>
      <x:c r="E375" s="14" t="n">
        <x:v>20</x:v>
      </x:c>
      <x:c r="F375" s="2" t="str">
        <x:v>Final leak / function test</x:v>
      </x:c>
      <x:c r="G375" s="9" t="str">
        <x:v>QA-02</x:v>
      </x:c>
      <x:c r="H375" s="15" t="n">
        <x:v>23</x:v>
      </x:c>
      <x:c r="I375" s="9" t="str">
        <x:v>P11</x:v>
      </x:c>
      <x:c r="J375" s="11" t="n">
        <x:v>46301.35902777778</x:v>
      </x:c>
      <x:c r="K375" s="15" t="n">
        <x:v>10</x:v>
      </x:c>
      <x:c r="L375" s="15" t="n">
        <x:v>24</x:v>
      </x:c>
      <x:c r="M375" s="13" t="n">
        <x:f>J375+(K375+L375)/1440</x:f>
        <x:v>46301.382638888885</x:v>
      </x:c>
      <x:c r="N375" s="13" t="n">
        <x:f>VLOOKUP(C375,'MES orders'!$A$8:$H$127,5,FALSE)</x:f>
        <x:v>46302.666666666664</x:v>
      </x:c>
      <x:c r="O375" s="16" t="n">
        <x:f>MAX(0,(M375-N375)*24)</x:f>
        <x:v>0</x:v>
      </x:c>
      <x:c r="P375" s="9" t="str">
        <x:v>No</x:v>
      </x:c>
      <x:c r="Q375" s="15" t="n">
        <x:v>34</x:v>
      </x:c>
      <x:c r="R375" s="13" t="n">
        <x:f>J375+Q375/1440</x:f>
        <x:v>46301.382638888885</x:v>
      </x:c>
      <x:c r="S375" s="2" t="str">
        <x:f>VLOOKUP(C375,'MES orders'!$A$8:$H$127,6,FALSE)</x:f>
        <x:v>Normal</x:v>
      </x:c>
      <x:c r="T375" s="9" t="str"/>
    </x:row>
    <x:row r="376" ht="22" customHeight="1">
      <x:c r="A376" s="2" t="str">
        <x:v>L00443-030</x:v>
      </x:c>
      <x:c r="B376" s="2" t="str">
        <x:v>L00443</x:v>
      </x:c>
      <x:c r="C376" s="2" t="str">
        <x:v>SO-26089</x:v>
      </x:c>
      <x:c r="D376" s="2" t="str">
        <x:v>D-L-AL</x:v>
      </x:c>
      <x:c r="E376" s="14" t="n">
        <x:v>15</x:v>
      </x:c>
      <x:c r="F376" s="2" t="str">
        <x:v>Wash &amp; dry</x:v>
      </x:c>
      <x:c r="G376" s="9" t="str">
        <x:v>WS-01</x:v>
      </x:c>
      <x:c r="H376" s="15" t="n">
        <x:v>36</x:v>
      </x:c>
      <x:c r="I376" s="9" t="str">
        <x:v>P02</x:v>
      </x:c>
      <x:c r="J376" s="11" t="n">
        <x:v>46301.36319444444</x:v>
      </x:c>
      <x:c r="K376" s="15" t="n">
        <x:v>12</x:v>
      </x:c>
      <x:c r="L376" s="15" t="n">
        <x:v>7</x:v>
      </x:c>
      <x:c r="M376" s="13" t="n">
        <x:f>J376+(K376+L376)/1440</x:f>
        <x:v>46301.376388888886</x:v>
      </x:c>
      <x:c r="N376" s="13" t="n">
        <x:f>VLOOKUP(C376,'MES orders'!$A$8:$H$127,5,FALSE)</x:f>
        <x:v>46302.666666666664</x:v>
      </x:c>
      <x:c r="O376" s="16" t="n">
        <x:f>MAX(0,(M376-N376)*24)</x:f>
        <x:v>0</x:v>
      </x:c>
      <x:c r="P376" s="9" t="str">
        <x:v>No</x:v>
      </x:c>
      <x:c r="Q376" s="15" t="n">
        <x:v>19</x:v>
      </x:c>
      <x:c r="R376" s="13" t="n">
        <x:f>J376+Q376/1440</x:f>
        <x:v>46301.376388888886</x:v>
      </x:c>
      <x:c r="S376" s="2" t="str">
        <x:f>VLOOKUP(C376,'MES orders'!$A$8:$H$127,6,FALSE)</x:f>
        <x:v>Normal</x:v>
      </x:c>
      <x:c r="T376" s="9" t="str"/>
    </x:row>
    <x:row r="377" ht="22" customHeight="1">
      <x:c r="A377" s="2" t="str">
        <x:v>L00403-020</x:v>
      </x:c>
      <x:c r="B377" s="2" t="str">
        <x:v>L00403</x:v>
      </x:c>
      <x:c r="C377" s="2" t="str">
        <x:v>SO-26081</x:v>
      </x:c>
      <x:c r="D377" s="2" t="str">
        <x:v>D-S-AL</x:v>
      </x:c>
      <x:c r="E377" s="14" t="n">
        <x:v>25</x:v>
      </x:c>
      <x:c r="F377" s="2" t="str">
        <x:v>Deburr &amp; inspect</x:v>
      </x:c>
      <x:c r="G377" s="9" t="str">
        <x:v>DB-01</x:v>
      </x:c>
      <x:c r="H377" s="15" t="n">
        <x:v>38</x:v>
      </x:c>
      <x:c r="I377" s="9" t="str">
        <x:v>P04</x:v>
      </x:c>
      <x:c r="J377" s="11" t="n">
        <x:v>46301.36597222222</x:v>
      </x:c>
      <x:c r="K377" s="15" t="n">
        <x:v>4</x:v>
      </x:c>
      <x:c r="L377" s="15" t="n">
        <x:v>18</x:v>
      </x:c>
      <x:c r="M377" s="13" t="n">
        <x:f>J377+(K377+L377)/1440</x:f>
        <x:v>46301.38125</x:v>
      </x:c>
      <x:c r="N377" s="13" t="n">
        <x:f>VLOOKUP(C377,'MES orders'!$A$8:$H$127,5,FALSE)</x:f>
        <x:v>46302.666666666664</x:v>
      </x:c>
      <x:c r="O377" s="16" t="n">
        <x:f>MAX(0,(M377-N377)*24)</x:f>
        <x:v>0</x:v>
      </x:c>
      <x:c r="P377" s="9" t="str">
        <x:v>No</x:v>
      </x:c>
      <x:c r="Q377" s="15" t="n">
        <x:v>22</x:v>
      </x:c>
      <x:c r="R377" s="13" t="n">
        <x:f>J377+Q377/1440</x:f>
        <x:v>46301.38125</x:v>
      </x:c>
      <x:c r="S377" s="2" t="str">
        <x:f>VLOOKUP(C377,'MES orders'!$A$8:$H$127,6,FALSE)</x:f>
        <x:v>Normal</x:v>
      </x:c>
      <x:c r="T377" s="9" t="str"/>
    </x:row>
    <x:row r="378" ht="22" customHeight="1">
      <x:c r="A378" s="2" t="str">
        <x:v>L00401-050</x:v>
      </x:c>
      <x:c r="B378" s="2" t="str">
        <x:v>L00401</x:v>
      </x:c>
      <x:c r="C378" s="2" t="str">
        <x:v>SO-26081</x:v>
      </x:c>
      <x:c r="D378" s="2" t="str">
        <x:v>D-S-AL</x:v>
      </x:c>
      <x:c r="E378" s="14" t="n">
        <x:v>25</x:v>
      </x:c>
      <x:c r="F378" s="2" t="str">
        <x:v>Final leak / function test</x:v>
      </x:c>
      <x:c r="G378" s="9" t="str">
        <x:v>QA-01</x:v>
      </x:c>
      <x:c r="H378" s="15" t="n">
        <x:v>15</x:v>
      </x:c>
      <x:c r="I378" s="9" t="str">
        <x:v>P12</x:v>
      </x:c>
      <x:c r="J378" s="11" t="n">
        <x:v>46301.36597222222</x:v>
      </x:c>
      <x:c r="K378" s="15" t="n">
        <x:v>10</x:v>
      </x:c>
      <x:c r="L378" s="15" t="n">
        <x:v>22</x:v>
      </x:c>
      <x:c r="M378" s="13" t="n">
        <x:f>J378+(K378+L378)/1440</x:f>
        <x:v>46301.388194444444</x:v>
      </x:c>
      <x:c r="N378" s="13" t="n">
        <x:f>VLOOKUP(C378,'MES orders'!$A$8:$H$127,5,FALSE)</x:f>
        <x:v>46302.666666666664</x:v>
      </x:c>
      <x:c r="O378" s="16" t="n">
        <x:f>MAX(0,(M378-N378)*24)</x:f>
        <x:v>0</x:v>
      </x:c>
      <x:c r="P378" s="9" t="str">
        <x:v>No</x:v>
      </x:c>
      <x:c r="Q378" s="15" t="n">
        <x:v>32</x:v>
      </x:c>
      <x:c r="R378" s="13" t="n">
        <x:f>J378+Q378/1440</x:f>
        <x:v>46301.388194444444</x:v>
      </x:c>
      <x:c r="S378" s="2" t="str">
        <x:f>VLOOKUP(C378,'MES orders'!$A$8:$H$127,6,FALSE)</x:f>
        <x:v>Normal</x:v>
      </x:c>
      <x:c r="T378" s="9" t="str"/>
    </x:row>
    <x:row r="379" ht="22" customHeight="1">
      <x:c r="A379" s="2" t="str">
        <x:v>L00323-070</x:v>
      </x:c>
      <x:c r="B379" s="2" t="str">
        <x:v>L00323</x:v>
      </x:c>
      <x:c r="C379" s="2" t="str">
        <x:v>SO-26065</x:v>
      </x:c>
      <x:c r="D379" s="2" t="str">
        <x:v>S-L-AL</x:v>
      </x:c>
      <x:c r="E379" s="14" t="n">
        <x:v>20</x:v>
      </x:c>
      <x:c r="F379" s="2" t="str">
        <x:v>Final assembly</x:v>
      </x:c>
      <x:c r="G379" s="9" t="str">
        <x:v>AS-01</x:v>
      </x:c>
      <x:c r="H379" s="15" t="n">
        <x:v>32</x:v>
      </x:c>
      <x:c r="I379" s="9" t="str">
        <x:v>P05</x:v>
      </x:c>
      <x:c r="J379" s="11" t="n">
        <x:v>46301.37152777778</x:v>
      </x:c>
      <x:c r="K379" s="15" t="n">
        <x:v>5</x:v>
      </x:c>
      <x:c r="L379" s="15" t="n">
        <x:v>22</x:v>
      </x:c>
      <x:c r="M379" s="13" t="n">
        <x:f>J379+(K379+L379)/1440</x:f>
        <x:v>46301.390277777784</x:v>
      </x:c>
      <x:c r="N379" s="13" t="n">
        <x:f>VLOOKUP(C379,'MES orders'!$A$8:$H$127,5,FALSE)</x:f>
        <x:v>46302.666666666664</x:v>
      </x:c>
      <x:c r="O379" s="16" t="n">
        <x:f>MAX(0,(M379-N379)*24)</x:f>
        <x:v>0</x:v>
      </x:c>
      <x:c r="P379" s="9" t="str">
        <x:v>No</x:v>
      </x:c>
      <x:c r="Q379" s="15" t="n">
        <x:v>27</x:v>
      </x:c>
      <x:c r="R379" s="13" t="n">
        <x:f>J379+Q379/1440</x:f>
        <x:v>46301.390277777784</x:v>
      </x:c>
      <x:c r="S379" s="2" t="str">
        <x:f>VLOOKUP(C379,'MES orders'!$A$8:$H$127,6,FALSE)</x:f>
        <x:v>Normal</x:v>
      </x:c>
      <x:c r="T379" s="9" t="str"/>
    </x:row>
    <x:row r="380" ht="22" customHeight="1">
      <x:c r="A380" s="2" t="str">
        <x:v>L00324-060</x:v>
      </x:c>
      <x:c r="B380" s="2" t="str">
        <x:v>L00324</x:v>
      </x:c>
      <x:c r="C380" s="2" t="str">
        <x:v>SO-26065</x:v>
      </x:c>
      <x:c r="D380" s="2" t="str">
        <x:v>S-L-AL</x:v>
      </x:c>
      <x:c r="E380" s="14" t="n">
        <x:v>20</x:v>
      </x:c>
      <x:c r="F380" s="2" t="str">
        <x:v>Sensor calibration</x:v>
      </x:c>
      <x:c r="G380" s="9" t="str">
        <x:v>CAL-01</x:v>
      </x:c>
      <x:c r="H380" s="15" t="n">
        <x:v>14</x:v>
      </x:c>
      <x:c r="I380" s="9" t="str">
        <x:v>P09</x:v>
      </x:c>
      <x:c r="J380" s="11" t="n">
        <x:v>46301.37152777778</x:v>
      </x:c>
      <x:c r="K380" s="15" t="n">
        <x:v>10</x:v>
      </x:c>
      <x:c r="L380" s="15" t="n">
        <x:v>35</x:v>
      </x:c>
      <x:c r="M380" s="13" t="n">
        <x:f>J380+(K380+L380)/1440</x:f>
        <x:v>46301.40277777778</x:v>
      </x:c>
      <x:c r="N380" s="13" t="n">
        <x:f>VLOOKUP(C380,'MES orders'!$A$8:$H$127,5,FALSE)</x:f>
        <x:v>46302.666666666664</x:v>
      </x:c>
      <x:c r="O380" s="16" t="n">
        <x:f>MAX(0,(M380-N380)*24)</x:f>
        <x:v>0</x:v>
      </x:c>
      <x:c r="P380" s="9" t="str">
        <x:v>No</x:v>
      </x:c>
      <x:c r="Q380" s="15" t="n">
        <x:v>45</x:v>
      </x:c>
      <x:c r="R380" s="13" t="n">
        <x:f>J380+Q380/1440</x:f>
        <x:v>46301.40277777778</x:v>
      </x:c>
      <x:c r="S380" s="2" t="str">
        <x:f>VLOOKUP(C380,'MES orders'!$A$8:$H$127,6,FALSE)</x:f>
        <x:v>Normal</x:v>
      </x:c>
      <x:c r="T380" s="9" t="str"/>
    </x:row>
    <x:row r="381" ht="22" customHeight="1">
      <x:c r="A381" s="2" t="str">
        <x:v>L00444-020</x:v>
      </x:c>
      <x:c r="B381" s="2" t="str">
        <x:v>L00444</x:v>
      </x:c>
      <x:c r="C381" s="2" t="str">
        <x:v>SO-26089</x:v>
      </x:c>
      <x:c r="D381" s="2" t="str">
        <x:v>D-L-AL</x:v>
      </x:c>
      <x:c r="E381" s="14" t="n">
        <x:v>15</x:v>
      </x:c>
      <x:c r="F381" s="2" t="str">
        <x:v>Deburr &amp; inspect</x:v>
      </x:c>
      <x:c r="G381" s="9" t="str">
        <x:v>DB-02</x:v>
      </x:c>
      <x:c r="H381" s="15" t="n">
        <x:v>26</x:v>
      </x:c>
      <x:c r="I381" s="9" t="str">
        <x:v>P03</x:v>
      </x:c>
      <x:c r="J381" s="11" t="n">
        <x:v>46301.37152777778</x:v>
      </x:c>
      <x:c r="K381" s="15" t="n">
        <x:v>4</x:v>
      </x:c>
      <x:c r="L381" s="15" t="n">
        <x:v>14</x:v>
      </x:c>
      <x:c r="M381" s="13" t="n">
        <x:f>J381+(K381+L381)/1440</x:f>
        <x:v>46301.38402777778</x:v>
      </x:c>
      <x:c r="N381" s="13" t="n">
        <x:f>VLOOKUP(C381,'MES orders'!$A$8:$H$127,5,FALSE)</x:f>
        <x:v>46302.666666666664</x:v>
      </x:c>
      <x:c r="O381" s="16" t="n">
        <x:f>MAX(0,(M381-N381)*24)</x:f>
        <x:v>0</x:v>
      </x:c>
      <x:c r="P381" s="9" t="str">
        <x:v>No</x:v>
      </x:c>
      <x:c r="Q381" s="15" t="n">
        <x:v>18</x:v>
      </x:c>
      <x:c r="R381" s="13" t="n">
        <x:f>J381+Q381/1440</x:f>
        <x:v>46301.38402777778</x:v>
      </x:c>
      <x:c r="S381" s="2" t="str">
        <x:f>VLOOKUP(C381,'MES orders'!$A$8:$H$127,6,FALSE)</x:f>
        <x:v>Normal</x:v>
      </x:c>
      <x:c r="T381" s="9" t="str"/>
    </x:row>
    <x:row r="382" ht="22" customHeight="1">
      <x:c r="A382" s="2" t="str">
        <x:v>L00442-030</x:v>
      </x:c>
      <x:c r="B382" s="2" t="str">
        <x:v>L00442</x:v>
      </x:c>
      <x:c r="C382" s="2" t="str">
        <x:v>SO-26089</x:v>
      </x:c>
      <x:c r="D382" s="2" t="str">
        <x:v>D-L-AL</x:v>
      </x:c>
      <x:c r="E382" s="14" t="n">
        <x:v>15</x:v>
      </x:c>
      <x:c r="F382" s="2" t="str">
        <x:v>Wash &amp; dry</x:v>
      </x:c>
      <x:c r="G382" s="9" t="str">
        <x:v>WS-02</x:v>
      </x:c>
      <x:c r="H382" s="15" t="n">
        <x:v>25</x:v>
      </x:c>
      <x:c r="I382" s="9" t="str">
        <x:v>P01</x:v>
      </x:c>
      <x:c r="J382" s="11" t="n">
        <x:v>46301.37152777778</x:v>
      </x:c>
      <x:c r="K382" s="15" t="n">
        <x:v>12</x:v>
      </x:c>
      <x:c r="L382" s="15" t="n">
        <x:v>7</x:v>
      </x:c>
      <x:c r="M382" s="13" t="n">
        <x:f>J382+(K382+L382)/1440</x:f>
        <x:v>46301.384722222225</x:v>
      </x:c>
      <x:c r="N382" s="13" t="n">
        <x:f>VLOOKUP(C382,'MES orders'!$A$8:$H$127,5,FALSE)</x:f>
        <x:v>46302.666666666664</x:v>
      </x:c>
      <x:c r="O382" s="16" t="n">
        <x:f>MAX(0,(M382-N382)*24)</x:f>
        <x:v>0</x:v>
      </x:c>
      <x:c r="P382" s="9" t="str">
        <x:v>No</x:v>
      </x:c>
      <x:c r="Q382" s="15" t="n">
        <x:v>19</x:v>
      </x:c>
      <x:c r="R382" s="13" t="n">
        <x:f>J382+Q382/1440</x:f>
        <x:v>46301.384722222225</x:v>
      </x:c>
      <x:c r="S382" s="2" t="str">
        <x:f>VLOOKUP(C382,'MES orders'!$A$8:$H$127,6,FALSE)</x:f>
        <x:v>Normal</x:v>
      </x:c>
      <x:c r="T382" s="9" t="str"/>
    </x:row>
    <x:row r="383" ht="22" customHeight="1">
      <x:c r="A383" s="2" t="str">
        <x:v>L00443-040</x:v>
      </x:c>
      <x:c r="B383" s="2" t="str">
        <x:v>L00443</x:v>
      </x:c>
      <x:c r="C383" s="2" t="str">
        <x:v>SO-26089</x:v>
      </x:c>
      <x:c r="D383" s="2" t="str">
        <x:v>D-L-AL</x:v>
      </x:c>
      <x:c r="E383" s="14" t="n">
        <x:v>15</x:v>
      </x:c>
      <x:c r="F383" s="2" t="str">
        <x:v>Mechanical assembly</x:v>
      </x:c>
      <x:c r="G383" s="9" t="str">
        <x:v>AS-04</x:v>
      </x:c>
      <x:c r="H383" s="15" t="n">
        <x:v>9</x:v>
      </x:c>
      <x:c r="I383" s="9" t="str">
        <x:v>P02</x:v>
      </x:c>
      <x:c r="J383" s="11" t="n">
        <x:v>46301.376388888886</x:v>
      </x:c>
      <x:c r="K383" s="15" t="n">
        <x:v>8</x:v>
      </x:c>
      <x:c r="L383" s="15" t="n">
        <x:v>36</x:v>
      </x:c>
      <x:c r="M383" s="13" t="n">
        <x:f>J383+(K383+L383)/1440</x:f>
        <x:v>46301.40694444444</x:v>
      </x:c>
      <x:c r="N383" s="13" t="n">
        <x:f>VLOOKUP(C383,'MES orders'!$A$8:$H$127,5,FALSE)</x:f>
        <x:v>46302.666666666664</x:v>
      </x:c>
      <x:c r="O383" s="16" t="n">
        <x:f>MAX(0,(M383-N383)*24)</x:f>
        <x:v>0</x:v>
      </x:c>
      <x:c r="P383" s="9" t="str">
        <x:v>No</x:v>
      </x:c>
      <x:c r="Q383" s="15" t="n">
        <x:v>44</x:v>
      </x:c>
      <x:c r="R383" s="13" t="n">
        <x:f>J383+Q383/1440</x:f>
        <x:v>46301.40694444444</x:v>
      </x:c>
      <x:c r="S383" s="2" t="str">
        <x:f>VLOOKUP(C383,'MES orders'!$A$8:$H$127,6,FALSE)</x:f>
        <x:v>Normal</x:v>
      </x:c>
      <x:c r="T383" s="9" t="str"/>
    </x:row>
    <x:row r="384" ht="22" customHeight="1">
      <x:c r="A384" s="2" t="str">
        <x:v>L00403-030</x:v>
      </x:c>
      <x:c r="B384" s="2" t="str">
        <x:v>L00403</x:v>
      </x:c>
      <x:c r="C384" s="2" t="str">
        <x:v>SO-26081</x:v>
      </x:c>
      <x:c r="D384" s="2" t="str">
        <x:v>D-S-AL</x:v>
      </x:c>
      <x:c r="E384" s="14" t="n">
        <x:v>25</x:v>
      </x:c>
      <x:c r="F384" s="2" t="str">
        <x:v>Wash &amp; dry</x:v>
      </x:c>
      <x:c r="G384" s="9" t="str">
        <x:v>WS-01</x:v>
      </x:c>
      <x:c r="H384" s="15" t="n">
        <x:v>37</x:v>
      </x:c>
      <x:c r="I384" s="9" t="str">
        <x:v>P04</x:v>
      </x:c>
      <x:c r="J384" s="11" t="n">
        <x:v>46301.38125</x:v>
      </x:c>
      <x:c r="K384" s="15" t="n">
        <x:v>12</x:v>
      </x:c>
      <x:c r="L384" s="15" t="n">
        <x:v>9</x:v>
      </x:c>
      <x:c r="M384" s="13" t="n">
        <x:f>J384+(K384+L384)/1440</x:f>
        <x:v>46301.39583333333</x:v>
      </x:c>
      <x:c r="N384" s="13" t="n">
        <x:f>VLOOKUP(C384,'MES orders'!$A$8:$H$127,5,FALSE)</x:f>
        <x:v>46302.666666666664</x:v>
      </x:c>
      <x:c r="O384" s="16" t="n">
        <x:f>MAX(0,(M384-N384)*24)</x:f>
        <x:v>0</x:v>
      </x:c>
      <x:c r="P384" s="9" t="str">
        <x:v>No</x:v>
      </x:c>
      <x:c r="Q384" s="15" t="n">
        <x:v>21</x:v>
      </x:c>
      <x:c r="R384" s="13" t="n">
        <x:f>J384+Q384/1440</x:f>
        <x:v>46301.39583333333</x:v>
      </x:c>
      <x:c r="S384" s="2" t="str">
        <x:f>VLOOKUP(C384,'MES orders'!$A$8:$H$127,6,FALSE)</x:f>
        <x:v>Normal</x:v>
      </x:c>
      <x:c r="T384" s="9" t="str"/>
    </x:row>
    <x:row r="385" ht="22" customHeight="1">
      <x:c r="A385" s="2" t="str">
        <x:v>L00442-040</x:v>
      </x:c>
      <x:c r="B385" s="2" t="str">
        <x:v>L00442</x:v>
      </x:c>
      <x:c r="C385" s="2" t="str">
        <x:v>SO-26089</x:v>
      </x:c>
      <x:c r="D385" s="2" t="str">
        <x:v>D-L-AL</x:v>
      </x:c>
      <x:c r="E385" s="14" t="n">
        <x:v>15</x:v>
      </x:c>
      <x:c r="F385" s="2" t="str">
        <x:v>Mechanical assembly</x:v>
      </x:c>
      <x:c r="G385" s="9" t="str">
        <x:v>AS-02</x:v>
      </x:c>
      <x:c r="H385" s="15" t="n">
        <x:v>26</x:v>
      </x:c>
      <x:c r="I385" s="9" t="str">
        <x:v>P01</x:v>
      </x:c>
      <x:c r="J385" s="11" t="n">
        <x:v>46301.384722222225</x:v>
      </x:c>
      <x:c r="K385" s="15" t="n">
        <x:v>8</x:v>
      </x:c>
      <x:c r="L385" s="15" t="n">
        <x:v>36</x:v>
      </x:c>
      <x:c r="M385" s="13" t="n">
        <x:f>J385+(K385+L385)/1440</x:f>
        <x:v>46301.41527777778</x:v>
      </x:c>
      <x:c r="N385" s="13" t="n">
        <x:f>VLOOKUP(C385,'MES orders'!$A$8:$H$127,5,FALSE)</x:f>
        <x:v>46302.666666666664</x:v>
      </x:c>
      <x:c r="O385" s="16" t="n">
        <x:f>MAX(0,(M385-N385)*24)</x:f>
        <x:v>0</x:v>
      </x:c>
      <x:c r="P385" s="9" t="str">
        <x:v>No</x:v>
      </x:c>
      <x:c r="Q385" s="15" t="n">
        <x:v>44</x:v>
      </x:c>
      <x:c r="R385" s="13" t="n">
        <x:f>J385+Q385/1440</x:f>
        <x:v>46301.41527777778</x:v>
      </x:c>
      <x:c r="S385" s="2" t="str">
        <x:f>VLOOKUP(C385,'MES orders'!$A$8:$H$127,6,FALSE)</x:f>
        <x:v>Normal</x:v>
      </x:c>
      <x:c r="T385" s="9" t="str"/>
    </x:row>
    <x:row r="386" ht="22" customHeight="1">
      <x:c r="A386" s="2" t="str">
        <x:v>L00444-030</x:v>
      </x:c>
      <x:c r="B386" s="2" t="str">
        <x:v>L00444</x:v>
      </x:c>
      <x:c r="C386" s="2" t="str">
        <x:v>SO-26089</x:v>
      </x:c>
      <x:c r="D386" s="2" t="str">
        <x:v>D-L-AL</x:v>
      </x:c>
      <x:c r="E386" s="14" t="n">
        <x:v>15</x:v>
      </x:c>
      <x:c r="F386" s="2" t="str">
        <x:v>Wash &amp; dry</x:v>
      </x:c>
      <x:c r="G386" s="9" t="str">
        <x:v>WS-02</x:v>
      </x:c>
      <x:c r="H386" s="15" t="n">
        <x:v>26</x:v>
      </x:c>
      <x:c r="I386" s="9" t="str">
        <x:v>P03</x:v>
      </x:c>
      <x:c r="J386" s="11" t="n">
        <x:v>46301.384722222225</x:v>
      </x:c>
      <x:c r="K386" s="15" t="n">
        <x:v>12</x:v>
      </x:c>
      <x:c r="L386" s="15" t="n">
        <x:v>7</x:v>
      </x:c>
      <x:c r="M386" s="13" t="n">
        <x:f>J386+(K386+L386)/1440</x:f>
        <x:v>46301.39791666667</x:v>
      </x:c>
      <x:c r="N386" s="13" t="n">
        <x:f>VLOOKUP(C386,'MES orders'!$A$8:$H$127,5,FALSE)</x:f>
        <x:v>46302.666666666664</x:v>
      </x:c>
      <x:c r="O386" s="16" t="n">
        <x:f>MAX(0,(M386-N386)*24)</x:f>
        <x:v>0</x:v>
      </x:c>
      <x:c r="P386" s="9" t="str">
        <x:v>No</x:v>
      </x:c>
      <x:c r="Q386" s="15" t="n">
        <x:v>19</x:v>
      </x:c>
      <x:c r="R386" s="13" t="n">
        <x:f>J386+Q386/1440</x:f>
        <x:v>46301.39791666667</x:v>
      </x:c>
      <x:c r="S386" s="2" t="str">
        <x:f>VLOOKUP(C386,'MES orders'!$A$8:$H$127,6,FALSE)</x:f>
        <x:v>Normal</x:v>
      </x:c>
      <x:c r="T386" s="9" t="str"/>
    </x:row>
    <x:row r="387" ht="22" customHeight="1">
      <x:c r="A387" s="2" t="str">
        <x:v>L00404-020</x:v>
      </x:c>
      <x:c r="B387" s="2" t="str">
        <x:v>L00404</x:v>
      </x:c>
      <x:c r="C387" s="2" t="str">
        <x:v>SO-26081</x:v>
      </x:c>
      <x:c r="D387" s="2" t="str">
        <x:v>D-S-AL</x:v>
      </x:c>
      <x:c r="E387" s="14" t="n">
        <x:v>25</x:v>
      </x:c>
      <x:c r="F387" s="2" t="str">
        <x:v>Deburr &amp; inspect</x:v>
      </x:c>
      <x:c r="G387" s="9" t="str">
        <x:v>DB-01</x:v>
      </x:c>
      <x:c r="H387" s="15" t="n">
        <x:v>39</x:v>
      </x:c>
      <x:c r="I387" s="9" t="str">
        <x:v>P06</x:v>
      </x:c>
      <x:c r="J387" s="11" t="n">
        <x:v>46301.38680555556</x:v>
      </x:c>
      <x:c r="K387" s="15" t="n">
        <x:v>4</x:v>
      </x:c>
      <x:c r="L387" s="15" t="n">
        <x:v>18</x:v>
      </x:c>
      <x:c r="M387" s="13" t="n">
        <x:f>J387+(K387+L387)/1440</x:f>
        <x:v>46301.402083333334</x:v>
      </x:c>
      <x:c r="N387" s="13" t="n">
        <x:f>VLOOKUP(C387,'MES orders'!$A$8:$H$127,5,FALSE)</x:f>
        <x:v>46302.666666666664</x:v>
      </x:c>
      <x:c r="O387" s="16" t="n">
        <x:f>MAX(0,(M387-N387)*24)</x:f>
        <x:v>0</x:v>
      </x:c>
      <x:c r="P387" s="9" t="str">
        <x:v>No</x:v>
      </x:c>
      <x:c r="Q387" s="15" t="n">
        <x:v>22</x:v>
      </x:c>
      <x:c r="R387" s="13" t="n">
        <x:f>J387+Q387/1440</x:f>
        <x:v>46301.402083333334</x:v>
      </x:c>
      <x:c r="S387" s="2" t="str">
        <x:f>VLOOKUP(C387,'MES orders'!$A$8:$H$127,6,FALSE)</x:f>
        <x:v>Normal</x:v>
      </x:c>
      <x:c r="T387" s="9" t="str"/>
    </x:row>
    <x:row r="388" ht="22" customHeight="1">
      <x:c r="A388" s="2" t="str">
        <x:v>L00402-050</x:v>
      </x:c>
      <x:c r="B388" s="2" t="str">
        <x:v>L00402</x:v>
      </x:c>
      <x:c r="C388" s="2" t="str">
        <x:v>SO-26081</x:v>
      </x:c>
      <x:c r="D388" s="2" t="str">
        <x:v>D-S-AL</x:v>
      </x:c>
      <x:c r="E388" s="14" t="n">
        <x:v>25</x:v>
      </x:c>
      <x:c r="F388" s="2" t="str">
        <x:v>Final leak / function test</x:v>
      </x:c>
      <x:c r="G388" s="9" t="str">
        <x:v>QA-01</x:v>
      </x:c>
      <x:c r="H388" s="15" t="n">
        <x:v>16</x:v>
      </x:c>
      <x:c r="I388" s="9" t="str">
        <x:v>P12</x:v>
      </x:c>
      <x:c r="J388" s="11" t="n">
        <x:v>46301.388194444444</x:v>
      </x:c>
      <x:c r="K388" s="15" t="n">
        <x:v>10</x:v>
      </x:c>
      <x:c r="L388" s="15" t="n">
        <x:v>22</x:v>
      </x:c>
      <x:c r="M388" s="13" t="n">
        <x:f>J388+(K388+L388)/1440</x:f>
        <x:v>46301.410416666666</x:v>
      </x:c>
      <x:c r="N388" s="13" t="n">
        <x:f>VLOOKUP(C388,'MES orders'!$A$8:$H$127,5,FALSE)</x:f>
        <x:v>46302.666666666664</x:v>
      </x:c>
      <x:c r="O388" s="16" t="n">
        <x:f>MAX(0,(M388-N388)*24)</x:f>
        <x:v>0</x:v>
      </x:c>
      <x:c r="P388" s="9" t="str">
        <x:v>No</x:v>
      </x:c>
      <x:c r="Q388" s="15" t="n">
        <x:v>32</x:v>
      </x:c>
      <x:c r="R388" s="13" t="n">
        <x:f>J388+Q388/1440</x:f>
        <x:v>46301.410416666666</x:v>
      </x:c>
      <x:c r="S388" s="2" t="str">
        <x:f>VLOOKUP(C388,'MES orders'!$A$8:$H$127,6,FALSE)</x:f>
        <x:v>Normal</x:v>
      </x:c>
      <x:c r="T388" s="9" t="str"/>
    </x:row>
    <x:row r="389" ht="22" customHeight="1">
      <x:c r="A389" s="2" t="str">
        <x:v>L00405-020</x:v>
      </x:c>
      <x:c r="B389" s="2" t="str">
        <x:v>L00405</x:v>
      </x:c>
      <x:c r="C389" s="2" t="str">
        <x:v>SO-26081</x:v>
      </x:c>
      <x:c r="D389" s="2" t="str">
        <x:v>D-S-AL</x:v>
      </x:c>
      <x:c r="E389" s="14" t="n">
        <x:v>25</x:v>
      </x:c>
      <x:c r="F389" s="2" t="str">
        <x:v>Deburr &amp; inspect</x:v>
      </x:c>
      <x:c r="G389" s="9" t="str">
        <x:v>DB-02</x:v>
      </x:c>
      <x:c r="H389" s="15" t="n">
        <x:v>27</x:v>
      </x:c>
      <x:c r="I389" s="9" t="str">
        <x:v>P05</x:v>
      </x:c>
      <x:c r="J389" s="11" t="n">
        <x:v>46301.39027777778</x:v>
      </x:c>
      <x:c r="K389" s="15" t="n">
        <x:v>4</x:v>
      </x:c>
      <x:c r="L389" s="15" t="n">
        <x:v>18</x:v>
      </x:c>
      <x:c r="M389" s="13" t="n">
        <x:f>J389+(K389+L389)/1440</x:f>
        <x:v>46301.40555555555</x:v>
      </x:c>
      <x:c r="N389" s="13" t="n">
        <x:f>VLOOKUP(C389,'MES orders'!$A$8:$H$127,5,FALSE)</x:f>
        <x:v>46302.666666666664</x:v>
      </x:c>
      <x:c r="O389" s="16" t="n">
        <x:f>MAX(0,(M389-N389)*24)</x:f>
        <x:v>0</x:v>
      </x:c>
      <x:c r="P389" s="9" t="str">
        <x:v>No</x:v>
      </x:c>
      <x:c r="Q389" s="15" t="n">
        <x:v>22</x:v>
      </x:c>
      <x:c r="R389" s="13" t="n">
        <x:f>J389+Q389/1440</x:f>
        <x:v>46301.40555555555</x:v>
      </x:c>
      <x:c r="S389" s="2" t="str">
        <x:f>VLOOKUP(C389,'MES orders'!$A$8:$H$127,6,FALSE)</x:f>
        <x:v>Normal</x:v>
      </x:c>
      <x:c r="T389" s="9" t="str"/>
    </x:row>
    <x:row r="390" ht="22" customHeight="1">
      <x:c r="A390" s="2" t="str">
        <x:v>L00323-080</x:v>
      </x:c>
      <x:c r="B390" s="2" t="str">
        <x:v>L00323</x:v>
      </x:c>
      <x:c r="C390" s="2" t="str">
        <x:v>SO-26065</x:v>
      </x:c>
      <x:c r="D390" s="2" t="str">
        <x:v>S-L-AL</x:v>
      </x:c>
      <x:c r="E390" s="14" t="n">
        <x:v>20</x:v>
      </x:c>
      <x:c r="F390" s="2" t="str">
        <x:v>Final leak / function test</x:v>
      </x:c>
      <x:c r="G390" s="9" t="str">
        <x:v>QA-02</x:v>
      </x:c>
      <x:c r="H390" s="15" t="n">
        <x:v>24</x:v>
      </x:c>
      <x:c r="I390" s="9" t="str">
        <x:v>P11</x:v>
      </x:c>
      <x:c r="J390" s="11" t="n">
        <x:v>46301.39027777778</x:v>
      </x:c>
      <x:c r="K390" s="15" t="n">
        <x:v>10</x:v>
      </x:c>
      <x:c r="L390" s="15" t="n">
        <x:v>24</x:v>
      </x:c>
      <x:c r="M390" s="13" t="n">
        <x:f>J390+(K390+L390)/1440</x:f>
        <x:v>46301.413888888885</x:v>
      </x:c>
      <x:c r="N390" s="13" t="n">
        <x:f>VLOOKUP(C390,'MES orders'!$A$8:$H$127,5,FALSE)</x:f>
        <x:v>46302.666666666664</x:v>
      </x:c>
      <x:c r="O390" s="16" t="n">
        <x:f>MAX(0,(M390-N390)*24)</x:f>
        <x:v>0</x:v>
      </x:c>
      <x:c r="P390" s="9" t="str">
        <x:v>No</x:v>
      </x:c>
      <x:c r="Q390" s="15" t="n">
        <x:v>34</x:v>
      </x:c>
      <x:c r="R390" s="13" t="n">
        <x:f>J390+Q390/1440</x:f>
        <x:v>46301.413888888885</x:v>
      </x:c>
      <x:c r="S390" s="2" t="str">
        <x:f>VLOOKUP(C390,'MES orders'!$A$8:$H$127,6,FALSE)</x:f>
        <x:v>Normal</x:v>
      </x:c>
      <x:c r="T390" s="9" t="str"/>
    </x:row>
    <x:row r="391" ht="22" customHeight="1">
      <x:c r="A391" s="2" t="str">
        <x:v>L00404-030</x:v>
      </x:c>
      <x:c r="B391" s="2" t="str">
        <x:v>L00404</x:v>
      </x:c>
      <x:c r="C391" s="2" t="str">
        <x:v>SO-26081</x:v>
      </x:c>
      <x:c r="D391" s="2" t="str">
        <x:v>D-S-AL</x:v>
      </x:c>
      <x:c r="E391" s="14" t="n">
        <x:v>25</x:v>
      </x:c>
      <x:c r="F391" s="2" t="str">
        <x:v>Wash &amp; dry</x:v>
      </x:c>
      <x:c r="G391" s="9" t="str">
        <x:v>WS-01</x:v>
      </x:c>
      <x:c r="H391" s="15" t="n">
        <x:v>38</x:v>
      </x:c>
      <x:c r="I391" s="9" t="str">
        <x:v>P04</x:v>
      </x:c>
      <x:c r="J391" s="11" t="n">
        <x:v>46301.402083333334</x:v>
      </x:c>
      <x:c r="K391" s="15" t="n">
        <x:v>12</x:v>
      </x:c>
      <x:c r="L391" s="15" t="n">
        <x:v>9</x:v>
      </x:c>
      <x:c r="M391" s="13" t="n">
        <x:f>J391+(K391+L391)/1440</x:f>
        <x:v>46301.416666666664</x:v>
      </x:c>
      <x:c r="N391" s="13" t="n">
        <x:f>VLOOKUP(C391,'MES orders'!$A$8:$H$127,5,FALSE)</x:f>
        <x:v>46302.666666666664</x:v>
      </x:c>
      <x:c r="O391" s="16" t="n">
        <x:f>MAX(0,(M391-N391)*24)</x:f>
        <x:v>0</x:v>
      </x:c>
      <x:c r="P391" s="9" t="str">
        <x:v>No</x:v>
      </x:c>
      <x:c r="Q391" s="15" t="n">
        <x:v>21</x:v>
      </x:c>
      <x:c r="R391" s="13" t="n">
        <x:f>J391+Q391/1440</x:f>
        <x:v>46301.416666666664</x:v>
      </x:c>
      <x:c r="S391" s="2" t="str">
        <x:f>VLOOKUP(C391,'MES orders'!$A$8:$H$127,6,FALSE)</x:f>
        <x:v>Normal</x:v>
      </x:c>
      <x:c r="T391" s="9" t="str"/>
    </x:row>
    <x:row r="392" ht="22" customHeight="1">
      <x:c r="A392" s="2" t="str">
        <x:v>L00441-030</x:v>
      </x:c>
      <x:c r="B392" s="2" t="str">
        <x:v>L00441</x:v>
      </x:c>
      <x:c r="C392" s="2" t="str">
        <x:v>SO-26089</x:v>
      </x:c>
      <x:c r="D392" s="2" t="str">
        <x:v>D-L-AL</x:v>
      </x:c>
      <x:c r="E392" s="14" t="n">
        <x:v>15</x:v>
      </x:c>
      <x:c r="F392" s="2" t="str">
        <x:v>Wash &amp; dry</x:v>
      </x:c>
      <x:c r="G392" s="9" t="str">
        <x:v>WS-02</x:v>
      </x:c>
      <x:c r="H392" s="15" t="n">
        <x:v>27</x:v>
      </x:c>
      <x:c r="I392" s="9" t="str">
        <x:v>P06</x:v>
      </x:c>
      <x:c r="J392" s="11" t="n">
        <x:v>46301.402083333334</x:v>
      </x:c>
      <x:c r="K392" s="15" t="n">
        <x:v>12</x:v>
      </x:c>
      <x:c r="L392" s="15" t="n">
        <x:v>7</x:v>
      </x:c>
      <x:c r="M392" s="13" t="n">
        <x:f>J392+(K392+L392)/1440</x:f>
        <x:v>46301.41527777778</x:v>
      </x:c>
      <x:c r="N392" s="13" t="n">
        <x:f>VLOOKUP(C392,'MES orders'!$A$8:$H$127,5,FALSE)</x:f>
        <x:v>46302.666666666664</x:v>
      </x:c>
      <x:c r="O392" s="16" t="n">
        <x:f>MAX(0,(M392-N392)*24)</x:f>
        <x:v>0</x:v>
      </x:c>
      <x:c r="P392" s="9" t="str">
        <x:v>No</x:v>
      </x:c>
      <x:c r="Q392" s="15" t="n">
        <x:v>19</x:v>
      </x:c>
      <x:c r="R392" s="13" t="n">
        <x:f>J392+Q392/1440</x:f>
        <x:v>46301.41527777778</x:v>
      </x:c>
      <x:c r="S392" s="2" t="str">
        <x:f>VLOOKUP(C392,'MES orders'!$A$8:$H$127,6,FALSE)</x:f>
        <x:v>Normal</x:v>
      </x:c>
      <x:c r="T392" s="9" t="str"/>
    </x:row>
    <x:row r="393" ht="22" customHeight="1">
      <x:c r="A393" s="2" t="str">
        <x:v>L00481-020</x:v>
      </x:c>
      <x:c r="B393" s="2" t="str">
        <x:v>L00481</x:v>
      </x:c>
      <x:c r="C393" s="2" t="str">
        <x:v>SO-26097</x:v>
      </x:c>
      <x:c r="D393" s="2" t="str">
        <x:v>R-C-AL</x:v>
      </x:c>
      <x:c r="E393" s="14" t="n">
        <x:v>20</x:v>
      </x:c>
      <x:c r="F393" s="2" t="str">
        <x:v>Deburr &amp; inspect</x:v>
      </x:c>
      <x:c r="G393" s="9" t="str">
        <x:v>DB-01</x:v>
      </x:c>
      <x:c r="H393" s="15" t="n">
        <x:v>40</x:v>
      </x:c>
      <x:c r="I393" s="9" t="str">
        <x:v>P05</x:v>
      </x:c>
      <x:c r="J393" s="11" t="n">
        <x:v>46301.40555555555</x:v>
      </x:c>
      <x:c r="K393" s="15" t="n">
        <x:v>4</x:v>
      </x:c>
      <x:c r="L393" s="15" t="n">
        <x:v>11</x:v>
      </x:c>
      <x:c r="M393" s="13" t="n">
        <x:f>J393+(K393+L393)/1440</x:f>
        <x:v>46301.41597222222</x:v>
      </x:c>
      <x:c r="N393" s="13" t="n">
        <x:f>VLOOKUP(C393,'MES orders'!$A$8:$H$127,5,FALSE)</x:f>
        <x:v>46302.666666666664</x:v>
      </x:c>
      <x:c r="O393" s="16" t="n">
        <x:f>MAX(0,(M393-N393)*24)</x:f>
        <x:v>0</x:v>
      </x:c>
      <x:c r="P393" s="9" t="str">
        <x:v>No</x:v>
      </x:c>
      <x:c r="Q393" s="15" t="n">
        <x:v>15</x:v>
      </x:c>
      <x:c r="R393" s="13" t="n">
        <x:f>J393+Q393/1440</x:f>
        <x:v>46301.41597222222</x:v>
      </x:c>
      <x:c r="S393" s="2" t="str">
        <x:f>VLOOKUP(C393,'MES orders'!$A$8:$H$127,6,FALSE)</x:f>
        <x:v>Normal</x:v>
      </x:c>
      <x:c r="T393" s="9" t="str"/>
    </x:row>
    <x:row r="394" ht="22" customHeight="1">
      <x:c r="A394" s="2" t="str">
        <x:v>L00482-020</x:v>
      </x:c>
      <x:c r="B394" s="2" t="str">
        <x:v>L00482</x:v>
      </x:c>
      <x:c r="C394" s="2" t="str">
        <x:v>SO-26097</x:v>
      </x:c>
      <x:c r="D394" s="2" t="str">
        <x:v>R-C-AL</x:v>
      </x:c>
      <x:c r="E394" s="14" t="n">
        <x:v>20</x:v>
      </x:c>
      <x:c r="F394" s="2" t="str">
        <x:v>Deburr &amp; inspect</x:v>
      </x:c>
      <x:c r="G394" s="9" t="str">
        <x:v>DB-02</x:v>
      </x:c>
      <x:c r="H394" s="15" t="n">
        <x:v>28</x:v>
      </x:c>
      <x:c r="I394" s="9" t="str">
        <x:v>P03</x:v>
      </x:c>
      <x:c r="J394" s="11" t="n">
        <x:v>46301.40555555555</x:v>
      </x:c>
      <x:c r="K394" s="15" t="n">
        <x:v>4</x:v>
      </x:c>
      <x:c r="L394" s="15" t="n">
        <x:v>11</x:v>
      </x:c>
      <x:c r="M394" s="13" t="n">
        <x:f>J394+(K394+L394)/1440</x:f>
        <x:v>46301.41597222222</x:v>
      </x:c>
      <x:c r="N394" s="13" t="n">
        <x:f>VLOOKUP(C394,'MES orders'!$A$8:$H$127,5,FALSE)</x:f>
        <x:v>46302.666666666664</x:v>
      </x:c>
      <x:c r="O394" s="16" t="n">
        <x:f>MAX(0,(M394-N394)*24)</x:f>
        <x:v>0</x:v>
      </x:c>
      <x:c r="P394" s="9" t="str">
        <x:v>No</x:v>
      </x:c>
      <x:c r="Q394" s="15" t="n">
        <x:v>15</x:v>
      </x:c>
      <x:c r="R394" s="13" t="n">
        <x:f>J394+Q394/1440</x:f>
        <x:v>46301.41597222222</x:v>
      </x:c>
      <x:c r="S394" s="2" t="str">
        <x:f>VLOOKUP(C394,'MES orders'!$A$8:$H$127,6,FALSE)</x:f>
        <x:v>Normal</x:v>
      </x:c>
      <x:c r="T394" s="9" t="str"/>
    </x:row>
    <x:row r="395" ht="22" customHeight="1">
      <x:c r="A395" s="2" t="str">
        <x:v>L00324-070</x:v>
      </x:c>
      <x:c r="B395" s="2" t="str">
        <x:v>L00324</x:v>
      </x:c>
      <x:c r="C395" s="2" t="str">
        <x:v>SO-26065</x:v>
      </x:c>
      <x:c r="D395" s="2" t="str">
        <x:v>S-L-AL</x:v>
      </x:c>
      <x:c r="E395" s="14" t="n">
        <x:v>20</x:v>
      </x:c>
      <x:c r="F395" s="2" t="str">
        <x:v>Final assembly</x:v>
      </x:c>
      <x:c r="G395" s="9" t="str">
        <x:v>AS-01</x:v>
      </x:c>
      <x:c r="H395" s="15" t="n">
        <x:v>33</x:v>
      </x:c>
      <x:c r="I395" s="9" t="str">
        <x:v>P05</x:v>
      </x:c>
      <x:c r="J395" s="11" t="n">
        <x:v>46301.4375</x:v>
      </x:c>
      <x:c r="K395" s="15" t="n">
        <x:v>5</x:v>
      </x:c>
      <x:c r="L395" s="15" t="n">
        <x:v>22</x:v>
      </x:c>
      <x:c r="M395" s="13" t="n">
        <x:f>J395+(K395+L395)/1440</x:f>
        <x:v>46301.45625</x:v>
      </x:c>
      <x:c r="N395" s="13" t="n">
        <x:f>VLOOKUP(C395,'MES orders'!$A$8:$H$127,5,FALSE)</x:f>
        <x:v>46302.666666666664</x:v>
      </x:c>
      <x:c r="O395" s="16" t="n">
        <x:f>MAX(0,(M395-N395)*24)</x:f>
        <x:v>0</x:v>
      </x:c>
      <x:c r="P395" s="9" t="str">
        <x:v>No</x:v>
      </x:c>
      <x:c r="Q395" s="15" t="n">
        <x:v>27</x:v>
      </x:c>
      <x:c r="R395" s="13" t="n">
        <x:f>J395+Q395/1440</x:f>
        <x:v>46301.45625</x:v>
      </x:c>
      <x:c r="S395" s="2" t="str">
        <x:f>VLOOKUP(C395,'MES orders'!$A$8:$H$127,6,FALSE)</x:f>
        <x:v>Normal</x:v>
      </x:c>
      <x:c r="T395" s="9" t="str"/>
    </x:row>
    <x:row r="396" ht="22" customHeight="1">
      <x:c r="A396" s="2" t="str">
        <x:v>L00403-040</x:v>
      </x:c>
      <x:c r="B396" s="2" t="str">
        <x:v>L00403</x:v>
      </x:c>
      <x:c r="C396" s="2" t="str">
        <x:v>SO-26081</x:v>
      </x:c>
      <x:c r="D396" s="2" t="str">
        <x:v>D-S-AL</x:v>
      </x:c>
      <x:c r="E396" s="14" t="n">
        <x:v>25</x:v>
      </x:c>
      <x:c r="F396" s="2" t="str">
        <x:v>Mechanical assembly</x:v>
      </x:c>
      <x:c r="G396" s="9" t="str">
        <x:v>AS-02</x:v>
      </x:c>
      <x:c r="H396" s="15" t="n">
        <x:v>27</x:v>
      </x:c>
      <x:c r="I396" s="9" t="str">
        <x:v>P04</x:v>
      </x:c>
      <x:c r="J396" s="11" t="n">
        <x:v>46301.4375</x:v>
      </x:c>
      <x:c r="K396" s="15" t="n">
        <x:v>8</x:v>
      </x:c>
      <x:c r="L396" s="15" t="n">
        <x:v>45</x:v>
      </x:c>
      <x:c r="M396" s="13" t="n">
        <x:f>J396+(K396+L396)/1440</x:f>
        <x:v>46301.47430555556</x:v>
      </x:c>
      <x:c r="N396" s="13" t="n">
        <x:f>VLOOKUP(C396,'MES orders'!$A$8:$H$127,5,FALSE)</x:f>
        <x:v>46302.666666666664</x:v>
      </x:c>
      <x:c r="O396" s="16" t="n">
        <x:f>MAX(0,(M396-N396)*24)</x:f>
        <x:v>0</x:v>
      </x:c>
      <x:c r="P396" s="9" t="str">
        <x:v>No</x:v>
      </x:c>
      <x:c r="Q396" s="15" t="n">
        <x:v>53</x:v>
      </x:c>
      <x:c r="R396" s="13" t="n">
        <x:f>J396+Q396/1440</x:f>
        <x:v>46301.47430555556</x:v>
      </x:c>
      <x:c r="S396" s="2" t="str">
        <x:f>VLOOKUP(C396,'MES orders'!$A$8:$H$127,6,FALSE)</x:f>
        <x:v>Normal</x:v>
      </x:c>
      <x:c r="T396" s="9" t="str"/>
    </x:row>
    <x:row r="397" ht="22" customHeight="1">
      <x:c r="A397" s="2" t="str">
        <x:v>L00404-040</x:v>
      </x:c>
      <x:c r="B397" s="2" t="str">
        <x:v>L00404</x:v>
      </x:c>
      <x:c r="C397" s="2" t="str">
        <x:v>SO-26081</x:v>
      </x:c>
      <x:c r="D397" s="2" t="str">
        <x:v>D-S-AL</x:v>
      </x:c>
      <x:c r="E397" s="14" t="n">
        <x:v>25</x:v>
      </x:c>
      <x:c r="F397" s="2" t="str">
        <x:v>Mechanical assembly</x:v>
      </x:c>
      <x:c r="G397" s="9" t="str">
        <x:v>AS-03</x:v>
      </x:c>
      <x:c r="H397" s="15" t="n">
        <x:v>19</x:v>
      </x:c>
      <x:c r="I397" s="9" t="str">
        <x:v>P06</x:v>
      </x:c>
      <x:c r="J397" s="11" t="n">
        <x:v>46301.4375</x:v>
      </x:c>
      <x:c r="K397" s="15" t="n">
        <x:v>8</x:v>
      </x:c>
      <x:c r="L397" s="15" t="n">
        <x:v>45</x:v>
      </x:c>
      <x:c r="M397" s="13" t="n">
        <x:f>J397+(K397+L397)/1440</x:f>
        <x:v>46301.47430555556</x:v>
      </x:c>
      <x:c r="N397" s="13" t="n">
        <x:f>VLOOKUP(C397,'MES orders'!$A$8:$H$127,5,FALSE)</x:f>
        <x:v>46302.666666666664</x:v>
      </x:c>
      <x:c r="O397" s="16" t="n">
        <x:f>MAX(0,(M397-N397)*24)</x:f>
        <x:v>0</x:v>
      </x:c>
      <x:c r="P397" s="9" t="str">
        <x:v>No</x:v>
      </x:c>
      <x:c r="Q397" s="15" t="n">
        <x:v>53</x:v>
      </x:c>
      <x:c r="R397" s="13" t="n">
        <x:f>J397+Q397/1440</x:f>
        <x:v>46301.47430555556</x:v>
      </x:c>
      <x:c r="S397" s="2" t="str">
        <x:f>VLOOKUP(C397,'MES orders'!$A$8:$H$127,6,FALSE)</x:f>
        <x:v>Normal</x:v>
      </x:c>
      <x:c r="T397" s="9" t="str"/>
    </x:row>
    <x:row r="398" ht="22" customHeight="1">
      <x:c r="A398" s="2" t="str">
        <x:v>L00325-060</x:v>
      </x:c>
      <x:c r="B398" s="2" t="str">
        <x:v>L00325</x:v>
      </x:c>
      <x:c r="C398" s="2" t="str">
        <x:v>SO-26065</x:v>
      </x:c>
      <x:c r="D398" s="2" t="str">
        <x:v>S-L-AL</x:v>
      </x:c>
      <x:c r="E398" s="14" t="n">
        <x:v>20</x:v>
      </x:c>
      <x:c r="F398" s="2" t="str">
        <x:v>Sensor calibration</x:v>
      </x:c>
      <x:c r="G398" s="9" t="str">
        <x:v>CAL-01</x:v>
      </x:c>
      <x:c r="H398" s="15" t="n">
        <x:v>15</x:v>
      </x:c>
      <x:c r="I398" s="9" t="str">
        <x:v>P09</x:v>
      </x:c>
      <x:c r="J398" s="11" t="n">
        <x:v>46301.4375</x:v>
      </x:c>
      <x:c r="K398" s="15" t="n">
        <x:v>10</x:v>
      </x:c>
      <x:c r="L398" s="15" t="n">
        <x:v>35</x:v>
      </x:c>
      <x:c r="M398" s="13" t="n">
        <x:f>J398+(K398+L398)/1440</x:f>
        <x:v>46301.46875</x:v>
      </x:c>
      <x:c r="N398" s="13" t="n">
        <x:f>VLOOKUP(C398,'MES orders'!$A$8:$H$127,5,FALSE)</x:f>
        <x:v>46302.666666666664</x:v>
      </x:c>
      <x:c r="O398" s="16" t="n">
        <x:f>MAX(0,(M398-N398)*24)</x:f>
        <x:v>0</x:v>
      </x:c>
      <x:c r="P398" s="9" t="str">
        <x:v>No</x:v>
      </x:c>
      <x:c r="Q398" s="15" t="n">
        <x:v>45</x:v>
      </x:c>
      <x:c r="R398" s="13" t="n">
        <x:f>J398+Q398/1440</x:f>
        <x:v>46301.46875</x:v>
      </x:c>
      <x:c r="S398" s="2" t="str">
        <x:f>VLOOKUP(C398,'MES orders'!$A$8:$H$127,6,FALSE)</x:f>
        <x:v>Normal</x:v>
      </x:c>
      <x:c r="T398" s="9" t="str"/>
    </x:row>
    <x:row r="399" ht="22" customHeight="1">
      <x:c r="A399" s="2" t="str">
        <x:v>L00483-020</x:v>
      </x:c>
      <x:c r="B399" s="2" t="str">
        <x:v>L00483</x:v>
      </x:c>
      <x:c r="C399" s="2" t="str">
        <x:v>SO-26097</x:v>
      </x:c>
      <x:c r="D399" s="2" t="str">
        <x:v>R-C-AL</x:v>
      </x:c>
      <x:c r="E399" s="14" t="n">
        <x:v>20</x:v>
      </x:c>
      <x:c r="F399" s="2" t="str">
        <x:v>Deburr &amp; inspect</x:v>
      </x:c>
      <x:c r="G399" s="9" t="str">
        <x:v>DB-01</x:v>
      </x:c>
      <x:c r="H399" s="15" t="n">
        <x:v>41</x:v>
      </x:c>
      <x:c r="I399" s="9" t="str">
        <x:v>P02</x:v>
      </x:c>
      <x:c r="J399" s="11" t="n">
        <x:v>46301.4375</x:v>
      </x:c>
      <x:c r="K399" s="15" t="n">
        <x:v>4</x:v>
      </x:c>
      <x:c r="L399" s="15" t="n">
        <x:v>11</x:v>
      </x:c>
      <x:c r="M399" s="13" t="n">
        <x:f>J399+(K399+L399)/1440</x:f>
        <x:v>46301.447916666664</x:v>
      </x:c>
      <x:c r="N399" s="13" t="n">
        <x:f>VLOOKUP(C399,'MES orders'!$A$8:$H$127,5,FALSE)</x:f>
        <x:v>46302.666666666664</x:v>
      </x:c>
      <x:c r="O399" s="16" t="n">
        <x:f>MAX(0,(M399-N399)*24)</x:f>
        <x:v>0</x:v>
      </x:c>
      <x:c r="P399" s="9" t="str">
        <x:v>No</x:v>
      </x:c>
      <x:c r="Q399" s="15" t="n">
        <x:v>15</x:v>
      </x:c>
      <x:c r="R399" s="13" t="n">
        <x:f>J399+Q399/1440</x:f>
        <x:v>46301.447916666664</x:v>
      </x:c>
      <x:c r="S399" s="2" t="str">
        <x:f>VLOOKUP(C399,'MES orders'!$A$8:$H$127,6,FALSE)</x:f>
        <x:v>Normal</x:v>
      </x:c>
      <x:c r="T399" s="9" t="str"/>
    </x:row>
    <x:row r="400" ht="22" customHeight="1">
      <x:c r="A400" s="2" t="str">
        <x:v>L00484-020</x:v>
      </x:c>
      <x:c r="B400" s="2" t="str">
        <x:v>L00484</x:v>
      </x:c>
      <x:c r="C400" s="2" t="str">
        <x:v>SO-26097</x:v>
      </x:c>
      <x:c r="D400" s="2" t="str">
        <x:v>R-C-AL</x:v>
      </x:c>
      <x:c r="E400" s="14" t="n">
        <x:v>20</x:v>
      </x:c>
      <x:c r="F400" s="2" t="str">
        <x:v>Deburr &amp; inspect</x:v>
      </x:c>
      <x:c r="G400" s="9" t="str">
        <x:v>DB-02</x:v>
      </x:c>
      <x:c r="H400" s="15" t="n">
        <x:v>29</x:v>
      </x:c>
      <x:c r="I400" s="9" t="str">
        <x:v>P03</x:v>
      </x:c>
      <x:c r="J400" s="11" t="n">
        <x:v>46301.4375</x:v>
      </x:c>
      <x:c r="K400" s="15" t="n">
        <x:v>4</x:v>
      </x:c>
      <x:c r="L400" s="15" t="n">
        <x:v>11</x:v>
      </x:c>
      <x:c r="M400" s="13" t="n">
        <x:f>J400+(K400+L400)/1440</x:f>
        <x:v>46301.447916666664</x:v>
      </x:c>
      <x:c r="N400" s="13" t="n">
        <x:f>VLOOKUP(C400,'MES orders'!$A$8:$H$127,5,FALSE)</x:f>
        <x:v>46302.666666666664</x:v>
      </x:c>
      <x:c r="O400" s="16" t="n">
        <x:f>MAX(0,(M400-N400)*24)</x:f>
        <x:v>0</x:v>
      </x:c>
      <x:c r="P400" s="9" t="str">
        <x:v>No</x:v>
      </x:c>
      <x:c r="Q400" s="15" t="n">
        <x:v>15</x:v>
      </x:c>
      <x:c r="R400" s="13" t="n">
        <x:f>J400+Q400/1440</x:f>
        <x:v>46301.447916666664</x:v>
      </x:c>
      <x:c r="S400" s="2" t="str">
        <x:f>VLOOKUP(C400,'MES orders'!$A$8:$H$127,6,FALSE)</x:f>
        <x:v>Normal</x:v>
      </x:c>
      <x:c r="T400" s="9" t="str"/>
    </x:row>
    <x:row r="401" ht="22" customHeight="1">
      <x:c r="A401" s="2" t="str">
        <x:v>L00442-050</x:v>
      </x:c>
      <x:c r="B401" s="2" t="str">
        <x:v>L00442</x:v>
      </x:c>
      <x:c r="C401" s="2" t="str">
        <x:v>SO-26089</x:v>
      </x:c>
      <x:c r="D401" s="2" t="str">
        <x:v>D-L-AL</x:v>
      </x:c>
      <x:c r="E401" s="14" t="n">
        <x:v>15</x:v>
      </x:c>
      <x:c r="F401" s="2" t="str">
        <x:v>Final leak / function test</x:v>
      </x:c>
      <x:c r="G401" s="9" t="str">
        <x:v>QA-01</x:v>
      </x:c>
      <x:c r="H401" s="15" t="n">
        <x:v>17</x:v>
      </x:c>
      <x:c r="I401" s="9" t="str">
        <x:v>P12</x:v>
      </x:c>
      <x:c r="J401" s="11" t="n">
        <x:v>46301.4375</x:v>
      </x:c>
      <x:c r="K401" s="15" t="n">
        <x:v>10</x:v>
      </x:c>
      <x:c r="L401" s="15" t="n">
        <x:v>18</x:v>
      </x:c>
      <x:c r="M401" s="13" t="n">
        <x:f>J401+(K401+L401)/1440</x:f>
        <x:v>46301.45694444444</x:v>
      </x:c>
      <x:c r="N401" s="13" t="n">
        <x:f>VLOOKUP(C401,'MES orders'!$A$8:$H$127,5,FALSE)</x:f>
        <x:v>46302.666666666664</x:v>
      </x:c>
      <x:c r="O401" s="16" t="n">
        <x:f>MAX(0,(M401-N401)*24)</x:f>
        <x:v>0</x:v>
      </x:c>
      <x:c r="P401" s="9" t="str">
        <x:v>No</x:v>
      </x:c>
      <x:c r="Q401" s="15" t="n">
        <x:v>28</x:v>
      </x:c>
      <x:c r="R401" s="13" t="n">
        <x:f>J401+Q401/1440</x:f>
        <x:v>46301.45694444444</x:v>
      </x:c>
      <x:c r="S401" s="2" t="str">
        <x:f>VLOOKUP(C401,'MES orders'!$A$8:$H$127,6,FALSE)</x:f>
        <x:v>Normal</x:v>
      </x:c>
      <x:c r="T401" s="9" t="str"/>
    </x:row>
    <x:row r="402" ht="22" customHeight="1">
      <x:c r="A402" s="2" t="str">
        <x:v>L00443-050</x:v>
      </x:c>
      <x:c r="B402" s="2" t="str">
        <x:v>L00443</x:v>
      </x:c>
      <x:c r="C402" s="2" t="str">
        <x:v>SO-26089</x:v>
      </x:c>
      <x:c r="D402" s="2" t="str">
        <x:v>D-L-AL</x:v>
      </x:c>
      <x:c r="E402" s="14" t="n">
        <x:v>15</x:v>
      </x:c>
      <x:c r="F402" s="2" t="str">
        <x:v>Final leak / function test</x:v>
      </x:c>
      <x:c r="G402" s="9" t="str">
        <x:v>QA-03</x:v>
      </x:c>
      <x:c r="H402" s="15" t="n">
        <x:v>18</x:v>
      </x:c>
      <x:c r="I402" s="9" t="str">
        <x:v>P10</x:v>
      </x:c>
      <x:c r="J402" s="11" t="n">
        <x:v>46301.4375</x:v>
      </x:c>
      <x:c r="K402" s="15" t="n">
        <x:v>10</x:v>
      </x:c>
      <x:c r="L402" s="15" t="n">
        <x:v>18</x:v>
      </x:c>
      <x:c r="M402" s="13" t="n">
        <x:f>J402+(K402+L402)/1440</x:f>
        <x:v>46301.45694444444</x:v>
      </x:c>
      <x:c r="N402" s="13" t="n">
        <x:f>VLOOKUP(C402,'MES orders'!$A$8:$H$127,5,FALSE)</x:f>
        <x:v>46302.666666666664</x:v>
      </x:c>
      <x:c r="O402" s="16" t="n">
        <x:f>MAX(0,(M402-N402)*24)</x:f>
        <x:v>0</x:v>
      </x:c>
      <x:c r="P402" s="9" t="str">
        <x:v>No</x:v>
      </x:c>
      <x:c r="Q402" s="15" t="n">
        <x:v>28</x:v>
      </x:c>
      <x:c r="R402" s="13" t="n">
        <x:f>J402+Q402/1440</x:f>
        <x:v>46301.45694444444</x:v>
      </x:c>
      <x:c r="S402" s="2" t="str">
        <x:f>VLOOKUP(C402,'MES orders'!$A$8:$H$127,6,FALSE)</x:f>
        <x:v>Normal</x:v>
      </x:c>
      <x:c r="T402" s="9" t="str"/>
    </x:row>
    <x:row r="403" ht="22" customHeight="1">
      <x:c r="A403" s="2" t="str">
        <x:v>L00482-030</x:v>
      </x:c>
      <x:c r="B403" s="2" t="str">
        <x:v>L00482</x:v>
      </x:c>
      <x:c r="C403" s="2" t="str">
        <x:v>SO-26097</x:v>
      </x:c>
      <x:c r="D403" s="2" t="str">
        <x:v>R-C-AL</x:v>
      </x:c>
      <x:c r="E403" s="14" t="n">
        <x:v>20</x:v>
      </x:c>
      <x:c r="F403" s="2" t="str">
        <x:v>Wash &amp; dry</x:v>
      </x:c>
      <x:c r="G403" s="9" t="str">
        <x:v>WS-01</x:v>
      </x:c>
      <x:c r="H403" s="15" t="n">
        <x:v>39</x:v>
      </x:c>
      <x:c r="I403" s="9" t="str">
        <x:v>P01</x:v>
      </x:c>
      <x:c r="J403" s="11" t="n">
        <x:v>46301.4375</x:v>
      </x:c>
      <x:c r="K403" s="15" t="n">
        <x:v>12</x:v>
      </x:c>
      <x:c r="L403" s="15" t="n">
        <x:v>6</x:v>
      </x:c>
      <x:c r="M403" s="13" t="n">
        <x:f>J403+(K403+L403)/1440</x:f>
        <x:v>46301.45</x:v>
      </x:c>
      <x:c r="N403" s="13" t="n">
        <x:f>VLOOKUP(C403,'MES orders'!$A$8:$H$127,5,FALSE)</x:f>
        <x:v>46302.666666666664</x:v>
      </x:c>
      <x:c r="O403" s="16" t="n">
        <x:f>MAX(0,(M403-N403)*24)</x:f>
        <x:v>0</x:v>
      </x:c>
      <x:c r="P403" s="9" t="str">
        <x:v>No</x:v>
      </x:c>
      <x:c r="Q403" s="15" t="n">
        <x:v>18</x:v>
      </x:c>
      <x:c r="R403" s="13" t="n">
        <x:f>J403+Q403/1440</x:f>
        <x:v>46301.45</x:v>
      </x:c>
      <x:c r="S403" s="2" t="str">
        <x:f>VLOOKUP(C403,'MES orders'!$A$8:$H$127,6,FALSE)</x:f>
        <x:v>Normal</x:v>
      </x:c>
      <x:c r="T403" s="9" t="str"/>
    </x:row>
    <x:row r="404" ht="22" customHeight="1">
      <x:c r="A404" s="2" t="str">
        <x:v>L00485-020</x:v>
      </x:c>
      <x:c r="B404" s="2" t="str">
        <x:v>L00485</x:v>
      </x:c>
      <x:c r="C404" s="2" t="str">
        <x:v>SO-26097</x:v>
      </x:c>
      <x:c r="D404" s="2" t="str">
        <x:v>R-C-AL</x:v>
      </x:c>
      <x:c r="E404" s="14" t="n">
        <x:v>20</x:v>
      </x:c>
      <x:c r="F404" s="2" t="str">
        <x:v>Deburr &amp; inspect</x:v>
      </x:c>
      <x:c r="G404" s="9" t="str">
        <x:v>DB-02</x:v>
      </x:c>
      <x:c r="H404" s="15" t="n">
        <x:v>30</x:v>
      </x:c>
      <x:c r="I404" s="9" t="str">
        <x:v>P07</x:v>
      </x:c>
      <x:c r="J404" s="11" t="n">
        <x:v>46301.447916666664</x:v>
      </x:c>
      <x:c r="K404" s="15" t="n">
        <x:v>4</x:v>
      </x:c>
      <x:c r="L404" s="15" t="n">
        <x:v>11</x:v>
      </x:c>
      <x:c r="M404" s="13" t="n">
        <x:f>J404+(K404+L404)/1440</x:f>
        <x:v>46301.45833333333</x:v>
      </x:c>
      <x:c r="N404" s="13" t="n">
        <x:f>VLOOKUP(C404,'MES orders'!$A$8:$H$127,5,FALSE)</x:f>
        <x:v>46302.666666666664</x:v>
      </x:c>
      <x:c r="O404" s="16" t="n">
        <x:f>MAX(0,(M404-N404)*24)</x:f>
        <x:v>0</x:v>
      </x:c>
      <x:c r="P404" s="9" t="str">
        <x:v>No</x:v>
      </x:c>
      <x:c r="Q404" s="15" t="n">
        <x:v>15</x:v>
      </x:c>
      <x:c r="R404" s="13" t="n">
        <x:f>J404+Q404/1440</x:f>
        <x:v>46301.45833333333</x:v>
      </x:c>
      <x:c r="S404" s="2" t="str">
        <x:f>VLOOKUP(C404,'MES orders'!$A$8:$H$127,6,FALSE)</x:f>
        <x:v>Normal</x:v>
      </x:c>
      <x:c r="T404" s="9" t="str"/>
    </x:row>
    <x:row r="405" ht="22" customHeight="1">
      <x:c r="A405" s="2" t="str">
        <x:v>L00483-030</x:v>
      </x:c>
      <x:c r="B405" s="2" t="str">
        <x:v>L00483</x:v>
      </x:c>
      <x:c r="C405" s="2" t="str">
        <x:v>SO-26097</x:v>
      </x:c>
      <x:c r="D405" s="2" t="str">
        <x:v>R-C-AL</x:v>
      </x:c>
      <x:c r="E405" s="14" t="n">
        <x:v>20</x:v>
      </x:c>
      <x:c r="F405" s="2" t="str">
        <x:v>Wash &amp; dry</x:v>
      </x:c>
      <x:c r="G405" s="9" t="str">
        <x:v>WS-02</x:v>
      </x:c>
      <x:c r="H405" s="15" t="n">
        <x:v>28</x:v>
      </x:c>
      <x:c r="I405" s="9" t="str">
        <x:v>P02</x:v>
      </x:c>
      <x:c r="J405" s="11" t="n">
        <x:v>46301.447916666664</x:v>
      </x:c>
      <x:c r="K405" s="15" t="n">
        <x:v>12</x:v>
      </x:c>
      <x:c r="L405" s="15" t="n">
        <x:v>6</x:v>
      </x:c>
      <x:c r="M405" s="13" t="n">
        <x:f>J405+(K405+L405)/1440</x:f>
        <x:v>46301.46041666666</x:v>
      </x:c>
      <x:c r="N405" s="13" t="n">
        <x:f>VLOOKUP(C405,'MES orders'!$A$8:$H$127,5,FALSE)</x:f>
        <x:v>46302.666666666664</x:v>
      </x:c>
      <x:c r="O405" s="16" t="n">
        <x:f>MAX(0,(M405-N405)*24)</x:f>
        <x:v>0</x:v>
      </x:c>
      <x:c r="P405" s="9" t="str">
        <x:v>No</x:v>
      </x:c>
      <x:c r="Q405" s="15" t="n">
        <x:v>18</x:v>
      </x:c>
      <x:c r="R405" s="13" t="n">
        <x:f>J405+Q405/1440</x:f>
        <x:v>46301.46041666666</x:v>
      </x:c>
      <x:c r="S405" s="2" t="str">
        <x:f>VLOOKUP(C405,'MES orders'!$A$8:$H$127,6,FALSE)</x:f>
        <x:v>Normal</x:v>
      </x:c>
      <x:c r="T405" s="9" t="str"/>
    </x:row>
    <x:row r="406" ht="22" customHeight="1">
      <x:c r="A406" s="2" t="str">
        <x:v>L00484-030</x:v>
      </x:c>
      <x:c r="B406" s="2" t="str">
        <x:v>L00484</x:v>
      </x:c>
      <x:c r="C406" s="2" t="str">
        <x:v>SO-26097</x:v>
      </x:c>
      <x:c r="D406" s="2" t="str">
        <x:v>R-C-AL</x:v>
      </x:c>
      <x:c r="E406" s="14" t="n">
        <x:v>20</x:v>
      </x:c>
      <x:c r="F406" s="2" t="str">
        <x:v>Wash &amp; dry</x:v>
      </x:c>
      <x:c r="G406" s="9" t="str">
        <x:v>WS-01</x:v>
      </x:c>
      <x:c r="H406" s="15" t="n">
        <x:v>40</x:v>
      </x:c>
      <x:c r="I406" s="9" t="str">
        <x:v>P03</x:v>
      </x:c>
      <x:c r="J406" s="11" t="n">
        <x:v>46301.45</x:v>
      </x:c>
      <x:c r="K406" s="15" t="n">
        <x:v>12</x:v>
      </x:c>
      <x:c r="L406" s="15" t="n">
        <x:v>6</x:v>
      </x:c>
      <x:c r="M406" s="13" t="n">
        <x:f>J406+(K406+L406)/1440</x:f>
        <x:v>46301.462499999994</x:v>
      </x:c>
      <x:c r="N406" s="13" t="n">
        <x:f>VLOOKUP(C406,'MES orders'!$A$8:$H$127,5,FALSE)</x:f>
        <x:v>46302.666666666664</x:v>
      </x:c>
      <x:c r="O406" s="16" t="n">
        <x:f>MAX(0,(M406-N406)*24)</x:f>
        <x:v>0</x:v>
      </x:c>
      <x:c r="P406" s="9" t="str">
        <x:v>No</x:v>
      </x:c>
      <x:c r="Q406" s="15" t="n">
        <x:v>18</x:v>
      </x:c>
      <x:c r="R406" s="13" t="n">
        <x:f>J406+Q406/1440</x:f>
        <x:v>46301.462499999994</x:v>
      </x:c>
      <x:c r="S406" s="2" t="str">
        <x:f>VLOOKUP(C406,'MES orders'!$A$8:$H$127,6,FALSE)</x:f>
        <x:v>Normal</x:v>
      </x:c>
      <x:c r="T406" s="9" t="str"/>
    </x:row>
    <x:row r="407" ht="22" customHeight="1">
      <x:c r="A407" s="2" t="str">
        <x:v>L00445-020</x:v>
      </x:c>
      <x:c r="B407" s="2" t="str">
        <x:v>L00445</x:v>
      </x:c>
      <x:c r="C407" s="2" t="str">
        <x:v>SO-26089</x:v>
      </x:c>
      <x:c r="D407" s="2" t="str">
        <x:v>D-L-AL</x:v>
      </x:c>
      <x:c r="E407" s="14" t="n">
        <x:v>15</x:v>
      </x:c>
      <x:c r="F407" s="2" t="str">
        <x:v>Deburr &amp; inspect</x:v>
      </x:c>
      <x:c r="G407" s="9" t="str">
        <x:v>DB-01</x:v>
      </x:c>
      <x:c r="H407" s="15" t="n">
        <x:v>42</x:v>
      </x:c>
      <x:c r="I407" s="9" t="str">
        <x:v>P05</x:v>
      </x:c>
      <x:c r="J407" s="11" t="n">
        <x:v>46301.45625</x:v>
      </x:c>
      <x:c r="K407" s="15" t="n">
        <x:v>4</x:v>
      </x:c>
      <x:c r="L407" s="15" t="n">
        <x:v>14</x:v>
      </x:c>
      <x:c r="M407" s="13" t="n">
        <x:f>J407+(K407+L407)/1440</x:f>
        <x:v>46301.46875</x:v>
      </x:c>
      <x:c r="N407" s="13" t="n">
        <x:f>VLOOKUP(C407,'MES orders'!$A$8:$H$127,5,FALSE)</x:f>
        <x:v>46302.666666666664</x:v>
      </x:c>
      <x:c r="O407" s="16" t="n">
        <x:f>MAX(0,(M407-N407)*24)</x:f>
        <x:v>0</x:v>
      </x:c>
      <x:c r="P407" s="9" t="str">
        <x:v>No</x:v>
      </x:c>
      <x:c r="Q407" s="15" t="n">
        <x:v>18</x:v>
      </x:c>
      <x:c r="R407" s="13" t="n">
        <x:f>J407+Q407/1440</x:f>
        <x:v>46301.46875</x:v>
      </x:c>
      <x:c r="S407" s="2" t="str">
        <x:f>VLOOKUP(C407,'MES orders'!$A$8:$H$127,6,FALSE)</x:f>
        <x:v>Normal</x:v>
      </x:c>
      <x:c r="T407" s="9" t="str"/>
    </x:row>
    <x:row r="408" ht="22" customHeight="1">
      <x:c r="A408" s="2" t="str">
        <x:v>L00324-080</x:v>
      </x:c>
      <x:c r="B408" s="2" t="str">
        <x:v>L00324</x:v>
      </x:c>
      <x:c r="C408" s="2" t="str">
        <x:v>SO-26065</x:v>
      </x:c>
      <x:c r="D408" s="2" t="str">
        <x:v>S-L-AL</x:v>
      </x:c>
      <x:c r="E408" s="14" t="n">
        <x:v>20</x:v>
      </x:c>
      <x:c r="F408" s="2" t="str">
        <x:v>Final leak / function test</x:v>
      </x:c>
      <x:c r="G408" s="9" t="str">
        <x:v>QA-02</x:v>
      </x:c>
      <x:c r="H408" s="15" t="n">
        <x:v>25</x:v>
      </x:c>
      <x:c r="I408" s="9" t="str">
        <x:v>P11</x:v>
      </x:c>
      <x:c r="J408" s="11" t="n">
        <x:v>46301.45625</x:v>
      </x:c>
      <x:c r="K408" s="15" t="n">
        <x:v>10</x:v>
      </x:c>
      <x:c r="L408" s="15" t="n">
        <x:v>24</x:v>
      </x:c>
      <x:c r="M408" s="13" t="n">
        <x:f>J408+(K408+L408)/1440</x:f>
        <x:v>46301.47986111111</x:v>
      </x:c>
      <x:c r="N408" s="13" t="n">
        <x:f>VLOOKUP(C408,'MES orders'!$A$8:$H$127,5,FALSE)</x:f>
        <x:v>46302.666666666664</x:v>
      </x:c>
      <x:c r="O408" s="16" t="n">
        <x:f>MAX(0,(M408-N408)*24)</x:f>
        <x:v>0</x:v>
      </x:c>
      <x:c r="P408" s="9" t="str">
        <x:v>No</x:v>
      </x:c>
      <x:c r="Q408" s="15" t="n">
        <x:v>34</x:v>
      </x:c>
      <x:c r="R408" s="13" t="n">
        <x:f>J408+Q408/1440</x:f>
        <x:v>46301.47986111111</x:v>
      </x:c>
      <x:c r="S408" s="2" t="str">
        <x:f>VLOOKUP(C408,'MES orders'!$A$8:$H$127,6,FALSE)</x:f>
        <x:v>Normal</x:v>
      </x:c>
      <x:c r="T408" s="9" t="str"/>
    </x:row>
    <x:row r="409" ht="22" customHeight="1">
      <x:c r="A409" s="2" t="str">
        <x:v>L00483-040</x:v>
      </x:c>
      <x:c r="B409" s="2" t="str">
        <x:v>L00483</x:v>
      </x:c>
      <x:c r="C409" s="2" t="str">
        <x:v>SO-26097</x:v>
      </x:c>
      <x:c r="D409" s="2" t="str">
        <x:v>R-C-AL</x:v>
      </x:c>
      <x:c r="E409" s="14" t="n">
        <x:v>20</x:v>
      </x:c>
      <x:c r="F409" s="2" t="str">
        <x:v>Mechanical assembly</x:v>
      </x:c>
      <x:c r="G409" s="9" t="str">
        <x:v>AS-04</x:v>
      </x:c>
      <x:c r="H409" s="15" t="n">
        <x:v>10</x:v>
      </x:c>
      <x:c r="I409" s="9" t="str">
        <x:v>P01</x:v>
      </x:c>
      <x:c r="J409" s="11" t="n">
        <x:v>46301.46041666667</x:v>
      </x:c>
      <x:c r="K409" s="15" t="n">
        <x:v>8</x:v>
      </x:c>
      <x:c r="L409" s="15" t="n">
        <x:v>29</x:v>
      </x:c>
      <x:c r="M409" s="13" t="n">
        <x:f>J409+(K409+L409)/1440</x:f>
        <x:v>46301.48611111111</x:v>
      </x:c>
      <x:c r="N409" s="13" t="n">
        <x:f>VLOOKUP(C409,'MES orders'!$A$8:$H$127,5,FALSE)</x:f>
        <x:v>46302.666666666664</x:v>
      </x:c>
      <x:c r="O409" s="16" t="n">
        <x:f>MAX(0,(M409-N409)*24)</x:f>
        <x:v>0</x:v>
      </x:c>
      <x:c r="P409" s="9" t="str">
        <x:v>No</x:v>
      </x:c>
      <x:c r="Q409" s="15" t="n">
        <x:v>37</x:v>
      </x:c>
      <x:c r="R409" s="13" t="n">
        <x:f>J409+Q409/1440</x:f>
        <x:v>46301.48611111111</x:v>
      </x:c>
      <x:c r="S409" s="2" t="str">
        <x:f>VLOOKUP(C409,'MES orders'!$A$8:$H$127,6,FALSE)</x:f>
        <x:v>Normal</x:v>
      </x:c>
      <x:c r="T409" s="9" t="str"/>
    </x:row>
    <x:row r="410" ht="22" customHeight="1">
      <x:c r="A410" s="2" t="str">
        <x:v>L00485-030</x:v>
      </x:c>
      <x:c r="B410" s="2" t="str">
        <x:v>L00485</x:v>
      </x:c>
      <x:c r="C410" s="2" t="str">
        <x:v>SO-26097</x:v>
      </x:c>
      <x:c r="D410" s="2" t="str">
        <x:v>R-C-AL</x:v>
      </x:c>
      <x:c r="E410" s="14" t="n">
        <x:v>20</x:v>
      </x:c>
      <x:c r="F410" s="2" t="str">
        <x:v>Wash &amp; dry</x:v>
      </x:c>
      <x:c r="G410" s="9" t="str">
        <x:v>WS-02</x:v>
      </x:c>
      <x:c r="H410" s="15" t="n">
        <x:v>29</x:v>
      </x:c>
      <x:c r="I410" s="9" t="str">
        <x:v>P07</x:v>
      </x:c>
      <x:c r="J410" s="11" t="n">
        <x:v>46301.46041666667</x:v>
      </x:c>
      <x:c r="K410" s="15" t="n">
        <x:v>12</x:v>
      </x:c>
      <x:c r="L410" s="15" t="n">
        <x:v>6</x:v>
      </x:c>
      <x:c r="M410" s="13" t="n">
        <x:f>J410+(K410+L410)/1440</x:f>
        <x:v>46301.472916666666</x:v>
      </x:c>
      <x:c r="N410" s="13" t="n">
        <x:f>VLOOKUP(C410,'MES orders'!$A$8:$H$127,5,FALSE)</x:f>
        <x:v>46302.666666666664</x:v>
      </x:c>
      <x:c r="O410" s="16" t="n">
        <x:f>MAX(0,(M410-N410)*24)</x:f>
        <x:v>0</x:v>
      </x:c>
      <x:c r="P410" s="9" t="str">
        <x:v>No</x:v>
      </x:c>
      <x:c r="Q410" s="15" t="n">
        <x:v>18</x:v>
      </x:c>
      <x:c r="R410" s="13" t="n">
        <x:f>J410+Q410/1440</x:f>
        <x:v>46301.472916666666</x:v>
      </x:c>
      <x:c r="S410" s="2" t="str">
        <x:f>VLOOKUP(C410,'MES orders'!$A$8:$H$127,6,FALSE)</x:f>
        <x:v>Normal</x:v>
      </x:c>
      <x:c r="T410" s="9" t="str"/>
    </x:row>
    <x:row r="411" ht="22" customHeight="1">
      <x:c r="A411" s="2" t="str">
        <x:v>L00484-040</x:v>
      </x:c>
      <x:c r="B411" s="2" t="str">
        <x:v>L00484</x:v>
      </x:c>
      <x:c r="C411" s="2" t="str">
        <x:v>SO-26097</x:v>
      </x:c>
      <x:c r="D411" s="2" t="str">
        <x:v>R-C-AL</x:v>
      </x:c>
      <x:c r="E411" s="14" t="n">
        <x:v>20</x:v>
      </x:c>
      <x:c r="F411" s="2" t="str">
        <x:v>Mechanical assembly</x:v>
      </x:c>
      <x:c r="G411" s="9" t="str">
        <x:v>AS-05</x:v>
      </x:c>
      <x:c r="H411" s="15" t="n">
        <x:v>10</x:v>
      </x:c>
      <x:c r="I411" s="9" t="str">
        <x:v>P02</x:v>
      </x:c>
      <x:c r="J411" s="11" t="n">
        <x:v>46301.4625</x:v>
      </x:c>
      <x:c r="K411" s="15" t="n">
        <x:v>8</x:v>
      </x:c>
      <x:c r="L411" s="15" t="n">
        <x:v>29</x:v>
      </x:c>
      <x:c r="M411" s="13" t="n">
        <x:f>J411+(K411+L411)/1440</x:f>
        <x:v>46301.48819444444</x:v>
      </x:c>
      <x:c r="N411" s="13" t="n">
        <x:f>VLOOKUP(C411,'MES orders'!$A$8:$H$127,5,FALSE)</x:f>
        <x:v>46302.666666666664</x:v>
      </x:c>
      <x:c r="O411" s="16" t="n">
        <x:f>MAX(0,(M411-N411)*24)</x:f>
        <x:v>0</x:v>
      </x:c>
      <x:c r="P411" s="9" t="str">
        <x:v>No</x:v>
      </x:c>
      <x:c r="Q411" s="15" t="n">
        <x:v>37</x:v>
      </x:c>
      <x:c r="R411" s="13" t="n">
        <x:f>J411+Q411/1440</x:f>
        <x:v>46301.48819444444</x:v>
      </x:c>
      <x:c r="S411" s="2" t="str">
        <x:f>VLOOKUP(C411,'MES orders'!$A$8:$H$127,6,FALSE)</x:f>
        <x:v>Normal</x:v>
      </x:c>
      <x:c r="T411" s="9" t="str"/>
    </x:row>
    <x:row r="412" ht="22" customHeight="1">
      <x:c r="A412" s="2" t="str">
        <x:v>L00325-070</x:v>
      </x:c>
      <x:c r="B412" s="2" t="str">
        <x:v>L00325</x:v>
      </x:c>
      <x:c r="C412" s="2" t="str">
        <x:v>SO-26065</x:v>
      </x:c>
      <x:c r="D412" s="2" t="str">
        <x:v>S-L-AL</x:v>
      </x:c>
      <x:c r="E412" s="14" t="n">
        <x:v>20</x:v>
      </x:c>
      <x:c r="F412" s="2" t="str">
        <x:v>Final assembly</x:v>
      </x:c>
      <x:c r="G412" s="9" t="str">
        <x:v>AS-01</x:v>
      </x:c>
      <x:c r="H412" s="15" t="n">
        <x:v>34</x:v>
      </x:c>
      <x:c r="I412" s="9" t="str">
        <x:v>P05</x:v>
      </x:c>
      <x:c r="J412" s="11" t="n">
        <x:v>46301.46875</x:v>
      </x:c>
      <x:c r="K412" s="15" t="n">
        <x:v>5</x:v>
      </x:c>
      <x:c r="L412" s="15" t="n">
        <x:v>22</x:v>
      </x:c>
      <x:c r="M412" s="13" t="n">
        <x:f>J412+(K412+L412)/1440</x:f>
        <x:v>46301.4875</x:v>
      </x:c>
      <x:c r="N412" s="13" t="n">
        <x:f>VLOOKUP(C412,'MES orders'!$A$8:$H$127,5,FALSE)</x:f>
        <x:v>46302.666666666664</x:v>
      </x:c>
      <x:c r="O412" s="16" t="n">
        <x:f>MAX(0,(M412-N412)*24)</x:f>
        <x:v>0</x:v>
      </x:c>
      <x:c r="P412" s="9" t="str">
        <x:v>No</x:v>
      </x:c>
      <x:c r="Q412" s="15" t="n">
        <x:v>27</x:v>
      </x:c>
      <x:c r="R412" s="13" t="n">
        <x:f>J412+Q412/1440</x:f>
        <x:v>46301.4875</x:v>
      </x:c>
      <x:c r="S412" s="2" t="str">
        <x:f>VLOOKUP(C412,'MES orders'!$A$8:$H$127,6,FALSE)</x:f>
        <x:v>Normal</x:v>
      </x:c>
      <x:c r="T412" s="9" t="str"/>
    </x:row>
    <x:row r="413" ht="22" customHeight="1">
      <x:c r="A413" s="2" t="str">
        <x:v>L00485-040</x:v>
      </x:c>
      <x:c r="B413" s="2" t="str">
        <x:v>L00485</x:v>
      </x:c>
      <x:c r="C413" s="2" t="str">
        <x:v>SO-26097</x:v>
      </x:c>
      <x:c r="D413" s="2" t="str">
        <x:v>R-C-AL</x:v>
      </x:c>
      <x:c r="E413" s="14" t="n">
        <x:v>20</x:v>
      </x:c>
      <x:c r="F413" s="2" t="str">
        <x:v>Mechanical assembly</x:v>
      </x:c>
      <x:c r="G413" s="9" t="str">
        <x:v>AS-06</x:v>
      </x:c>
      <x:c r="H413" s="15" t="n">
        <x:v>3</x:v>
      </x:c>
      <x:c r="I413" s="9" t="str">
        <x:v>P03</x:v>
      </x:c>
      <x:c r="J413" s="11" t="n">
        <x:v>46301.472916666666</x:v>
      </x:c>
      <x:c r="K413" s="15" t="n">
        <x:v>8</x:v>
      </x:c>
      <x:c r="L413" s="15" t="n">
        <x:v>29</x:v>
      </x:c>
      <x:c r="M413" s="13" t="n">
        <x:f>J413+(K413+L413)/1440</x:f>
        <x:v>46301.49861111111</x:v>
      </x:c>
      <x:c r="N413" s="13" t="n">
        <x:f>VLOOKUP(C413,'MES orders'!$A$8:$H$127,5,FALSE)</x:f>
        <x:v>46302.666666666664</x:v>
      </x:c>
      <x:c r="O413" s="16" t="n">
        <x:f>MAX(0,(M413-N413)*24)</x:f>
        <x:v>0</x:v>
      </x:c>
      <x:c r="P413" s="9" t="str">
        <x:v>No</x:v>
      </x:c>
      <x:c r="Q413" s="15" t="n">
        <x:v>37</x:v>
      </x:c>
      <x:c r="R413" s="13" t="n">
        <x:f>J413+Q413/1440</x:f>
        <x:v>46301.49861111111</x:v>
      </x:c>
      <x:c r="S413" s="2" t="str">
        <x:f>VLOOKUP(C413,'MES orders'!$A$8:$H$127,6,FALSE)</x:f>
        <x:v>Normal</x:v>
      </x:c>
      <x:c r="T413" s="9" t="str"/>
    </x:row>
    <x:row r="414" ht="22" customHeight="1">
      <x:c r="A414" s="2" t="str">
        <x:v>L00441-040</x:v>
      </x:c>
      <x:c r="B414" s="2" t="str">
        <x:v>L00441</x:v>
      </x:c>
      <x:c r="C414" s="2" t="str">
        <x:v>SO-26089</x:v>
      </x:c>
      <x:c r="D414" s="2" t="str">
        <x:v>D-L-AL</x:v>
      </x:c>
      <x:c r="E414" s="14" t="n">
        <x:v>15</x:v>
      </x:c>
      <x:c r="F414" s="2" t="str">
        <x:v>Mechanical assembly</x:v>
      </x:c>
      <x:c r="G414" s="9" t="str">
        <x:v>AS-02</x:v>
      </x:c>
      <x:c r="H414" s="15" t="n">
        <x:v>28</x:v>
      </x:c>
      <x:c r="I414" s="9" t="str">
        <x:v>P06</x:v>
      </x:c>
      <x:c r="J414" s="11" t="n">
        <x:v>46301.47430555556</x:v>
      </x:c>
      <x:c r="K414" s="15" t="n">
        <x:v>8</x:v>
      </x:c>
      <x:c r="L414" s="15" t="n">
        <x:v>36</x:v>
      </x:c>
      <x:c r="M414" s="13" t="n">
        <x:f>J414+(K414+L414)/1440</x:f>
        <x:v>46301.50486111111</x:v>
      </x:c>
      <x:c r="N414" s="13" t="n">
        <x:f>VLOOKUP(C414,'MES orders'!$A$8:$H$127,5,FALSE)</x:f>
        <x:v>46302.666666666664</x:v>
      </x:c>
      <x:c r="O414" s="16" t="n">
        <x:f>MAX(0,(M414-N414)*24)</x:f>
        <x:v>0</x:v>
      </x:c>
      <x:c r="P414" s="9" t="str">
        <x:v>No</x:v>
      </x:c>
      <x:c r="Q414" s="15" t="n">
        <x:v>44</x:v>
      </x:c>
      <x:c r="R414" s="13" t="n">
        <x:f>J414+Q414/1440</x:f>
        <x:v>46301.50486111111</x:v>
      </x:c>
      <x:c r="S414" s="2" t="str">
        <x:f>VLOOKUP(C414,'MES orders'!$A$8:$H$127,6,FALSE)</x:f>
        <x:v>Normal</x:v>
      </x:c>
      <x:c r="T414" s="9" t="str"/>
    </x:row>
    <x:row r="415" ht="22" customHeight="1">
      <x:c r="A415" s="2" t="str">
        <x:v>L00403-050</x:v>
      </x:c>
      <x:c r="B415" s="2" t="str">
        <x:v>L00403</x:v>
      </x:c>
      <x:c r="C415" s="2" t="str">
        <x:v>SO-26081</x:v>
      </x:c>
      <x:c r="D415" s="2" t="str">
        <x:v>D-S-AL</x:v>
      </x:c>
      <x:c r="E415" s="14" t="n">
        <x:v>25</x:v>
      </x:c>
      <x:c r="F415" s="2" t="str">
        <x:v>Final leak / function test</x:v>
      </x:c>
      <x:c r="G415" s="9" t="str">
        <x:v>QA-01</x:v>
      </x:c>
      <x:c r="H415" s="15" t="n">
        <x:v>18</x:v>
      </x:c>
      <x:c r="I415" s="9" t="str">
        <x:v>P12</x:v>
      </x:c>
      <x:c r="J415" s="11" t="n">
        <x:v>46301.47430555556</x:v>
      </x:c>
      <x:c r="K415" s="15" t="n">
        <x:v>10</x:v>
      </x:c>
      <x:c r="L415" s="15" t="n">
        <x:v>22</x:v>
      </x:c>
      <x:c r="M415" s="13" t="n">
        <x:f>J415+(K415+L415)/1440</x:f>
        <x:v>46301.49652777778</x:v>
      </x:c>
      <x:c r="N415" s="13" t="n">
        <x:f>VLOOKUP(C415,'MES orders'!$A$8:$H$127,5,FALSE)</x:f>
        <x:v>46302.666666666664</x:v>
      </x:c>
      <x:c r="O415" s="16" t="n">
        <x:f>MAX(0,(M415-N415)*24)</x:f>
        <x:v>0</x:v>
      </x:c>
      <x:c r="P415" s="9" t="str">
        <x:v>No</x:v>
      </x:c>
      <x:c r="Q415" s="15" t="n">
        <x:v>32</x:v>
      </x:c>
      <x:c r="R415" s="13" t="n">
        <x:f>J415+Q415/1440</x:f>
        <x:v>46301.49652777778</x:v>
      </x:c>
      <x:c r="S415" s="2" t="str">
        <x:f>VLOOKUP(C415,'MES orders'!$A$8:$H$127,6,FALSE)</x:f>
        <x:v>Normal</x:v>
      </x:c>
      <x:c r="T415" s="9" t="str"/>
    </x:row>
    <x:row r="416" ht="22" customHeight="1">
      <x:c r="A416" s="2" t="str">
        <x:v>L00405-030</x:v>
      </x:c>
      <x:c r="B416" s="2" t="str">
        <x:v>L00405</x:v>
      </x:c>
      <x:c r="C416" s="2" t="str">
        <x:v>SO-26081</x:v>
      </x:c>
      <x:c r="D416" s="2" t="str">
        <x:v>D-S-AL</x:v>
      </x:c>
      <x:c r="E416" s="14" t="n">
        <x:v>25</x:v>
      </x:c>
      <x:c r="F416" s="2" t="str">
        <x:v>Wash &amp; dry</x:v>
      </x:c>
      <x:c r="G416" s="9" t="str">
        <x:v>WS-01</x:v>
      </x:c>
      <x:c r="H416" s="15" t="n">
        <x:v>41</x:v>
      </x:c>
      <x:c r="I416" s="9" t="str">
        <x:v>P04</x:v>
      </x:c>
      <x:c r="J416" s="11" t="n">
        <x:v>46301.47430555556</x:v>
      </x:c>
      <x:c r="K416" s="15" t="n">
        <x:v>12</x:v>
      </x:c>
      <x:c r="L416" s="15" t="n">
        <x:v>9</x:v>
      </x:c>
      <x:c r="M416" s="13" t="n">
        <x:f>J416+(K416+L416)/1440</x:f>
        <x:v>46301.48888888889</x:v>
      </x:c>
      <x:c r="N416" s="13" t="n">
        <x:f>VLOOKUP(C416,'MES orders'!$A$8:$H$127,5,FALSE)</x:f>
        <x:v>46302.666666666664</x:v>
      </x:c>
      <x:c r="O416" s="16" t="n">
        <x:f>MAX(0,(M416-N416)*24)</x:f>
        <x:v>0</x:v>
      </x:c>
      <x:c r="P416" s="9" t="str">
        <x:v>No</x:v>
      </x:c>
      <x:c r="Q416" s="15" t="n">
        <x:v>21</x:v>
      </x:c>
      <x:c r="R416" s="13" t="n">
        <x:f>J416+Q416/1440</x:f>
        <x:v>46301.48888888889</x:v>
      </x:c>
      <x:c r="S416" s="2" t="str">
        <x:f>VLOOKUP(C416,'MES orders'!$A$8:$H$127,6,FALSE)</x:f>
        <x:v>Normal</x:v>
      </x:c>
      <x:c r="T416" s="9" t="str"/>
    </x:row>
    <x:row r="417" ht="22" customHeight="1">
      <x:c r="A417" s="2" t="str">
        <x:v>L00483-050</x:v>
      </x:c>
      <x:c r="B417" s="2" t="str">
        <x:v>L00483</x:v>
      </x:c>
      <x:c r="C417" s="2" t="str">
        <x:v>SO-26097</x:v>
      </x:c>
      <x:c r="D417" s="2" t="str">
        <x:v>R-C-AL</x:v>
      </x:c>
      <x:c r="E417" s="14" t="n">
        <x:v>20</x:v>
      </x:c>
      <x:c r="F417" s="2" t="str">
        <x:v>Valve adjustment</x:v>
      </x:c>
      <x:c r="G417" s="9" t="str">
        <x:v>AS-04</x:v>
      </x:c>
      <x:c r="H417" s="15" t="n">
        <x:v>11</x:v>
      </x:c>
      <x:c r="I417" s="9" t="str">
        <x:v>P08</x:v>
      </x:c>
      <x:c r="J417" s="11" t="n">
        <x:v>46301.48611111111</x:v>
      </x:c>
      <x:c r="K417" s="15" t="n">
        <x:v>6</x:v>
      </x:c>
      <x:c r="L417" s="15" t="n">
        <x:v>18</x:v>
      </x:c>
      <x:c r="M417" s="13" t="n">
        <x:f>J417+(K417+L417)/1440</x:f>
        <x:v>46301.50277777778</x:v>
      </x:c>
      <x:c r="N417" s="13" t="n">
        <x:f>VLOOKUP(C417,'MES orders'!$A$8:$H$127,5,FALSE)</x:f>
        <x:v>46302.666666666664</x:v>
      </x:c>
      <x:c r="O417" s="16" t="n">
        <x:f>MAX(0,(M417-N417)*24)</x:f>
        <x:v>0</x:v>
      </x:c>
      <x:c r="P417" s="9" t="str">
        <x:v>No</x:v>
      </x:c>
      <x:c r="Q417" s="15" t="n">
        <x:v>24</x:v>
      </x:c>
      <x:c r="R417" s="13" t="n">
        <x:f>J417+Q417/1440</x:f>
        <x:v>46301.50277777778</x:v>
      </x:c>
      <x:c r="S417" s="2" t="str">
        <x:f>VLOOKUP(C417,'MES orders'!$A$8:$H$127,6,FALSE)</x:f>
        <x:v>Normal</x:v>
      </x:c>
      <x:c r="T417" s="9" t="str"/>
    </x:row>
    <x:row r="418" ht="22" customHeight="1">
      <x:c r="A418" s="2" t="str">
        <x:v>L00521-010</x:v>
      </x:c>
      <x:c r="B418" s="2" t="str">
        <x:v>L00521</x:v>
      </x:c>
      <x:c r="C418" s="2" t="str">
        <x:v>SO-26105</x:v>
      </x:c>
      <x:c r="D418" s="2" t="str">
        <x:v>R-S-AL</x:v>
      </x:c>
      <x:c r="E418" s="14" t="n">
        <x:v>25</x:v>
      </x:c>
      <x:c r="F418" s="2" t="str">
        <x:v>CNC machining</x:v>
      </x:c>
      <x:c r="G418" s="9" t="str">
        <x:v>CNC-01</x:v>
      </x:c>
      <x:c r="H418" s="15" t="n">
        <x:v>19</x:v>
      </x:c>
      <x:c r="I418" s="9" t="str">
        <x:v>P01</x:v>
      </x:c>
      <x:c r="J418" s="11" t="n">
        <x:v>46301.48611111111</x:v>
      </x:c>
      <x:c r="K418" s="15" t="n">
        <x:v>18</x:v>
      </x:c>
      <x:c r="L418" s="15" t="n">
        <x:v>60</x:v>
      </x:c>
      <x:c r="M418" s="13" t="n">
        <x:f>J418+(K418+L418)/1440</x:f>
        <x:v>46301.54027777778</x:v>
      </x:c>
      <x:c r="N418" s="13" t="n">
        <x:f>VLOOKUP(C418,'MES orders'!$A$8:$H$127,5,FALSE)</x:f>
        <x:v>46302.666666666664</x:v>
      </x:c>
      <x:c r="O418" s="16" t="n">
        <x:f>MAX(0,(M418-N418)*24)</x:f>
        <x:v>0</x:v>
      </x:c>
      <x:c r="P418" s="9" t="str">
        <x:v>No</x:v>
      </x:c>
      <x:c r="Q418" s="15" t="n">
        <x:v>18</x:v>
      </x:c>
      <x:c r="R418" s="13" t="n">
        <x:f>J418+Q418/1440</x:f>
        <x:v>46301.49861111111</x:v>
      </x:c>
      <x:c r="S418" s="2" t="str">
        <x:f>VLOOKUP(C418,'MES orders'!$A$8:$H$127,6,FALSE)</x:f>
        <x:v>Normal</x:v>
      </x:c>
      <x:c r="T418" s="9" t="str"/>
    </x:row>
    <x:row r="419" ht="22" customHeight="1">
      <x:c r="A419" s="2" t="str">
        <x:v>L00444-040</x:v>
      </x:c>
      <x:c r="B419" s="2" t="str">
        <x:v>L00444</x:v>
      </x:c>
      <x:c r="C419" s="2" t="str">
        <x:v>SO-26089</x:v>
      </x:c>
      <x:c r="D419" s="2" t="str">
        <x:v>D-L-AL</x:v>
      </x:c>
      <x:c r="E419" s="14" t="n">
        <x:v>15</x:v>
      </x:c>
      <x:c r="F419" s="2" t="str">
        <x:v>Mechanical assembly</x:v>
      </x:c>
      <x:c r="G419" s="9" t="str">
        <x:v>AS-03</x:v>
      </x:c>
      <x:c r="H419" s="15" t="n">
        <x:v>20</x:v>
      </x:c>
      <x:c r="I419" s="9" t="str">
        <x:v>P05</x:v>
      </x:c>
      <x:c r="J419" s="11" t="n">
        <x:v>46301.4875</x:v>
      </x:c>
      <x:c r="K419" s="15" t="n">
        <x:v>8</x:v>
      </x:c>
      <x:c r="L419" s="15" t="n">
        <x:v>36</x:v>
      </x:c>
      <x:c r="M419" s="13" t="n">
        <x:f>J419+(K419+L419)/1440</x:f>
        <x:v>46301.518055555556</x:v>
      </x:c>
      <x:c r="N419" s="13" t="n">
        <x:f>VLOOKUP(C419,'MES orders'!$A$8:$H$127,5,FALSE)</x:f>
        <x:v>46302.666666666664</x:v>
      </x:c>
      <x:c r="O419" s="16" t="n">
        <x:f>MAX(0,(M419-N419)*24)</x:f>
        <x:v>0</x:v>
      </x:c>
      <x:c r="P419" s="9" t="str">
        <x:v>No</x:v>
      </x:c>
      <x:c r="Q419" s="15" t="n">
        <x:v>44</x:v>
      </x:c>
      <x:c r="R419" s="13" t="n">
        <x:f>J419+Q419/1440</x:f>
        <x:v>46301.518055555556</x:v>
      </x:c>
      <x:c r="S419" s="2" t="str">
        <x:f>VLOOKUP(C419,'MES orders'!$A$8:$H$127,6,FALSE)</x:f>
        <x:v>Normal</x:v>
      </x:c>
      <x:c r="T419" s="9" t="str"/>
    </x:row>
    <x:row r="420" ht="22" customHeight="1">
      <x:c r="A420" s="2" t="str">
        <x:v>L00325-080</x:v>
      </x:c>
      <x:c r="B420" s="2" t="str">
        <x:v>L00325</x:v>
      </x:c>
      <x:c r="C420" s="2" t="str">
        <x:v>SO-26065</x:v>
      </x:c>
      <x:c r="D420" s="2" t="str">
        <x:v>S-L-AL</x:v>
      </x:c>
      <x:c r="E420" s="14" t="n">
        <x:v>20</x:v>
      </x:c>
      <x:c r="F420" s="2" t="str">
        <x:v>Final leak / function test</x:v>
      </x:c>
      <x:c r="G420" s="9" t="str">
        <x:v>QA-02</x:v>
      </x:c>
      <x:c r="H420" s="15" t="n">
        <x:v>26</x:v>
      </x:c>
      <x:c r="I420" s="9" t="str">
        <x:v>P11</x:v>
      </x:c>
      <x:c r="J420" s="11" t="n">
        <x:v>46301.4875</x:v>
      </x:c>
      <x:c r="K420" s="15" t="n">
        <x:v>10</x:v>
      </x:c>
      <x:c r="L420" s="15" t="n">
        <x:v>24</x:v>
      </x:c>
      <x:c r="M420" s="13" t="n">
        <x:f>J420+(K420+L420)/1440</x:f>
        <x:v>46301.51111111111</x:v>
      </x:c>
      <x:c r="N420" s="13" t="n">
        <x:f>VLOOKUP(C420,'MES orders'!$A$8:$H$127,5,FALSE)</x:f>
        <x:v>46302.666666666664</x:v>
      </x:c>
      <x:c r="O420" s="16" t="n">
        <x:f>MAX(0,(M420-N420)*24)</x:f>
        <x:v>0</x:v>
      </x:c>
      <x:c r="P420" s="9" t="str">
        <x:v>No</x:v>
      </x:c>
      <x:c r="Q420" s="15" t="n">
        <x:v>34</x:v>
      </x:c>
      <x:c r="R420" s="13" t="n">
        <x:f>J420+Q420/1440</x:f>
        <x:v>46301.51111111111</x:v>
      </x:c>
      <x:c r="S420" s="2" t="str">
        <x:f>VLOOKUP(C420,'MES orders'!$A$8:$H$127,6,FALSE)</x:f>
        <x:v>Normal</x:v>
      </x:c>
      <x:c r="T420" s="9" t="str"/>
    </x:row>
    <x:row r="421" ht="22" customHeight="1">
      <x:c r="A421" s="2" t="str">
        <x:v>L00522-010</x:v>
      </x:c>
      <x:c r="B421" s="2" t="str">
        <x:v>L00522</x:v>
      </x:c>
      <x:c r="C421" s="2" t="str">
        <x:v>SO-26105</x:v>
      </x:c>
      <x:c r="D421" s="2" t="str">
        <x:v>R-S-AL</x:v>
      </x:c>
      <x:c r="E421" s="14" t="n">
        <x:v>25</x:v>
      </x:c>
      <x:c r="F421" s="2" t="str">
        <x:v>CNC machining</x:v>
      </x:c>
      <x:c r="G421" s="9" t="str">
        <x:v>CNC-02</x:v>
      </x:c>
      <x:c r="H421" s="15" t="n">
        <x:v>14</x:v>
      </x:c>
      <x:c r="I421" s="9" t="str">
        <x:v>P02</x:v>
      </x:c>
      <x:c r="J421" s="11" t="n">
        <x:v>46301.48819444444</x:v>
      </x:c>
      <x:c r="K421" s="15" t="n">
        <x:v>18</x:v>
      </x:c>
      <x:c r="L421" s="15" t="n">
        <x:v>60</x:v>
      </x:c>
      <x:c r="M421" s="13" t="n">
        <x:f>J421+(K421+L421)/1440</x:f>
        <x:v>46301.54236111111</x:v>
      </x:c>
      <x:c r="N421" s="13" t="n">
        <x:f>VLOOKUP(C421,'MES orders'!$A$8:$H$127,5,FALSE)</x:f>
        <x:v>46302.666666666664</x:v>
      </x:c>
      <x:c r="O421" s="16" t="n">
        <x:f>MAX(0,(M421-N421)*24)</x:f>
        <x:v>0</x:v>
      </x:c>
      <x:c r="P421" s="9" t="str">
        <x:v>No</x:v>
      </x:c>
      <x:c r="Q421" s="15" t="n">
        <x:v>18</x:v>
      </x:c>
      <x:c r="R421" s="13" t="n">
        <x:f>J421+Q421/1440</x:f>
        <x:v>46301.50069444444</x:v>
      </x:c>
      <x:c r="S421" s="2" t="str">
        <x:f>VLOOKUP(C421,'MES orders'!$A$8:$H$127,6,FALSE)</x:f>
        <x:v>Normal</x:v>
      </x:c>
      <x:c r="T421" s="9" t="str"/>
    </x:row>
    <x:row r="422" ht="22" customHeight="1">
      <x:c r="A422" s="2" t="str">
        <x:v>L00405-040</x:v>
      </x:c>
      <x:c r="B422" s="2" t="str">
        <x:v>L00405</x:v>
      </x:c>
      <x:c r="C422" s="2" t="str">
        <x:v>SO-26081</x:v>
      </x:c>
      <x:c r="D422" s="2" t="str">
        <x:v>D-S-AL</x:v>
      </x:c>
      <x:c r="E422" s="14" t="n">
        <x:v>25</x:v>
      </x:c>
      <x:c r="F422" s="2" t="str">
        <x:v>Mechanical assembly</x:v>
      </x:c>
      <x:c r="G422" s="9" t="str">
        <x:v>AS-01</x:v>
      </x:c>
      <x:c r="H422" s="15" t="n">
        <x:v>35</x:v>
      </x:c>
      <x:c r="I422" s="9" t="str">
        <x:v>P04</x:v>
      </x:c>
      <x:c r="J422" s="11" t="n">
        <x:v>46301.48888888889</x:v>
      </x:c>
      <x:c r="K422" s="15" t="n">
        <x:v>8</x:v>
      </x:c>
      <x:c r="L422" s="15" t="n">
        <x:v>45</x:v>
      </x:c>
      <x:c r="M422" s="13" t="n">
        <x:f>J422+(K422+L422)/1440</x:f>
        <x:v>46301.52569444445</x:v>
      </x:c>
      <x:c r="N422" s="13" t="n">
        <x:f>VLOOKUP(C422,'MES orders'!$A$8:$H$127,5,FALSE)</x:f>
        <x:v>46302.666666666664</x:v>
      </x:c>
      <x:c r="O422" s="16" t="n">
        <x:f>MAX(0,(M422-N422)*24)</x:f>
        <x:v>0</x:v>
      </x:c>
      <x:c r="P422" s="9" t="str">
        <x:v>No</x:v>
      </x:c>
      <x:c r="Q422" s="15" t="n">
        <x:v>53</x:v>
      </x:c>
      <x:c r="R422" s="13" t="n">
        <x:f>J422+Q422/1440</x:f>
        <x:v>46301.52569444445</x:v>
      </x:c>
      <x:c r="S422" s="2" t="str">
        <x:f>VLOOKUP(C422,'MES orders'!$A$8:$H$127,6,FALSE)</x:f>
        <x:v>Normal</x:v>
      </x:c>
      <x:c r="T422" s="9" t="str"/>
    </x:row>
    <x:row r="423" ht="22" customHeight="1">
      <x:c r="A423" s="2" t="str">
        <x:v>L00404-050</x:v>
      </x:c>
      <x:c r="B423" s="2" t="str">
        <x:v>L00404</x:v>
      </x:c>
      <x:c r="C423" s="2" t="str">
        <x:v>SO-26081</x:v>
      </x:c>
      <x:c r="D423" s="2" t="str">
        <x:v>D-S-AL</x:v>
      </x:c>
      <x:c r="E423" s="14" t="n">
        <x:v>25</x:v>
      </x:c>
      <x:c r="F423" s="2" t="str">
        <x:v>Final leak / function test</x:v>
      </x:c>
      <x:c r="G423" s="9" t="str">
        <x:v>QA-01</x:v>
      </x:c>
      <x:c r="H423" s="15" t="n">
        <x:v>19</x:v>
      </x:c>
      <x:c r="I423" s="9" t="str">
        <x:v>P12</x:v>
      </x:c>
      <x:c r="J423" s="11" t="n">
        <x:v>46301.49652777778</x:v>
      </x:c>
      <x:c r="K423" s="15" t="n">
        <x:v>10</x:v>
      </x:c>
      <x:c r="L423" s="15" t="n">
        <x:v>22</x:v>
      </x:c>
      <x:c r="M423" s="13" t="n">
        <x:f>J423+(K423+L423)/1440</x:f>
        <x:v>46301.51875</x:v>
      </x:c>
      <x:c r="N423" s="13" t="n">
        <x:f>VLOOKUP(C423,'MES orders'!$A$8:$H$127,5,FALSE)</x:f>
        <x:v>46302.666666666664</x:v>
      </x:c>
      <x:c r="O423" s="16" t="n">
        <x:f>MAX(0,(M423-N423)*24)</x:f>
        <x:v>0</x:v>
      </x:c>
      <x:c r="P423" s="9" t="str">
        <x:v>No</x:v>
      </x:c>
      <x:c r="Q423" s="15" t="n">
        <x:v>32</x:v>
      </x:c>
      <x:c r="R423" s="13" t="n">
        <x:f>J423+Q423/1440</x:f>
        <x:v>46301.51875</x:v>
      </x:c>
      <x:c r="S423" s="2" t="str">
        <x:f>VLOOKUP(C423,'MES orders'!$A$8:$H$127,6,FALSE)</x:f>
        <x:v>Normal</x:v>
      </x:c>
      <x:c r="T423" s="9" t="str"/>
    </x:row>
    <x:row r="424" ht="22" customHeight="1">
      <x:c r="A424" s="2" t="str">
        <x:v>L00523-010</x:v>
      </x:c>
      <x:c r="B424" s="2" t="str">
        <x:v>L00523</x:v>
      </x:c>
      <x:c r="C424" s="2" t="str">
        <x:v>SO-26105</x:v>
      </x:c>
      <x:c r="D424" s="2" t="str">
        <x:v>R-S-AL</x:v>
      </x:c>
      <x:c r="E424" s="14" t="n">
        <x:v>25</x:v>
      </x:c>
      <x:c r="F424" s="2" t="str">
        <x:v>CNC machining</x:v>
      </x:c>
      <x:c r="G424" s="9" t="str">
        <x:v>CNC-03</x:v>
      </x:c>
      <x:c r="H424" s="15" t="n">
        <x:v>14</x:v>
      </x:c>
      <x:c r="I424" s="9" t="str">
        <x:v>P01</x:v>
      </x:c>
      <x:c r="J424" s="11" t="n">
        <x:v>46301.498611111114</x:v>
      </x:c>
      <x:c r="K424" s="15" t="n">
        <x:v>18</x:v>
      </x:c>
      <x:c r="L424" s="15" t="n">
        <x:v>60</x:v>
      </x:c>
      <x:c r="M424" s="13" t="n">
        <x:f>J424+(K424+L424)/1440</x:f>
        <x:v>46301.55277777778</x:v>
      </x:c>
      <x:c r="N424" s="13" t="n">
        <x:f>VLOOKUP(C424,'MES orders'!$A$8:$H$127,5,FALSE)</x:f>
        <x:v>46302.666666666664</x:v>
      </x:c>
      <x:c r="O424" s="16" t="n">
        <x:f>MAX(0,(M424-N424)*24)</x:f>
        <x:v>0</x:v>
      </x:c>
      <x:c r="P424" s="9" t="str">
        <x:v>No</x:v>
      </x:c>
      <x:c r="Q424" s="15" t="n">
        <x:v>18</x:v>
      </x:c>
      <x:c r="R424" s="13" t="n">
        <x:f>J424+Q424/1440</x:f>
        <x:v>46301.51111111111</x:v>
      </x:c>
      <x:c r="S424" s="2" t="str">
        <x:f>VLOOKUP(C424,'MES orders'!$A$8:$H$127,6,FALSE)</x:f>
        <x:v>Normal</x:v>
      </x:c>
      <x:c r="T424" s="9" t="str"/>
    </x:row>
    <x:row r="425" ht="22" customHeight="1">
      <x:c r="A425" s="2" t="str">
        <x:v>L00524-010</x:v>
      </x:c>
      <x:c r="B425" s="2" t="str">
        <x:v>L00524</x:v>
      </x:c>
      <x:c r="C425" s="2" t="str">
        <x:v>SO-26105</x:v>
      </x:c>
      <x:c r="D425" s="2" t="str">
        <x:v>R-S-AL</x:v>
      </x:c>
      <x:c r="E425" s="14" t="n">
        <x:v>25</x:v>
      </x:c>
      <x:c r="F425" s="2" t="str">
        <x:v>CNC machining</x:v>
      </x:c>
      <x:c r="G425" s="9" t="str">
        <x:v>CNC-04</x:v>
      </x:c>
      <x:c r="H425" s="15" t="n">
        <x:v>12</x:v>
      </x:c>
      <x:c r="I425" s="9" t="str">
        <x:v>P03</x:v>
      </x:c>
      <x:c r="J425" s="11" t="n">
        <x:v>46301.498611111114</x:v>
      </x:c>
      <x:c r="K425" s="15" t="n">
        <x:v>18</x:v>
      </x:c>
      <x:c r="L425" s="15" t="n">
        <x:v>60</x:v>
      </x:c>
      <x:c r="M425" s="13" t="n">
        <x:f>J425+(K425+L425)/1440</x:f>
        <x:v>46301.55277777778</x:v>
      </x:c>
      <x:c r="N425" s="13" t="n">
        <x:f>VLOOKUP(C425,'MES orders'!$A$8:$H$127,5,FALSE)</x:f>
        <x:v>46302.666666666664</x:v>
      </x:c>
      <x:c r="O425" s="16" t="n">
        <x:f>MAX(0,(M425-N425)*24)</x:f>
        <x:v>0</x:v>
      </x:c>
      <x:c r="P425" s="9" t="str">
        <x:v>No</x:v>
      </x:c>
      <x:c r="Q425" s="15" t="n">
        <x:v>18</x:v>
      </x:c>
      <x:c r="R425" s="13" t="n">
        <x:f>J425+Q425/1440</x:f>
        <x:v>46301.51111111111</x:v>
      </x:c>
      <x:c r="S425" s="2" t="str">
        <x:f>VLOOKUP(C425,'MES orders'!$A$8:$H$127,6,FALSE)</x:f>
        <x:v>Normal</x:v>
      </x:c>
      <x:c r="T425" s="9" t="str"/>
    </x:row>
    <x:row r="426" ht="22" customHeight="1">
      <x:c r="A426" s="2" t="str">
        <x:v>L00525-010</x:v>
      </x:c>
      <x:c r="B426" s="2" t="str">
        <x:v>L00525</x:v>
      </x:c>
      <x:c r="C426" s="2" t="str">
        <x:v>SO-26105</x:v>
      </x:c>
      <x:c r="D426" s="2" t="str">
        <x:v>R-S-AL</x:v>
      </x:c>
      <x:c r="E426" s="14" t="n">
        <x:v>25</x:v>
      </x:c>
      <x:c r="F426" s="2" t="str">
        <x:v>CNC machining</x:v>
      </x:c>
      <x:c r="G426" s="9" t="str">
        <x:v>CNC-05</x:v>
      </x:c>
      <x:c r="H426" s="15" t="n">
        <x:v>10</x:v>
      </x:c>
      <x:c r="I426" s="9" t="str">
        <x:v>P02</x:v>
      </x:c>
      <x:c r="J426" s="11" t="n">
        <x:v>46301.50069444445</x:v>
      </x:c>
      <x:c r="K426" s="15" t="n">
        <x:v>18</x:v>
      </x:c>
      <x:c r="L426" s="15" t="n">
        <x:v>60</x:v>
      </x:c>
      <x:c r="M426" s="13" t="n">
        <x:f>J426+(K426+L426)/1440</x:f>
        <x:v>46301.554861111115</x:v>
      </x:c>
      <x:c r="N426" s="13" t="n">
        <x:f>VLOOKUP(C426,'MES orders'!$A$8:$H$127,5,FALSE)</x:f>
        <x:v>46302.666666666664</x:v>
      </x:c>
      <x:c r="O426" s="16" t="n">
        <x:f>MAX(0,(M426-N426)*24)</x:f>
        <x:v>0</x:v>
      </x:c>
      <x:c r="P426" s="9" t="str">
        <x:v>No</x:v>
      </x:c>
      <x:c r="Q426" s="15" t="n">
        <x:v>18</x:v>
      </x:c>
      <x:c r="R426" s="13" t="n">
        <x:f>J426+Q426/1440</x:f>
        <x:v>46301.513194444444</x:v>
      </x:c>
      <x:c r="S426" s="2" t="str">
        <x:f>VLOOKUP(C426,'MES orders'!$A$8:$H$127,6,FALSE)</x:f>
        <x:v>Normal</x:v>
      </x:c>
      <x:c r="T426" s="9" t="str"/>
    </x:row>
    <x:row r="427" ht="22" customHeight="1">
      <x:c r="A427" s="2" t="str">
        <x:v>L00445-030</x:v>
      </x:c>
      <x:c r="B427" s="2" t="str">
        <x:v>L00445</x:v>
      </x:c>
      <x:c r="C427" s="2" t="str">
        <x:v>SO-26089</x:v>
      </x:c>
      <x:c r="D427" s="2" t="str">
        <x:v>D-L-AL</x:v>
      </x:c>
      <x:c r="E427" s="14" t="n">
        <x:v>15</x:v>
      </x:c>
      <x:c r="F427" s="2" t="str">
        <x:v>Wash &amp; dry</x:v>
      </x:c>
      <x:c r="G427" s="9" t="str">
        <x:v>WS-01</x:v>
      </x:c>
      <x:c r="H427" s="15" t="n">
        <x:v>42</x:v>
      </x:c>
      <x:c r="I427" s="9" t="str">
        <x:v>P06</x:v>
      </x:c>
      <x:c r="J427" s="11" t="n">
        <x:v>46301.50486111111</x:v>
      </x:c>
      <x:c r="K427" s="15" t="n">
        <x:v>12</x:v>
      </x:c>
      <x:c r="L427" s="15" t="n">
        <x:v>7</x:v>
      </x:c>
      <x:c r="M427" s="13" t="n">
        <x:f>J427+(K427+L427)/1440</x:f>
        <x:v>46301.518055555556</x:v>
      </x:c>
      <x:c r="N427" s="13" t="n">
        <x:f>VLOOKUP(C427,'MES orders'!$A$8:$H$127,5,FALSE)</x:f>
        <x:v>46302.666666666664</x:v>
      </x:c>
      <x:c r="O427" s="16" t="n">
        <x:f>MAX(0,(M427-N427)*24)</x:f>
        <x:v>0</x:v>
      </x:c>
      <x:c r="P427" s="9" t="str">
        <x:v>No</x:v>
      </x:c>
      <x:c r="Q427" s="15" t="n">
        <x:v>19</x:v>
      </x:c>
      <x:c r="R427" s="13" t="n">
        <x:f>J427+Q427/1440</x:f>
        <x:v>46301.518055555556</x:v>
      </x:c>
      <x:c r="S427" s="2" t="str">
        <x:f>VLOOKUP(C427,'MES orders'!$A$8:$H$127,6,FALSE)</x:f>
        <x:v>Normal</x:v>
      </x:c>
      <x:c r="T427" s="9" t="str"/>
    </x:row>
    <x:row r="428" ht="22" customHeight="1">
      <x:c r="A428" s="2" t="str">
        <x:v>L00246-010</x:v>
      </x:c>
      <x:c r="B428" s="2" t="str">
        <x:v>L00246</x:v>
      </x:c>
      <x:c r="C428" s="2" t="str">
        <x:v>SO-26050</x:v>
      </x:c>
      <x:c r="D428" s="2" t="str">
        <x:v>D-C-SS</x:v>
      </x:c>
      <x:c r="E428" s="14" t="n">
        <x:v>25</x:v>
      </x:c>
      <x:c r="F428" s="2" t="str">
        <x:v>CNC machining</x:v>
      </x:c>
      <x:c r="G428" s="9" t="str">
        <x:v>CNC-06</x:v>
      </x:c>
      <x:c r="H428" s="15" t="n">
        <x:v>9</x:v>
      </x:c>
      <x:c r="I428" s="9" t="str">
        <x:v>P01</x:v>
      </x:c>
      <x:c r="J428" s="11" t="n">
        <x:v>46301.51111111111</x:v>
      </x:c>
      <x:c r="K428" s="15" t="n">
        <x:v>18</x:v>
      </x:c>
      <x:c r="L428" s="15" t="n">
        <x:v>60</x:v>
      </x:c>
      <x:c r="M428" s="13" t="n">
        <x:f>J428+(K428+L428)/1440</x:f>
        <x:v>46301.56527777778</x:v>
      </x:c>
      <x:c r="N428" s="13" t="n">
        <x:f>VLOOKUP(C428,'MES orders'!$A$8:$H$127,5,FALSE)</x:f>
        <x:v>46303.666666666664</x:v>
      </x:c>
      <x:c r="O428" s="16" t="n">
        <x:f>MAX(0,(M428-N428)*24)</x:f>
        <x:v>0</x:v>
      </x:c>
      <x:c r="P428" s="9" t="str">
        <x:v>No</x:v>
      </x:c>
      <x:c r="Q428" s="15" t="n">
        <x:v>18</x:v>
      </x:c>
      <x:c r="R428" s="13" t="n">
        <x:f>J428+Q428/1440</x:f>
        <x:v>46301.52361111111</x:v>
      </x:c>
      <x:c r="S428" s="2" t="str">
        <x:f>VLOOKUP(C428,'MES orders'!$A$8:$H$127,6,FALSE)</x:f>
        <x:v>High</x:v>
      </x:c>
      <x:c r="T428" s="9" t="str"/>
    </x:row>
    <x:row r="429" ht="22" customHeight="1">
      <x:c r="A429" s="2" t="str">
        <x:v>L00445-040</x:v>
      </x:c>
      <x:c r="B429" s="2" t="str">
        <x:v>L00445</x:v>
      </x:c>
      <x:c r="C429" s="2" t="str">
        <x:v>SO-26089</x:v>
      </x:c>
      <x:c r="D429" s="2" t="str">
        <x:v>D-L-AL</x:v>
      </x:c>
      <x:c r="E429" s="14" t="n">
        <x:v>15</x:v>
      </x:c>
      <x:c r="F429" s="2" t="str">
        <x:v>Mechanical assembly</x:v>
      </x:c>
      <x:c r="G429" s="9" t="str">
        <x:v>AS-02</x:v>
      </x:c>
      <x:c r="H429" s="15" t="n">
        <x:v>29</x:v>
      </x:c>
      <x:c r="I429" s="9" t="str">
        <x:v>P05</x:v>
      </x:c>
      <x:c r="J429" s="11" t="n">
        <x:v>46301.518055555556</x:v>
      </x:c>
      <x:c r="K429" s="15" t="n">
        <x:v>8</x:v>
      </x:c>
      <x:c r="L429" s="15" t="n">
        <x:v>36</x:v>
      </x:c>
      <x:c r="M429" s="13" t="n">
        <x:f>J429+(K429+L429)/1440</x:f>
        <x:v>46301.54861111111</x:v>
      </x:c>
      <x:c r="N429" s="13" t="n">
        <x:f>VLOOKUP(C429,'MES orders'!$A$8:$H$127,5,FALSE)</x:f>
        <x:v>46302.666666666664</x:v>
      </x:c>
      <x:c r="O429" s="16" t="n">
        <x:f>MAX(0,(M429-N429)*24)</x:f>
        <x:v>0</x:v>
      </x:c>
      <x:c r="P429" s="9" t="str">
        <x:v>No</x:v>
      </x:c>
      <x:c r="Q429" s="15" t="n">
        <x:v>44</x:v>
      </x:c>
      <x:c r="R429" s="13" t="n">
        <x:f>J429+Q429/1440</x:f>
        <x:v>46301.54861111111</x:v>
      </x:c>
      <x:c r="S429" s="2" t="str">
        <x:f>VLOOKUP(C429,'MES orders'!$A$8:$H$127,6,FALSE)</x:f>
        <x:v>Normal</x:v>
      </x:c>
      <x:c r="T429" s="9" t="str"/>
    </x:row>
    <x:row r="430" ht="22" customHeight="1">
      <x:c r="A430" s="2" t="str">
        <x:v>L00481-030</x:v>
      </x:c>
      <x:c r="B430" s="2" t="str">
        <x:v>L00481</x:v>
      </x:c>
      <x:c r="C430" s="2" t="str">
        <x:v>SO-26097</x:v>
      </x:c>
      <x:c r="D430" s="2" t="str">
        <x:v>R-C-AL</x:v>
      </x:c>
      <x:c r="E430" s="14" t="n">
        <x:v>20</x:v>
      </x:c>
      <x:c r="F430" s="2" t="str">
        <x:v>Wash &amp; dry</x:v>
      </x:c>
      <x:c r="G430" s="9" t="str">
        <x:v>WS-01</x:v>
      </x:c>
      <x:c r="H430" s="15" t="n">
        <x:v>43</x:v>
      </x:c>
      <x:c r="I430" s="9" t="str">
        <x:v>P06</x:v>
      </x:c>
      <x:c r="J430" s="11" t="n">
        <x:v>46301.518055555556</x:v>
      </x:c>
      <x:c r="K430" s="15" t="n">
        <x:v>12</x:v>
      </x:c>
      <x:c r="L430" s="15" t="n">
        <x:v>6</x:v>
      </x:c>
      <x:c r="M430" s="13" t="n">
        <x:f>J430+(K430+L430)/1440</x:f>
        <x:v>46301.53055555555</x:v>
      </x:c>
      <x:c r="N430" s="13" t="n">
        <x:f>VLOOKUP(C430,'MES orders'!$A$8:$H$127,5,FALSE)</x:f>
        <x:v>46302.666666666664</x:v>
      </x:c>
      <x:c r="O430" s="16" t="n">
        <x:f>MAX(0,(M430-N430)*24)</x:f>
        <x:v>0</x:v>
      </x:c>
      <x:c r="P430" s="9" t="str">
        <x:v>No</x:v>
      </x:c>
      <x:c r="Q430" s="15" t="n">
        <x:v>18</x:v>
      </x:c>
      <x:c r="R430" s="13" t="n">
        <x:f>J430+Q430/1440</x:f>
        <x:v>46301.53055555555</x:v>
      </x:c>
      <x:c r="S430" s="2" t="str">
        <x:f>VLOOKUP(C430,'MES orders'!$A$8:$H$127,6,FALSE)</x:f>
        <x:v>Normal</x:v>
      </x:c>
      <x:c r="T430" s="9" t="str"/>
    </x:row>
    <x:row r="431" ht="22" customHeight="1">
      <x:c r="A431" s="2" t="str">
        <x:v>L00441-050</x:v>
      </x:c>
      <x:c r="B431" s="2" t="str">
        <x:v>L00441</x:v>
      </x:c>
      <x:c r="C431" s="2" t="str">
        <x:v>SO-26089</x:v>
      </x:c>
      <x:c r="D431" s="2" t="str">
        <x:v>D-L-AL</x:v>
      </x:c>
      <x:c r="E431" s="14" t="n">
        <x:v>15</x:v>
      </x:c>
      <x:c r="F431" s="2" t="str">
        <x:v>Final leak / function test</x:v>
      </x:c>
      <x:c r="G431" s="9" t="str">
        <x:v>QA-02</x:v>
      </x:c>
      <x:c r="H431" s="15" t="n">
        <x:v>27</x:v>
      </x:c>
      <x:c r="I431" s="9" t="str">
        <x:v>P12</x:v>
      </x:c>
      <x:c r="J431" s="11" t="n">
        <x:v>46301.51875</x:v>
      </x:c>
      <x:c r="K431" s="15" t="n">
        <x:v>10</x:v>
      </x:c>
      <x:c r="L431" s="15" t="n">
        <x:v>18</x:v>
      </x:c>
      <x:c r="M431" s="13" t="n">
        <x:f>J431+(K431+L431)/1440</x:f>
        <x:v>46301.538194444445</x:v>
      </x:c>
      <x:c r="N431" s="13" t="n">
        <x:f>VLOOKUP(C431,'MES orders'!$A$8:$H$127,5,FALSE)</x:f>
        <x:v>46302.666666666664</x:v>
      </x:c>
      <x:c r="O431" s="16" t="n">
        <x:f>MAX(0,(M431-N431)*24)</x:f>
        <x:v>0</x:v>
      </x:c>
      <x:c r="P431" s="9" t="str">
        <x:v>No</x:v>
      </x:c>
      <x:c r="Q431" s="15" t="n">
        <x:v>28</x:v>
      </x:c>
      <x:c r="R431" s="13" t="n">
        <x:f>J431+Q431/1440</x:f>
        <x:v>46301.538194444445</x:v>
      </x:c>
      <x:c r="S431" s="2" t="str">
        <x:f>VLOOKUP(C431,'MES orders'!$A$8:$H$127,6,FALSE)</x:f>
        <x:v>Normal</x:v>
      </x:c>
      <x:c r="T431" s="9" t="str"/>
    </x:row>
    <x:row r="432" ht="22" customHeight="1">
      <x:c r="A432" s="2" t="str">
        <x:v>L00405-050</x:v>
      </x:c>
      <x:c r="B432" s="2" t="str">
        <x:v>L00405</x:v>
      </x:c>
      <x:c r="C432" s="2" t="str">
        <x:v>SO-26081</x:v>
      </x:c>
      <x:c r="D432" s="2" t="str">
        <x:v>D-S-AL</x:v>
      </x:c>
      <x:c r="E432" s="14" t="n">
        <x:v>25</x:v>
      </x:c>
      <x:c r="F432" s="2" t="str">
        <x:v>Final leak / function test</x:v>
      </x:c>
      <x:c r="G432" s="9" t="str">
        <x:v>QA-01</x:v>
      </x:c>
      <x:c r="H432" s="15" t="n">
        <x:v>20</x:v>
      </x:c>
      <x:c r="I432" s="9" t="str">
        <x:v>P11</x:v>
      </x:c>
      <x:c r="J432" s="11" t="n">
        <x:v>46301.52569444444</x:v>
      </x:c>
      <x:c r="K432" s="15" t="n">
        <x:v>10</x:v>
      </x:c>
      <x:c r="L432" s="15" t="n">
        <x:v>22</x:v>
      </x:c>
      <x:c r="M432" s="13" t="n">
        <x:f>J432+(K432+L432)/1440</x:f>
        <x:v>46301.54791666666</x:v>
      </x:c>
      <x:c r="N432" s="13" t="n">
        <x:f>VLOOKUP(C432,'MES orders'!$A$8:$H$127,5,FALSE)</x:f>
        <x:v>46302.666666666664</x:v>
      </x:c>
      <x:c r="O432" s="16" t="n">
        <x:f>MAX(0,(M432-N432)*24)</x:f>
        <x:v>0</x:v>
      </x:c>
      <x:c r="P432" s="9" t="str">
        <x:v>No</x:v>
      </x:c>
      <x:c r="Q432" s="15" t="n">
        <x:v>32</x:v>
      </x:c>
      <x:c r="R432" s="13" t="n">
        <x:f>J432+Q432/1440</x:f>
        <x:v>46301.54791666666</x:v>
      </x:c>
      <x:c r="S432" s="2" t="str">
        <x:f>VLOOKUP(C432,'MES orders'!$A$8:$H$127,6,FALSE)</x:f>
        <x:v>Normal</x:v>
      </x:c>
      <x:c r="T432" s="9" t="str"/>
    </x:row>
    <x:row r="433" ht="22" customHeight="1">
      <x:c r="A433" s="2" t="str">
        <x:v>L00481-040</x:v>
      </x:c>
      <x:c r="B433" s="2" t="str">
        <x:v>L00481</x:v>
      </x:c>
      <x:c r="C433" s="2" t="str">
        <x:v>SO-26097</x:v>
      </x:c>
      <x:c r="D433" s="2" t="str">
        <x:v>R-C-AL</x:v>
      </x:c>
      <x:c r="E433" s="14" t="n">
        <x:v>20</x:v>
      </x:c>
      <x:c r="F433" s="2" t="str">
        <x:v>Mechanical assembly</x:v>
      </x:c>
      <x:c r="G433" s="9" t="str">
        <x:v>AS-01</x:v>
      </x:c>
      <x:c r="H433" s="15" t="n">
        <x:v>36</x:v>
      </x:c>
      <x:c r="I433" s="9" t="str">
        <x:v>P04</x:v>
      </x:c>
      <x:c r="J433" s="11" t="n">
        <x:v>46301.53055555555</x:v>
      </x:c>
      <x:c r="K433" s="15" t="n">
        <x:v>8</x:v>
      </x:c>
      <x:c r="L433" s="15" t="n">
        <x:v>29</x:v>
      </x:c>
      <x:c r="M433" s="13" t="n">
        <x:f>J433+(K433+L433)/1440</x:f>
        <x:v>46301.556249999994</x:v>
      </x:c>
      <x:c r="N433" s="13" t="n">
        <x:f>VLOOKUP(C433,'MES orders'!$A$8:$H$127,5,FALSE)</x:f>
        <x:v>46302.666666666664</x:v>
      </x:c>
      <x:c r="O433" s="16" t="n">
        <x:f>MAX(0,(M433-N433)*24)</x:f>
        <x:v>0</x:v>
      </x:c>
      <x:c r="P433" s="9" t="str">
        <x:v>No</x:v>
      </x:c>
      <x:c r="Q433" s="15" t="n">
        <x:v>37</x:v>
      </x:c>
      <x:c r="R433" s="13" t="n">
        <x:f>J433+Q433/1440</x:f>
        <x:v>46301.556249999994</x:v>
      </x:c>
      <x:c r="S433" s="2" t="str">
        <x:f>VLOOKUP(C433,'MES orders'!$A$8:$H$127,6,FALSE)</x:f>
        <x:v>Normal</x:v>
      </x:c>
      <x:c r="T433" s="9" t="str"/>
    </x:row>
    <x:row r="434" ht="22" customHeight="1">
      <x:c r="A434" s="2" t="str">
        <x:v>L00482-040</x:v>
      </x:c>
      <x:c r="B434" s="2" t="str">
        <x:v>L00482</x:v>
      </x:c>
      <x:c r="C434" s="2" t="str">
        <x:v>SO-26097</x:v>
      </x:c>
      <x:c r="D434" s="2" t="str">
        <x:v>R-C-AL</x:v>
      </x:c>
      <x:c r="E434" s="14" t="n">
        <x:v>20</x:v>
      </x:c>
      <x:c r="F434" s="2" t="str">
        <x:v>Mechanical assembly</x:v>
      </x:c>
      <x:c r="G434" s="9" t="str">
        <x:v>AS-03</x:v>
      </x:c>
      <x:c r="H434" s="15" t="n">
        <x:v>21</x:v>
      </x:c>
      <x:c r="I434" s="9" t="str">
        <x:v>P06</x:v>
      </x:c>
      <x:c r="J434" s="11" t="n">
        <x:v>46301.53055555555</x:v>
      </x:c>
      <x:c r="K434" s="15" t="n">
        <x:v>8</x:v>
      </x:c>
      <x:c r="L434" s="15" t="n">
        <x:v>29</x:v>
      </x:c>
      <x:c r="M434" s="13" t="n">
        <x:f>J434+(K434+L434)/1440</x:f>
        <x:v>46301.556249999994</x:v>
      </x:c>
      <x:c r="N434" s="13" t="n">
        <x:f>VLOOKUP(C434,'MES orders'!$A$8:$H$127,5,FALSE)</x:f>
        <x:v>46302.666666666664</x:v>
      </x:c>
      <x:c r="O434" s="16" t="n">
        <x:f>MAX(0,(M434-N434)*24)</x:f>
        <x:v>0</x:v>
      </x:c>
      <x:c r="P434" s="9" t="str">
        <x:v>No</x:v>
      </x:c>
      <x:c r="Q434" s="15" t="n">
        <x:v>37</x:v>
      </x:c>
      <x:c r="R434" s="13" t="n">
        <x:f>J434+Q434/1440</x:f>
        <x:v>46301.556249999994</x:v>
      </x:c>
      <x:c r="S434" s="2" t="str">
        <x:f>VLOOKUP(C434,'MES orders'!$A$8:$H$127,6,FALSE)</x:f>
        <x:v>Normal</x:v>
      </x:c>
      <x:c r="T434" s="9" t="str"/>
    </x:row>
    <x:row r="435" ht="22" customHeight="1">
      <x:c r="A435" s="2" t="str">
        <x:v>L00444-050</x:v>
      </x:c>
      <x:c r="B435" s="2" t="str">
        <x:v>L00444</x:v>
      </x:c>
      <x:c r="C435" s="2" t="str">
        <x:v>SO-26089</x:v>
      </x:c>
      <x:c r="D435" s="2" t="str">
        <x:v>D-L-AL</x:v>
      </x:c>
      <x:c r="E435" s="14" t="n">
        <x:v>15</x:v>
      </x:c>
      <x:c r="F435" s="2" t="str">
        <x:v>Final leak / function test</x:v>
      </x:c>
      <x:c r="G435" s="9" t="str">
        <x:v>QA-02</x:v>
      </x:c>
      <x:c r="H435" s="15" t="n">
        <x:v>28</x:v>
      </x:c>
      <x:c r="I435" s="9" t="str">
        <x:v>P12</x:v>
      </x:c>
      <x:c r="J435" s="11" t="n">
        <x:v>46301.538194444445</x:v>
      </x:c>
      <x:c r="K435" s="15" t="n">
        <x:v>10</x:v>
      </x:c>
      <x:c r="L435" s="15" t="n">
        <x:v>18</x:v>
      </x:c>
      <x:c r="M435" s="13" t="n">
        <x:f>J435+(K435+L435)/1440</x:f>
        <x:v>46301.55763888889</x:v>
      </x:c>
      <x:c r="N435" s="13" t="n">
        <x:f>VLOOKUP(C435,'MES orders'!$A$8:$H$127,5,FALSE)</x:f>
        <x:v>46302.666666666664</x:v>
      </x:c>
      <x:c r="O435" s="16" t="n">
        <x:f>MAX(0,(M435-N435)*24)</x:f>
        <x:v>0</x:v>
      </x:c>
      <x:c r="P435" s="9" t="str">
        <x:v>No</x:v>
      </x:c>
      <x:c r="Q435" s="15" t="n">
        <x:v>28</x:v>
      </x:c>
      <x:c r="R435" s="13" t="n">
        <x:f>J435+Q435/1440</x:f>
        <x:v>46301.55763888889</x:v>
      </x:c>
      <x:c r="S435" s="2" t="str">
        <x:f>VLOOKUP(C435,'MES orders'!$A$8:$H$127,6,FALSE)</x:f>
        <x:v>Normal</x:v>
      </x:c>
      <x:c r="T435" s="9" t="str"/>
    </x:row>
    <x:row r="436" ht="22" customHeight="1">
      <x:c r="A436" s="2" t="str">
        <x:v>L00211-010</x:v>
      </x:c>
      <x:c r="B436" s="2" t="str">
        <x:v>L00211</x:v>
      </x:c>
      <x:c r="C436" s="2" t="str">
        <x:v>SO-26043</x:v>
      </x:c>
      <x:c r="D436" s="2" t="str">
        <x:v>R-C-AL</x:v>
      </x:c>
      <x:c r="E436" s="14" t="n">
        <x:v>15</x:v>
      </x:c>
      <x:c r="F436" s="2" t="str">
        <x:v>CNC machining</x:v>
      </x:c>
      <x:c r="G436" s="9" t="str">
        <x:v>CNC-01</x:v>
      </x:c>
      <x:c r="H436" s="15" t="n">
        <x:v>20</x:v>
      </x:c>
      <x:c r="I436" s="9" t="str">
        <x:v>P01</x:v>
      </x:c>
      <x:c r="J436" s="11" t="n">
        <x:v>46301.54027777778</x:v>
      </x:c>
      <x:c r="K436" s="15" t="n">
        <x:v>18</x:v>
      </x:c>
      <x:c r="L436" s="15" t="n">
        <x:v>29</x:v>
      </x:c>
      <x:c r="M436" s="13" t="n">
        <x:f>J436+(K436+L436)/1440</x:f>
        <x:v>46301.572916666664</x:v>
      </x:c>
      <x:c r="N436" s="13" t="n">
        <x:f>VLOOKUP(C436,'MES orders'!$A$8:$H$127,5,FALSE)</x:f>
        <x:v>46304.666666666664</x:v>
      </x:c>
      <x:c r="O436" s="16" t="n">
        <x:f>MAX(0,(M436-N436)*24)</x:f>
        <x:v>0</x:v>
      </x:c>
      <x:c r="P436" s="9" t="str">
        <x:v>No</x:v>
      </x:c>
      <x:c r="Q436" s="15" t="n">
        <x:v>18</x:v>
      </x:c>
      <x:c r="R436" s="13" t="n">
        <x:f>J436+Q436/1440</x:f>
        <x:v>46301.552777777775</x:v>
      </x:c>
      <x:c r="S436" s="2" t="str">
        <x:f>VLOOKUP(C436,'MES orders'!$A$8:$H$127,6,FALSE)</x:f>
        <x:v>High</x:v>
      </x:c>
      <x:c r="T436" s="9" t="str"/>
    </x:row>
    <x:row r="437" ht="22" customHeight="1">
      <x:c r="A437" s="2" t="str">
        <x:v>L00445-050</x:v>
      </x:c>
      <x:c r="B437" s="2" t="str">
        <x:v>L00445</x:v>
      </x:c>
      <x:c r="C437" s="2" t="str">
        <x:v>SO-26089</x:v>
      </x:c>
      <x:c r="D437" s="2" t="str">
        <x:v>D-L-AL</x:v>
      </x:c>
      <x:c r="E437" s="14" t="n">
        <x:v>15</x:v>
      </x:c>
      <x:c r="F437" s="2" t="str">
        <x:v>Final leak / function test</x:v>
      </x:c>
      <x:c r="G437" s="9" t="str">
        <x:v>QA-01</x:v>
      </x:c>
      <x:c r="H437" s="15" t="n">
        <x:v>21</x:v>
      </x:c>
      <x:c r="I437" s="9" t="str">
        <x:v>P11</x:v>
      </x:c>
      <x:c r="J437" s="11" t="n">
        <x:v>46301.54861111111</x:v>
      </x:c>
      <x:c r="K437" s="15" t="n">
        <x:v>10</x:v>
      </x:c>
      <x:c r="L437" s="15" t="n">
        <x:v>18</x:v>
      </x:c>
      <x:c r="M437" s="13" t="n">
        <x:f>J437+(K437+L437)/1440</x:f>
        <x:v>46301.56805555555</x:v>
      </x:c>
      <x:c r="N437" s="13" t="n">
        <x:f>VLOOKUP(C437,'MES orders'!$A$8:$H$127,5,FALSE)</x:f>
        <x:v>46302.666666666664</x:v>
      </x:c>
      <x:c r="O437" s="16" t="n">
        <x:f>MAX(0,(M437-N437)*24)</x:f>
        <x:v>0</x:v>
      </x:c>
      <x:c r="P437" s="9" t="str">
        <x:v>No</x:v>
      </x:c>
      <x:c r="Q437" s="15" t="n">
        <x:v>28</x:v>
      </x:c>
      <x:c r="R437" s="13" t="n">
        <x:f>J437+Q437/1440</x:f>
        <x:v>46301.56805555555</x:v>
      </x:c>
      <x:c r="S437" s="2" t="str">
        <x:f>VLOOKUP(C437,'MES orders'!$A$8:$H$127,6,FALSE)</x:f>
        <x:v>Normal</x:v>
      </x:c>
      <x:c r="T437" s="9" t="str"/>
    </x:row>
    <x:row r="438" ht="22" customHeight="1">
      <x:c r="A438" s="2" t="str">
        <x:v>L00247-010</x:v>
      </x:c>
      <x:c r="B438" s="2" t="str">
        <x:v>L00247</x:v>
      </x:c>
      <x:c r="C438" s="2" t="str">
        <x:v>SO-26050</x:v>
      </x:c>
      <x:c r="D438" s="2" t="str">
        <x:v>D-C-SS</x:v>
      </x:c>
      <x:c r="E438" s="14" t="n">
        <x:v>25</x:v>
      </x:c>
      <x:c r="F438" s="2" t="str">
        <x:v>CNC machining</x:v>
      </x:c>
      <x:c r="G438" s="9" t="str">
        <x:v>CNC-03</x:v>
      </x:c>
      <x:c r="H438" s="15" t="n">
        <x:v>15</x:v>
      </x:c>
      <x:c r="I438" s="9" t="str">
        <x:v>P02</x:v>
      </x:c>
      <x:c r="J438" s="11" t="n">
        <x:v>46301.552777777775</x:v>
      </x:c>
      <x:c r="K438" s="15" t="n">
        <x:v>18</x:v>
      </x:c>
      <x:c r="L438" s="15" t="n">
        <x:v>60</x:v>
      </x:c>
      <x:c r="M438" s="13" t="n">
        <x:f>J438+(K438+L438)/1440</x:f>
        <x:v>46301.606944444444</x:v>
      </x:c>
      <x:c r="N438" s="13" t="n">
        <x:f>VLOOKUP(C438,'MES orders'!$A$8:$H$127,5,FALSE)</x:f>
        <x:v>46303.666666666664</x:v>
      </x:c>
      <x:c r="O438" s="16" t="n">
        <x:f>MAX(0,(M438-N438)*24)</x:f>
        <x:v>0</x:v>
      </x:c>
      <x:c r="P438" s="9" t="str">
        <x:v>No</x:v>
      </x:c>
      <x:c r="Q438" s="15" t="n">
        <x:v>18</x:v>
      </x:c>
      <x:c r="R438" s="13" t="n">
        <x:f>J438+Q438/1440</x:f>
        <x:v>46301.56527777777</x:v>
      </x:c>
      <x:c r="S438" s="2" t="str">
        <x:f>VLOOKUP(C438,'MES orders'!$A$8:$H$127,6,FALSE)</x:f>
        <x:v>High</x:v>
      </x:c>
      <x:c r="T438" s="9" t="str"/>
    </x:row>
    <x:row r="439" ht="22" customHeight="1">
      <x:c r="A439" s="2" t="str">
        <x:v>L00248-010</x:v>
      </x:c>
      <x:c r="B439" s="2" t="str">
        <x:v>L00248</x:v>
      </x:c>
      <x:c r="C439" s="2" t="str">
        <x:v>SO-26050</x:v>
      </x:c>
      <x:c r="D439" s="2" t="str">
        <x:v>D-C-SS</x:v>
      </x:c>
      <x:c r="E439" s="14" t="n">
        <x:v>25</x:v>
      </x:c>
      <x:c r="F439" s="2" t="str">
        <x:v>CNC machining</x:v>
      </x:c>
      <x:c r="G439" s="9" t="str">
        <x:v>CNC-04</x:v>
      </x:c>
      <x:c r="H439" s="15" t="n">
        <x:v>13</x:v>
      </x:c>
      <x:c r="I439" s="9" t="str">
        <x:v>P03</x:v>
      </x:c>
      <x:c r="J439" s="11" t="n">
        <x:v>46301.552777777775</x:v>
      </x:c>
      <x:c r="K439" s="15" t="n">
        <x:v>18</x:v>
      </x:c>
      <x:c r="L439" s="15" t="n">
        <x:v>60</x:v>
      </x:c>
      <x:c r="M439" s="13" t="n">
        <x:f>J439+(K439+L439)/1440</x:f>
        <x:v>46301.606944444444</x:v>
      </x:c>
      <x:c r="N439" s="13" t="n">
        <x:f>VLOOKUP(C439,'MES orders'!$A$8:$H$127,5,FALSE)</x:f>
        <x:v>46303.666666666664</x:v>
      </x:c>
      <x:c r="O439" s="16" t="n">
        <x:f>MAX(0,(M439-N439)*24)</x:f>
        <x:v>0</x:v>
      </x:c>
      <x:c r="P439" s="9" t="str">
        <x:v>No</x:v>
      </x:c>
      <x:c r="Q439" s="15" t="n">
        <x:v>18</x:v>
      </x:c>
      <x:c r="R439" s="13" t="n">
        <x:f>J439+Q439/1440</x:f>
        <x:v>46301.56527777777</x:v>
      </x:c>
      <x:c r="S439" s="2" t="str">
        <x:f>VLOOKUP(C439,'MES orders'!$A$8:$H$127,6,FALSE)</x:f>
        <x:v>High</x:v>
      </x:c>
      <x:c r="T439" s="9" t="str"/>
    </x:row>
    <x:row r="440" ht="22" customHeight="1">
      <x:c r="A440" s="2" t="str">
        <x:v>L00524-020</x:v>
      </x:c>
      <x:c r="B440" s="2" t="str">
        <x:v>L00524</x:v>
      </x:c>
      <x:c r="C440" s="2" t="str">
        <x:v>SO-26105</x:v>
      </x:c>
      <x:c r="D440" s="2" t="str">
        <x:v>R-S-AL</x:v>
      </x:c>
      <x:c r="E440" s="14" t="n">
        <x:v>25</x:v>
      </x:c>
      <x:c r="F440" s="2" t="str">
        <x:v>Deburr &amp; inspect</x:v>
      </x:c>
      <x:c r="G440" s="9" t="str">
        <x:v>DB-02</x:v>
      </x:c>
      <x:c r="H440" s="15" t="n">
        <x:v>31</x:v>
      </x:c>
      <x:c r="I440" s="9" t="str">
        <x:v>P01</x:v>
      </x:c>
      <x:c r="J440" s="11" t="n">
        <x:v>46301.552777777775</x:v>
      </x:c>
      <x:c r="K440" s="15" t="n">
        <x:v>4</x:v>
      </x:c>
      <x:c r="L440" s="15" t="n">
        <x:v>18</x:v>
      </x:c>
      <x:c r="M440" s="13" t="n">
        <x:f>J440+(K440+L440)/1440</x:f>
        <x:v>46301.56805555555</x:v>
      </x:c>
      <x:c r="N440" s="13" t="n">
        <x:f>VLOOKUP(C440,'MES orders'!$A$8:$H$127,5,FALSE)</x:f>
        <x:v>46302.666666666664</x:v>
      </x:c>
      <x:c r="O440" s="16" t="n">
        <x:f>MAX(0,(M440-N440)*24)</x:f>
        <x:v>0</x:v>
      </x:c>
      <x:c r="P440" s="9" t="str">
        <x:v>No</x:v>
      </x:c>
      <x:c r="Q440" s="15" t="n">
        <x:v>22</x:v>
      </x:c>
      <x:c r="R440" s="13" t="n">
        <x:f>J440+Q440/1440</x:f>
        <x:v>46301.56805555555</x:v>
      </x:c>
      <x:c r="S440" s="2" t="str">
        <x:f>VLOOKUP(C440,'MES orders'!$A$8:$H$127,6,FALSE)</x:f>
        <x:v>Normal</x:v>
      </x:c>
      <x:c r="T440" s="9" t="str"/>
    </x:row>
    <x:row r="441" ht="22" customHeight="1">
      <x:c r="A441" s="2" t="str">
        <x:v>L00481-050</x:v>
      </x:c>
      <x:c r="B441" s="2" t="str">
        <x:v>L00481</x:v>
      </x:c>
      <x:c r="C441" s="2" t="str">
        <x:v>SO-26097</x:v>
      </x:c>
      <x:c r="D441" s="2" t="str">
        <x:v>R-C-AL</x:v>
      </x:c>
      <x:c r="E441" s="14" t="n">
        <x:v>20</x:v>
      </x:c>
      <x:c r="F441" s="2" t="str">
        <x:v>Valve adjustment</x:v>
      </x:c>
      <x:c r="G441" s="9" t="str">
        <x:v>AS-01</x:v>
      </x:c>
      <x:c r="H441" s="15" t="n">
        <x:v>37</x:v>
      </x:c>
      <x:c r="I441" s="9" t="str">
        <x:v>P05</x:v>
      </x:c>
      <x:c r="J441" s="11" t="n">
        <x:v>46301.55625</x:v>
      </x:c>
      <x:c r="K441" s="15" t="n">
        <x:v>6</x:v>
      </x:c>
      <x:c r="L441" s="15" t="n">
        <x:v>18</x:v>
      </x:c>
      <x:c r="M441" s="13" t="n">
        <x:f>J441+(K441+L441)/1440</x:f>
        <x:v>46301.57291666667</x:v>
      </x:c>
      <x:c r="N441" s="13" t="n">
        <x:f>VLOOKUP(C441,'MES orders'!$A$8:$H$127,5,FALSE)</x:f>
        <x:v>46302.666666666664</x:v>
      </x:c>
      <x:c r="O441" s="16" t="n">
        <x:f>MAX(0,(M441-N441)*24)</x:f>
        <x:v>0</x:v>
      </x:c>
      <x:c r="P441" s="9" t="str">
        <x:v>No</x:v>
      </x:c>
      <x:c r="Q441" s="15" t="n">
        <x:v>24</x:v>
      </x:c>
      <x:c r="R441" s="13" t="n">
        <x:f>J441+Q441/1440</x:f>
        <x:v>46301.57291666667</x:v>
      </x:c>
      <x:c r="S441" s="2" t="str">
        <x:f>VLOOKUP(C441,'MES orders'!$A$8:$H$127,6,FALSE)</x:f>
        <x:v>Normal</x:v>
      </x:c>
      <x:c r="T441" s="9" t="str"/>
    </x:row>
    <x:row r="442" ht="22" customHeight="1">
      <x:c r="A442" s="2" t="str">
        <x:v>L00482-050</x:v>
      </x:c>
      <x:c r="B442" s="2" t="str">
        <x:v>L00482</x:v>
      </x:c>
      <x:c r="C442" s="2" t="str">
        <x:v>SO-26097</x:v>
      </x:c>
      <x:c r="D442" s="2" t="str">
        <x:v>R-C-AL</x:v>
      </x:c>
      <x:c r="E442" s="14" t="n">
        <x:v>20</x:v>
      </x:c>
      <x:c r="F442" s="2" t="str">
        <x:v>Valve adjustment</x:v>
      </x:c>
      <x:c r="G442" s="9" t="str">
        <x:v>AS-02</x:v>
      </x:c>
      <x:c r="H442" s="15" t="n">
        <x:v>30</x:v>
      </x:c>
      <x:c r="I442" s="9" t="str">
        <x:v>P06</x:v>
      </x:c>
      <x:c r="J442" s="11" t="n">
        <x:v>46301.55625</x:v>
      </x:c>
      <x:c r="K442" s="15" t="n">
        <x:v>6</x:v>
      </x:c>
      <x:c r="L442" s="15" t="n">
        <x:v>18</x:v>
      </x:c>
      <x:c r="M442" s="13" t="n">
        <x:f>J442+(K442+L442)/1440</x:f>
        <x:v>46301.57291666667</x:v>
      </x:c>
      <x:c r="N442" s="13" t="n">
        <x:f>VLOOKUP(C442,'MES orders'!$A$8:$H$127,5,FALSE)</x:f>
        <x:v>46302.666666666664</x:v>
      </x:c>
      <x:c r="O442" s="16" t="n">
        <x:f>MAX(0,(M442-N442)*24)</x:f>
        <x:v>0</x:v>
      </x:c>
      <x:c r="P442" s="9" t="str">
        <x:v>No</x:v>
      </x:c>
      <x:c r="Q442" s="15" t="n">
        <x:v>24</x:v>
      </x:c>
      <x:c r="R442" s="13" t="n">
        <x:f>J442+Q442/1440</x:f>
        <x:v>46301.57291666667</x:v>
      </x:c>
      <x:c r="S442" s="2" t="str">
        <x:f>VLOOKUP(C442,'MES orders'!$A$8:$H$127,6,FALSE)</x:f>
        <x:v>Normal</x:v>
      </x:c>
      <x:c r="T442" s="9" t="str"/>
    </x:row>
    <x:row r="443" ht="22" customHeight="1">
      <x:c r="A443" s="2" t="str">
        <x:v>L00521-020</x:v>
      </x:c>
      <x:c r="B443" s="2" t="str">
        <x:v>L00521</x:v>
      </x:c>
      <x:c r="C443" s="2" t="str">
        <x:v>SO-26105</x:v>
      </x:c>
      <x:c r="D443" s="2" t="str">
        <x:v>R-S-AL</x:v>
      </x:c>
      <x:c r="E443" s="14" t="n">
        <x:v>25</x:v>
      </x:c>
      <x:c r="F443" s="2" t="str">
        <x:v>Deburr &amp; inspect</x:v>
      </x:c>
      <x:c r="G443" s="9" t="str">
        <x:v>DB-01</x:v>
      </x:c>
      <x:c r="H443" s="15" t="n">
        <x:v>43</x:v>
      </x:c>
      <x:c r="I443" s="9" t="str">
        <x:v>P04</x:v>
      </x:c>
      <x:c r="J443" s="11" t="n">
        <x:v>46301.55625</x:v>
      </x:c>
      <x:c r="K443" s="15" t="n">
        <x:v>4</x:v>
      </x:c>
      <x:c r="L443" s="15" t="n">
        <x:v>18</x:v>
      </x:c>
      <x:c r="M443" s="13" t="n">
        <x:f>J443+(K443+L443)/1440</x:f>
        <x:v>46301.57152777778</x:v>
      </x:c>
      <x:c r="N443" s="13" t="n">
        <x:f>VLOOKUP(C443,'MES orders'!$A$8:$H$127,5,FALSE)</x:f>
        <x:v>46302.666666666664</x:v>
      </x:c>
      <x:c r="O443" s="16" t="n">
        <x:f>MAX(0,(M443-N443)*24)</x:f>
        <x:v>0</x:v>
      </x:c>
      <x:c r="P443" s="9" t="str">
        <x:v>No</x:v>
      </x:c>
      <x:c r="Q443" s="15" t="n">
        <x:v>22</x:v>
      </x:c>
      <x:c r="R443" s="13" t="n">
        <x:f>J443+Q443/1440</x:f>
        <x:v>46301.57152777778</x:v>
      </x:c>
      <x:c r="S443" s="2" t="str">
        <x:f>VLOOKUP(C443,'MES orders'!$A$8:$H$127,6,FALSE)</x:f>
        <x:v>Normal</x:v>
      </x:c>
      <x:c r="T443" s="9" t="str"/>
    </x:row>
    <x:row r="444" ht="22" customHeight="1">
      <x:c r="A444" s="2" t="str">
        <x:v>L00483-060</x:v>
      </x:c>
      <x:c r="B444" s="2" t="str">
        <x:v>L00483</x:v>
      </x:c>
      <x:c r="C444" s="2" t="str">
        <x:v>SO-26097</x:v>
      </x:c>
      <x:c r="D444" s="2" t="str">
        <x:v>R-C-AL</x:v>
      </x:c>
      <x:c r="E444" s="14" t="n">
        <x:v>20</x:v>
      </x:c>
      <x:c r="F444" s="2" t="str">
        <x:v>Final leak / function test</x:v>
      </x:c>
      <x:c r="G444" s="9" t="str">
        <x:v>QA-02</x:v>
      </x:c>
      <x:c r="H444" s="15" t="n">
        <x:v>29</x:v>
      </x:c>
      <x:c r="I444" s="9" t="str">
        <x:v>P12</x:v>
      </x:c>
      <x:c r="J444" s="11" t="n">
        <x:v>46301.55763888889</x:v>
      </x:c>
      <x:c r="K444" s="15" t="n">
        <x:v>10</x:v>
      </x:c>
      <x:c r="L444" s="15" t="n">
        <x:v>14</x:v>
      </x:c>
      <x:c r="M444" s="13" t="n">
        <x:f>J444+(K444+L444)/1440</x:f>
        <x:v>46301.57430555556</x:v>
      </x:c>
      <x:c r="N444" s="13" t="n">
        <x:f>VLOOKUP(C444,'MES orders'!$A$8:$H$127,5,FALSE)</x:f>
        <x:v>46302.666666666664</x:v>
      </x:c>
      <x:c r="O444" s="16" t="n">
        <x:f>MAX(0,(M444-N444)*24)</x:f>
        <x:v>0</x:v>
      </x:c>
      <x:c r="P444" s="9" t="str">
        <x:v>No</x:v>
      </x:c>
      <x:c r="Q444" s="15" t="n">
        <x:v>24</x:v>
      </x:c>
      <x:c r="R444" s="13" t="n">
        <x:f>J444+Q444/1440</x:f>
        <x:v>46301.57430555556</x:v>
      </x:c>
      <x:c r="S444" s="2" t="str">
        <x:f>VLOOKUP(C444,'MES orders'!$A$8:$H$127,6,FALSE)</x:f>
        <x:v>Normal</x:v>
      </x:c>
      <x:c r="T444" s="9" t="str"/>
    </x:row>
    <x:row r="445" ht="22" customHeight="1">
      <x:c r="A445" s="2" t="str">
        <x:v>L00249-010</x:v>
      </x:c>
      <x:c r="B445" s="2" t="str">
        <x:v>L00249</x:v>
      </x:c>
      <x:c r="C445" s="2" t="str">
        <x:v>SO-26050</x:v>
      </x:c>
      <x:c r="D445" s="2" t="str">
        <x:v>D-C-SS</x:v>
      </x:c>
      <x:c r="E445" s="14" t="n">
        <x:v>25</x:v>
      </x:c>
      <x:c r="F445" s="2" t="str">
        <x:v>CNC machining</x:v>
      </x:c>
      <x:c r="G445" s="9" t="str">
        <x:v>CNC-05</x:v>
      </x:c>
      <x:c r="H445" s="15" t="n">
        <x:v>11</x:v>
      </x:c>
      <x:c r="I445" s="9" t="str">
        <x:v>P03</x:v>
      </x:c>
      <x:c r="J445" s="11" t="n">
        <x:v>46301.56527777778</x:v>
      </x:c>
      <x:c r="K445" s="15" t="n">
        <x:v>18</x:v>
      </x:c>
      <x:c r="L445" s="15" t="n">
        <x:v>60</x:v>
      </x:c>
      <x:c r="M445" s="13" t="n">
        <x:f>J445+(K445+L445)/1440</x:f>
        <x:v>46301.61944444445</x:v>
      </x:c>
      <x:c r="N445" s="13" t="n">
        <x:f>VLOOKUP(C445,'MES orders'!$A$8:$H$127,5,FALSE)</x:f>
        <x:v>46303.666666666664</x:v>
      </x:c>
      <x:c r="O445" s="16" t="n">
        <x:f>MAX(0,(M445-N445)*24)</x:f>
        <x:v>0</x:v>
      </x:c>
      <x:c r="P445" s="9" t="str">
        <x:v>No</x:v>
      </x:c>
      <x:c r="Q445" s="15" t="n">
        <x:v>18</x:v>
      </x:c>
      <x:c r="R445" s="13" t="n">
        <x:f>J445+Q445/1440</x:f>
        <x:v>46301.57777777778</x:v>
      </x:c>
      <x:c r="S445" s="2" t="str">
        <x:f>VLOOKUP(C445,'MES orders'!$A$8:$H$127,6,FALSE)</x:f>
        <x:v>High</x:v>
      </x:c>
      <x:c r="T445" s="9" t="str"/>
    </x:row>
    <x:row r="446" ht="22" customHeight="1">
      <x:c r="A446" s="2" t="str">
        <x:v>L00525-020</x:v>
      </x:c>
      <x:c r="B446" s="2" t="str">
        <x:v>L00525</x:v>
      </x:c>
      <x:c r="C446" s="2" t="str">
        <x:v>SO-26105</x:v>
      </x:c>
      <x:c r="D446" s="2" t="str">
        <x:v>R-S-AL</x:v>
      </x:c>
      <x:c r="E446" s="14" t="n">
        <x:v>25</x:v>
      </x:c>
      <x:c r="F446" s="2" t="str">
        <x:v>Deburr &amp; inspect</x:v>
      </x:c>
      <x:c r="G446" s="9" t="str">
        <x:v>DB-02</x:v>
      </x:c>
      <x:c r="H446" s="15" t="n">
        <x:v>32</x:v>
      </x:c>
      <x:c r="I446" s="9" t="str">
        <x:v>P02</x:v>
      </x:c>
      <x:c r="J446" s="11" t="n">
        <x:v>46301.56805555556</x:v>
      </x:c>
      <x:c r="K446" s="15" t="n">
        <x:v>4</x:v>
      </x:c>
      <x:c r="L446" s="15" t="n">
        <x:v>18</x:v>
      </x:c>
      <x:c r="M446" s="13" t="n">
        <x:f>J446+(K446+L446)/1440</x:f>
        <x:v>46301.583333333336</x:v>
      </x:c>
      <x:c r="N446" s="13" t="n">
        <x:f>VLOOKUP(C446,'MES orders'!$A$8:$H$127,5,FALSE)</x:f>
        <x:v>46302.666666666664</x:v>
      </x:c>
      <x:c r="O446" s="16" t="n">
        <x:f>MAX(0,(M446-N446)*24)</x:f>
        <x:v>0</x:v>
      </x:c>
      <x:c r="P446" s="9" t="str">
        <x:v>No</x:v>
      </x:c>
      <x:c r="Q446" s="15" t="n">
        <x:v>22</x:v>
      </x:c>
      <x:c r="R446" s="13" t="n">
        <x:f>J446+Q446/1440</x:f>
        <x:v>46301.583333333336</x:v>
      </x:c>
      <x:c r="S446" s="2" t="str">
        <x:f>VLOOKUP(C446,'MES orders'!$A$8:$H$127,6,FALSE)</x:f>
        <x:v>Normal</x:v>
      </x:c>
      <x:c r="T446" s="9" t="str"/>
    </x:row>
    <x:row r="447" ht="22" customHeight="1">
      <x:c r="A447" s="2" t="str">
        <x:v>L00524-030</x:v>
      </x:c>
      <x:c r="B447" s="2" t="str">
        <x:v>L00524</x:v>
      </x:c>
      <x:c r="C447" s="2" t="str">
        <x:v>SO-26105</x:v>
      </x:c>
      <x:c r="D447" s="2" t="str">
        <x:v>R-S-AL</x:v>
      </x:c>
      <x:c r="E447" s="14" t="n">
        <x:v>25</x:v>
      </x:c>
      <x:c r="F447" s="2" t="str">
        <x:v>Wash &amp; dry</x:v>
      </x:c>
      <x:c r="G447" s="9" t="str">
        <x:v>WS-01</x:v>
      </x:c>
      <x:c r="H447" s="15" t="n">
        <x:v>44</x:v>
      </x:c>
      <x:c r="I447" s="9" t="str">
        <x:v>P01</x:v>
      </x:c>
      <x:c r="J447" s="11" t="n">
        <x:v>46301.56805555556</x:v>
      </x:c>
      <x:c r="K447" s="15" t="n">
        <x:v>12</x:v>
      </x:c>
      <x:c r="L447" s="15" t="n">
        <x:v>9</x:v>
      </x:c>
      <x:c r="M447" s="13" t="n">
        <x:f>J447+(K447+L447)/1440</x:f>
        <x:v>46301.58263888889</x:v>
      </x:c>
      <x:c r="N447" s="13" t="n">
        <x:f>VLOOKUP(C447,'MES orders'!$A$8:$H$127,5,FALSE)</x:f>
        <x:v>46302.666666666664</x:v>
      </x:c>
      <x:c r="O447" s="16" t="n">
        <x:f>MAX(0,(M447-N447)*24)</x:f>
        <x:v>0</x:v>
      </x:c>
      <x:c r="P447" s="9" t="str">
        <x:v>No</x:v>
      </x:c>
      <x:c r="Q447" s="15" t="n">
        <x:v>21</x:v>
      </x:c>
      <x:c r="R447" s="13" t="n">
        <x:f>J447+Q447/1440</x:f>
        <x:v>46301.58263888889</x:v>
      </x:c>
      <x:c r="S447" s="2" t="str">
        <x:f>VLOOKUP(C447,'MES orders'!$A$8:$H$127,6,FALSE)</x:f>
        <x:v>Normal</x:v>
      </x:c>
      <x:c r="T447" s="9" t="str"/>
    </x:row>
    <x:row r="448" ht="22" customHeight="1">
      <x:c r="A448" s="2" t="str">
        <x:v>L00211-020</x:v>
      </x:c>
      <x:c r="B448" s="2" t="str">
        <x:v>L00211</x:v>
      </x:c>
      <x:c r="C448" s="2" t="str">
        <x:v>SO-26043</x:v>
      </x:c>
      <x:c r="D448" s="2" t="str">
        <x:v>R-C-AL</x:v>
      </x:c>
      <x:c r="E448" s="14" t="n">
        <x:v>15</x:v>
      </x:c>
      <x:c r="F448" s="2" t="str">
        <x:v>Deburr &amp; inspect</x:v>
      </x:c>
      <x:c r="G448" s="9" t="str">
        <x:v>DB-01</x:v>
      </x:c>
      <x:c r="H448" s="15" t="n">
        <x:v>44</x:v>
      </x:c>
      <x:c r="I448" s="9" t="str">
        <x:v>P04</x:v>
      </x:c>
      <x:c r="J448" s="11" t="n">
        <x:v>46301.572916666664</x:v>
      </x:c>
      <x:c r="K448" s="15" t="n">
        <x:v>4</x:v>
      </x:c>
      <x:c r="L448" s="15" t="n">
        <x:v>8</x:v>
      </x:c>
      <x:c r="M448" s="13" t="n">
        <x:f>J448+(K448+L448)/1440</x:f>
        <x:v>46301.581249999996</x:v>
      </x:c>
      <x:c r="N448" s="13" t="n">
        <x:f>VLOOKUP(C448,'MES orders'!$A$8:$H$127,5,FALSE)</x:f>
        <x:v>46304.666666666664</x:v>
      </x:c>
      <x:c r="O448" s="16" t="n">
        <x:f>MAX(0,(M448-N448)*24)</x:f>
        <x:v>0</x:v>
      </x:c>
      <x:c r="P448" s="9" t="str">
        <x:v>No</x:v>
      </x:c>
      <x:c r="Q448" s="15" t="n">
        <x:v>12</x:v>
      </x:c>
      <x:c r="R448" s="13" t="n">
        <x:f>J448+Q448/1440</x:f>
        <x:v>46301.581249999996</x:v>
      </x:c>
      <x:c r="S448" s="2" t="str">
        <x:f>VLOOKUP(C448,'MES orders'!$A$8:$H$127,6,FALSE)</x:f>
        <x:v>High</x:v>
      </x:c>
      <x:c r="T448" s="9" t="str"/>
    </x:row>
    <x:row r="449" ht="22" customHeight="1">
      <x:c r="A449" s="2" t="str">
        <x:v>L00484-050</x:v>
      </x:c>
      <x:c r="B449" s="2" t="str">
        <x:v>L00484</x:v>
      </x:c>
      <x:c r="C449" s="2" t="str">
        <x:v>SO-26097</x:v>
      </x:c>
      <x:c r="D449" s="2" t="str">
        <x:v>R-C-AL</x:v>
      </x:c>
      <x:c r="E449" s="14" t="n">
        <x:v>20</x:v>
      </x:c>
      <x:c r="F449" s="2" t="str">
        <x:v>Valve adjustment</x:v>
      </x:c>
      <x:c r="G449" s="9" t="str">
        <x:v>AS-01</x:v>
      </x:c>
      <x:c r="H449" s="15" t="n">
        <x:v>38</x:v>
      </x:c>
      <x:c r="I449" s="9" t="str">
        <x:v>P17</x:v>
      </x:c>
      <x:c r="J449" s="11" t="n">
        <x:v>46301.583333333336</x:v>
      </x:c>
      <x:c r="K449" s="15" t="n">
        <x:v>6</x:v>
      </x:c>
      <x:c r="L449" s="15" t="n">
        <x:v>18</x:v>
      </x:c>
      <x:c r="M449" s="13" t="n">
        <x:f>J449+(K449+L449)/1440</x:f>
        <x:v>46301.600000000006</x:v>
      </x:c>
      <x:c r="N449" s="13" t="n">
        <x:f>VLOOKUP(C449,'MES orders'!$A$8:$H$127,5,FALSE)</x:f>
        <x:v>46302.666666666664</x:v>
      </x:c>
      <x:c r="O449" s="16" t="n">
        <x:f>MAX(0,(M449-N449)*24)</x:f>
        <x:v>0</x:v>
      </x:c>
      <x:c r="P449" s="9" t="str">
        <x:v>No</x:v>
      </x:c>
      <x:c r="Q449" s="15" t="n">
        <x:v>24</x:v>
      </x:c>
      <x:c r="R449" s="13" t="n">
        <x:f>J449+Q449/1440</x:f>
        <x:v>46301.600000000006</x:v>
      </x:c>
      <x:c r="S449" s="2" t="str">
        <x:f>VLOOKUP(C449,'MES orders'!$A$8:$H$127,6,FALSE)</x:f>
        <x:v>Normal</x:v>
      </x:c>
      <x:c r="T449" s="9" t="str"/>
    </x:row>
    <x:row r="450" ht="22" customHeight="1">
      <x:c r="A450" s="2" t="str">
        <x:v>L00485-050</x:v>
      </x:c>
      <x:c r="B450" s="2" t="str">
        <x:v>L00485</x:v>
      </x:c>
      <x:c r="C450" s="2" t="str">
        <x:v>SO-26097</x:v>
      </x:c>
      <x:c r="D450" s="2" t="str">
        <x:v>R-C-AL</x:v>
      </x:c>
      <x:c r="E450" s="14" t="n">
        <x:v>20</x:v>
      </x:c>
      <x:c r="F450" s="2" t="str">
        <x:v>Valve adjustment</x:v>
      </x:c>
      <x:c r="G450" s="9" t="str">
        <x:v>AS-02</x:v>
      </x:c>
      <x:c r="H450" s="15" t="n">
        <x:v>31</x:v>
      </x:c>
      <x:c r="I450" s="9" t="str">
        <x:v>P18</x:v>
      </x:c>
      <x:c r="J450" s="11" t="n">
        <x:v>46301.583333333336</x:v>
      </x:c>
      <x:c r="K450" s="15" t="n">
        <x:v>6</x:v>
      </x:c>
      <x:c r="L450" s="15" t="n">
        <x:v>18</x:v>
      </x:c>
      <x:c r="M450" s="13" t="n">
        <x:f>J450+(K450+L450)/1440</x:f>
        <x:v>46301.600000000006</x:v>
      </x:c>
      <x:c r="N450" s="13" t="n">
        <x:f>VLOOKUP(C450,'MES orders'!$A$8:$H$127,5,FALSE)</x:f>
        <x:v>46302.666666666664</x:v>
      </x:c>
      <x:c r="O450" s="16" t="n">
        <x:f>MAX(0,(M450-N450)*24)</x:f>
        <x:v>0</x:v>
      </x:c>
      <x:c r="P450" s="9" t="str">
        <x:v>No</x:v>
      </x:c>
      <x:c r="Q450" s="15" t="n">
        <x:v>24</x:v>
      </x:c>
      <x:c r="R450" s="13" t="n">
        <x:f>J450+Q450/1440</x:f>
        <x:v>46301.600000000006</x:v>
      </x:c>
      <x:c r="S450" s="2" t="str">
        <x:f>VLOOKUP(C450,'MES orders'!$A$8:$H$127,6,FALSE)</x:f>
        <x:v>Normal</x:v>
      </x:c>
      <x:c r="T450" s="9" t="str"/>
    </x:row>
    <x:row r="451" ht="22" customHeight="1">
      <x:c r="A451" s="2" t="str">
        <x:v>L00524-040</x:v>
      </x:c>
      <x:c r="B451" s="2" t="str">
        <x:v>L00524</x:v>
      </x:c>
      <x:c r="C451" s="2" t="str">
        <x:v>SO-26105</x:v>
      </x:c>
      <x:c r="D451" s="2" t="str">
        <x:v>R-S-AL</x:v>
      </x:c>
      <x:c r="E451" s="14" t="n">
        <x:v>25</x:v>
      </x:c>
      <x:c r="F451" s="2" t="str">
        <x:v>Mechanical assembly</x:v>
      </x:c>
      <x:c r="G451" s="9" t="str">
        <x:v>AS-04</x:v>
      </x:c>
      <x:c r="H451" s="15" t="n">
        <x:v>12</x:v>
      </x:c>
      <x:c r="I451" s="9" t="str">
        <x:v>P13</x:v>
      </x:c>
      <x:c r="J451" s="11" t="n">
        <x:v>46301.583333333336</x:v>
      </x:c>
      <x:c r="K451" s="15" t="n">
        <x:v>8</x:v>
      </x:c>
      <x:c r="L451" s="15" t="n">
        <x:v>45</x:v>
      </x:c>
      <x:c r="M451" s="13" t="n">
        <x:f>J451+(K451+L451)/1440</x:f>
        <x:v>46301.620138888895</x:v>
      </x:c>
      <x:c r="N451" s="13" t="n">
        <x:f>VLOOKUP(C451,'MES orders'!$A$8:$H$127,5,FALSE)</x:f>
        <x:v>46302.666666666664</x:v>
      </x:c>
      <x:c r="O451" s="16" t="n">
        <x:f>MAX(0,(M451-N451)*24)</x:f>
        <x:v>0</x:v>
      </x:c>
      <x:c r="P451" s="9" t="str">
        <x:v>No</x:v>
      </x:c>
      <x:c r="Q451" s="15" t="n">
        <x:v>53</x:v>
      </x:c>
      <x:c r="R451" s="13" t="n">
        <x:f>J451+Q451/1440</x:f>
        <x:v>46301.620138888895</x:v>
      </x:c>
      <x:c r="S451" s="2" t="str">
        <x:f>VLOOKUP(C451,'MES orders'!$A$8:$H$127,6,FALSE)</x:f>
        <x:v>Normal</x:v>
      </x:c>
      <x:c r="T451" s="9" t="str"/>
    </x:row>
    <x:row r="452" ht="22" customHeight="1">
      <x:c r="A452" s="2" t="str">
        <x:v>L00246-020</x:v>
      </x:c>
      <x:c r="B452" s="2" t="str">
        <x:v>L00246</x:v>
      </x:c>
      <x:c r="C452" s="2" t="str">
        <x:v>SO-26050</x:v>
      </x:c>
      <x:c r="D452" s="2" t="str">
        <x:v>D-C-SS</x:v>
      </x:c>
      <x:c r="E452" s="14" t="n">
        <x:v>25</x:v>
      </x:c>
      <x:c r="F452" s="2" t="str">
        <x:v>Deburr &amp; inspect</x:v>
      </x:c>
      <x:c r="G452" s="9" t="str">
        <x:v>DB-01</x:v>
      </x:c>
      <x:c r="H452" s="15" t="n">
        <x:v>45</x:v>
      </x:c>
      <x:c r="I452" s="9" t="str">
        <x:v>P15</x:v>
      </x:c>
      <x:c r="J452" s="11" t="n">
        <x:v>46301.583333333336</x:v>
      </x:c>
      <x:c r="K452" s="15" t="n">
        <x:v>4</x:v>
      </x:c>
      <x:c r="L452" s="15" t="n">
        <x:v>14</x:v>
      </x:c>
      <x:c r="M452" s="13" t="n">
        <x:f>J452+(K452+L452)/1440</x:f>
        <x:v>46301.59583333333</x:v>
      </x:c>
      <x:c r="N452" s="13" t="n">
        <x:f>VLOOKUP(C452,'MES orders'!$A$8:$H$127,5,FALSE)</x:f>
        <x:v>46303.666666666664</x:v>
      </x:c>
      <x:c r="O452" s="16" t="n">
        <x:f>MAX(0,(M452-N452)*24)</x:f>
        <x:v>0</x:v>
      </x:c>
      <x:c r="P452" s="9" t="str">
        <x:v>No</x:v>
      </x:c>
      <x:c r="Q452" s="15" t="n">
        <x:v>18</x:v>
      </x:c>
      <x:c r="R452" s="13" t="n">
        <x:f>J452+Q452/1440</x:f>
        <x:v>46301.59583333333</x:v>
      </x:c>
      <x:c r="S452" s="2" t="str">
        <x:f>VLOOKUP(C452,'MES orders'!$A$8:$H$127,6,FALSE)</x:f>
        <x:v>High</x:v>
      </x:c>
      <x:c r="T452" s="9" t="str"/>
    </x:row>
    <x:row r="453" ht="22" customHeight="1">
      <x:c r="A453" s="2" t="str">
        <x:v>L00481-060</x:v>
      </x:c>
      <x:c r="B453" s="2" t="str">
        <x:v>L00481</x:v>
      </x:c>
      <x:c r="C453" s="2" t="str">
        <x:v>SO-26097</x:v>
      </x:c>
      <x:c r="D453" s="2" t="str">
        <x:v>R-C-AL</x:v>
      </x:c>
      <x:c r="E453" s="14" t="n">
        <x:v>20</x:v>
      </x:c>
      <x:c r="F453" s="2" t="str">
        <x:v>Final leak / function test</x:v>
      </x:c>
      <x:c r="G453" s="9" t="str">
        <x:v>QA-02</x:v>
      </x:c>
      <x:c r="H453" s="15" t="n">
        <x:v>30</x:v>
      </x:c>
      <x:c r="I453" s="9" t="str">
        <x:v>P23</x:v>
      </x:c>
      <x:c r="J453" s="11" t="n">
        <x:v>46301.583333333336</x:v>
      </x:c>
      <x:c r="K453" s="15" t="n">
        <x:v>10</x:v>
      </x:c>
      <x:c r="L453" s="15" t="n">
        <x:v>14</x:v>
      </x:c>
      <x:c r="M453" s="13" t="n">
        <x:f>J453+(K453+L453)/1440</x:f>
        <x:v>46301.600000000006</x:v>
      </x:c>
      <x:c r="N453" s="13" t="n">
        <x:f>VLOOKUP(C453,'MES orders'!$A$8:$H$127,5,FALSE)</x:f>
        <x:v>46302.666666666664</x:v>
      </x:c>
      <x:c r="O453" s="16" t="n">
        <x:f>MAX(0,(M453-N453)*24)</x:f>
        <x:v>0</x:v>
      </x:c>
      <x:c r="P453" s="9" t="str">
        <x:v>No</x:v>
      </x:c>
      <x:c r="Q453" s="15" t="n">
        <x:v>24</x:v>
      </x:c>
      <x:c r="R453" s="13" t="n">
        <x:f>J453+Q453/1440</x:f>
        <x:v>46301.600000000006</x:v>
      </x:c>
      <x:c r="S453" s="2" t="str">
        <x:f>VLOOKUP(C453,'MES orders'!$A$8:$H$127,6,FALSE)</x:f>
        <x:v>Normal</x:v>
      </x:c>
      <x:c r="T453" s="9" t="str"/>
    </x:row>
    <x:row r="454" ht="22" customHeight="1">
      <x:c r="A454" s="2" t="str">
        <x:v>L00482-060</x:v>
      </x:c>
      <x:c r="B454" s="2" t="str">
        <x:v>L00482</x:v>
      </x:c>
      <x:c r="C454" s="2" t="str">
        <x:v>SO-26097</x:v>
      </x:c>
      <x:c r="D454" s="2" t="str">
        <x:v>R-C-AL</x:v>
      </x:c>
      <x:c r="E454" s="14" t="n">
        <x:v>20</x:v>
      </x:c>
      <x:c r="F454" s="2" t="str">
        <x:v>Final leak / function test</x:v>
      </x:c>
      <x:c r="G454" s="9" t="str">
        <x:v>QA-03</x:v>
      </x:c>
      <x:c r="H454" s="15" t="n">
        <x:v>19</x:v>
      </x:c>
      <x:c r="I454" s="9" t="str">
        <x:v>P24</x:v>
      </x:c>
      <x:c r="J454" s="11" t="n">
        <x:v>46301.583333333336</x:v>
      </x:c>
      <x:c r="K454" s="15" t="n">
        <x:v>10</x:v>
      </x:c>
      <x:c r="L454" s="15" t="n">
        <x:v>14</x:v>
      </x:c>
      <x:c r="M454" s="13" t="n">
        <x:f>J454+(K454+L454)/1440</x:f>
        <x:v>46301.600000000006</x:v>
      </x:c>
      <x:c r="N454" s="13" t="n">
        <x:f>VLOOKUP(C454,'MES orders'!$A$8:$H$127,5,FALSE)</x:f>
        <x:v>46302.666666666664</x:v>
      </x:c>
      <x:c r="O454" s="16" t="n">
        <x:f>MAX(0,(M454-N454)*24)</x:f>
        <x:v>0</x:v>
      </x:c>
      <x:c r="P454" s="9" t="str">
        <x:v>No</x:v>
      </x:c>
      <x:c r="Q454" s="15" t="n">
        <x:v>24</x:v>
      </x:c>
      <x:c r="R454" s="13" t="n">
        <x:f>J454+Q454/1440</x:f>
        <x:v>46301.600000000006</x:v>
      </x:c>
      <x:c r="S454" s="2" t="str">
        <x:f>VLOOKUP(C454,'MES orders'!$A$8:$H$127,6,FALSE)</x:f>
        <x:v>Normal</x:v>
      </x:c>
      <x:c r="T454" s="9" t="str"/>
    </x:row>
    <x:row r="455" ht="22" customHeight="1">
      <x:c r="A455" s="2" t="str">
        <x:v>L00521-030</x:v>
      </x:c>
      <x:c r="B455" s="2" t="str">
        <x:v>L00521</x:v>
      </x:c>
      <x:c r="C455" s="2" t="str">
        <x:v>SO-26105</x:v>
      </x:c>
      <x:c r="D455" s="2" t="str">
        <x:v>R-S-AL</x:v>
      </x:c>
      <x:c r="E455" s="14" t="n">
        <x:v>25</x:v>
      </x:c>
      <x:c r="F455" s="2" t="str">
        <x:v>Wash &amp; dry</x:v>
      </x:c>
      <x:c r="G455" s="9" t="str">
        <x:v>WS-01</x:v>
      </x:c>
      <x:c r="H455" s="15" t="n">
        <x:v>45</x:v>
      </x:c>
      <x:c r="I455" s="9" t="str">
        <x:v>P16</x:v>
      </x:c>
      <x:c r="J455" s="11" t="n">
        <x:v>46301.583333333336</x:v>
      </x:c>
      <x:c r="K455" s="15" t="n">
        <x:v>12</x:v>
      </x:c>
      <x:c r="L455" s="15" t="n">
        <x:v>9</x:v>
      </x:c>
      <x:c r="M455" s="13" t="n">
        <x:f>J455+(K455+L455)/1440</x:f>
        <x:v>46301.597916666666</x:v>
      </x:c>
      <x:c r="N455" s="13" t="n">
        <x:f>VLOOKUP(C455,'MES orders'!$A$8:$H$127,5,FALSE)</x:f>
        <x:v>46302.666666666664</x:v>
      </x:c>
      <x:c r="O455" s="16" t="n">
        <x:f>MAX(0,(M455-N455)*24)</x:f>
        <x:v>0</x:v>
      </x:c>
      <x:c r="P455" s="9" t="str">
        <x:v>No</x:v>
      </x:c>
      <x:c r="Q455" s="15" t="n">
        <x:v>21</x:v>
      </x:c>
      <x:c r="R455" s="13" t="n">
        <x:f>J455+Q455/1440</x:f>
        <x:v>46301.597916666666</x:v>
      </x:c>
      <x:c r="S455" s="2" t="str">
        <x:f>VLOOKUP(C455,'MES orders'!$A$8:$H$127,6,FALSE)</x:f>
        <x:v>Normal</x:v>
      </x:c>
      <x:c r="T455" s="9" t="str"/>
    </x:row>
    <x:row r="456" ht="22" customHeight="1">
      <x:c r="A456" s="2" t="str">
        <x:v>L00525-030</x:v>
      </x:c>
      <x:c r="B456" s="2" t="str">
        <x:v>L00525</x:v>
      </x:c>
      <x:c r="C456" s="2" t="str">
        <x:v>SO-26105</x:v>
      </x:c>
      <x:c r="D456" s="2" t="str">
        <x:v>R-S-AL</x:v>
      </x:c>
      <x:c r="E456" s="14" t="n">
        <x:v>25</x:v>
      </x:c>
      <x:c r="F456" s="2" t="str">
        <x:v>Wash &amp; dry</x:v>
      </x:c>
      <x:c r="G456" s="9" t="str">
        <x:v>WS-02</x:v>
      </x:c>
      <x:c r="H456" s="15" t="n">
        <x:v>30</x:v>
      </x:c>
      <x:c r="I456" s="9" t="str">
        <x:v>P14</x:v>
      </x:c>
      <x:c r="J456" s="11" t="n">
        <x:v>46301.583333333336</x:v>
      </x:c>
      <x:c r="K456" s="15" t="n">
        <x:v>12</x:v>
      </x:c>
      <x:c r="L456" s="15" t="n">
        <x:v>9</x:v>
      </x:c>
      <x:c r="M456" s="13" t="n">
        <x:f>J456+(K456+L456)/1440</x:f>
        <x:v>46301.597916666666</x:v>
      </x:c>
      <x:c r="N456" s="13" t="n">
        <x:f>VLOOKUP(C456,'MES orders'!$A$8:$H$127,5,FALSE)</x:f>
        <x:v>46302.666666666664</x:v>
      </x:c>
      <x:c r="O456" s="16" t="n">
        <x:f>MAX(0,(M456-N456)*24)</x:f>
        <x:v>0</x:v>
      </x:c>
      <x:c r="P456" s="9" t="str">
        <x:v>No</x:v>
      </x:c>
      <x:c r="Q456" s="15" t="n">
        <x:v>21</x:v>
      </x:c>
      <x:c r="R456" s="13" t="n">
        <x:f>J456+Q456/1440</x:f>
        <x:v>46301.597916666666</x:v>
      </x:c>
      <x:c r="S456" s="2" t="str">
        <x:f>VLOOKUP(C456,'MES orders'!$A$8:$H$127,6,FALSE)</x:f>
        <x:v>Normal</x:v>
      </x:c>
      <x:c r="T456" s="9" t="str"/>
    </x:row>
    <x:row r="457" ht="22" customHeight="1">
      <x:c r="A457" s="2" t="str">
        <x:v>L00250-010</x:v>
      </x:c>
      <x:c r="B457" s="2" t="str">
        <x:v>L00250</x:v>
      </x:c>
      <x:c r="C457" s="2" t="str">
        <x:v>SO-26050</x:v>
      </x:c>
      <x:c r="D457" s="2" t="str">
        <x:v>D-C-SS</x:v>
      </x:c>
      <x:c r="E457" s="14" t="n">
        <x:v>25</x:v>
      </x:c>
      <x:c r="F457" s="2" t="str">
        <x:v>CNC machining</x:v>
      </x:c>
      <x:c r="G457" s="9" t="str">
        <x:v>CNC-06</x:v>
      </x:c>
      <x:c r="H457" s="15" t="n">
        <x:v>10</x:v>
      </x:c>
      <x:c r="I457" s="9" t="str">
        <x:v>P15</x:v>
      </x:c>
      <x:c r="J457" s="11" t="n">
        <x:v>46301.59583333333</x:v>
      </x:c>
      <x:c r="K457" s="15" t="n">
        <x:v>18</x:v>
      </x:c>
      <x:c r="L457" s="15" t="n">
        <x:v>60</x:v>
      </x:c>
      <x:c r="M457" s="13" t="n">
        <x:f>J457+(K457+L457)/1440</x:f>
        <x:v>46301.65</x:v>
      </x:c>
      <x:c r="N457" s="13" t="n">
        <x:f>VLOOKUP(C457,'MES orders'!$A$8:$H$127,5,FALSE)</x:f>
        <x:v>46303.666666666664</x:v>
      </x:c>
      <x:c r="O457" s="16" t="n">
        <x:f>MAX(0,(M457-N457)*24)</x:f>
        <x:v>0</x:v>
      </x:c>
      <x:c r="P457" s="9" t="str">
        <x:v>No</x:v>
      </x:c>
      <x:c r="Q457" s="15" t="n">
        <x:v>18</x:v>
      </x:c>
      <x:c r="R457" s="13" t="n">
        <x:f>J457+Q457/1440</x:f>
        <x:v>46301.60833333333</x:v>
      </x:c>
      <x:c r="S457" s="2" t="str">
        <x:f>VLOOKUP(C457,'MES orders'!$A$8:$H$127,6,FALSE)</x:f>
        <x:v>High</x:v>
      </x:c>
      <x:c r="T457" s="9" t="str"/>
    </x:row>
    <x:row r="458" ht="22" customHeight="1">
      <x:c r="A458" s="2" t="str">
        <x:v>L00521-040</x:v>
      </x:c>
      <x:c r="B458" s="2" t="str">
        <x:v>L00521</x:v>
      </x:c>
      <x:c r="C458" s="2" t="str">
        <x:v>SO-26105</x:v>
      </x:c>
      <x:c r="D458" s="2" t="str">
        <x:v>R-S-AL</x:v>
      </x:c>
      <x:c r="E458" s="14" t="n">
        <x:v>25</x:v>
      </x:c>
      <x:c r="F458" s="2" t="str">
        <x:v>Mechanical assembly</x:v>
      </x:c>
      <x:c r="G458" s="9" t="str">
        <x:v>AS-03</x:v>
      </x:c>
      <x:c r="H458" s="15" t="n">
        <x:v>22</x:v>
      </x:c>
      <x:c r="I458" s="9" t="str">
        <x:v>P16</x:v>
      </x:c>
      <x:c r="J458" s="11" t="n">
        <x:v>46301.597916666666</x:v>
      </x:c>
      <x:c r="K458" s="15" t="n">
        <x:v>8</x:v>
      </x:c>
      <x:c r="L458" s="15" t="n">
        <x:v>45</x:v>
      </x:c>
      <x:c r="M458" s="13" t="n">
        <x:f>J458+(K458+L458)/1440</x:f>
        <x:v>46301.634722222225</x:v>
      </x:c>
      <x:c r="N458" s="13" t="n">
        <x:f>VLOOKUP(C458,'MES orders'!$A$8:$H$127,5,FALSE)</x:f>
        <x:v>46302.666666666664</x:v>
      </x:c>
      <x:c r="O458" s="16" t="n">
        <x:f>MAX(0,(M458-N458)*24)</x:f>
        <x:v>0</x:v>
      </x:c>
      <x:c r="P458" s="9" t="str">
        <x:v>No</x:v>
      </x:c>
      <x:c r="Q458" s="15" t="n">
        <x:v>53</x:v>
      </x:c>
      <x:c r="R458" s="13" t="n">
        <x:f>J458+Q458/1440</x:f>
        <x:v>46301.634722222225</x:v>
      </x:c>
      <x:c r="S458" s="2" t="str">
        <x:f>VLOOKUP(C458,'MES orders'!$A$8:$H$127,6,FALSE)</x:f>
        <x:v>Normal</x:v>
      </x:c>
      <x:c r="T458" s="9" t="str"/>
    </x:row>
    <x:row r="459" ht="22" customHeight="1">
      <x:c r="A459" s="2" t="str">
        <x:v>L00246-030</x:v>
      </x:c>
      <x:c r="B459" s="2" t="str">
        <x:v>L00246</x:v>
      </x:c>
      <x:c r="C459" s="2" t="str">
        <x:v>SO-26050</x:v>
      </x:c>
      <x:c r="D459" s="2" t="str">
        <x:v>D-C-SS</x:v>
      </x:c>
      <x:c r="E459" s="14" t="n">
        <x:v>25</x:v>
      </x:c>
      <x:c r="F459" s="2" t="str">
        <x:v>Wash &amp; dry</x:v>
      </x:c>
      <x:c r="G459" s="9" t="str">
        <x:v>WS-01</x:v>
      </x:c>
      <x:c r="H459" s="15" t="n">
        <x:v>46</x:v>
      </x:c>
      <x:c r="I459" s="9" t="str">
        <x:v>P14</x:v>
      </x:c>
      <x:c r="J459" s="11" t="n">
        <x:v>46301.597916666666</x:v>
      </x:c>
      <x:c r="K459" s="15" t="n">
        <x:v>12</x:v>
      </x:c>
      <x:c r="L459" s="15" t="n">
        <x:v>7</x:v>
      </x:c>
      <x:c r="M459" s="13" t="n">
        <x:f>J459+(K459+L459)/1440</x:f>
        <x:v>46301.61111111111</x:v>
      </x:c>
      <x:c r="N459" s="13" t="n">
        <x:f>VLOOKUP(C459,'MES orders'!$A$8:$H$127,5,FALSE)</x:f>
        <x:v>46303.666666666664</x:v>
      </x:c>
      <x:c r="O459" s="16" t="n">
        <x:f>MAX(0,(M459-N459)*24)</x:f>
        <x:v>0</x:v>
      </x:c>
      <x:c r="P459" s="9" t="str">
        <x:v>No</x:v>
      </x:c>
      <x:c r="Q459" s="15" t="n">
        <x:v>19</x:v>
      </x:c>
      <x:c r="R459" s="13" t="n">
        <x:f>J459+Q459/1440</x:f>
        <x:v>46301.61111111111</x:v>
      </x:c>
      <x:c r="S459" s="2" t="str">
        <x:f>VLOOKUP(C459,'MES orders'!$A$8:$H$127,6,FALSE)</x:f>
        <x:v>High</x:v>
      </x:c>
      <x:c r="T459" s="9" t="str"/>
    </x:row>
    <x:row r="460" ht="22" customHeight="1">
      <x:c r="A460" s="2" t="str">
        <x:v>L00211-030</x:v>
      </x:c>
      <x:c r="B460" s="2" t="str">
        <x:v>L00211</x:v>
      </x:c>
      <x:c r="C460" s="2" t="str">
        <x:v>SO-26043</x:v>
      </x:c>
      <x:c r="D460" s="2" t="str">
        <x:v>R-C-AL</x:v>
      </x:c>
      <x:c r="E460" s="14" t="n">
        <x:v>15</x:v>
      </x:c>
      <x:c r="F460" s="2" t="str">
        <x:v>Wash &amp; dry</x:v>
      </x:c>
      <x:c r="G460" s="9" t="str">
        <x:v>WS-02</x:v>
      </x:c>
      <x:c r="H460" s="15" t="n">
        <x:v>31</x:v>
      </x:c>
      <x:c r="I460" s="9" t="str">
        <x:v>P19</x:v>
      </x:c>
      <x:c r="J460" s="11" t="n">
        <x:v>46301.597916666666</x:v>
      </x:c>
      <x:c r="K460" s="15" t="n">
        <x:v>12</x:v>
      </x:c>
      <x:c r="L460" s="15" t="n">
        <x:v>4</x:v>
      </x:c>
      <x:c r="M460" s="13" t="n">
        <x:f>J460+(K460+L460)/1440</x:f>
        <x:v>46301.60902777778</x:v>
      </x:c>
      <x:c r="N460" s="13" t="n">
        <x:f>VLOOKUP(C460,'MES orders'!$A$8:$H$127,5,FALSE)</x:f>
        <x:v>46304.666666666664</x:v>
      </x:c>
      <x:c r="O460" s="16" t="n">
        <x:f>MAX(0,(M460-N460)*24)</x:f>
        <x:v>0</x:v>
      </x:c>
      <x:c r="P460" s="9" t="str">
        <x:v>No</x:v>
      </x:c>
      <x:c r="Q460" s="15" t="n">
        <x:v>16</x:v>
      </x:c>
      <x:c r="R460" s="13" t="n">
        <x:f>J460+Q460/1440</x:f>
        <x:v>46301.60902777778</x:v>
      </x:c>
      <x:c r="S460" s="2" t="str">
        <x:f>VLOOKUP(C460,'MES orders'!$A$8:$H$127,6,FALSE)</x:f>
        <x:v>High</x:v>
      </x:c>
      <x:c r="T460" s="9" t="str"/>
    </x:row>
    <x:row r="461" ht="22" customHeight="1">
      <x:c r="A461" s="2" t="str">
        <x:v>L00522-020</x:v>
      </x:c>
      <x:c r="B461" s="2" t="str">
        <x:v>L00522</x:v>
      </x:c>
      <x:c r="C461" s="2" t="str">
        <x:v>SO-26105</x:v>
      </x:c>
      <x:c r="D461" s="2" t="str">
        <x:v>R-S-AL</x:v>
      </x:c>
      <x:c r="E461" s="14" t="n">
        <x:v>25</x:v>
      </x:c>
      <x:c r="F461" s="2" t="str">
        <x:v>Deburr &amp; inspect</x:v>
      </x:c>
      <x:c r="G461" s="9" t="str">
        <x:v>DB-01</x:v>
      </x:c>
      <x:c r="H461" s="15" t="n">
        <x:v>46</x:v>
      </x:c>
      <x:c r="I461" s="9" t="str">
        <x:v>P17</x:v>
      </x:c>
      <x:c r="J461" s="11" t="n">
        <x:v>46301.6</x:v>
      </x:c>
      <x:c r="K461" s="15" t="n">
        <x:v>4</x:v>
      </x:c>
      <x:c r="L461" s="15" t="n">
        <x:v>18</x:v>
      </x:c>
      <x:c r="M461" s="13" t="n">
        <x:f>J461+(K461+L461)/1440</x:f>
        <x:v>46301.615277777775</x:v>
      </x:c>
      <x:c r="N461" s="13" t="n">
        <x:f>VLOOKUP(C461,'MES orders'!$A$8:$H$127,5,FALSE)</x:f>
        <x:v>46302.666666666664</x:v>
      </x:c>
      <x:c r="O461" s="16" t="n">
        <x:f>MAX(0,(M461-N461)*24)</x:f>
        <x:v>0</x:v>
      </x:c>
      <x:c r="P461" s="9" t="str">
        <x:v>No</x:v>
      </x:c>
      <x:c r="Q461" s="15" t="n">
        <x:v>22</x:v>
      </x:c>
      <x:c r="R461" s="13" t="n">
        <x:f>J461+Q461/1440</x:f>
        <x:v>46301.615277777775</x:v>
      </x:c>
      <x:c r="S461" s="2" t="str">
        <x:f>VLOOKUP(C461,'MES orders'!$A$8:$H$127,6,FALSE)</x:f>
        <x:v>Normal</x:v>
      </x:c>
      <x:c r="T461" s="9" t="str"/>
    </x:row>
    <x:row r="462" ht="22" customHeight="1">
      <x:c r="A462" s="2" t="str">
        <x:v>L00523-020</x:v>
      </x:c>
      <x:c r="B462" s="2" t="str">
        <x:v>L00523</x:v>
      </x:c>
      <x:c r="C462" s="2" t="str">
        <x:v>SO-26105</x:v>
      </x:c>
      <x:c r="D462" s="2" t="str">
        <x:v>R-S-AL</x:v>
      </x:c>
      <x:c r="E462" s="14" t="n">
        <x:v>25</x:v>
      </x:c>
      <x:c r="F462" s="2" t="str">
        <x:v>Deburr &amp; inspect</x:v>
      </x:c>
      <x:c r="G462" s="9" t="str">
        <x:v>DB-02</x:v>
      </x:c>
      <x:c r="H462" s="15" t="n">
        <x:v>33</x:v>
      </x:c>
      <x:c r="I462" s="9" t="str">
        <x:v>P18</x:v>
      </x:c>
      <x:c r="J462" s="11" t="n">
        <x:v>46301.6</x:v>
      </x:c>
      <x:c r="K462" s="15" t="n">
        <x:v>4</x:v>
      </x:c>
      <x:c r="L462" s="15" t="n">
        <x:v>18</x:v>
      </x:c>
      <x:c r="M462" s="13" t="n">
        <x:f>J462+(K462+L462)/1440</x:f>
        <x:v>46301.615277777775</x:v>
      </x:c>
      <x:c r="N462" s="13" t="n">
        <x:f>VLOOKUP(C462,'MES orders'!$A$8:$H$127,5,FALSE)</x:f>
        <x:v>46302.666666666664</x:v>
      </x:c>
      <x:c r="O462" s="16" t="n">
        <x:f>MAX(0,(M462-N462)*24)</x:f>
        <x:v>0</x:v>
      </x:c>
      <x:c r="P462" s="9" t="str">
        <x:v>No</x:v>
      </x:c>
      <x:c r="Q462" s="15" t="n">
        <x:v>22</x:v>
      </x:c>
      <x:c r="R462" s="13" t="n">
        <x:f>J462+Q462/1440</x:f>
        <x:v>46301.615277777775</x:v>
      </x:c>
      <x:c r="S462" s="2" t="str">
        <x:f>VLOOKUP(C462,'MES orders'!$A$8:$H$127,6,FALSE)</x:f>
        <x:v>Normal</x:v>
      </x:c>
      <x:c r="T462" s="9" t="str"/>
    </x:row>
    <x:row r="463" ht="22" customHeight="1">
      <x:c r="A463" s="2" t="str">
        <x:v>L00484-060</x:v>
      </x:c>
      <x:c r="B463" s="2" t="str">
        <x:v>L00484</x:v>
      </x:c>
      <x:c r="C463" s="2" t="str">
        <x:v>SO-26097</x:v>
      </x:c>
      <x:c r="D463" s="2" t="str">
        <x:v>R-C-AL</x:v>
      </x:c>
      <x:c r="E463" s="14" t="n">
        <x:v>20</x:v>
      </x:c>
      <x:c r="F463" s="2" t="str">
        <x:v>Final leak / function test</x:v>
      </x:c>
      <x:c r="G463" s="9" t="str">
        <x:v>QA-02</x:v>
      </x:c>
      <x:c r="H463" s="15" t="n">
        <x:v>31</x:v>
      </x:c>
      <x:c r="I463" s="9" t="str">
        <x:v>P23</x:v>
      </x:c>
      <x:c r="J463" s="11" t="n">
        <x:v>46301.6</x:v>
      </x:c>
      <x:c r="K463" s="15" t="n">
        <x:v>10</x:v>
      </x:c>
      <x:c r="L463" s="15" t="n">
        <x:v>14</x:v>
      </x:c>
      <x:c r="M463" s="13" t="n">
        <x:f>J463+(K463+L463)/1440</x:f>
        <x:v>46301.61666666667</x:v>
      </x:c>
      <x:c r="N463" s="13" t="n">
        <x:f>VLOOKUP(C463,'MES orders'!$A$8:$H$127,5,FALSE)</x:f>
        <x:v>46302.666666666664</x:v>
      </x:c>
      <x:c r="O463" s="16" t="n">
        <x:f>MAX(0,(M463-N463)*24)</x:f>
        <x:v>0</x:v>
      </x:c>
      <x:c r="P463" s="9" t="str">
        <x:v>No</x:v>
      </x:c>
      <x:c r="Q463" s="15" t="n">
        <x:v>24</x:v>
      </x:c>
      <x:c r="R463" s="13" t="n">
        <x:f>J463+Q463/1440</x:f>
        <x:v>46301.61666666667</x:v>
      </x:c>
      <x:c r="S463" s="2" t="str">
        <x:f>VLOOKUP(C463,'MES orders'!$A$8:$H$127,6,FALSE)</x:f>
        <x:v>Normal</x:v>
      </x:c>
      <x:c r="T463" s="9" t="str"/>
    </x:row>
    <x:row r="464" ht="22" customHeight="1">
      <x:c r="A464" s="2" t="str">
        <x:v>L00485-060</x:v>
      </x:c>
      <x:c r="B464" s="2" t="str">
        <x:v>L00485</x:v>
      </x:c>
      <x:c r="C464" s="2" t="str">
        <x:v>SO-26097</x:v>
      </x:c>
      <x:c r="D464" s="2" t="str">
        <x:v>R-C-AL</x:v>
      </x:c>
      <x:c r="E464" s="14" t="n">
        <x:v>20</x:v>
      </x:c>
      <x:c r="F464" s="2" t="str">
        <x:v>Final leak / function test</x:v>
      </x:c>
      <x:c r="G464" s="9" t="str">
        <x:v>QA-03</x:v>
      </x:c>
      <x:c r="H464" s="15" t="n">
        <x:v>20</x:v>
      </x:c>
      <x:c r="I464" s="9" t="str">
        <x:v>P24</x:v>
      </x:c>
      <x:c r="J464" s="11" t="n">
        <x:v>46301.6</x:v>
      </x:c>
      <x:c r="K464" s="15" t="n">
        <x:v>10</x:v>
      </x:c>
      <x:c r="L464" s="15" t="n">
        <x:v>14</x:v>
      </x:c>
      <x:c r="M464" s="13" t="n">
        <x:f>J464+(K464+L464)/1440</x:f>
        <x:v>46301.61666666667</x:v>
      </x:c>
      <x:c r="N464" s="13" t="n">
        <x:f>VLOOKUP(C464,'MES orders'!$A$8:$H$127,5,FALSE)</x:f>
        <x:v>46302.666666666664</x:v>
      </x:c>
      <x:c r="O464" s="16" t="n">
        <x:f>MAX(0,(M464-N464)*24)</x:f>
        <x:v>0</x:v>
      </x:c>
      <x:c r="P464" s="9" t="str">
        <x:v>No</x:v>
      </x:c>
      <x:c r="Q464" s="15" t="n">
        <x:v>24</x:v>
      </x:c>
      <x:c r="R464" s="13" t="n">
        <x:f>J464+Q464/1440</x:f>
        <x:v>46301.61666666667</x:v>
      </x:c>
      <x:c r="S464" s="2" t="str">
        <x:f>VLOOKUP(C464,'MES orders'!$A$8:$H$127,6,FALSE)</x:f>
        <x:v>Normal</x:v>
      </x:c>
      <x:c r="T464" s="9" t="str"/>
    </x:row>
    <x:row r="465" ht="22" customHeight="1">
      <x:c r="A465" s="2" t="str">
        <x:v>L00211-040</x:v>
      </x:c>
      <x:c r="B465" s="2" t="str">
        <x:v>L00211</x:v>
      </x:c>
      <x:c r="C465" s="2" t="str">
        <x:v>SO-26043</x:v>
      </x:c>
      <x:c r="D465" s="2" t="str">
        <x:v>R-C-AL</x:v>
      </x:c>
      <x:c r="E465" s="14" t="n">
        <x:v>15</x:v>
      </x:c>
      <x:c r="F465" s="2" t="str">
        <x:v>Mechanical assembly</x:v>
      </x:c>
      <x:c r="G465" s="9" t="str">
        <x:v>AS-01</x:v>
      </x:c>
      <x:c r="H465" s="15" t="n">
        <x:v>39</x:v>
      </x:c>
      <x:c r="I465" s="9" t="str">
        <x:v>P20</x:v>
      </x:c>
      <x:c r="J465" s="11" t="n">
        <x:v>46301.60902777778</x:v>
      </x:c>
      <x:c r="K465" s="15" t="n">
        <x:v>8</x:v>
      </x:c>
      <x:c r="L465" s="15" t="n">
        <x:v>22</x:v>
      </x:c>
      <x:c r="M465" s="13" t="n">
        <x:f>J465+(K465+L465)/1440</x:f>
        <x:v>46301.62986111111</x:v>
      </x:c>
      <x:c r="N465" s="13" t="n">
        <x:f>VLOOKUP(C465,'MES orders'!$A$8:$H$127,5,FALSE)</x:f>
        <x:v>46304.666666666664</x:v>
      </x:c>
      <x:c r="O465" s="16" t="n">
        <x:f>MAX(0,(M465-N465)*24)</x:f>
        <x:v>0</x:v>
      </x:c>
      <x:c r="P465" s="9" t="str">
        <x:v>No</x:v>
      </x:c>
      <x:c r="Q465" s="15" t="n">
        <x:v>30</x:v>
      </x:c>
      <x:c r="R465" s="13" t="n">
        <x:f>J465+Q465/1440</x:f>
        <x:v>46301.62986111111</x:v>
      </x:c>
      <x:c r="S465" s="2" t="str">
        <x:f>VLOOKUP(C465,'MES orders'!$A$8:$H$127,6,FALSE)</x:f>
        <x:v>High</x:v>
      </x:c>
      <x:c r="T465" s="9" t="str"/>
    </x:row>
    <x:row r="466" ht="22" customHeight="1">
      <x:c r="A466" s="2" t="str">
        <x:v>L00246-040</x:v>
      </x:c>
      <x:c r="B466" s="2" t="str">
        <x:v>L00246</x:v>
      </x:c>
      <x:c r="C466" s="2" t="str">
        <x:v>SO-26050</x:v>
      </x:c>
      <x:c r="D466" s="2" t="str">
        <x:v>D-C-SS</x:v>
      </x:c>
      <x:c r="E466" s="14" t="n">
        <x:v>25</x:v>
      </x:c>
      <x:c r="F466" s="2" t="str">
        <x:v>Mechanical assembly</x:v>
      </x:c>
      <x:c r="G466" s="9" t="str">
        <x:v>AS-05</x:v>
      </x:c>
      <x:c r="H466" s="15" t="n">
        <x:v>11</x:v>
      </x:c>
      <x:c r="I466" s="9" t="str">
        <x:v>P14</x:v>
      </x:c>
      <x:c r="J466" s="11" t="n">
        <x:v>46301.61111111111</x:v>
      </x:c>
      <x:c r="K466" s="15" t="n">
        <x:v>8</x:v>
      </x:c>
      <x:c r="L466" s="15" t="n">
        <x:v>36</x:v>
      </x:c>
      <x:c r="M466" s="13" t="n">
        <x:f>J466+(K466+L466)/1440</x:f>
        <x:v>46301.64166666666</x:v>
      </x:c>
      <x:c r="N466" s="13" t="n">
        <x:f>VLOOKUP(C466,'MES orders'!$A$8:$H$127,5,FALSE)</x:f>
        <x:v>46303.666666666664</x:v>
      </x:c>
      <x:c r="O466" s="16" t="n">
        <x:f>MAX(0,(M466-N466)*24)</x:f>
        <x:v>0</x:v>
      </x:c>
      <x:c r="P466" s="9" t="str">
        <x:v>No</x:v>
      </x:c>
      <x:c r="Q466" s="15" t="n">
        <x:v>44</x:v>
      </x:c>
      <x:c r="R466" s="13" t="n">
        <x:f>J466+Q466/1440</x:f>
        <x:v>46301.64166666666</x:v>
      </x:c>
      <x:c r="S466" s="2" t="str">
        <x:f>VLOOKUP(C466,'MES orders'!$A$8:$H$127,6,FALSE)</x:f>
        <x:v>High</x:v>
      </x:c>
      <x:c r="T466" s="9" t="str"/>
    </x:row>
    <x:row r="467" ht="22" customHeight="1">
      <x:c r="A467" s="2" t="str">
        <x:v>L00248-020</x:v>
      </x:c>
      <x:c r="B467" s="2" t="str">
        <x:v>L00248</x:v>
      </x:c>
      <x:c r="C467" s="2" t="str">
        <x:v>SO-26050</x:v>
      </x:c>
      <x:c r="D467" s="2" t="str">
        <x:v>D-C-SS</x:v>
      </x:c>
      <x:c r="E467" s="14" t="n">
        <x:v>25</x:v>
      </x:c>
      <x:c r="F467" s="2" t="str">
        <x:v>Deburr &amp; inspect</x:v>
      </x:c>
      <x:c r="G467" s="9" t="str">
        <x:v>DB-01</x:v>
      </x:c>
      <x:c r="H467" s="15" t="n">
        <x:v>47</x:v>
      </x:c>
      <x:c r="I467" s="9" t="str">
        <x:v>P15</x:v>
      </x:c>
      <x:c r="J467" s="11" t="n">
        <x:v>46301.615277777775</x:v>
      </x:c>
      <x:c r="K467" s="15" t="n">
        <x:v>4</x:v>
      </x:c>
      <x:c r="L467" s="15" t="n">
        <x:v>14</x:v>
      </x:c>
      <x:c r="M467" s="13" t="n">
        <x:f>J467+(K467+L467)/1440</x:f>
        <x:v>46301.62777777777</x:v>
      </x:c>
      <x:c r="N467" s="13" t="n">
        <x:f>VLOOKUP(C467,'MES orders'!$A$8:$H$127,5,FALSE)</x:f>
        <x:v>46303.666666666664</x:v>
      </x:c>
      <x:c r="O467" s="16" t="n">
        <x:f>MAX(0,(M467-N467)*24)</x:f>
        <x:v>0</x:v>
      </x:c>
      <x:c r="P467" s="9" t="str">
        <x:v>No</x:v>
      </x:c>
      <x:c r="Q467" s="15" t="n">
        <x:v>18</x:v>
      </x:c>
      <x:c r="R467" s="13" t="n">
        <x:f>J467+Q467/1440</x:f>
        <x:v>46301.62777777777</x:v>
      </x:c>
      <x:c r="S467" s="2" t="str">
        <x:f>VLOOKUP(C467,'MES orders'!$A$8:$H$127,6,FALSE)</x:f>
        <x:v>High</x:v>
      </x:c>
      <x:c r="T467" s="9" t="str"/>
    </x:row>
    <x:row r="468" ht="22" customHeight="1">
      <x:c r="A468" s="2" t="str">
        <x:v>L00522-030</x:v>
      </x:c>
      <x:c r="B468" s="2" t="str">
        <x:v>L00522</x:v>
      </x:c>
      <x:c r="C468" s="2" t="str">
        <x:v>SO-26105</x:v>
      </x:c>
      <x:c r="D468" s="2" t="str">
        <x:v>R-S-AL</x:v>
      </x:c>
      <x:c r="E468" s="14" t="n">
        <x:v>25</x:v>
      </x:c>
      <x:c r="F468" s="2" t="str">
        <x:v>Wash &amp; dry</x:v>
      </x:c>
      <x:c r="G468" s="9" t="str">
        <x:v>WS-01</x:v>
      </x:c>
      <x:c r="H468" s="15" t="n">
        <x:v>47</x:v>
      </x:c>
      <x:c r="I468" s="9" t="str">
        <x:v>P17</x:v>
      </x:c>
      <x:c r="J468" s="11" t="n">
        <x:v>46301.615277777775</x:v>
      </x:c>
      <x:c r="K468" s="15" t="n">
        <x:v>12</x:v>
      </x:c>
      <x:c r="L468" s="15" t="n">
        <x:v>9</x:v>
      </x:c>
      <x:c r="M468" s="13" t="n">
        <x:f>J468+(K468+L468)/1440</x:f>
        <x:v>46301.629861111105</x:v>
      </x:c>
      <x:c r="N468" s="13" t="n">
        <x:f>VLOOKUP(C468,'MES orders'!$A$8:$H$127,5,FALSE)</x:f>
        <x:v>46302.666666666664</x:v>
      </x:c>
      <x:c r="O468" s="16" t="n">
        <x:f>MAX(0,(M468-N468)*24)</x:f>
        <x:v>0</x:v>
      </x:c>
      <x:c r="P468" s="9" t="str">
        <x:v>No</x:v>
      </x:c>
      <x:c r="Q468" s="15" t="n">
        <x:v>21</x:v>
      </x:c>
      <x:c r="R468" s="13" t="n">
        <x:f>J468+Q468/1440</x:f>
        <x:v>46301.629861111105</x:v>
      </x:c>
      <x:c r="S468" s="2" t="str">
        <x:f>VLOOKUP(C468,'MES orders'!$A$8:$H$127,6,FALSE)</x:f>
        <x:v>Normal</x:v>
      </x:c>
      <x:c r="T468" s="9" t="str"/>
    </x:row>
    <x:row r="469" ht="22" customHeight="1">
      <x:c r="A469" s="2" t="str">
        <x:v>L00523-030</x:v>
      </x:c>
      <x:c r="B469" s="2" t="str">
        <x:v>L00523</x:v>
      </x:c>
      <x:c r="C469" s="2" t="str">
        <x:v>SO-26105</x:v>
      </x:c>
      <x:c r="D469" s="2" t="str">
        <x:v>R-S-AL</x:v>
      </x:c>
      <x:c r="E469" s="14" t="n">
        <x:v>25</x:v>
      </x:c>
      <x:c r="F469" s="2" t="str">
        <x:v>Wash &amp; dry</x:v>
      </x:c>
      <x:c r="G469" s="9" t="str">
        <x:v>WS-02</x:v>
      </x:c>
      <x:c r="H469" s="15" t="n">
        <x:v>32</x:v>
      </x:c>
      <x:c r="I469" s="9" t="str">
        <x:v>P18</x:v>
      </x:c>
      <x:c r="J469" s="11" t="n">
        <x:v>46301.615277777775</x:v>
      </x:c>
      <x:c r="K469" s="15" t="n">
        <x:v>12</x:v>
      </x:c>
      <x:c r="L469" s="15" t="n">
        <x:v>9</x:v>
      </x:c>
      <x:c r="M469" s="13" t="n">
        <x:f>J469+(K469+L469)/1440</x:f>
        <x:v>46301.629861111105</x:v>
      </x:c>
      <x:c r="N469" s="13" t="n">
        <x:f>VLOOKUP(C469,'MES orders'!$A$8:$H$127,5,FALSE)</x:f>
        <x:v>46302.666666666664</x:v>
      </x:c>
      <x:c r="O469" s="16" t="n">
        <x:f>MAX(0,(M469-N469)*24)</x:f>
        <x:v>0</x:v>
      </x:c>
      <x:c r="P469" s="9" t="str">
        <x:v>No</x:v>
      </x:c>
      <x:c r="Q469" s="15" t="n">
        <x:v>21</x:v>
      </x:c>
      <x:c r="R469" s="13" t="n">
        <x:f>J469+Q469/1440</x:f>
        <x:v>46301.629861111105</x:v>
      </x:c>
      <x:c r="S469" s="2" t="str">
        <x:f>VLOOKUP(C469,'MES orders'!$A$8:$H$127,6,FALSE)</x:f>
        <x:v>Normal</x:v>
      </x:c>
      <x:c r="T469" s="9" t="str"/>
    </x:row>
    <x:row r="470" ht="22" customHeight="1">
      <x:c r="A470" s="2" t="str">
        <x:v>L00249-020</x:v>
      </x:c>
      <x:c r="B470" s="2" t="str">
        <x:v>L00249</x:v>
      </x:c>
      <x:c r="C470" s="2" t="str">
        <x:v>SO-26050</x:v>
      </x:c>
      <x:c r="D470" s="2" t="str">
        <x:v>D-C-SS</x:v>
      </x:c>
      <x:c r="E470" s="14" t="n">
        <x:v>25</x:v>
      </x:c>
      <x:c r="F470" s="2" t="str">
        <x:v>Deburr &amp; inspect</x:v>
      </x:c>
      <x:c r="G470" s="9" t="str">
        <x:v>DB-02</x:v>
      </x:c>
      <x:c r="H470" s="15" t="n">
        <x:v>34</x:v>
      </x:c>
      <x:c r="I470" s="9" t="str">
        <x:v>P19</x:v>
      </x:c>
      <x:c r="J470" s="11" t="n">
        <x:v>46301.61944444444</x:v>
      </x:c>
      <x:c r="K470" s="15" t="n">
        <x:v>4</x:v>
      </x:c>
      <x:c r="L470" s="15" t="n">
        <x:v>14</x:v>
      </x:c>
      <x:c r="M470" s="13" t="n">
        <x:f>J470+(K470+L470)/1440</x:f>
        <x:v>46301.63194444444</x:v>
      </x:c>
      <x:c r="N470" s="13" t="n">
        <x:f>VLOOKUP(C470,'MES orders'!$A$8:$H$127,5,FALSE)</x:f>
        <x:v>46303.666666666664</x:v>
      </x:c>
      <x:c r="O470" s="16" t="n">
        <x:f>MAX(0,(M470-N470)*24)</x:f>
        <x:v>0</x:v>
      </x:c>
      <x:c r="P470" s="9" t="str">
        <x:v>No</x:v>
      </x:c>
      <x:c r="Q470" s="15" t="n">
        <x:v>18</x:v>
      </x:c>
      <x:c r="R470" s="13" t="n">
        <x:f>J470+Q470/1440</x:f>
        <x:v>46301.63194444444</x:v>
      </x:c>
      <x:c r="S470" s="2" t="str">
        <x:f>VLOOKUP(C470,'MES orders'!$A$8:$H$127,6,FALSE)</x:f>
        <x:v>High</x:v>
      </x:c>
      <x:c r="T470" s="9" t="str"/>
    </x:row>
    <x:row r="471" ht="22" customHeight="1">
      <x:c r="A471" s="2" t="str">
        <x:v>L00522-040</x:v>
      </x:c>
      <x:c r="B471" s="2" t="str">
        <x:v>L00522</x:v>
      </x:c>
      <x:c r="C471" s="2" t="str">
        <x:v>SO-26105</x:v>
      </x:c>
      <x:c r="D471" s="2" t="str">
        <x:v>R-S-AL</x:v>
      </x:c>
      <x:c r="E471" s="14" t="n">
        <x:v>25</x:v>
      </x:c>
      <x:c r="F471" s="2" t="str">
        <x:v>Mechanical assembly</x:v>
      </x:c>
      <x:c r="G471" s="9" t="str">
        <x:v>AS-02</x:v>
      </x:c>
      <x:c r="H471" s="15" t="n">
        <x:v>32</x:v>
      </x:c>
      <x:c r="I471" s="9" t="str">
        <x:v>P18</x:v>
      </x:c>
      <x:c r="J471" s="11" t="n">
        <x:v>46301.62986111111</x:v>
      </x:c>
      <x:c r="K471" s="15" t="n">
        <x:v>8</x:v>
      </x:c>
      <x:c r="L471" s="15" t="n">
        <x:v>45</x:v>
      </x:c>
      <x:c r="M471" s="13" t="n">
        <x:f>J471+(K471+L471)/1440</x:f>
        <x:v>46301.66666666667</x:v>
      </x:c>
      <x:c r="N471" s="13" t="n">
        <x:f>VLOOKUP(C471,'MES orders'!$A$8:$H$127,5,FALSE)</x:f>
        <x:v>46302.666666666664</x:v>
      </x:c>
      <x:c r="O471" s="16" t="n">
        <x:f>MAX(0,(M471-N471)*24)</x:f>
        <x:v>0</x:v>
      </x:c>
      <x:c r="P471" s="9" t="str">
        <x:v>No</x:v>
      </x:c>
      <x:c r="Q471" s="15" t="n">
        <x:v>53</x:v>
      </x:c>
      <x:c r="R471" s="13" t="n">
        <x:f>J471+Q471/1440</x:f>
        <x:v>46301.66666666667</x:v>
      </x:c>
      <x:c r="S471" s="2" t="str">
        <x:f>VLOOKUP(C471,'MES orders'!$A$8:$H$127,6,FALSE)</x:f>
        <x:v>Normal</x:v>
      </x:c>
      <x:c r="T471" s="9" t="str"/>
    </x:row>
    <x:row r="472" ht="22" customHeight="1">
      <x:c r="A472" s="2" t="str">
        <x:v>L00211-050</x:v>
      </x:c>
      <x:c r="B472" s="2" t="str">
        <x:v>L00211</x:v>
      </x:c>
      <x:c r="C472" s="2" t="str">
        <x:v>SO-26043</x:v>
      </x:c>
      <x:c r="D472" s="2" t="str">
        <x:v>R-C-AL</x:v>
      </x:c>
      <x:c r="E472" s="14" t="n">
        <x:v>15</x:v>
      </x:c>
      <x:c r="F472" s="2" t="str">
        <x:v>Valve adjustment</x:v>
      </x:c>
      <x:c r="G472" s="9" t="str">
        <x:v>AS-04</x:v>
      </x:c>
      <x:c r="H472" s="15" t="n">
        <x:v>13</x:v>
      </x:c>
      <x:c r="I472" s="9" t="str">
        <x:v>P20</x:v>
      </x:c>
      <x:c r="J472" s="11" t="n">
        <x:v>46301.62986111111</x:v>
      </x:c>
      <x:c r="K472" s="15" t="n">
        <x:v>6</x:v>
      </x:c>
      <x:c r="L472" s="15" t="n">
        <x:v>13</x:v>
      </x:c>
      <x:c r="M472" s="13" t="n">
        <x:f>J472+(K472+L472)/1440</x:f>
        <x:v>46301.643055555556</x:v>
      </x:c>
      <x:c r="N472" s="13" t="n">
        <x:f>VLOOKUP(C472,'MES orders'!$A$8:$H$127,5,FALSE)</x:f>
        <x:v>46304.666666666664</x:v>
      </x:c>
      <x:c r="O472" s="16" t="n">
        <x:f>MAX(0,(M472-N472)*24)</x:f>
        <x:v>0</x:v>
      </x:c>
      <x:c r="P472" s="9" t="str">
        <x:v>No</x:v>
      </x:c>
      <x:c r="Q472" s="15" t="n">
        <x:v>19</x:v>
      </x:c>
      <x:c r="R472" s="13" t="n">
        <x:f>J472+Q472/1440</x:f>
        <x:v>46301.643055555556</x:v>
      </x:c>
      <x:c r="S472" s="2" t="str">
        <x:f>VLOOKUP(C472,'MES orders'!$A$8:$H$127,6,FALSE)</x:f>
        <x:v>High</x:v>
      </x:c>
      <x:c r="T472" s="9" t="str"/>
    </x:row>
    <x:row r="473" ht="22" customHeight="1">
      <x:c r="A473" s="2" t="str">
        <x:v>L00248-030</x:v>
      </x:c>
      <x:c r="B473" s="2" t="str">
        <x:v>L00248</x:v>
      </x:c>
      <x:c r="C473" s="2" t="str">
        <x:v>SO-26050</x:v>
      </x:c>
      <x:c r="D473" s="2" t="str">
        <x:v>D-C-SS</x:v>
      </x:c>
      <x:c r="E473" s="14" t="n">
        <x:v>25</x:v>
      </x:c>
      <x:c r="F473" s="2" t="str">
        <x:v>Wash &amp; dry</x:v>
      </x:c>
      <x:c r="G473" s="9" t="str">
        <x:v>WS-01</x:v>
      </x:c>
      <x:c r="H473" s="15" t="n">
        <x:v>48</x:v>
      </x:c>
      <x:c r="I473" s="9" t="str">
        <x:v>P13</x:v>
      </x:c>
      <x:c r="J473" s="11" t="n">
        <x:v>46301.62986111111</x:v>
      </x:c>
      <x:c r="K473" s="15" t="n">
        <x:v>12</x:v>
      </x:c>
      <x:c r="L473" s="15" t="n">
        <x:v>7</x:v>
      </x:c>
      <x:c r="M473" s="13" t="n">
        <x:f>J473+(K473+L473)/1440</x:f>
        <x:v>46301.643055555556</x:v>
      </x:c>
      <x:c r="N473" s="13" t="n">
        <x:f>VLOOKUP(C473,'MES orders'!$A$8:$H$127,5,FALSE)</x:f>
        <x:v>46303.666666666664</x:v>
      </x:c>
      <x:c r="O473" s="16" t="n">
        <x:f>MAX(0,(M473-N473)*24)</x:f>
        <x:v>0</x:v>
      </x:c>
      <x:c r="P473" s="9" t="str">
        <x:v>No</x:v>
      </x:c>
      <x:c r="Q473" s="15" t="n">
        <x:v>19</x:v>
      </x:c>
      <x:c r="R473" s="13" t="n">
        <x:f>J473+Q473/1440</x:f>
        <x:v>46301.643055555556</x:v>
      </x:c>
      <x:c r="S473" s="2" t="str">
        <x:f>VLOOKUP(C473,'MES orders'!$A$8:$H$127,6,FALSE)</x:f>
        <x:v>High</x:v>
      </x:c>
      <x:c r="T473" s="9" t="str"/>
    </x:row>
    <x:row r="474" ht="22" customHeight="1">
      <x:c r="A474" s="2" t="str">
        <x:v>L00249-030</x:v>
      </x:c>
      <x:c r="B474" s="2" t="str">
        <x:v>L00249</x:v>
      </x:c>
      <x:c r="C474" s="2" t="str">
        <x:v>SO-26050</x:v>
      </x:c>
      <x:c r="D474" s="2" t="str">
        <x:v>D-C-SS</x:v>
      </x:c>
      <x:c r="E474" s="14" t="n">
        <x:v>25</x:v>
      </x:c>
      <x:c r="F474" s="2" t="str">
        <x:v>Wash &amp; dry</x:v>
      </x:c>
      <x:c r="G474" s="9" t="str">
        <x:v>WS-02</x:v>
      </x:c>
      <x:c r="H474" s="15" t="n">
        <x:v>33</x:v>
      </x:c>
      <x:c r="I474" s="9" t="str">
        <x:v>P15</x:v>
      </x:c>
      <x:c r="J474" s="11" t="n">
        <x:v>46301.631944444445</x:v>
      </x:c>
      <x:c r="K474" s="15" t="n">
        <x:v>12</x:v>
      </x:c>
      <x:c r="L474" s="15" t="n">
        <x:v>7</x:v>
      </x:c>
      <x:c r="M474" s="13" t="n">
        <x:f>J474+(K474+L474)/1440</x:f>
        <x:v>46301.64513888889</x:v>
      </x:c>
      <x:c r="N474" s="13" t="n">
        <x:f>VLOOKUP(C474,'MES orders'!$A$8:$H$127,5,FALSE)</x:f>
        <x:v>46303.666666666664</x:v>
      </x:c>
      <x:c r="O474" s="16" t="n">
        <x:f>MAX(0,(M474-N474)*24)</x:f>
        <x:v>0</x:v>
      </x:c>
      <x:c r="P474" s="9" t="str">
        <x:v>No</x:v>
      </x:c>
      <x:c r="Q474" s="15" t="n">
        <x:v>19</x:v>
      </x:c>
      <x:c r="R474" s="13" t="n">
        <x:f>J474+Q474/1440</x:f>
        <x:v>46301.64513888889</x:v>
      </x:c>
      <x:c r="S474" s="2" t="str">
        <x:f>VLOOKUP(C474,'MES orders'!$A$8:$H$127,6,FALSE)</x:f>
        <x:v>High</x:v>
      </x:c>
      <x:c r="T474" s="9" t="str"/>
    </x:row>
    <x:row r="475" ht="22" customHeight="1">
      <x:c r="A475" s="2" t="str">
        <x:v>L00521-050</x:v>
      </x:c>
      <x:c r="B475" s="2" t="str">
        <x:v>L00521</x:v>
      </x:c>
      <x:c r="C475" s="2" t="str">
        <x:v>SO-26105</x:v>
      </x:c>
      <x:c r="D475" s="2" t="str">
        <x:v>R-S-AL</x:v>
      </x:c>
      <x:c r="E475" s="14" t="n">
        <x:v>25</x:v>
      </x:c>
      <x:c r="F475" s="2" t="str">
        <x:v>Valve adjustment</x:v>
      </x:c>
      <x:c r="G475" s="9" t="str">
        <x:v>AS-01</x:v>
      </x:c>
      <x:c r="H475" s="15" t="n">
        <x:v>40</x:v>
      </x:c>
      <x:c r="I475" s="9" t="str">
        <x:v>P17</x:v>
      </x:c>
      <x:c r="J475" s="11" t="n">
        <x:v>46301.634722222225</x:v>
      </x:c>
      <x:c r="K475" s="15" t="n">
        <x:v>6</x:v>
      </x:c>
      <x:c r="L475" s="15" t="n">
        <x:v>28</x:v>
      </x:c>
      <x:c r="M475" s="13" t="n">
        <x:f>J475+(K475+L475)/1440</x:f>
        <x:v>46301.65833333333</x:v>
      </x:c>
      <x:c r="N475" s="13" t="n">
        <x:f>VLOOKUP(C475,'MES orders'!$A$8:$H$127,5,FALSE)</x:f>
        <x:v>46302.666666666664</x:v>
      </x:c>
      <x:c r="O475" s="16" t="n">
        <x:f>MAX(0,(M475-N475)*24)</x:f>
        <x:v>0</x:v>
      </x:c>
      <x:c r="P475" s="9" t="str">
        <x:v>No</x:v>
      </x:c>
      <x:c r="Q475" s="15" t="n">
        <x:v>34</x:v>
      </x:c>
      <x:c r="R475" s="13" t="n">
        <x:f>J475+Q475/1440</x:f>
        <x:v>46301.65833333333</x:v>
      </x:c>
      <x:c r="S475" s="2" t="str">
        <x:f>VLOOKUP(C475,'MES orders'!$A$8:$H$127,6,FALSE)</x:f>
        <x:v>Normal</x:v>
      </x:c>
      <x:c r="T475" s="9" t="str"/>
    </x:row>
    <x:row r="476" ht="22" customHeight="1">
      <x:c r="A476" s="2" t="str">
        <x:v>L00523-040</x:v>
      </x:c>
      <x:c r="B476" s="2" t="str">
        <x:v>L00523</x:v>
      </x:c>
      <x:c r="C476" s="2" t="str">
        <x:v>SO-26105</x:v>
      </x:c>
      <x:c r="D476" s="2" t="str">
        <x:v>R-S-AL</x:v>
      </x:c>
      <x:c r="E476" s="14" t="n">
        <x:v>25</x:v>
      </x:c>
      <x:c r="F476" s="2" t="str">
        <x:v>Mechanical assembly</x:v>
      </x:c>
      <x:c r="G476" s="9" t="str">
        <x:v>AS-03</x:v>
      </x:c>
      <x:c r="H476" s="15" t="n">
        <x:v>23</x:v>
      </x:c>
      <x:c r="I476" s="9" t="str">
        <x:v>P16</x:v>
      </x:c>
      <x:c r="J476" s="11" t="n">
        <x:v>46301.634722222225</x:v>
      </x:c>
      <x:c r="K476" s="15" t="n">
        <x:v>8</x:v>
      </x:c>
      <x:c r="L476" s="15" t="n">
        <x:v>45</x:v>
      </x:c>
      <x:c r="M476" s="13" t="n">
        <x:f>J476+(K476+L476)/1440</x:f>
        <x:v>46301.671527777784</x:v>
      </x:c>
      <x:c r="N476" s="13" t="n">
        <x:f>VLOOKUP(C476,'MES orders'!$A$8:$H$127,5,FALSE)</x:f>
        <x:v>46302.666666666664</x:v>
      </x:c>
      <x:c r="O476" s="16" t="n">
        <x:f>MAX(0,(M476-N476)*24)</x:f>
        <x:v>0</x:v>
      </x:c>
      <x:c r="P476" s="9" t="str">
        <x:v>No</x:v>
      </x:c>
      <x:c r="Q476" s="15" t="n">
        <x:v>53</x:v>
      </x:c>
      <x:c r="R476" s="13" t="n">
        <x:f>J476+Q476/1440</x:f>
        <x:v>46301.671527777784</x:v>
      </x:c>
      <x:c r="S476" s="2" t="str">
        <x:f>VLOOKUP(C476,'MES orders'!$A$8:$H$127,6,FALSE)</x:f>
        <x:v>Normal</x:v>
      </x:c>
      <x:c r="T476" s="9" t="str"/>
    </x:row>
    <x:row r="477" ht="22" customHeight="1">
      <x:c r="A477" s="2" t="str">
        <x:v>L00526-010</x:v>
      </x:c>
      <x:c r="B477" s="2" t="str">
        <x:v>L00526</x:v>
      </x:c>
      <x:c r="C477" s="2" t="str">
        <x:v>SO-26106</x:v>
      </x:c>
      <x:c r="D477" s="2" t="str">
        <x:v>S-S-SS</x:v>
      </x:c>
      <x:c r="E477" s="14" t="n">
        <x:v>20</x:v>
      </x:c>
      <x:c r="F477" s="2" t="str">
        <x:v>CNC machining</x:v>
      </x:c>
      <x:c r="G477" s="9" t="str">
        <x:v>CNC-03</x:v>
      </x:c>
      <x:c r="H477" s="15" t="n">
        <x:v>16</x:v>
      </x:c>
      <x:c r="I477" s="9" t="str">
        <x:v>P14</x:v>
      </x:c>
      <x:c r="J477" s="11" t="n">
        <x:v>46301.64166666667</x:v>
      </x:c>
      <x:c r="K477" s="15" t="n">
        <x:v>18</x:v>
      </x:c>
      <x:c r="L477" s="15" t="n">
        <x:v>60</x:v>
      </x:c>
      <x:c r="M477" s="13" t="n">
        <x:f>J477+(K477+L477)/1440</x:f>
        <x:v>46301.69583333334</x:v>
      </x:c>
      <x:c r="N477" s="13" t="n">
        <x:f>VLOOKUP(C477,'MES orders'!$A$8:$H$127,5,FALSE)</x:f>
        <x:v>46303.666666666664</x:v>
      </x:c>
      <x:c r="O477" s="16" t="n">
        <x:f>MAX(0,(M477-N477)*24)</x:f>
        <x:v>0</x:v>
      </x:c>
      <x:c r="P477" s="9" t="str">
        <x:v>No</x:v>
      </x:c>
      <x:c r="Q477" s="15" t="n">
        <x:v>18</x:v>
      </x:c>
      <x:c r="R477" s="13" t="n">
        <x:f>J477+Q477/1440</x:f>
        <x:v>46301.65416666667</x:v>
      </x:c>
      <x:c r="S477" s="2" t="str">
        <x:f>VLOOKUP(C477,'MES orders'!$A$8:$H$127,6,FALSE)</x:f>
        <x:v>High</x:v>
      </x:c>
      <x:c r="T477" s="9" t="str"/>
    </x:row>
    <x:row r="478" ht="22" customHeight="1">
      <x:c r="A478" s="2" t="str">
        <x:v>L00246-050</x:v>
      </x:c>
      <x:c r="B478" s="2" t="str">
        <x:v>L00246</x:v>
      </x:c>
      <x:c r="C478" s="2" t="str">
        <x:v>SO-26050</x:v>
      </x:c>
      <x:c r="D478" s="2" t="str">
        <x:v>D-C-SS</x:v>
      </x:c>
      <x:c r="E478" s="14" t="n">
        <x:v>25</x:v>
      </x:c>
      <x:c r="F478" s="2" t="str">
        <x:v>Final leak / function test</x:v>
      </x:c>
      <x:c r="G478" s="9" t="str">
        <x:v>QA-01</x:v>
      </x:c>
      <x:c r="H478" s="15" t="n">
        <x:v>22</x:v>
      </x:c>
      <x:c r="I478" s="9" t="str">
        <x:v>P24</x:v>
      </x:c>
      <x:c r="J478" s="11" t="n">
        <x:v>46301.64166666667</x:v>
      </x:c>
      <x:c r="K478" s="15" t="n">
        <x:v>10</x:v>
      </x:c>
      <x:c r="L478" s="15" t="n">
        <x:v>18</x:v>
      </x:c>
      <x:c r="M478" s="13" t="n">
        <x:f>J478+(K478+L478)/1440</x:f>
        <x:v>46301.66111111111</x:v>
      </x:c>
      <x:c r="N478" s="13" t="n">
        <x:f>VLOOKUP(C478,'MES orders'!$A$8:$H$127,5,FALSE)</x:f>
        <x:v>46303.666666666664</x:v>
      </x:c>
      <x:c r="O478" s="16" t="n">
        <x:f>MAX(0,(M478-N478)*24)</x:f>
        <x:v>0</x:v>
      </x:c>
      <x:c r="P478" s="9" t="str">
        <x:v>No</x:v>
      </x:c>
      <x:c r="Q478" s="15" t="n">
        <x:v>28</x:v>
      </x:c>
      <x:c r="R478" s="13" t="n">
        <x:f>J478+Q478/1440</x:f>
        <x:v>46301.66111111111</x:v>
      </x:c>
      <x:c r="S478" s="2" t="str">
        <x:f>VLOOKUP(C478,'MES orders'!$A$8:$H$127,6,FALSE)</x:f>
        <x:v>High</x:v>
      </x:c>
      <x:c r="T478" s="9" t="str"/>
    </x:row>
    <x:row r="479" ht="22" customHeight="1">
      <x:c r="A479" s="2" t="str">
        <x:v>L00211-060</x:v>
      </x:c>
      <x:c r="B479" s="2" t="str">
        <x:v>L00211</x:v>
      </x:c>
      <x:c r="C479" s="2" t="str">
        <x:v>SO-26043</x:v>
      </x:c>
      <x:c r="D479" s="2" t="str">
        <x:v>R-C-AL</x:v>
      </x:c>
      <x:c r="E479" s="14" t="n">
        <x:v>15</x:v>
      </x:c>
      <x:c r="F479" s="2" t="str">
        <x:v>Final leak / function test</x:v>
      </x:c>
      <x:c r="G479" s="9" t="str">
        <x:v>QA-02</x:v>
      </x:c>
      <x:c r="H479" s="15" t="n">
        <x:v>32</x:v>
      </x:c>
      <x:c r="I479" s="9" t="str">
        <x:v>P23</x:v>
      </x:c>
      <x:c r="J479" s="11" t="n">
        <x:v>46301.643055555556</x:v>
      </x:c>
      <x:c r="K479" s="15" t="n">
        <x:v>10</x:v>
      </x:c>
      <x:c r="L479" s="15" t="n">
        <x:v>11</x:v>
      </x:c>
      <x:c r="M479" s="13" t="n">
        <x:f>J479+(K479+L479)/1440</x:f>
        <x:v>46301.657638888886</x:v>
      </x:c>
      <x:c r="N479" s="13" t="n">
        <x:f>VLOOKUP(C479,'MES orders'!$A$8:$H$127,5,FALSE)</x:f>
        <x:v>46304.666666666664</x:v>
      </x:c>
      <x:c r="O479" s="16" t="n">
        <x:f>MAX(0,(M479-N479)*24)</x:f>
        <x:v>0</x:v>
      </x:c>
      <x:c r="P479" s="9" t="str">
        <x:v>No</x:v>
      </x:c>
      <x:c r="Q479" s="15" t="n">
        <x:v>21</x:v>
      </x:c>
      <x:c r="R479" s="13" t="n">
        <x:f>J479+Q479/1440</x:f>
        <x:v>46301.657638888886</x:v>
      </x:c>
      <x:c r="S479" s="2" t="str">
        <x:f>VLOOKUP(C479,'MES orders'!$A$8:$H$127,6,FALSE)</x:f>
        <x:v>High</x:v>
      </x:c>
      <x:c r="T479" s="9" t="str"/>
    </x:row>
    <x:row r="480" ht="22" customHeight="1">
      <x:c r="A480" s="2" t="str">
        <x:v>L00249-040</x:v>
      </x:c>
      <x:c r="B480" s="2" t="str">
        <x:v>L00249</x:v>
      </x:c>
      <x:c r="C480" s="2" t="str">
        <x:v>SO-26050</x:v>
      </x:c>
      <x:c r="D480" s="2" t="str">
        <x:v>D-C-SS</x:v>
      </x:c>
      <x:c r="E480" s="14" t="n">
        <x:v>25</x:v>
      </x:c>
      <x:c r="F480" s="2" t="str">
        <x:v>Mechanical assembly</x:v>
      </x:c>
      <x:c r="G480" s="9" t="str">
        <x:v>AS-04</x:v>
      </x:c>
      <x:c r="H480" s="15" t="n">
        <x:v>14</x:v>
      </x:c>
      <x:c r="I480" s="9" t="str">
        <x:v>P13</x:v>
      </x:c>
      <x:c r="J480" s="11" t="n">
        <x:v>46301.64513888889</x:v>
      </x:c>
      <x:c r="K480" s="15" t="n">
        <x:v>8</x:v>
      </x:c>
      <x:c r="L480" s="15" t="n">
        <x:v>36</x:v>
      </x:c>
      <x:c r="M480" s="13" t="n">
        <x:f>J480+(K480+L480)/1440</x:f>
        <x:v>46301.67569444444</x:v>
      </x:c>
      <x:c r="N480" s="13" t="n">
        <x:f>VLOOKUP(C480,'MES orders'!$A$8:$H$127,5,FALSE)</x:f>
        <x:v>46303.666666666664</x:v>
      </x:c>
      <x:c r="O480" s="16" t="n">
        <x:f>MAX(0,(M480-N480)*24)</x:f>
        <x:v>0</x:v>
      </x:c>
      <x:c r="P480" s="9" t="str">
        <x:v>No</x:v>
      </x:c>
      <x:c r="Q480" s="15" t="n">
        <x:v>44</x:v>
      </x:c>
      <x:c r="R480" s="13" t="n">
        <x:f>J480+Q480/1440</x:f>
        <x:v>46301.67569444444</x:v>
      </x:c>
      <x:c r="S480" s="2" t="str">
        <x:f>VLOOKUP(C480,'MES orders'!$A$8:$H$127,6,FALSE)</x:f>
        <x:v>High</x:v>
      </x:c>
      <x:c r="T480" s="9" t="str"/>
    </x:row>
    <x:row r="481" ht="22" customHeight="1">
      <x:c r="A481" s="2" t="str">
        <x:v>L00527-010</x:v>
      </x:c>
      <x:c r="B481" s="2" t="str">
        <x:v>L00527</x:v>
      </x:c>
      <x:c r="C481" s="2" t="str">
        <x:v>SO-26106</x:v>
      </x:c>
      <x:c r="D481" s="2" t="str">
        <x:v>S-S-SS</x:v>
      </x:c>
      <x:c r="E481" s="14" t="n">
        <x:v>20</x:v>
      </x:c>
      <x:c r="F481" s="2" t="str">
        <x:v>CNC machining</x:v>
      </x:c>
      <x:c r="G481" s="9" t="str">
        <x:v>CNC-04</x:v>
      </x:c>
      <x:c r="H481" s="15" t="n">
        <x:v>14</x:v>
      </x:c>
      <x:c r="I481" s="9" t="str">
        <x:v>P15</x:v>
      </x:c>
      <x:c r="J481" s="11" t="n">
        <x:v>46301.64513888889</x:v>
      </x:c>
      <x:c r="K481" s="15" t="n">
        <x:v>18</x:v>
      </x:c>
      <x:c r="L481" s="15" t="n">
        <x:v>60</x:v>
      </x:c>
      <x:c r="M481" s="13" t="n">
        <x:f>J481+(K481+L481)/1440</x:f>
        <x:v>46301.69930555556</x:v>
      </x:c>
      <x:c r="N481" s="13" t="n">
        <x:f>VLOOKUP(C481,'MES orders'!$A$8:$H$127,5,FALSE)</x:f>
        <x:v>46303.666666666664</x:v>
      </x:c>
      <x:c r="O481" s="16" t="n">
        <x:f>MAX(0,(M481-N481)*24)</x:f>
        <x:v>0</x:v>
      </x:c>
      <x:c r="P481" s="9" t="str">
        <x:v>No</x:v>
      </x:c>
      <x:c r="Q481" s="15" t="n">
        <x:v>18</x:v>
      </x:c>
      <x:c r="R481" s="13" t="n">
        <x:f>J481+Q481/1440</x:f>
        <x:v>46301.657638888886</x:v>
      </x:c>
      <x:c r="S481" s="2" t="str">
        <x:f>VLOOKUP(C481,'MES orders'!$A$8:$H$127,6,FALSE)</x:f>
        <x:v>High</x:v>
      </x:c>
      <x:c r="T481" s="9" t="str"/>
    </x:row>
    <x:row r="482" ht="22" customHeight="1">
      <x:c r="A482" s="2" t="str">
        <x:v>L00528-010</x:v>
      </x:c>
      <x:c r="B482" s="2" t="str">
        <x:v>L00528</x:v>
      </x:c>
      <x:c r="C482" s="2" t="str">
        <x:v>SO-26106</x:v>
      </x:c>
      <x:c r="D482" s="2" t="str">
        <x:v>S-S-SS</x:v>
      </x:c>
      <x:c r="E482" s="14" t="n">
        <x:v>20</x:v>
      </x:c>
      <x:c r="F482" s="2" t="str">
        <x:v>CNC machining</x:v>
      </x:c>
      <x:c r="G482" s="9" t="str">
        <x:v>CNC-05</x:v>
      </x:c>
      <x:c r="H482" s="15" t="n">
        <x:v>12</x:v>
      </x:c>
      <x:c r="I482" s="9" t="str">
        <x:v>P14</x:v>
      </x:c>
      <x:c r="J482" s="11" t="n">
        <x:v>46301.65416666667</x:v>
      </x:c>
      <x:c r="K482" s="15" t="n">
        <x:v>18</x:v>
      </x:c>
      <x:c r="L482" s="15" t="n">
        <x:v>60</x:v>
      </x:c>
      <x:c r="M482" s="13" t="n">
        <x:f>J482+(K482+L482)/1440</x:f>
        <x:v>46301.708333333336</x:v>
      </x:c>
      <x:c r="N482" s="13" t="n">
        <x:f>VLOOKUP(C482,'MES orders'!$A$8:$H$127,5,FALSE)</x:f>
        <x:v>46303.666666666664</x:v>
      </x:c>
      <x:c r="O482" s="16" t="n">
        <x:f>MAX(0,(M482-N482)*24)</x:f>
        <x:v>0</x:v>
      </x:c>
      <x:c r="P482" s="9" t="str">
        <x:v>No</x:v>
      </x:c>
      <x:c r="Q482" s="15" t="n">
        <x:v>18</x:v>
      </x:c>
      <x:c r="R482" s="13" t="n">
        <x:f>J482+Q482/1440</x:f>
        <x:v>46301.666666666664</x:v>
      </x:c>
      <x:c r="S482" s="2" t="str">
        <x:f>VLOOKUP(C482,'MES orders'!$A$8:$H$127,6,FALSE)</x:f>
        <x:v>High</x:v>
      </x:c>
      <x:c r="T482" s="9" t="str"/>
    </x:row>
    <x:row r="483" ht="22" customHeight="1">
      <x:c r="A483" s="2" t="str">
        <x:v>L00529-010</x:v>
      </x:c>
      <x:c r="B483" s="2" t="str">
        <x:v>L00529</x:v>
      </x:c>
      <x:c r="C483" s="2" t="str">
        <x:v>SO-26106</x:v>
      </x:c>
      <x:c r="D483" s="2" t="str">
        <x:v>S-S-SS</x:v>
      </x:c>
      <x:c r="E483" s="14" t="n">
        <x:v>20</x:v>
      </x:c>
      <x:c r="F483" s="2" t="str">
        <x:v>CNC machining</x:v>
      </x:c>
      <x:c r="G483" s="9" t="str">
        <x:v>CNC-06</x:v>
      </x:c>
      <x:c r="H483" s="15" t="n">
        <x:v>11</x:v>
      </x:c>
      <x:c r="I483" s="9" t="str">
        <x:v>P15</x:v>
      </x:c>
      <x:c r="J483" s="11" t="n">
        <x:v>46301.657638888886</x:v>
      </x:c>
      <x:c r="K483" s="15" t="n">
        <x:v>18</x:v>
      </x:c>
      <x:c r="L483" s="15" t="n">
        <x:v>60</x:v>
      </x:c>
      <x:c r="M483" s="13" t="n">
        <x:f>J483+(K483+L483)/1440</x:f>
        <x:v>46301.711805555555</x:v>
      </x:c>
      <x:c r="N483" s="13" t="n">
        <x:f>VLOOKUP(C483,'MES orders'!$A$8:$H$127,5,FALSE)</x:f>
        <x:v>46303.666666666664</x:v>
      </x:c>
      <x:c r="O483" s="16" t="n">
        <x:f>MAX(0,(M483-N483)*24)</x:f>
        <x:v>0</x:v>
      </x:c>
      <x:c r="P483" s="9" t="str">
        <x:v>No</x:v>
      </x:c>
      <x:c r="Q483" s="15" t="n">
        <x:v>18</x:v>
      </x:c>
      <x:c r="R483" s="13" t="n">
        <x:f>J483+Q483/1440</x:f>
        <x:v>46301.67013888888</x:v>
      </x:c>
      <x:c r="S483" s="2" t="str">
        <x:f>VLOOKUP(C483,'MES orders'!$A$8:$H$127,6,FALSE)</x:f>
        <x:v>High</x:v>
      </x:c>
      <x:c r="T483" s="9" t="str"/>
    </x:row>
    <x:row r="484" ht="22" customHeight="1">
      <x:c r="A484" s="2" t="str">
        <x:v>L00521-060</x:v>
      </x:c>
      <x:c r="B484" s="2" t="str">
        <x:v>L00521</x:v>
      </x:c>
      <x:c r="C484" s="2" t="str">
        <x:v>SO-26105</x:v>
      </x:c>
      <x:c r="D484" s="2" t="str">
        <x:v>R-S-AL</x:v>
      </x:c>
      <x:c r="E484" s="14" t="n">
        <x:v>25</x:v>
      </x:c>
      <x:c r="F484" s="2" t="str">
        <x:v>Final leak / function test</x:v>
      </x:c>
      <x:c r="G484" s="9" t="str">
        <x:v>QA-02</x:v>
      </x:c>
      <x:c r="H484" s="15" t="n">
        <x:v>33</x:v>
      </x:c>
      <x:c r="I484" s="9" t="str">
        <x:v>P23</x:v>
      </x:c>
      <x:c r="J484" s="11" t="n">
        <x:v>46301.65833333333</x:v>
      </x:c>
      <x:c r="K484" s="15" t="n">
        <x:v>10</x:v>
      </x:c>
      <x:c r="L484" s="15" t="n">
        <x:v>22</x:v>
      </x:c>
      <x:c r="M484" s="13" t="n">
        <x:f>J484+(K484+L484)/1440</x:f>
        <x:v>46301.680555555555</x:v>
      </x:c>
      <x:c r="N484" s="13" t="n">
        <x:f>VLOOKUP(C484,'MES orders'!$A$8:$H$127,5,FALSE)</x:f>
        <x:v>46302.666666666664</x:v>
      </x:c>
      <x:c r="O484" s="16" t="n">
        <x:f>MAX(0,(M484-N484)*24)</x:f>
        <x:v>0</x:v>
      </x:c>
      <x:c r="P484" s="9" t="str">
        <x:v>No</x:v>
      </x:c>
      <x:c r="Q484" s="15" t="n">
        <x:v>32</x:v>
      </x:c>
      <x:c r="R484" s="13" t="n">
        <x:f>J484+Q484/1440</x:f>
        <x:v>46301.680555555555</x:v>
      </x:c>
      <x:c r="S484" s="2" t="str">
        <x:f>VLOOKUP(C484,'MES orders'!$A$8:$H$127,6,FALSE)</x:f>
        <x:v>Normal</x:v>
      </x:c>
      <x:c r="T484" s="9" t="str"/>
    </x:row>
    <x:row r="485" ht="22" customHeight="1">
      <x:c r="A485" s="2" t="str">
        <x:v>L00522-050</x:v>
      </x:c>
      <x:c r="B485" s="2" t="str">
        <x:v>L00522</x:v>
      </x:c>
      <x:c r="C485" s="2" t="str">
        <x:v>SO-26105</x:v>
      </x:c>
      <x:c r="D485" s="2" t="str">
        <x:v>R-S-AL</x:v>
      </x:c>
      <x:c r="E485" s="14" t="n">
        <x:v>25</x:v>
      </x:c>
      <x:c r="F485" s="2" t="str">
        <x:v>Valve adjustment</x:v>
      </x:c>
      <x:c r="G485" s="9" t="str">
        <x:v>AS-01</x:v>
      </x:c>
      <x:c r="H485" s="15" t="n">
        <x:v>41</x:v>
      </x:c>
      <x:c r="I485" s="9" t="str">
        <x:v>P17</x:v>
      </x:c>
      <x:c r="J485" s="11" t="n">
        <x:v>46301.666666666664</x:v>
      </x:c>
      <x:c r="K485" s="15" t="n">
        <x:v>6</x:v>
      </x:c>
      <x:c r="L485" s="15" t="n">
        <x:v>28</x:v>
      </x:c>
      <x:c r="M485" s="13" t="n">
        <x:f>J485+(K485+L485)/1440</x:f>
        <x:v>46301.69027777777</x:v>
      </x:c>
      <x:c r="N485" s="13" t="n">
        <x:f>VLOOKUP(C485,'MES orders'!$A$8:$H$127,5,FALSE)</x:f>
        <x:v>46302.666666666664</x:v>
      </x:c>
      <x:c r="O485" s="16" t="n">
        <x:f>MAX(0,(M485-N485)*24)</x:f>
        <x:v>0</x:v>
      </x:c>
      <x:c r="P485" s="9" t="str">
        <x:v>No</x:v>
      </x:c>
      <x:c r="Q485" s="15" t="n">
        <x:v>34</x:v>
      </x:c>
      <x:c r="R485" s="13" t="n">
        <x:f>J485+Q485/1440</x:f>
        <x:v>46301.69027777777</x:v>
      </x:c>
      <x:c r="S485" s="2" t="str">
        <x:f>VLOOKUP(C485,'MES orders'!$A$8:$H$127,6,FALSE)</x:f>
        <x:v>Normal</x:v>
      </x:c>
      <x:c r="T485" s="9" t="str"/>
    </x:row>
    <x:row r="486" ht="22" customHeight="1">
      <x:c r="A486" s="2" t="str">
        <x:v>L00212-010</x:v>
      </x:c>
      <x:c r="B486" s="2" t="str">
        <x:v>L00212</x:v>
      </x:c>
      <x:c r="C486" s="2" t="str">
        <x:v>SO-26043</x:v>
      </x:c>
      <x:c r="D486" s="2" t="str">
        <x:v>R-C-AL</x:v>
      </x:c>
      <x:c r="E486" s="14" t="n">
        <x:v>15</x:v>
      </x:c>
      <x:c r="F486" s="2" t="str">
        <x:v>CNC machining</x:v>
      </x:c>
      <x:c r="G486" s="9" t="str">
        <x:v>CNC-01</x:v>
      </x:c>
      <x:c r="H486" s="15" t="n">
        <x:v>21</x:v>
      </x:c>
      <x:c r="I486" s="9" t="str">
        <x:v>P14</x:v>
      </x:c>
      <x:c r="J486" s="11" t="n">
        <x:v>46301.666666666664</x:v>
      </x:c>
      <x:c r="K486" s="15" t="n">
        <x:v>18</x:v>
      </x:c>
      <x:c r="L486" s="15" t="n">
        <x:v>29</x:v>
      </x:c>
      <x:c r="M486" s="13" t="n">
        <x:f>J486+(K486+L486)/1440</x:f>
        <x:v>46301.69930555555</x:v>
      </x:c>
      <x:c r="N486" s="13" t="n">
        <x:f>VLOOKUP(C486,'MES orders'!$A$8:$H$127,5,FALSE)</x:f>
        <x:v>46304.666666666664</x:v>
      </x:c>
      <x:c r="O486" s="16" t="n">
        <x:f>MAX(0,(M486-N486)*24)</x:f>
        <x:v>0</x:v>
      </x:c>
      <x:c r="P486" s="9" t="str">
        <x:v>No</x:v>
      </x:c>
      <x:c r="Q486" s="15" t="n">
        <x:v>18</x:v>
      </x:c>
      <x:c r="R486" s="13" t="n">
        <x:f>J486+Q486/1440</x:f>
        <x:v>46301.67916666666</x:v>
      </x:c>
      <x:c r="S486" s="2" t="str">
        <x:f>VLOOKUP(C486,'MES orders'!$A$8:$H$127,6,FALSE)</x:f>
        <x:v>High</x:v>
      </x:c>
      <x:c r="T486" s="9" t="str"/>
    </x:row>
    <x:row r="487" ht="22" customHeight="1">
      <x:c r="A487" s="2" t="str">
        <x:v>L00213-010</x:v>
      </x:c>
      <x:c r="B487" s="2" t="str">
        <x:v>L00213</x:v>
      </x:c>
      <x:c r="C487" s="2" t="str">
        <x:v>SO-26043</x:v>
      </x:c>
      <x:c r="D487" s="2" t="str">
        <x:v>R-C-AL</x:v>
      </x:c>
      <x:c r="E487" s="14" t="n">
        <x:v>15</x:v>
      </x:c>
      <x:c r="F487" s="2" t="str">
        <x:v>CNC machining</x:v>
      </x:c>
      <x:c r="G487" s="9" t="str">
        <x:v>CNC-02</x:v>
      </x:c>
      <x:c r="H487" s="15" t="n">
        <x:v>15</x:v>
      </x:c>
      <x:c r="I487" s="9" t="str">
        <x:v>P15</x:v>
      </x:c>
      <x:c r="J487" s="11" t="n">
        <x:v>46301.67013888889</x:v>
      </x:c>
      <x:c r="K487" s="15" t="n">
        <x:v>18</x:v>
      </x:c>
      <x:c r="L487" s="15" t="n">
        <x:v>29</x:v>
      </x:c>
      <x:c r="M487" s="13" t="n">
        <x:f>J487+(K487+L487)/1440</x:f>
        <x:v>46301.70277777778</x:v>
      </x:c>
      <x:c r="N487" s="13" t="n">
        <x:f>VLOOKUP(C487,'MES orders'!$A$8:$H$127,5,FALSE)</x:f>
        <x:v>46304.666666666664</x:v>
      </x:c>
      <x:c r="O487" s="16" t="n">
        <x:f>MAX(0,(M487-N487)*24)</x:f>
        <x:v>0</x:v>
      </x:c>
      <x:c r="P487" s="9" t="str">
        <x:v>No</x:v>
      </x:c>
      <x:c r="Q487" s="15" t="n">
        <x:v>18</x:v>
      </x:c>
      <x:c r="R487" s="13" t="n">
        <x:f>J487+Q487/1440</x:f>
        <x:v>46301.68263888889</x:v>
      </x:c>
      <x:c r="S487" s="2" t="str">
        <x:f>VLOOKUP(C487,'MES orders'!$A$8:$H$127,6,FALSE)</x:f>
        <x:v>High</x:v>
      </x:c>
      <x:c r="T487" s="9" t="str"/>
    </x:row>
    <x:row r="488" ht="22" customHeight="1">
      <x:c r="A488" s="2" t="str">
        <x:v>L00523-050</x:v>
      </x:c>
      <x:c r="B488" s="2" t="str">
        <x:v>L00523</x:v>
      </x:c>
      <x:c r="C488" s="2" t="str">
        <x:v>SO-26105</x:v>
      </x:c>
      <x:c r="D488" s="2" t="str">
        <x:v>R-S-AL</x:v>
      </x:c>
      <x:c r="E488" s="14" t="n">
        <x:v>25</x:v>
      </x:c>
      <x:c r="F488" s="2" t="str">
        <x:v>Valve adjustment</x:v>
      </x:c>
      <x:c r="G488" s="9" t="str">
        <x:v>AS-02</x:v>
      </x:c>
      <x:c r="H488" s="15" t="n">
        <x:v>33</x:v>
      </x:c>
      <x:c r="I488" s="9" t="str">
        <x:v>P18</x:v>
      </x:c>
      <x:c r="J488" s="11" t="n">
        <x:v>46301.67152777778</x:v>
      </x:c>
      <x:c r="K488" s="15" t="n">
        <x:v>6</x:v>
      </x:c>
      <x:c r="L488" s="15" t="n">
        <x:v>28</x:v>
      </x:c>
      <x:c r="M488" s="13" t="n">
        <x:f>J488+(K488+L488)/1440</x:f>
        <x:v>46301.695138888885</x:v>
      </x:c>
      <x:c r="N488" s="13" t="n">
        <x:f>VLOOKUP(C488,'MES orders'!$A$8:$H$127,5,FALSE)</x:f>
        <x:v>46302.666666666664</x:v>
      </x:c>
      <x:c r="O488" s="16" t="n">
        <x:f>MAX(0,(M488-N488)*24)</x:f>
        <x:v>0</x:v>
      </x:c>
      <x:c r="P488" s="9" t="str">
        <x:v>No</x:v>
      </x:c>
      <x:c r="Q488" s="15" t="n">
        <x:v>34</x:v>
      </x:c>
      <x:c r="R488" s="13" t="n">
        <x:f>J488+Q488/1440</x:f>
        <x:v>46301.695138888885</x:v>
      </x:c>
      <x:c r="S488" s="2" t="str">
        <x:f>VLOOKUP(C488,'MES orders'!$A$8:$H$127,6,FALSE)</x:f>
        <x:v>Normal</x:v>
      </x:c>
      <x:c r="T488" s="9" t="str"/>
    </x:row>
    <x:row r="489" ht="22" customHeight="1">
      <x:c r="A489" s="2" t="str">
        <x:v>L00525-040</x:v>
      </x:c>
      <x:c r="B489" s="2" t="str">
        <x:v>L00525</x:v>
      </x:c>
      <x:c r="C489" s="2" t="str">
        <x:v>SO-26105</x:v>
      </x:c>
      <x:c r="D489" s="2" t="str">
        <x:v>R-S-AL</x:v>
      </x:c>
      <x:c r="E489" s="14" t="n">
        <x:v>25</x:v>
      </x:c>
      <x:c r="F489" s="2" t="str">
        <x:v>Mechanical assembly</x:v>
      </x:c>
      <x:c r="G489" s="9" t="str">
        <x:v>AS-03</x:v>
      </x:c>
      <x:c r="H489" s="15" t="n">
        <x:v>24</x:v>
      </x:c>
      <x:c r="I489" s="9" t="str">
        <x:v>P16</x:v>
      </x:c>
      <x:c r="J489" s="11" t="n">
        <x:v>46301.67152777778</x:v>
      </x:c>
      <x:c r="K489" s="15" t="n">
        <x:v>8</x:v>
      </x:c>
      <x:c r="L489" s="15" t="n">
        <x:v>45</x:v>
      </x:c>
      <x:c r="M489" s="13" t="n">
        <x:f>J489+(K489+L489)/1440</x:f>
        <x:v>46301.708333333336</x:v>
      </x:c>
      <x:c r="N489" s="13" t="n">
        <x:f>VLOOKUP(C489,'MES orders'!$A$8:$H$127,5,FALSE)</x:f>
        <x:v>46302.666666666664</x:v>
      </x:c>
      <x:c r="O489" s="16" t="n">
        <x:f>MAX(0,(M489-N489)*24)</x:f>
        <x:v>0</x:v>
      </x:c>
      <x:c r="P489" s="9" t="str">
        <x:v>No</x:v>
      </x:c>
      <x:c r="Q489" s="15" t="n">
        <x:v>53</x:v>
      </x:c>
      <x:c r="R489" s="13" t="n">
        <x:f>J489+Q489/1440</x:f>
        <x:v>46301.708333333336</x:v>
      </x:c>
      <x:c r="S489" s="2" t="str">
        <x:f>VLOOKUP(C489,'MES orders'!$A$8:$H$127,6,FALSE)</x:f>
        <x:v>Normal</x:v>
      </x:c>
      <x:c r="T489" s="9" t="str"/>
    </x:row>
    <x:row r="490" ht="22" customHeight="1">
      <x:c r="A490" s="2" t="str">
        <x:v>L00249-050</x:v>
      </x:c>
      <x:c r="B490" s="2" t="str">
        <x:v>L00249</x:v>
      </x:c>
      <x:c r="C490" s="2" t="str">
        <x:v>SO-26050</x:v>
      </x:c>
      <x:c r="D490" s="2" t="str">
        <x:v>D-C-SS</x:v>
      </x:c>
      <x:c r="E490" s="14" t="n">
        <x:v>25</x:v>
      </x:c>
      <x:c r="F490" s="2" t="str">
        <x:v>Final leak / function test</x:v>
      </x:c>
      <x:c r="G490" s="9" t="str">
        <x:v>QA-01</x:v>
      </x:c>
      <x:c r="H490" s="15" t="n">
        <x:v>23</x:v>
      </x:c>
      <x:c r="I490" s="9" t="str">
        <x:v>P24</x:v>
      </x:c>
      <x:c r="J490" s="11" t="n">
        <x:v>46301.67569444444</x:v>
      </x:c>
      <x:c r="K490" s="15" t="n">
        <x:v>10</x:v>
      </x:c>
      <x:c r="L490" s="15" t="n">
        <x:v>18</x:v>
      </x:c>
      <x:c r="M490" s="13" t="n">
        <x:f>J490+(K490+L490)/1440</x:f>
        <x:v>46301.695138888885</x:v>
      </x:c>
      <x:c r="N490" s="13" t="n">
        <x:f>VLOOKUP(C490,'MES orders'!$A$8:$H$127,5,FALSE)</x:f>
        <x:v>46303.666666666664</x:v>
      </x:c>
      <x:c r="O490" s="16" t="n">
        <x:f>MAX(0,(M490-N490)*24)</x:f>
        <x:v>0</x:v>
      </x:c>
      <x:c r="P490" s="9" t="str">
        <x:v>No</x:v>
      </x:c>
      <x:c r="Q490" s="15" t="n">
        <x:v>28</x:v>
      </x:c>
      <x:c r="R490" s="13" t="n">
        <x:f>J490+Q490/1440</x:f>
        <x:v>46301.695138888885</x:v>
      </x:c>
      <x:c r="S490" s="2" t="str">
        <x:f>VLOOKUP(C490,'MES orders'!$A$8:$H$127,6,FALSE)</x:f>
        <x:v>High</x:v>
      </x:c>
      <x:c r="T490" s="9" t="str"/>
    </x:row>
    <x:row r="491" ht="22" customHeight="1">
      <x:c r="A491" s="2" t="str">
        <x:v>L00524-050</x:v>
      </x:c>
      <x:c r="B491" s="2" t="str">
        <x:v>L00524</x:v>
      </x:c>
      <x:c r="C491" s="2" t="str">
        <x:v>SO-26105</x:v>
      </x:c>
      <x:c r="D491" s="2" t="str">
        <x:v>R-S-AL</x:v>
      </x:c>
      <x:c r="E491" s="14" t="n">
        <x:v>25</x:v>
      </x:c>
      <x:c r="F491" s="2" t="str">
        <x:v>Valve adjustment</x:v>
      </x:c>
      <x:c r="G491" s="9" t="str">
        <x:v>AS-01</x:v>
      </x:c>
      <x:c r="H491" s="15" t="n">
        <x:v>42</x:v>
      </x:c>
      <x:c r="I491" s="9" t="str">
        <x:v>P17</x:v>
      </x:c>
      <x:c r="J491" s="11" t="n">
        <x:v>46301.69027777778</x:v>
      </x:c>
      <x:c r="K491" s="15" t="n">
        <x:v>6</x:v>
      </x:c>
      <x:c r="L491" s="15" t="n">
        <x:v>28</x:v>
      </x:c>
      <x:c r="M491" s="13" t="n">
        <x:f>J491+(K491+L491)/1440</x:f>
        <x:v>46301.71388888889</x:v>
      </x:c>
      <x:c r="N491" s="13" t="n">
        <x:f>VLOOKUP(C491,'MES orders'!$A$8:$H$127,5,FALSE)</x:f>
        <x:v>46302.666666666664</x:v>
      </x:c>
      <x:c r="O491" s="16" t="n">
        <x:f>MAX(0,(M491-N491)*24)</x:f>
        <x:v>0</x:v>
      </x:c>
      <x:c r="P491" s="9" t="str">
        <x:v>No</x:v>
      </x:c>
      <x:c r="Q491" s="15" t="n">
        <x:v>34</x:v>
      </x:c>
      <x:c r="R491" s="13" t="n">
        <x:f>J491+Q491/1440</x:f>
        <x:v>46301.71388888889</x:v>
      </x:c>
      <x:c r="S491" s="2" t="str">
        <x:f>VLOOKUP(C491,'MES orders'!$A$8:$H$127,6,FALSE)</x:f>
        <x:v>Normal</x:v>
      </x:c>
      <x:c r="T491" s="9" t="str"/>
    </x:row>
    <x:row r="492" ht="22" customHeight="1">
      <x:c r="A492" s="2" t="str">
        <x:v>L00522-060</x:v>
      </x:c>
      <x:c r="B492" s="2" t="str">
        <x:v>L00522</x:v>
      </x:c>
      <x:c r="C492" s="2" t="str">
        <x:v>SO-26105</x:v>
      </x:c>
      <x:c r="D492" s="2" t="str">
        <x:v>R-S-AL</x:v>
      </x:c>
      <x:c r="E492" s="14" t="n">
        <x:v>25</x:v>
      </x:c>
      <x:c r="F492" s="2" t="str">
        <x:v>Final leak / function test</x:v>
      </x:c>
      <x:c r="G492" s="9" t="str">
        <x:v>QA-02</x:v>
      </x:c>
      <x:c r="H492" s="15" t="n">
        <x:v>34</x:v>
      </x:c>
      <x:c r="I492" s="9" t="str">
        <x:v>P23</x:v>
      </x:c>
      <x:c r="J492" s="11" t="n">
        <x:v>46301.69027777778</x:v>
      </x:c>
      <x:c r="K492" s="15" t="n">
        <x:v>10</x:v>
      </x:c>
      <x:c r="L492" s="15" t="n">
        <x:v>22</x:v>
      </x:c>
      <x:c r="M492" s="13" t="n">
        <x:f>J492+(K492+L492)/1440</x:f>
        <x:v>46301.7125</x:v>
      </x:c>
      <x:c r="N492" s="13" t="n">
        <x:f>VLOOKUP(C492,'MES orders'!$A$8:$H$127,5,FALSE)</x:f>
        <x:v>46302.666666666664</x:v>
      </x:c>
      <x:c r="O492" s="16" t="n">
        <x:f>MAX(0,(M492-N492)*24)</x:f>
        <x:v>0</x:v>
      </x:c>
      <x:c r="P492" s="9" t="str">
        <x:v>No</x:v>
      </x:c>
      <x:c r="Q492" s="15" t="n">
        <x:v>32</x:v>
      </x:c>
      <x:c r="R492" s="13" t="n">
        <x:f>J492+Q492/1440</x:f>
        <x:v>46301.7125</x:v>
      </x:c>
      <x:c r="S492" s="2" t="str">
        <x:f>VLOOKUP(C492,'MES orders'!$A$8:$H$127,6,FALSE)</x:f>
        <x:v>Normal</x:v>
      </x:c>
      <x:c r="T492" s="9" t="str"/>
    </x:row>
    <x:row r="493" ht="22" customHeight="1">
      <x:c r="A493" s="2" t="str">
        <x:v>L00247-020</x:v>
      </x:c>
      <x:c r="B493" s="2" t="str">
        <x:v>L00247</x:v>
      </x:c>
      <x:c r="C493" s="2" t="str">
        <x:v>SO-26050</x:v>
      </x:c>
      <x:c r="D493" s="2" t="str">
        <x:v>D-C-SS</x:v>
      </x:c>
      <x:c r="E493" s="14" t="n">
        <x:v>25</x:v>
      </x:c>
      <x:c r="F493" s="2" t="str">
        <x:v>Deburr &amp; inspect</x:v>
      </x:c>
      <x:c r="G493" s="9" t="str">
        <x:v>DB-01</x:v>
      </x:c>
      <x:c r="H493" s="15" t="n">
        <x:v>48</x:v>
      </x:c>
      <x:c r="I493" s="9" t="str">
        <x:v>P18</x:v>
      </x:c>
      <x:c r="J493" s="11" t="n">
        <x:v>46301.69513888889</x:v>
      </x:c>
      <x:c r="K493" s="15" t="n">
        <x:v>4</x:v>
      </x:c>
      <x:c r="L493" s="15" t="n">
        <x:v>14</x:v>
      </x:c>
      <x:c r="M493" s="13" t="n">
        <x:f>J493+(K493+L493)/1440</x:f>
        <x:v>46301.70763888889</x:v>
      </x:c>
      <x:c r="N493" s="13" t="n">
        <x:f>VLOOKUP(C493,'MES orders'!$A$8:$H$127,5,FALSE)</x:f>
        <x:v>46303.666666666664</x:v>
      </x:c>
      <x:c r="O493" s="16" t="n">
        <x:f>MAX(0,(M493-N493)*24)</x:f>
        <x:v>0</x:v>
      </x:c>
      <x:c r="P493" s="9" t="str">
        <x:v>No</x:v>
      </x:c>
      <x:c r="Q493" s="15" t="n">
        <x:v>18</x:v>
      </x:c>
      <x:c r="R493" s="13" t="n">
        <x:f>J493+Q493/1440</x:f>
        <x:v>46301.70763888889</x:v>
      </x:c>
      <x:c r="S493" s="2" t="str">
        <x:f>VLOOKUP(C493,'MES orders'!$A$8:$H$127,6,FALSE)</x:f>
        <x:v>High</x:v>
      </x:c>
      <x:c r="T493" s="9" t="str"/>
    </x:row>
    <x:row r="494" ht="22" customHeight="1">
      <x:c r="A494" s="2" t="str">
        <x:v>L00523-060</x:v>
      </x:c>
      <x:c r="B494" s="2" t="str">
        <x:v>L00523</x:v>
      </x:c>
      <x:c r="C494" s="2" t="str">
        <x:v>SO-26105</x:v>
      </x:c>
      <x:c r="D494" s="2" t="str">
        <x:v>R-S-AL</x:v>
      </x:c>
      <x:c r="E494" s="14" t="n">
        <x:v>25</x:v>
      </x:c>
      <x:c r="F494" s="2" t="str">
        <x:v>Final leak / function test</x:v>
      </x:c>
      <x:c r="G494" s="9" t="str">
        <x:v>QA-03</x:v>
      </x:c>
      <x:c r="H494" s="15" t="n">
        <x:v>21</x:v>
      </x:c>
      <x:c r="I494" s="9" t="str">
        <x:v>P24</x:v>
      </x:c>
      <x:c r="J494" s="11" t="n">
        <x:v>46301.69513888889</x:v>
      </x:c>
      <x:c r="K494" s="15" t="n">
        <x:v>10</x:v>
      </x:c>
      <x:c r="L494" s="15" t="n">
        <x:v>22</x:v>
      </x:c>
      <x:c r="M494" s="13" t="n">
        <x:f>J494+(K494+L494)/1440</x:f>
        <x:v>46301.717361111114</x:v>
      </x:c>
      <x:c r="N494" s="13" t="n">
        <x:f>VLOOKUP(C494,'MES orders'!$A$8:$H$127,5,FALSE)</x:f>
        <x:v>46302.666666666664</x:v>
      </x:c>
      <x:c r="O494" s="16" t="n">
        <x:f>MAX(0,(M494-N494)*24)</x:f>
        <x:v>0</x:v>
      </x:c>
      <x:c r="P494" s="9" t="str">
        <x:v>No</x:v>
      </x:c>
      <x:c r="Q494" s="15" t="n">
        <x:v>32</x:v>
      </x:c>
      <x:c r="R494" s="13" t="n">
        <x:f>J494+Q494/1440</x:f>
        <x:v>46301.717361111114</x:v>
      </x:c>
      <x:c r="S494" s="2" t="str">
        <x:f>VLOOKUP(C494,'MES orders'!$A$8:$H$127,6,FALSE)</x:f>
        <x:v>Normal</x:v>
      </x:c>
      <x:c r="T494" s="9" t="str"/>
    </x:row>
    <x:row r="495" ht="22" customHeight="1">
      <x:c r="A495" s="2" t="str">
        <x:v>L00530-010</x:v>
      </x:c>
      <x:c r="B495" s="2" t="str">
        <x:v>L00530</x:v>
      </x:c>
      <x:c r="C495" s="2" t="str">
        <x:v>SO-26106</x:v>
      </x:c>
      <x:c r="D495" s="2" t="str">
        <x:v>S-S-SS</x:v>
      </x:c>
      <x:c r="E495" s="14" t="n">
        <x:v>20</x:v>
      </x:c>
      <x:c r="F495" s="2" t="str">
        <x:v>CNC machining</x:v>
      </x:c>
      <x:c r="G495" s="9" t="str">
        <x:v>CNC-03</x:v>
      </x:c>
      <x:c r="H495" s="15" t="n">
        <x:v>17</x:v>
      </x:c>
      <x:c r="I495" s="9" t="str">
        <x:v>P14</x:v>
      </x:c>
      <x:c r="J495" s="11" t="n">
        <x:v>46301.69583333333</x:v>
      </x:c>
      <x:c r="K495" s="15" t="n">
        <x:v>18</x:v>
      </x:c>
      <x:c r="L495" s="15" t="n">
        <x:v>60</x:v>
      </x:c>
      <x:c r="M495" s="13" t="n">
        <x:f>J495+(K495+L495)/1440</x:f>
        <x:v>46301.75</x:v>
      </x:c>
      <x:c r="N495" s="13" t="n">
        <x:f>VLOOKUP(C495,'MES orders'!$A$8:$H$127,5,FALSE)</x:f>
        <x:v>46303.666666666664</x:v>
      </x:c>
      <x:c r="O495" s="16" t="n">
        <x:f>MAX(0,(M495-N495)*24)</x:f>
        <x:v>0</x:v>
      </x:c>
      <x:c r="P495" s="9" t="str">
        <x:v>No</x:v>
      </x:c>
      <x:c r="Q495" s="15" t="n">
        <x:v>18</x:v>
      </x:c>
      <x:c r="R495" s="13" t="n">
        <x:f>J495+Q495/1440</x:f>
        <x:v>46301.70833333333</x:v>
      </x:c>
      <x:c r="S495" s="2" t="str">
        <x:f>VLOOKUP(C495,'MES orders'!$A$8:$H$127,6,FALSE)</x:f>
        <x:v>High</x:v>
      </x:c>
      <x:c r="T495" s="9" t="str"/>
    </x:row>
    <x:row r="496" ht="22" customHeight="1">
      <x:c r="A496" s="2" t="str">
        <x:v>L00008-010</x:v>
      </x:c>
      <x:c r="B496" s="2" t="str">
        <x:v>L00008</x:v>
      </x:c>
      <x:c r="C496" s="2" t="str">
        <x:v>SO-26002</x:v>
      </x:c>
      <x:c r="D496" s="2" t="str">
        <x:v>R-C-SS</x:v>
      </x:c>
      <x:c r="E496" s="14" t="n">
        <x:v>5</x:v>
      </x:c>
      <x:c r="F496" s="2" t="str">
        <x:v>CNC machining</x:v>
      </x:c>
      <x:c r="G496" s="9" t="str">
        <x:v>CNC-04</x:v>
      </x:c>
      <x:c r="H496" s="15" t="n">
        <x:v>15</x:v>
      </x:c>
      <x:c r="I496" s="9" t="str">
        <x:v>P15</x:v>
      </x:c>
      <x:c r="J496" s="11" t="n">
        <x:v>46301.69930555556</x:v>
      </x:c>
      <x:c r="K496" s="15" t="n">
        <x:v>18</x:v>
      </x:c>
      <x:c r="L496" s="15" t="n">
        <x:v>12</x:v>
      </x:c>
      <x:c r="M496" s="13" t="n">
        <x:f>J496+(K496+L496)/1440</x:f>
        <x:v>46301.72013888889</x:v>
      </x:c>
      <x:c r="N496" s="13" t="n">
        <x:f>VLOOKUP(C496,'MES orders'!$A$8:$H$127,5,FALSE)</x:f>
        <x:v>46303.666666666664</x:v>
      </x:c>
      <x:c r="O496" s="16" t="n">
        <x:f>MAX(0,(M496-N496)*24)</x:f>
        <x:v>0</x:v>
      </x:c>
      <x:c r="P496" s="9" t="str">
        <x:v>No</x:v>
      </x:c>
      <x:c r="Q496" s="15" t="n">
        <x:v>18</x:v>
      </x:c>
      <x:c r="R496" s="13" t="n">
        <x:f>J496+Q496/1440</x:f>
        <x:v>46301.711805555555</x:v>
      </x:c>
      <x:c r="S496" s="2" t="str">
        <x:f>VLOOKUP(C496,'MES orders'!$A$8:$H$127,6,FALSE)</x:f>
        <x:v>Normal</x:v>
      </x:c>
      <x:c r="T496" s="9" t="str"/>
    </x:row>
    <x:row r="497" ht="22" customHeight="1">
      <x:c r="A497" s="2" t="str">
        <x:v>L00527-020</x:v>
      </x:c>
      <x:c r="B497" s="2" t="str">
        <x:v>L00527</x:v>
      </x:c>
      <x:c r="C497" s="2" t="str">
        <x:v>SO-26106</x:v>
      </x:c>
      <x:c r="D497" s="2" t="str">
        <x:v>S-S-SS</x:v>
      </x:c>
      <x:c r="E497" s="14" t="n">
        <x:v>20</x:v>
      </x:c>
      <x:c r="F497" s="2" t="str">
        <x:v>Deburr &amp; inspect</x:v>
      </x:c>
      <x:c r="G497" s="9" t="str">
        <x:v>DB-02</x:v>
      </x:c>
      <x:c r="H497" s="15" t="n">
        <x:v>35</x:v>
      </x:c>
      <x:c r="I497" s="9" t="str">
        <x:v>P13</x:v>
      </x:c>
      <x:c r="J497" s="11" t="n">
        <x:v>46301.69930555556</x:v>
      </x:c>
      <x:c r="K497" s="15" t="n">
        <x:v>4</x:v>
      </x:c>
      <x:c r="L497" s="15" t="n">
        <x:v>14</x:v>
      </x:c>
      <x:c r="M497" s="13" t="n">
        <x:f>J497+(K497+L497)/1440</x:f>
        <x:v>46301.711805555555</x:v>
      </x:c>
      <x:c r="N497" s="13" t="n">
        <x:f>VLOOKUP(C497,'MES orders'!$A$8:$H$127,5,FALSE)</x:f>
        <x:v>46303.666666666664</x:v>
      </x:c>
      <x:c r="O497" s="16" t="n">
        <x:f>MAX(0,(M497-N497)*24)</x:f>
        <x:v>0</x:v>
      </x:c>
      <x:c r="P497" s="9" t="str">
        <x:v>No</x:v>
      </x:c>
      <x:c r="Q497" s="15" t="n">
        <x:v>18</x:v>
      </x:c>
      <x:c r="R497" s="13" t="n">
        <x:f>J497+Q497/1440</x:f>
        <x:v>46301.711805555555</x:v>
      </x:c>
      <x:c r="S497" s="2" t="str">
        <x:f>VLOOKUP(C497,'MES orders'!$A$8:$H$127,6,FALSE)</x:f>
        <x:v>High</x:v>
      </x:c>
      <x:c r="T497" s="9" t="str"/>
    </x:row>
    <x:row r="498" ht="22" customHeight="1">
      <x:c r="A498" s="2" t="str">
        <x:v>L00525-050</x:v>
      </x:c>
      <x:c r="B498" s="2" t="str">
        <x:v>L00525</x:v>
      </x:c>
      <x:c r="C498" s="2" t="str">
        <x:v>SO-26105</x:v>
      </x:c>
      <x:c r="D498" s="2" t="str">
        <x:v>R-S-AL</x:v>
      </x:c>
      <x:c r="E498" s="14" t="n">
        <x:v>25</x:v>
      </x:c>
      <x:c r="F498" s="2" t="str">
        <x:v>Valve adjustment</x:v>
      </x:c>
      <x:c r="G498" s="9" t="str">
        <x:v>AS-02</x:v>
      </x:c>
      <x:c r="H498" s="15" t="n">
        <x:v>34</x:v>
      </x:c>
      <x:c r="I498" s="9" t="str">
        <x:v>P18</x:v>
      </x:c>
      <x:c r="J498" s="11" t="n">
        <x:v>46301.708333333336</x:v>
      </x:c>
      <x:c r="K498" s="15" t="n">
        <x:v>6</x:v>
      </x:c>
      <x:c r="L498" s="15" t="n">
        <x:v>28</x:v>
      </x:c>
      <x:c r="M498" s="13" t="n">
        <x:f>J498+(K498+L498)/1440</x:f>
        <x:v>46301.731944444444</x:v>
      </x:c>
      <x:c r="N498" s="13" t="n">
        <x:f>VLOOKUP(C498,'MES orders'!$A$8:$H$127,5,FALSE)</x:f>
        <x:v>46302.666666666664</x:v>
      </x:c>
      <x:c r="O498" s="16" t="n">
        <x:f>MAX(0,(M498-N498)*24)</x:f>
        <x:v>0</x:v>
      </x:c>
      <x:c r="P498" s="9" t="str">
        <x:v>No</x:v>
      </x:c>
      <x:c r="Q498" s="15" t="n">
        <x:v>34</x:v>
      </x:c>
      <x:c r="R498" s="13" t="n">
        <x:f>J498+Q498/1440</x:f>
        <x:v>46301.731944444444</x:v>
      </x:c>
      <x:c r="S498" s="2" t="str">
        <x:f>VLOOKUP(C498,'MES orders'!$A$8:$H$127,6,FALSE)</x:f>
        <x:v>Normal</x:v>
      </x:c>
      <x:c r="T498" s="9" t="str"/>
    </x:row>
    <x:row r="499" ht="22" customHeight="1">
      <x:c r="A499" s="2" t="str">
        <x:v>L00528-020</x:v>
      </x:c>
      <x:c r="B499" s="2" t="str">
        <x:v>L00528</x:v>
      </x:c>
      <x:c r="C499" s="2" t="str">
        <x:v>SO-26106</x:v>
      </x:c>
      <x:c r="D499" s="2" t="str">
        <x:v>S-S-SS</x:v>
      </x:c>
      <x:c r="E499" s="14" t="n">
        <x:v>20</x:v>
      </x:c>
      <x:c r="F499" s="2" t="str">
        <x:v>Deburr &amp; inspect</x:v>
      </x:c>
      <x:c r="G499" s="9" t="str">
        <x:v>DB-01</x:v>
      </x:c>
      <x:c r="H499" s="15" t="n">
        <x:v>49</x:v>
      </x:c>
      <x:c r="I499" s="9" t="str">
        <x:v>P14</x:v>
      </x:c>
      <x:c r="J499" s="11" t="n">
        <x:v>46301.708333333336</x:v>
      </x:c>
      <x:c r="K499" s="15" t="n">
        <x:v>4</x:v>
      </x:c>
      <x:c r="L499" s="15" t="n">
        <x:v>14</x:v>
      </x:c>
      <x:c r="M499" s="13" t="n">
        <x:f>J499+(K499+L499)/1440</x:f>
        <x:v>46301.72083333333</x:v>
      </x:c>
      <x:c r="N499" s="13" t="n">
        <x:f>VLOOKUP(C499,'MES orders'!$A$8:$H$127,5,FALSE)</x:f>
        <x:v>46303.666666666664</x:v>
      </x:c>
      <x:c r="O499" s="16" t="n">
        <x:f>MAX(0,(M499-N499)*24)</x:f>
        <x:v>0</x:v>
      </x:c>
      <x:c r="P499" s="9" t="str">
        <x:v>No</x:v>
      </x:c>
      <x:c r="Q499" s="15" t="n">
        <x:v>18</x:v>
      </x:c>
      <x:c r="R499" s="13" t="n">
        <x:f>J499+Q499/1440</x:f>
        <x:v>46301.72083333333</x:v>
      </x:c>
      <x:c r="S499" s="2" t="str">
        <x:f>VLOOKUP(C499,'MES orders'!$A$8:$H$127,6,FALSE)</x:f>
        <x:v>High</x:v>
      </x:c>
      <x:c r="T499" s="9" t="str"/>
    </x:row>
    <x:row r="500" ht="22" customHeight="1">
      <x:c r="A500" s="2" t="str">
        <x:v>L00247-030</x:v>
      </x:c>
      <x:c r="B500" s="2" t="str">
        <x:v>L00247</x:v>
      </x:c>
      <x:c r="C500" s="2" t="str">
        <x:v>SO-26050</x:v>
      </x:c>
      <x:c r="D500" s="2" t="str">
        <x:v>D-C-SS</x:v>
      </x:c>
      <x:c r="E500" s="14" t="n">
        <x:v>25</x:v>
      </x:c>
      <x:c r="F500" s="2" t="str">
        <x:v>Wash &amp; dry</x:v>
      </x:c>
      <x:c r="G500" s="9" t="str">
        <x:v>WS-01</x:v>
      </x:c>
      <x:c r="H500" s="15" t="n">
        <x:v>49</x:v>
      </x:c>
      <x:c r="I500" s="9" t="str">
        <x:v>P16</x:v>
      </x:c>
      <x:c r="J500" s="11" t="n">
        <x:v>46301.708333333336</x:v>
      </x:c>
      <x:c r="K500" s="15" t="n">
        <x:v>12</x:v>
      </x:c>
      <x:c r="L500" s="15" t="n">
        <x:v>7</x:v>
      </x:c>
      <x:c r="M500" s="13" t="n">
        <x:f>J500+(K500+L500)/1440</x:f>
        <x:v>46301.72152777778</x:v>
      </x:c>
      <x:c r="N500" s="13" t="n">
        <x:f>VLOOKUP(C500,'MES orders'!$A$8:$H$127,5,FALSE)</x:f>
        <x:v>46303.666666666664</x:v>
      </x:c>
      <x:c r="O500" s="16" t="n">
        <x:f>MAX(0,(M500-N500)*24)</x:f>
        <x:v>0</x:v>
      </x:c>
      <x:c r="P500" s="9" t="str">
        <x:v>No</x:v>
      </x:c>
      <x:c r="Q500" s="15" t="n">
        <x:v>19</x:v>
      </x:c>
      <x:c r="R500" s="13" t="n">
        <x:f>J500+Q500/1440</x:f>
        <x:v>46301.72152777778</x:v>
      </x:c>
      <x:c r="S500" s="2" t="str">
        <x:f>VLOOKUP(C500,'MES orders'!$A$8:$H$127,6,FALSE)</x:f>
        <x:v>High</x:v>
      </x:c>
      <x:c r="T500" s="9" t="str"/>
    </x:row>
    <x:row r="501" ht="22" customHeight="1">
      <x:c r="A501" s="2" t="str">
        <x:v>L00529-020</x:v>
      </x:c>
      <x:c r="B501" s="2" t="str">
        <x:v>L00529</x:v>
      </x:c>
      <x:c r="C501" s="2" t="str">
        <x:v>SO-26106</x:v>
      </x:c>
      <x:c r="D501" s="2" t="str">
        <x:v>S-S-SS</x:v>
      </x:c>
      <x:c r="E501" s="14" t="n">
        <x:v>20</x:v>
      </x:c>
      <x:c r="F501" s="2" t="str">
        <x:v>Deburr &amp; inspect</x:v>
      </x:c>
      <x:c r="G501" s="9" t="str">
        <x:v>DB-02</x:v>
      </x:c>
      <x:c r="H501" s="15" t="n">
        <x:v>36</x:v>
      </x:c>
      <x:c r="I501" s="9" t="str">
        <x:v>P15</x:v>
      </x:c>
      <x:c r="J501" s="11" t="n">
        <x:v>46301.711805555555</x:v>
      </x:c>
      <x:c r="K501" s="15" t="n">
        <x:v>4</x:v>
      </x:c>
      <x:c r="L501" s="15" t="n">
        <x:v>14</x:v>
      </x:c>
      <x:c r="M501" s="13" t="n">
        <x:f>J501+(K501+L501)/1440</x:f>
        <x:v>46301.72430555555</x:v>
      </x:c>
      <x:c r="N501" s="13" t="n">
        <x:f>VLOOKUP(C501,'MES orders'!$A$8:$H$127,5,FALSE)</x:f>
        <x:v>46303.666666666664</x:v>
      </x:c>
      <x:c r="O501" s="16" t="n">
        <x:f>MAX(0,(M501-N501)*24)</x:f>
        <x:v>0</x:v>
      </x:c>
      <x:c r="P501" s="9" t="str">
        <x:v>No</x:v>
      </x:c>
      <x:c r="Q501" s="15" t="n">
        <x:v>18</x:v>
      </x:c>
      <x:c r="R501" s="13" t="n">
        <x:f>J501+Q501/1440</x:f>
        <x:v>46301.72430555555</x:v>
      </x:c>
      <x:c r="S501" s="2" t="str">
        <x:f>VLOOKUP(C501,'MES orders'!$A$8:$H$127,6,FALSE)</x:f>
        <x:v>High</x:v>
      </x:c>
      <x:c r="T501" s="9" t="str"/>
    </x:row>
    <x:row r="502" ht="22" customHeight="1">
      <x:c r="A502" s="2" t="str">
        <x:v>L00527-030</x:v>
      </x:c>
      <x:c r="B502" s="2" t="str">
        <x:v>L00527</x:v>
      </x:c>
      <x:c r="C502" s="2" t="str">
        <x:v>SO-26106</x:v>
      </x:c>
      <x:c r="D502" s="2" t="str">
        <x:v>S-S-SS</x:v>
      </x:c>
      <x:c r="E502" s="14" t="n">
        <x:v>20</x:v>
      </x:c>
      <x:c r="F502" s="2" t="str">
        <x:v>Wash &amp; dry</x:v>
      </x:c>
      <x:c r="G502" s="9" t="str">
        <x:v>WS-02</x:v>
      </x:c>
      <x:c r="H502" s="15" t="n">
        <x:v>34</x:v>
      </x:c>
      <x:c r="I502" s="9" t="str">
        <x:v>P13</x:v>
      </x:c>
      <x:c r="J502" s="11" t="n">
        <x:v>46301.711805555555</x:v>
      </x:c>
      <x:c r="K502" s="15" t="n">
        <x:v>12</x:v>
      </x:c>
      <x:c r="L502" s="15" t="n">
        <x:v>7</x:v>
      </x:c>
      <x:c r="M502" s="13" t="n">
        <x:f>J502+(K502+L502)/1440</x:f>
        <x:v>46301.725</x:v>
      </x:c>
      <x:c r="N502" s="13" t="n">
        <x:f>VLOOKUP(C502,'MES orders'!$A$8:$H$127,5,FALSE)</x:f>
        <x:v>46303.666666666664</x:v>
      </x:c>
      <x:c r="O502" s="16" t="n">
        <x:f>MAX(0,(M502-N502)*24)</x:f>
        <x:v>0</x:v>
      </x:c>
      <x:c r="P502" s="9" t="str">
        <x:v>No</x:v>
      </x:c>
      <x:c r="Q502" s="15" t="n">
        <x:v>19</x:v>
      </x:c>
      <x:c r="R502" s="13" t="n">
        <x:f>J502+Q502/1440</x:f>
        <x:v>46301.725</x:v>
      </x:c>
      <x:c r="S502" s="2" t="str">
        <x:f>VLOOKUP(C502,'MES orders'!$A$8:$H$127,6,FALSE)</x:f>
        <x:v>High</x:v>
      </x:c>
      <x:c r="T502" s="9" t="str"/>
    </x:row>
    <x:row r="503" ht="22" customHeight="1">
      <x:c r="A503" s="2" t="str">
        <x:v>L00248-040</x:v>
      </x:c>
      <x:c r="B503" s="2" t="str">
        <x:v>L00248</x:v>
      </x:c>
      <x:c r="C503" s="2" t="str">
        <x:v>SO-26050</x:v>
      </x:c>
      <x:c r="D503" s="2" t="str">
        <x:v>D-C-SS</x:v>
      </x:c>
      <x:c r="E503" s="14" t="n">
        <x:v>25</x:v>
      </x:c>
      <x:c r="F503" s="2" t="str">
        <x:v>Mechanical assembly</x:v>
      </x:c>
      <x:c r="G503" s="9" t="str">
        <x:v>AS-01</x:v>
      </x:c>
      <x:c r="H503" s="15" t="n">
        <x:v>43</x:v>
      </x:c>
      <x:c r="I503" s="9" t="str">
        <x:v>P17</x:v>
      </x:c>
      <x:c r="J503" s="11" t="n">
        <x:v>46301.71388888889</x:v>
      </x:c>
      <x:c r="K503" s="15" t="n">
        <x:v>8</x:v>
      </x:c>
      <x:c r="L503" s="15" t="n">
        <x:v>36</x:v>
      </x:c>
      <x:c r="M503" s="13" t="n">
        <x:f>J503+(K503+L503)/1440</x:f>
        <x:v>46301.74444444444</x:v>
      </x:c>
      <x:c r="N503" s="13" t="n">
        <x:f>VLOOKUP(C503,'MES orders'!$A$8:$H$127,5,FALSE)</x:f>
        <x:v>46303.666666666664</x:v>
      </x:c>
      <x:c r="O503" s="16" t="n">
        <x:f>MAX(0,(M503-N503)*24)</x:f>
        <x:v>0</x:v>
      </x:c>
      <x:c r="P503" s="9" t="str">
        <x:v>No</x:v>
      </x:c>
      <x:c r="Q503" s="15" t="n">
        <x:v>44</x:v>
      </x:c>
      <x:c r="R503" s="13" t="n">
        <x:f>J503+Q503/1440</x:f>
        <x:v>46301.74444444444</x:v>
      </x:c>
      <x:c r="S503" s="2" t="str">
        <x:f>VLOOKUP(C503,'MES orders'!$A$8:$H$127,6,FALSE)</x:f>
        <x:v>High</x:v>
      </x:c>
      <x:c r="T503" s="9" t="str"/>
    </x:row>
    <x:row r="504" ht="22" customHeight="1">
      <x:c r="A504" s="2" t="str">
        <x:v>L00524-060</x:v>
      </x:c>
      <x:c r="B504" s="2" t="str">
        <x:v>L00524</x:v>
      </x:c>
      <x:c r="C504" s="2" t="str">
        <x:v>SO-26105</x:v>
      </x:c>
      <x:c r="D504" s="2" t="str">
        <x:v>R-S-AL</x:v>
      </x:c>
      <x:c r="E504" s="14" t="n">
        <x:v>25</x:v>
      </x:c>
      <x:c r="F504" s="2" t="str">
        <x:v>Final leak / function test</x:v>
      </x:c>
      <x:c r="G504" s="9" t="str">
        <x:v>QA-02</x:v>
      </x:c>
      <x:c r="H504" s="15" t="n">
        <x:v>35</x:v>
      </x:c>
      <x:c r="I504" s="9" t="str">
        <x:v>P23</x:v>
      </x:c>
      <x:c r="J504" s="11" t="n">
        <x:v>46301.71388888889</x:v>
      </x:c>
      <x:c r="K504" s="15" t="n">
        <x:v>10</x:v>
      </x:c>
      <x:c r="L504" s="15" t="n">
        <x:v>22</x:v>
      </x:c>
      <x:c r="M504" s="13" t="n">
        <x:f>J504+(K504+L504)/1440</x:f>
        <x:v>46301.73611111111</x:v>
      </x:c>
      <x:c r="N504" s="13" t="n">
        <x:f>VLOOKUP(C504,'MES orders'!$A$8:$H$127,5,FALSE)</x:f>
        <x:v>46302.666666666664</x:v>
      </x:c>
      <x:c r="O504" s="16" t="n">
        <x:f>MAX(0,(M504-N504)*24)</x:f>
        <x:v>0</x:v>
      </x:c>
      <x:c r="P504" s="9" t="str">
        <x:v>No</x:v>
      </x:c>
      <x:c r="Q504" s="15" t="n">
        <x:v>32</x:v>
      </x:c>
      <x:c r="R504" s="13" t="n">
        <x:f>J504+Q504/1440</x:f>
        <x:v>46301.73611111111</x:v>
      </x:c>
      <x:c r="S504" s="2" t="str">
        <x:f>VLOOKUP(C504,'MES orders'!$A$8:$H$127,6,FALSE)</x:f>
        <x:v>Normal</x:v>
      </x:c>
      <x:c r="T504" s="9" t="str"/>
    </x:row>
    <x:row r="505" ht="22" customHeight="1">
      <x:c r="A505" s="2" t="str">
        <x:v>L00009-010</x:v>
      </x:c>
      <x:c r="B505" s="2" t="str">
        <x:v>L00009</x:v>
      </x:c>
      <x:c r="C505" s="2" t="str">
        <x:v>SO-26002</x:v>
      </x:c>
      <x:c r="D505" s="2" t="str">
        <x:v>R-C-SS</x:v>
      </x:c>
      <x:c r="E505" s="14" t="n">
        <x:v>5</x:v>
      </x:c>
      <x:c r="F505" s="2" t="str">
        <x:v>CNC machining</x:v>
      </x:c>
      <x:c r="G505" s="9" t="str">
        <x:v>CNC-04</x:v>
      </x:c>
      <x:c r="H505" s="15" t="n">
        <x:v>16</x:v>
      </x:c>
      <x:c r="I505" s="9" t="str">
        <x:v>P14</x:v>
      </x:c>
      <x:c r="J505" s="11" t="n">
        <x:v>46301.72083333333</x:v>
      </x:c>
      <x:c r="K505" s="15" t="n">
        <x:v>18</x:v>
      </x:c>
      <x:c r="L505" s="15" t="n">
        <x:v>12</x:v>
      </x:c>
      <x:c r="M505" s="13" t="n">
        <x:f>J505+(K505+L505)/1440</x:f>
        <x:v>46301.74166666667</x:v>
      </x:c>
      <x:c r="N505" s="13" t="n">
        <x:f>VLOOKUP(C505,'MES orders'!$A$8:$H$127,5,FALSE)</x:f>
        <x:v>46303.666666666664</x:v>
      </x:c>
      <x:c r="O505" s="16" t="n">
        <x:f>MAX(0,(M505-N505)*24)</x:f>
        <x:v>0</x:v>
      </x:c>
      <x:c r="P505" s="9" t="str">
        <x:v>No</x:v>
      </x:c>
      <x:c r="Q505" s="15" t="n">
        <x:v>18</x:v>
      </x:c>
      <x:c r="R505" s="13" t="n">
        <x:f>J505+Q505/1440</x:f>
        <x:v>46301.73333333333</x:v>
      </x:c>
      <x:c r="S505" s="2" t="str">
        <x:f>VLOOKUP(C505,'MES orders'!$A$8:$H$127,6,FALSE)</x:f>
        <x:v>Normal</x:v>
      </x:c>
      <x:c r="T505" s="9" t="str"/>
    </x:row>
    <x:row r="506" ht="22" customHeight="1">
      <x:c r="A506" s="2" t="str">
        <x:v>L00250-020</x:v>
      </x:c>
      <x:c r="B506" s="2" t="str">
        <x:v>L00250</x:v>
      </x:c>
      <x:c r="C506" s="2" t="str">
        <x:v>SO-26050</x:v>
      </x:c>
      <x:c r="D506" s="2" t="str">
        <x:v>D-C-SS</x:v>
      </x:c>
      <x:c r="E506" s="14" t="n">
        <x:v>25</x:v>
      </x:c>
      <x:c r="F506" s="2" t="str">
        <x:v>Deburr &amp; inspect</x:v>
      </x:c>
      <x:c r="G506" s="9" t="str">
        <x:v>DB-01</x:v>
      </x:c>
      <x:c r="H506" s="15" t="n">
        <x:v>50</x:v>
      </x:c>
      <x:c r="I506" s="9" t="str">
        <x:v>P16</x:v>
      </x:c>
      <x:c r="J506" s="11" t="n">
        <x:v>46301.72152777778</x:v>
      </x:c>
      <x:c r="K506" s="15" t="n">
        <x:v>4</x:v>
      </x:c>
      <x:c r="L506" s="15" t="n">
        <x:v>14</x:v>
      </x:c>
      <x:c r="M506" s="13" t="n">
        <x:f>J506+(K506+L506)/1440</x:f>
        <x:v>46301.73402777778</x:v>
      </x:c>
      <x:c r="N506" s="13" t="n">
        <x:f>VLOOKUP(C506,'MES orders'!$A$8:$H$127,5,FALSE)</x:f>
        <x:v>46303.666666666664</x:v>
      </x:c>
      <x:c r="O506" s="16" t="n">
        <x:f>MAX(0,(M506-N506)*24)</x:f>
        <x:v>0</x:v>
      </x:c>
      <x:c r="P506" s="9" t="str">
        <x:v>No</x:v>
      </x:c>
      <x:c r="Q506" s="15" t="n">
        <x:v>18</x:v>
      </x:c>
      <x:c r="R506" s="13" t="n">
        <x:f>J506+Q506/1440</x:f>
        <x:v>46301.73402777778</x:v>
      </x:c>
      <x:c r="S506" s="2" t="str">
        <x:f>VLOOKUP(C506,'MES orders'!$A$8:$H$127,6,FALSE)</x:f>
        <x:v>High</x:v>
      </x:c>
      <x:c r="T506" s="9" t="str"/>
    </x:row>
    <x:row r="507" ht="22" customHeight="1">
      <x:c r="A507" s="2" t="str">
        <x:v>L00010-010</x:v>
      </x:c>
      <x:c r="B507" s="2" t="str">
        <x:v>L00010</x:v>
      </x:c>
      <x:c r="C507" s="2" t="str">
        <x:v>SO-26002</x:v>
      </x:c>
      <x:c r="D507" s="2" t="str">
        <x:v>R-C-SS</x:v>
      </x:c>
      <x:c r="E507" s="14" t="n">
        <x:v>5</x:v>
      </x:c>
      <x:c r="F507" s="2" t="str">
        <x:v>CNC machining</x:v>
      </x:c>
      <x:c r="G507" s="9" t="str">
        <x:v>CNC-05</x:v>
      </x:c>
      <x:c r="H507" s="15" t="n">
        <x:v>13</x:v>
      </x:c>
      <x:c r="I507" s="9" t="str">
        <x:v>P15</x:v>
      </x:c>
      <x:c r="J507" s="11" t="n">
        <x:v>46301.72430555556</x:v>
      </x:c>
      <x:c r="K507" s="15" t="n">
        <x:v>18</x:v>
      </x:c>
      <x:c r="L507" s="15" t="n">
        <x:v>12</x:v>
      </x:c>
      <x:c r="M507" s="13" t="n">
        <x:f>J507+(K507+L507)/1440</x:f>
        <x:v>46301.745138888895</x:v>
      </x:c>
      <x:c r="N507" s="13" t="n">
        <x:f>VLOOKUP(C507,'MES orders'!$A$8:$H$127,5,FALSE)</x:f>
        <x:v>46303.666666666664</x:v>
      </x:c>
      <x:c r="O507" s="16" t="n">
        <x:f>MAX(0,(M507-N507)*24)</x:f>
        <x:v>0</x:v>
      </x:c>
      <x:c r="P507" s="9" t="str">
        <x:v>No</x:v>
      </x:c>
      <x:c r="Q507" s="15" t="n">
        <x:v>18</x:v>
      </x:c>
      <x:c r="R507" s="13" t="n">
        <x:f>J507+Q507/1440</x:f>
        <x:v>46301.736805555556</x:v>
      </x:c>
      <x:c r="S507" s="2" t="str">
        <x:f>VLOOKUP(C507,'MES orders'!$A$8:$H$127,6,FALSE)</x:f>
        <x:v>Normal</x:v>
      </x:c>
      <x:c r="T507" s="9" t="str"/>
    </x:row>
    <x:row r="508" ht="22" customHeight="1">
      <x:c r="A508" s="2" t="str">
        <x:v>L00046-010</x:v>
      </x:c>
      <x:c r="B508" s="2" t="str">
        <x:v>L00046</x:v>
      </x:c>
      <x:c r="C508" s="2" t="str">
        <x:v>SO-26010</x:v>
      </x:c>
      <x:c r="D508" s="2" t="str">
        <x:v>R-S-SS</x:v>
      </x:c>
      <x:c r="E508" s="14" t="n">
        <x:v>25</x:v>
      </x:c>
      <x:c r="F508" s="2" t="str">
        <x:v>CNC machining</x:v>
      </x:c>
      <x:c r="G508" s="9" t="str">
        <x:v>CNC-06</x:v>
      </x:c>
      <x:c r="H508" s="15" t="n">
        <x:v>12</x:v>
      </x:c>
      <x:c r="I508" s="9" t="str">
        <x:v>P13</x:v>
      </x:c>
      <x:c r="J508" s="11" t="n">
        <x:v>46301.725</x:v>
      </x:c>
      <x:c r="K508" s="15" t="n">
        <x:v>18</x:v>
      </x:c>
      <x:c r="L508" s="15" t="n">
        <x:v>75</x:v>
      </x:c>
      <x:c r="M508" s="13" t="n">
        <x:f>J508+(K508+L508)/1440</x:f>
        <x:v>46301.78958333333</x:v>
      </x:c>
      <x:c r="N508" s="13" t="n">
        <x:f>VLOOKUP(C508,'MES orders'!$A$8:$H$127,5,FALSE)</x:f>
        <x:v>46303.666666666664</x:v>
      </x:c>
      <x:c r="O508" s="16" t="n">
        <x:f>MAX(0,(M508-N508)*24)</x:f>
        <x:v>0</x:v>
      </x:c>
      <x:c r="P508" s="9" t="str">
        <x:v>No</x:v>
      </x:c>
      <x:c r="Q508" s="15" t="n">
        <x:v>18</x:v>
      </x:c>
      <x:c r="R508" s="13" t="n">
        <x:f>J508+Q508/1440</x:f>
        <x:v>46301.737499999996</x:v>
      </x:c>
      <x:c r="S508" s="2" t="str">
        <x:f>VLOOKUP(C508,'MES orders'!$A$8:$H$127,6,FALSE)</x:f>
        <x:v>Normal</x:v>
      </x:c>
      <x:c r="T508" s="9" t="str"/>
    </x:row>
    <x:row r="509" ht="22" customHeight="1">
      <x:c r="A509" s="2" t="str">
        <x:v>L00526-020</x:v>
      </x:c>
      <x:c r="B509" s="2" t="str">
        <x:v>L00526</x:v>
      </x:c>
      <x:c r="C509" s="2" t="str">
        <x:v>SO-26106</x:v>
      </x:c>
      <x:c r="D509" s="2" t="str">
        <x:v>S-S-SS</x:v>
      </x:c>
      <x:c r="E509" s="14" t="n">
        <x:v>20</x:v>
      </x:c>
      <x:c r="F509" s="2" t="str">
        <x:v>Deburr &amp; inspect</x:v>
      </x:c>
      <x:c r="G509" s="9" t="str">
        <x:v>DB-02</x:v>
      </x:c>
      <x:c r="H509" s="15" t="n">
        <x:v>37</x:v>
      </x:c>
      <x:c r="I509" s="9" t="str">
        <x:v>P18</x:v>
      </x:c>
      <x:c r="J509" s="11" t="n">
        <x:v>46301.731944444444</x:v>
      </x:c>
      <x:c r="K509" s="15" t="n">
        <x:v>4</x:v>
      </x:c>
      <x:c r="L509" s="15" t="n">
        <x:v>14</x:v>
      </x:c>
      <x:c r="M509" s="13" t="n">
        <x:f>J509+(K509+L509)/1440</x:f>
        <x:v>46301.74444444444</x:v>
      </x:c>
      <x:c r="N509" s="13" t="n">
        <x:f>VLOOKUP(C509,'MES orders'!$A$8:$H$127,5,FALSE)</x:f>
        <x:v>46303.666666666664</x:v>
      </x:c>
      <x:c r="O509" s="16" t="n">
        <x:f>MAX(0,(M509-N509)*24)</x:f>
        <x:v>0</x:v>
      </x:c>
      <x:c r="P509" s="9" t="str">
        <x:v>No</x:v>
      </x:c>
      <x:c r="Q509" s="15" t="n">
        <x:v>18</x:v>
      </x:c>
      <x:c r="R509" s="13" t="n">
        <x:f>J509+Q509/1440</x:f>
        <x:v>46301.74444444444</x:v>
      </x:c>
      <x:c r="S509" s="2" t="str">
        <x:f>VLOOKUP(C509,'MES orders'!$A$8:$H$127,6,FALSE)</x:f>
        <x:v>High</x:v>
      </x:c>
      <x:c r="T509" s="9" t="str"/>
    </x:row>
    <x:row r="510" ht="22" customHeight="1">
      <x:c r="A510" s="2" t="str">
        <x:v>L00212-020</x:v>
      </x:c>
      <x:c r="B510" s="2" t="str">
        <x:v>L00212</x:v>
      </x:c>
      <x:c r="C510" s="2" t="str">
        <x:v>SO-26043</x:v>
      </x:c>
      <x:c r="D510" s="2" t="str">
        <x:v>R-C-AL</x:v>
      </x:c>
      <x:c r="E510" s="14" t="n">
        <x:v>15</x:v>
      </x:c>
      <x:c r="F510" s="2" t="str">
        <x:v>Deburr &amp; inspect</x:v>
      </x:c>
      <x:c r="G510" s="9" t="str">
        <x:v>DB-01</x:v>
      </x:c>
      <x:c r="H510" s="15" t="n">
        <x:v>51</x:v>
      </x:c>
      <x:c r="I510" s="9" t="str">
        <x:v>P14</x:v>
      </x:c>
      <x:c r="J510" s="11" t="n">
        <x:v>46301.73402777778</x:v>
      </x:c>
      <x:c r="K510" s="15" t="n">
        <x:v>4</x:v>
      </x:c>
      <x:c r="L510" s="15" t="n">
        <x:v>8</x:v>
      </x:c>
      <x:c r="M510" s="13" t="n">
        <x:f>J510+(K510+L510)/1440</x:f>
        <x:v>46301.74236111111</x:v>
      </x:c>
      <x:c r="N510" s="13" t="n">
        <x:f>VLOOKUP(C510,'MES orders'!$A$8:$H$127,5,FALSE)</x:f>
        <x:v>46304.666666666664</x:v>
      </x:c>
      <x:c r="O510" s="16" t="n">
        <x:f>MAX(0,(M510-N510)*24)</x:f>
        <x:v>0</x:v>
      </x:c>
      <x:c r="P510" s="9" t="str">
        <x:v>No</x:v>
      </x:c>
      <x:c r="Q510" s="15" t="n">
        <x:v>12</x:v>
      </x:c>
      <x:c r="R510" s="13" t="n">
        <x:f>J510+Q510/1440</x:f>
        <x:v>46301.74236111111</x:v>
      </x:c>
      <x:c r="S510" s="2" t="str">
        <x:f>VLOOKUP(C510,'MES orders'!$A$8:$H$127,6,FALSE)</x:f>
        <x:v>High</x:v>
      </x:c>
      <x:c r="T510" s="9" t="str"/>
    </x:row>
    <x:row r="511" ht="22" customHeight="1">
      <x:c r="A511" s="2" t="str">
        <x:v>L00250-030</x:v>
      </x:c>
      <x:c r="B511" s="2" t="str">
        <x:v>L00250</x:v>
      </x:c>
      <x:c r="C511" s="2" t="str">
        <x:v>SO-26050</x:v>
      </x:c>
      <x:c r="D511" s="2" t="str">
        <x:v>D-C-SS</x:v>
      </x:c>
      <x:c r="E511" s="14" t="n">
        <x:v>25</x:v>
      </x:c>
      <x:c r="F511" s="2" t="str">
        <x:v>Wash &amp; dry</x:v>
      </x:c>
      <x:c r="G511" s="9" t="str">
        <x:v>WS-01</x:v>
      </x:c>
      <x:c r="H511" s="15" t="n">
        <x:v>50</x:v>
      </x:c>
      <x:c r="I511" s="9" t="str">
        <x:v>P16</x:v>
      </x:c>
      <x:c r="J511" s="11" t="n">
        <x:v>46301.73402777778</x:v>
      </x:c>
      <x:c r="K511" s="15" t="n">
        <x:v>12</x:v>
      </x:c>
      <x:c r="L511" s="15" t="n">
        <x:v>7</x:v>
      </x:c>
      <x:c r="M511" s="13" t="n">
        <x:f>J511+(K511+L511)/1440</x:f>
        <x:v>46301.74722222222</x:v>
      </x:c>
      <x:c r="N511" s="13" t="n">
        <x:f>VLOOKUP(C511,'MES orders'!$A$8:$H$127,5,FALSE)</x:f>
        <x:v>46303.666666666664</x:v>
      </x:c>
      <x:c r="O511" s="16" t="n">
        <x:f>MAX(0,(M511-N511)*24)</x:f>
        <x:v>0</x:v>
      </x:c>
      <x:c r="P511" s="9" t="str">
        <x:v>No</x:v>
      </x:c>
      <x:c r="Q511" s="15" t="n">
        <x:v>19</x:v>
      </x:c>
      <x:c r="R511" s="13" t="n">
        <x:f>J511+Q511/1440</x:f>
        <x:v>46301.74722222222</x:v>
      </x:c>
      <x:c r="S511" s="2" t="str">
        <x:f>VLOOKUP(C511,'MES orders'!$A$8:$H$127,6,FALSE)</x:f>
        <x:v>High</x:v>
      </x:c>
      <x:c r="T511" s="9" t="str"/>
    </x:row>
    <x:row r="512" ht="22" customHeight="1">
      <x:c r="A512" s="2" t="str">
        <x:v>L00214-010</x:v>
      </x:c>
      <x:c r="B512" s="2" t="str">
        <x:v>L00214</x:v>
      </x:c>
      <x:c r="C512" s="2" t="str">
        <x:v>SO-26043</x:v>
      </x:c>
      <x:c r="D512" s="2" t="str">
        <x:v>R-C-AL</x:v>
      </x:c>
      <x:c r="E512" s="14" t="n">
        <x:v>15</x:v>
      </x:c>
      <x:c r="F512" s="2" t="str">
        <x:v>CNC machining</x:v>
      </x:c>
      <x:c r="G512" s="9" t="str">
        <x:v>CNC-01</x:v>
      </x:c>
      <x:c r="H512" s="15" t="n">
        <x:v>22</x:v>
      </x:c>
      <x:c r="I512" s="9" t="str">
        <x:v>P15</x:v>
      </x:c>
      <x:c r="J512" s="11" t="n">
        <x:v>46301.736805555556</x:v>
      </x:c>
      <x:c r="K512" s="15" t="n">
        <x:v>18</x:v>
      </x:c>
      <x:c r="L512" s="15" t="n">
        <x:v>29</x:v>
      </x:c>
      <x:c r="M512" s="13" t="n">
        <x:f>J512+(K512+L512)/1440</x:f>
        <x:v>46301.76944444444</x:v>
      </x:c>
      <x:c r="N512" s="13" t="n">
        <x:f>VLOOKUP(C512,'MES orders'!$A$8:$H$127,5,FALSE)</x:f>
        <x:v>46304.666666666664</x:v>
      </x:c>
      <x:c r="O512" s="16" t="n">
        <x:f>MAX(0,(M512-N512)*24)</x:f>
        <x:v>0</x:v>
      </x:c>
      <x:c r="P512" s="9" t="str">
        <x:v>No</x:v>
      </x:c>
      <x:c r="Q512" s="15" t="n">
        <x:v>18</x:v>
      </x:c>
      <x:c r="R512" s="13" t="n">
        <x:f>J512+Q512/1440</x:f>
        <x:v>46301.74930555555</x:v>
      </x:c>
      <x:c r="S512" s="2" t="str">
        <x:f>VLOOKUP(C512,'MES orders'!$A$8:$H$127,6,FALSE)</x:f>
        <x:v>High</x:v>
      </x:c>
      <x:c r="T512" s="9" t="str"/>
    </x:row>
    <x:row r="513" ht="22" customHeight="1">
      <x:c r="A513" s="2" t="str">
        <x:v>L00215-010</x:v>
      </x:c>
      <x:c r="B513" s="2" t="str">
        <x:v>L00215</x:v>
      </x:c>
      <x:c r="C513" s="2" t="str">
        <x:v>SO-26043</x:v>
      </x:c>
      <x:c r="D513" s="2" t="str">
        <x:v>R-C-AL</x:v>
      </x:c>
      <x:c r="E513" s="14" t="n">
        <x:v>15</x:v>
      </x:c>
      <x:c r="F513" s="2" t="str">
        <x:v>CNC machining</x:v>
      </x:c>
      <x:c r="G513" s="9" t="str">
        <x:v>CNC-02</x:v>
      </x:c>
      <x:c r="H513" s="15" t="n">
        <x:v>16</x:v>
      </x:c>
      <x:c r="I513" s="9" t="str">
        <x:v>P13</x:v>
      </x:c>
      <x:c r="J513" s="11" t="n">
        <x:v>46301.7375</x:v>
      </x:c>
      <x:c r="K513" s="15" t="n">
        <x:v>18</x:v>
      </x:c>
      <x:c r="L513" s="15" t="n">
        <x:v>29</x:v>
      </x:c>
      <x:c r="M513" s="13" t="n">
        <x:f>J513+(K513+L513)/1440</x:f>
        <x:v>46301.77013888889</x:v>
      </x:c>
      <x:c r="N513" s="13" t="n">
        <x:f>VLOOKUP(C513,'MES orders'!$A$8:$H$127,5,FALSE)</x:f>
        <x:v>46304.666666666664</x:v>
      </x:c>
      <x:c r="O513" s="16" t="n">
        <x:f>MAX(0,(M513-N513)*24)</x:f>
        <x:v>0</x:v>
      </x:c>
      <x:c r="P513" s="9" t="str">
        <x:v>No</x:v>
      </x:c>
      <x:c r="Q513" s="15" t="n">
        <x:v>18</x:v>
      </x:c>
      <x:c r="R513" s="13" t="n">
        <x:f>J513+Q513/1440</x:f>
        <x:v>46301.75</x:v>
      </x:c>
      <x:c r="S513" s="2" t="str">
        <x:f>VLOOKUP(C513,'MES orders'!$A$8:$H$127,6,FALSE)</x:f>
        <x:v>High</x:v>
      </x:c>
      <x:c r="T513" s="9" t="str"/>
    </x:row>
    <x:row r="514" ht="22" customHeight="1">
      <x:c r="A514" s="2" t="str">
        <x:v>L00008-020</x:v>
      </x:c>
      <x:c r="B514" s="2" t="str">
        <x:v>L00008</x:v>
      </x:c>
      <x:c r="C514" s="2" t="str">
        <x:v>SO-26002</x:v>
      </x:c>
      <x:c r="D514" s="2" t="str">
        <x:v>R-C-SS</x:v>
      </x:c>
      <x:c r="E514" s="14" t="n">
        <x:v>5</x:v>
      </x:c>
      <x:c r="F514" s="2" t="str">
        <x:v>Deburr &amp; inspect</x:v>
      </x:c>
      <x:c r="G514" s="9" t="str">
        <x:v>DB-01</x:v>
      </x:c>
      <x:c r="H514" s="15" t="n">
        <x:v>52</x:v>
      </x:c>
      <x:c r="I514" s="9" t="str">
        <x:v>P17</x:v>
      </x:c>
      <x:c r="J514" s="11" t="n">
        <x:v>46301.74444444444</x:v>
      </x:c>
      <x:c r="K514" s="15" t="n">
        <x:v>4</x:v>
      </x:c>
      <x:c r="L514" s="15" t="n">
        <x:v>3</x:v>
      </x:c>
      <x:c r="M514" s="13" t="n">
        <x:f>J514+(K514+L514)/1440</x:f>
        <x:v>46301.74930555555</x:v>
      </x:c>
      <x:c r="N514" s="13" t="n">
        <x:f>VLOOKUP(C514,'MES orders'!$A$8:$H$127,5,FALSE)</x:f>
        <x:v>46303.666666666664</x:v>
      </x:c>
      <x:c r="O514" s="16" t="n">
        <x:f>MAX(0,(M514-N514)*24)</x:f>
        <x:v>0</x:v>
      </x:c>
      <x:c r="P514" s="9" t="str">
        <x:v>No</x:v>
      </x:c>
      <x:c r="Q514" s="15" t="n">
        <x:v>7</x:v>
      </x:c>
      <x:c r="R514" s="13" t="n">
        <x:f>J514+Q514/1440</x:f>
        <x:v>46301.74930555555</x:v>
      </x:c>
      <x:c r="S514" s="2" t="str">
        <x:f>VLOOKUP(C514,'MES orders'!$A$8:$H$127,6,FALSE)</x:f>
        <x:v>Normal</x:v>
      </x:c>
      <x:c r="T514" s="9" t="str"/>
    </x:row>
    <x:row r="515" ht="22" customHeight="1">
      <x:c r="A515" s="2" t="str">
        <x:v>L00009-020</x:v>
      </x:c>
      <x:c r="B515" s="2" t="str">
        <x:v>L00009</x:v>
      </x:c>
      <x:c r="C515" s="2" t="str">
        <x:v>SO-26002</x:v>
      </x:c>
      <x:c r="D515" s="2" t="str">
        <x:v>R-C-SS</x:v>
      </x:c>
      <x:c r="E515" s="14" t="n">
        <x:v>5</x:v>
      </x:c>
      <x:c r="F515" s="2" t="str">
        <x:v>Deburr &amp; inspect</x:v>
      </x:c>
      <x:c r="G515" s="9" t="str">
        <x:v>DB-02</x:v>
      </x:c>
      <x:c r="H515" s="15" t="n">
        <x:v>38</x:v>
      </x:c>
      <x:c r="I515" s="9" t="str">
        <x:v>P18</x:v>
      </x:c>
      <x:c r="J515" s="11" t="n">
        <x:v>46301.74444444444</x:v>
      </x:c>
      <x:c r="K515" s="15" t="n">
        <x:v>4</x:v>
      </x:c>
      <x:c r="L515" s="15" t="n">
        <x:v>3</x:v>
      </x:c>
      <x:c r="M515" s="13" t="n">
        <x:f>J515+(K515+L515)/1440</x:f>
        <x:v>46301.74930555555</x:v>
      </x:c>
      <x:c r="N515" s="13" t="n">
        <x:f>VLOOKUP(C515,'MES orders'!$A$8:$H$127,5,FALSE)</x:f>
        <x:v>46303.666666666664</x:v>
      </x:c>
      <x:c r="O515" s="16" t="n">
        <x:f>MAX(0,(M515-N515)*24)</x:f>
        <x:v>0</x:v>
      </x:c>
      <x:c r="P515" s="9" t="str">
        <x:v>No</x:v>
      </x:c>
      <x:c r="Q515" s="15" t="n">
        <x:v>7</x:v>
      </x:c>
      <x:c r="R515" s="13" t="n">
        <x:f>J515+Q515/1440</x:f>
        <x:v>46301.74930555555</x:v>
      </x:c>
      <x:c r="S515" s="2" t="str">
        <x:f>VLOOKUP(C515,'MES orders'!$A$8:$H$127,6,FALSE)</x:f>
        <x:v>Normal</x:v>
      </x:c>
      <x:c r="T515" s="9" t="str"/>
    </x:row>
    <x:row r="516" ht="22" customHeight="1">
      <x:c r="A516" s="2" t="str">
        <x:v>L00247-040</x:v>
      </x:c>
      <x:c r="B516" s="2" t="str">
        <x:v>L00247</x:v>
      </x:c>
      <x:c r="C516" s="2" t="str">
        <x:v>SO-26050</x:v>
      </x:c>
      <x:c r="D516" s="2" t="str">
        <x:v>D-C-SS</x:v>
      </x:c>
      <x:c r="E516" s="14" t="n">
        <x:v>25</x:v>
      </x:c>
      <x:c r="F516" s="2" t="str">
        <x:v>Mechanical assembly</x:v>
      </x:c>
      <x:c r="G516" s="9" t="str">
        <x:v>AS-01</x:v>
      </x:c>
      <x:c r="H516" s="15" t="n">
        <x:v>44</x:v>
      </x:c>
      <x:c r="I516" s="9" t="str">
        <x:v>P16</x:v>
      </x:c>
      <x:c r="J516" s="11" t="n">
        <x:v>46301.770833333336</x:v>
      </x:c>
      <x:c r="K516" s="15" t="n">
        <x:v>8</x:v>
      </x:c>
      <x:c r="L516" s="15" t="n">
        <x:v>36</x:v>
      </x:c>
      <x:c r="M516" s="13" t="n">
        <x:f>J516+(K516+L516)/1440</x:f>
        <x:v>46301.80138888889</x:v>
      </x:c>
      <x:c r="N516" s="13" t="n">
        <x:f>VLOOKUP(C516,'MES orders'!$A$8:$H$127,5,FALSE)</x:f>
        <x:v>46303.666666666664</x:v>
      </x:c>
      <x:c r="O516" s="16" t="n">
        <x:f>MAX(0,(M516-N516)*24)</x:f>
        <x:v>0</x:v>
      </x:c>
      <x:c r="P516" s="9" t="str">
        <x:v>No</x:v>
      </x:c>
      <x:c r="Q516" s="15" t="n">
        <x:v>44</x:v>
      </x:c>
      <x:c r="R516" s="13" t="n">
        <x:f>J516+Q516/1440</x:f>
        <x:v>46301.80138888889</x:v>
      </x:c>
      <x:c r="S516" s="2" t="str">
        <x:f>VLOOKUP(C516,'MES orders'!$A$8:$H$127,6,FALSE)</x:f>
        <x:v>High</x:v>
      </x:c>
      <x:c r="T516" s="9" t="str"/>
    </x:row>
    <x:row r="517" ht="22" customHeight="1">
      <x:c r="A517" s="2" t="str">
        <x:v>L00250-040</x:v>
      </x:c>
      <x:c r="B517" s="2" t="str">
        <x:v>L00250</x:v>
      </x:c>
      <x:c r="C517" s="2" t="str">
        <x:v>SO-26050</x:v>
      </x:c>
      <x:c r="D517" s="2" t="str">
        <x:v>D-C-SS</x:v>
      </x:c>
      <x:c r="E517" s="14" t="n">
        <x:v>25</x:v>
      </x:c>
      <x:c r="F517" s="2" t="str">
        <x:v>Mechanical assembly</x:v>
      </x:c>
      <x:c r="G517" s="9" t="str">
        <x:v>AS-02</x:v>
      </x:c>
      <x:c r="H517" s="15" t="n">
        <x:v>35</x:v>
      </x:c>
      <x:c r="I517" s="9" t="str">
        <x:v>P17</x:v>
      </x:c>
      <x:c r="J517" s="11" t="n">
        <x:v>46301.770833333336</x:v>
      </x:c>
      <x:c r="K517" s="15" t="n">
        <x:v>8</x:v>
      </x:c>
      <x:c r="L517" s="15" t="n">
        <x:v>36</x:v>
      </x:c>
      <x:c r="M517" s="13" t="n">
        <x:f>J517+(K517+L517)/1440</x:f>
        <x:v>46301.80138888889</x:v>
      </x:c>
      <x:c r="N517" s="13" t="n">
        <x:f>VLOOKUP(C517,'MES orders'!$A$8:$H$127,5,FALSE)</x:f>
        <x:v>46303.666666666664</x:v>
      </x:c>
      <x:c r="O517" s="16" t="n">
        <x:f>MAX(0,(M517-N517)*24)</x:f>
        <x:v>0</x:v>
      </x:c>
      <x:c r="P517" s="9" t="str">
        <x:v>No</x:v>
      </x:c>
      <x:c r="Q517" s="15" t="n">
        <x:v>44</x:v>
      </x:c>
      <x:c r="R517" s="13" t="n">
        <x:f>J517+Q517/1440</x:f>
        <x:v>46301.80138888889</x:v>
      </x:c>
      <x:c r="S517" s="2" t="str">
        <x:f>VLOOKUP(C517,'MES orders'!$A$8:$H$127,6,FALSE)</x:f>
        <x:v>High</x:v>
      </x:c>
      <x:c r="T517" s="9" t="str"/>
    </x:row>
    <x:row r="518" ht="22" customHeight="1">
      <x:c r="A518" s="2" t="str">
        <x:v>L00047-010</x:v>
      </x:c>
      <x:c r="B518" s="2" t="str">
        <x:v>L00047</x:v>
      </x:c>
      <x:c r="C518" s="2" t="str">
        <x:v>SO-26010</x:v>
      </x:c>
      <x:c r="D518" s="2" t="str">
        <x:v>R-S-SS</x:v>
      </x:c>
      <x:c r="E518" s="14" t="n">
        <x:v>25</x:v>
      </x:c>
      <x:c r="F518" s="2" t="str">
        <x:v>CNC machining</x:v>
      </x:c>
      <x:c r="G518" s="9" t="str">
        <x:v>CNC-03</x:v>
      </x:c>
      <x:c r="H518" s="15" t="n">
        <x:v>18</x:v>
      </x:c>
      <x:c r="I518" s="9" t="str">
        <x:v>P14</x:v>
      </x:c>
      <x:c r="J518" s="11" t="n">
        <x:v>46301.770833333336</x:v>
      </x:c>
      <x:c r="K518" s="15" t="n">
        <x:v>18</x:v>
      </x:c>
      <x:c r="L518" s="15" t="n">
        <x:v>75</x:v>
      </x:c>
      <x:c r="M518" s="13" t="n">
        <x:f>J518+(K518+L518)/1440</x:f>
        <x:v>46301.83541666667</x:v>
      </x:c>
      <x:c r="N518" s="13" t="n">
        <x:f>VLOOKUP(C518,'MES orders'!$A$8:$H$127,5,FALSE)</x:f>
        <x:v>46303.666666666664</x:v>
      </x:c>
      <x:c r="O518" s="16" t="n">
        <x:f>MAX(0,(M518-N518)*24)</x:f>
        <x:v>0</x:v>
      </x:c>
      <x:c r="P518" s="9" t="str">
        <x:v>No</x:v>
      </x:c>
      <x:c r="Q518" s="15" t="n">
        <x:v>18</x:v>
      </x:c>
      <x:c r="R518" s="13" t="n">
        <x:f>J518+Q518/1440</x:f>
        <x:v>46301.78333333333</x:v>
      </x:c>
      <x:c r="S518" s="2" t="str">
        <x:f>VLOOKUP(C518,'MES orders'!$A$8:$H$127,6,FALSE)</x:f>
        <x:v>Normal</x:v>
      </x:c>
      <x:c r="T518" s="9" t="str"/>
    </x:row>
    <x:row r="519" ht="22" customHeight="1">
      <x:c r="A519" s="2" t="str">
        <x:v>L00048-010</x:v>
      </x:c>
      <x:c r="B519" s="2" t="str">
        <x:v>L00048</x:v>
      </x:c>
      <x:c r="C519" s="2" t="str">
        <x:v>SO-26010</x:v>
      </x:c>
      <x:c r="D519" s="2" t="str">
        <x:v>R-S-SS</x:v>
      </x:c>
      <x:c r="E519" s="14" t="n">
        <x:v>25</x:v>
      </x:c>
      <x:c r="F519" s="2" t="str">
        <x:v>CNC machining</x:v>
      </x:c>
      <x:c r="G519" s="9" t="str">
        <x:v>CNC-04</x:v>
      </x:c>
      <x:c r="H519" s="15" t="n">
        <x:v>17</x:v>
      </x:c>
      <x:c r="I519" s="9" t="str">
        <x:v>P15</x:v>
      </x:c>
      <x:c r="J519" s="11" t="n">
        <x:v>46301.770833333336</x:v>
      </x:c>
      <x:c r="K519" s="15" t="n">
        <x:v>18</x:v>
      </x:c>
      <x:c r="L519" s="15" t="n">
        <x:v>75</x:v>
      </x:c>
      <x:c r="M519" s="13" t="n">
        <x:f>J519+(K519+L519)/1440</x:f>
        <x:v>46301.83541666667</x:v>
      </x:c>
      <x:c r="N519" s="13" t="n">
        <x:f>VLOOKUP(C519,'MES orders'!$A$8:$H$127,5,FALSE)</x:f>
        <x:v>46303.666666666664</x:v>
      </x:c>
      <x:c r="O519" s="16" t="n">
        <x:f>MAX(0,(M519-N519)*24)</x:f>
        <x:v>0</x:v>
      </x:c>
      <x:c r="P519" s="9" t="str">
        <x:v>No</x:v>
      </x:c>
      <x:c r="Q519" s="15" t="n">
        <x:v>18</x:v>
      </x:c>
      <x:c r="R519" s="13" t="n">
        <x:f>J519+Q519/1440</x:f>
        <x:v>46301.78333333333</x:v>
      </x:c>
      <x:c r="S519" s="2" t="str">
        <x:f>VLOOKUP(C519,'MES orders'!$A$8:$H$127,6,FALSE)</x:f>
        <x:v>Normal</x:v>
      </x:c>
      <x:c r="T519" s="9" t="str"/>
    </x:row>
    <x:row r="520" ht="22" customHeight="1">
      <x:c r="A520" s="2" t="str">
        <x:v>L00213-020</x:v>
      </x:c>
      <x:c r="B520" s="2" t="str">
        <x:v>L00213</x:v>
      </x:c>
      <x:c r="C520" s="2" t="str">
        <x:v>SO-26043</x:v>
      </x:c>
      <x:c r="D520" s="2" t="str">
        <x:v>R-C-AL</x:v>
      </x:c>
      <x:c r="E520" s="14" t="n">
        <x:v>15</x:v>
      </x:c>
      <x:c r="F520" s="2" t="str">
        <x:v>Deburr &amp; inspect</x:v>
      </x:c>
      <x:c r="G520" s="9" t="str">
        <x:v>DB-01</x:v>
      </x:c>
      <x:c r="H520" s="15" t="n">
        <x:v>53</x:v>
      </x:c>
      <x:c r="I520" s="9" t="str">
        <x:v>P19</x:v>
      </x:c>
      <x:c r="J520" s="11" t="n">
        <x:v>46301.770833333336</x:v>
      </x:c>
      <x:c r="K520" s="15" t="n">
        <x:v>4</x:v>
      </x:c>
      <x:c r="L520" s="15" t="n">
        <x:v>8</x:v>
      </x:c>
      <x:c r="M520" s="13" t="n">
        <x:f>J520+(K520+L520)/1440</x:f>
        <x:v>46301.77916666667</x:v>
      </x:c>
      <x:c r="N520" s="13" t="n">
        <x:f>VLOOKUP(C520,'MES orders'!$A$8:$H$127,5,FALSE)</x:f>
        <x:v>46304.666666666664</x:v>
      </x:c>
      <x:c r="O520" s="16" t="n">
        <x:f>MAX(0,(M520-N520)*24)</x:f>
        <x:v>0</x:v>
      </x:c>
      <x:c r="P520" s="9" t="str">
        <x:v>No</x:v>
      </x:c>
      <x:c r="Q520" s="15" t="n">
        <x:v>12</x:v>
      </x:c>
      <x:c r="R520" s="13" t="n">
        <x:f>J520+Q520/1440</x:f>
        <x:v>46301.77916666667</x:v>
      </x:c>
      <x:c r="S520" s="2" t="str">
        <x:f>VLOOKUP(C520,'MES orders'!$A$8:$H$127,6,FALSE)</x:f>
        <x:v>High</x:v>
      </x:c>
      <x:c r="T520" s="9" t="str"/>
    </x:row>
    <x:row r="521" ht="22" customHeight="1">
      <x:c r="A521" s="2" t="str">
        <x:v>L00214-020</x:v>
      </x:c>
      <x:c r="B521" s="2" t="str">
        <x:v>L00214</x:v>
      </x:c>
      <x:c r="C521" s="2" t="str">
        <x:v>SO-26043</x:v>
      </x:c>
      <x:c r="D521" s="2" t="str">
        <x:v>R-C-AL</x:v>
      </x:c>
      <x:c r="E521" s="14" t="n">
        <x:v>15</x:v>
      </x:c>
      <x:c r="F521" s="2" t="str">
        <x:v>Deburr &amp; inspect</x:v>
      </x:c>
      <x:c r="G521" s="9" t="str">
        <x:v>DB-02</x:v>
      </x:c>
      <x:c r="H521" s="15" t="n">
        <x:v>39</x:v>
      </x:c>
      <x:c r="I521" s="9" t="str">
        <x:v>P20</x:v>
      </x:c>
      <x:c r="J521" s="11" t="n">
        <x:v>46301.770833333336</x:v>
      </x:c>
      <x:c r="K521" s="15" t="n">
        <x:v>4</x:v>
      </x:c>
      <x:c r="L521" s="15" t="n">
        <x:v>8</x:v>
      </x:c>
      <x:c r="M521" s="13" t="n">
        <x:f>J521+(K521+L521)/1440</x:f>
        <x:v>46301.77916666667</x:v>
      </x:c>
      <x:c r="N521" s="13" t="n">
        <x:f>VLOOKUP(C521,'MES orders'!$A$8:$H$127,5,FALSE)</x:f>
        <x:v>46304.666666666664</x:v>
      </x:c>
      <x:c r="O521" s="16" t="n">
        <x:f>MAX(0,(M521-N521)*24)</x:f>
        <x:v>0</x:v>
      </x:c>
      <x:c r="P521" s="9" t="str">
        <x:v>No</x:v>
      </x:c>
      <x:c r="Q521" s="15" t="n">
        <x:v>12</x:v>
      </x:c>
      <x:c r="R521" s="13" t="n">
        <x:f>J521+Q521/1440</x:f>
        <x:v>46301.77916666667</x:v>
      </x:c>
      <x:c r="S521" s="2" t="str">
        <x:f>VLOOKUP(C521,'MES orders'!$A$8:$H$127,6,FALSE)</x:f>
        <x:v>High</x:v>
      </x:c>
      <x:c r="T521" s="9" t="str"/>
    </x:row>
    <x:row r="522" ht="22" customHeight="1">
      <x:c r="A522" s="2" t="str">
        <x:v>L00248-050</x:v>
      </x:c>
      <x:c r="B522" s="2" t="str">
        <x:v>L00248</x:v>
      </x:c>
      <x:c r="C522" s="2" t="str">
        <x:v>SO-26050</x:v>
      </x:c>
      <x:c r="D522" s="2" t="str">
        <x:v>D-C-SS</x:v>
      </x:c>
      <x:c r="E522" s="14" t="n">
        <x:v>25</x:v>
      </x:c>
      <x:c r="F522" s="2" t="str">
        <x:v>Final leak / function test</x:v>
      </x:c>
      <x:c r="G522" s="9" t="str">
        <x:v>QA-01</x:v>
      </x:c>
      <x:c r="H522" s="15" t="n">
        <x:v>24</x:v>
      </x:c>
      <x:c r="I522" s="9" t="str">
        <x:v>P24</x:v>
      </x:c>
      <x:c r="J522" s="11" t="n">
        <x:v>46301.770833333336</x:v>
      </x:c>
      <x:c r="K522" s="15" t="n">
        <x:v>10</x:v>
      </x:c>
      <x:c r="L522" s="15" t="n">
        <x:v>18</x:v>
      </x:c>
      <x:c r="M522" s="13" t="n">
        <x:f>J522+(K522+L522)/1440</x:f>
        <x:v>46301.79027777778</x:v>
      </x:c>
      <x:c r="N522" s="13" t="n">
        <x:f>VLOOKUP(C522,'MES orders'!$A$8:$H$127,5,FALSE)</x:f>
        <x:v>46303.666666666664</x:v>
      </x:c>
      <x:c r="O522" s="16" t="n">
        <x:f>MAX(0,(M522-N522)*24)</x:f>
        <x:v>0</x:v>
      </x:c>
      <x:c r="P522" s="9" t="str">
        <x:v>No</x:v>
      </x:c>
      <x:c r="Q522" s="15" t="n">
        <x:v>28</x:v>
      </x:c>
      <x:c r="R522" s="13" t="n">
        <x:f>J522+Q522/1440</x:f>
        <x:v>46301.79027777778</x:v>
      </x:c>
      <x:c r="S522" s="2" t="str">
        <x:f>VLOOKUP(C522,'MES orders'!$A$8:$H$127,6,FALSE)</x:f>
        <x:v>High</x:v>
      </x:c>
      <x:c r="T522" s="9" t="str"/>
    </x:row>
    <x:row r="523" ht="22" customHeight="1">
      <x:c r="A523" s="2" t="str">
        <x:v>L00525-060</x:v>
      </x:c>
      <x:c r="B523" s="2" t="str">
        <x:v>L00525</x:v>
      </x:c>
      <x:c r="C523" s="2" t="str">
        <x:v>SO-26105</x:v>
      </x:c>
      <x:c r="D523" s="2" t="str">
        <x:v>R-S-AL</x:v>
      </x:c>
      <x:c r="E523" s="14" t="n">
        <x:v>25</x:v>
      </x:c>
      <x:c r="F523" s="2" t="str">
        <x:v>Final leak / function test</x:v>
      </x:c>
      <x:c r="G523" s="9" t="str">
        <x:v>QA-02</x:v>
      </x:c>
      <x:c r="H523" s="15" t="n">
        <x:v>36</x:v>
      </x:c>
      <x:c r="I523" s="9" t="str">
        <x:v>P23</x:v>
      </x:c>
      <x:c r="J523" s="11" t="n">
        <x:v>46301.770833333336</x:v>
      </x:c>
      <x:c r="K523" s="15" t="n">
        <x:v>10</x:v>
      </x:c>
      <x:c r="L523" s="15" t="n">
        <x:v>22</x:v>
      </x:c>
      <x:c r="M523" s="13" t="n">
        <x:f>J523+(K523+L523)/1440</x:f>
        <x:v>46301.79305555556</x:v>
      </x:c>
      <x:c r="N523" s="13" t="n">
        <x:f>VLOOKUP(C523,'MES orders'!$A$8:$H$127,5,FALSE)</x:f>
        <x:v>46302.666666666664</x:v>
      </x:c>
      <x:c r="O523" s="16" t="n">
        <x:f>MAX(0,(M523-N523)*24)</x:f>
        <x:v>0</x:v>
      </x:c>
      <x:c r="P523" s="9" t="str">
        <x:v>No</x:v>
      </x:c>
      <x:c r="Q523" s="15" t="n">
        <x:v>32</x:v>
      </x:c>
      <x:c r="R523" s="13" t="n">
        <x:f>J523+Q523/1440</x:f>
        <x:v>46301.79305555556</x:v>
      </x:c>
      <x:c r="S523" s="2" t="str">
        <x:f>VLOOKUP(C523,'MES orders'!$A$8:$H$127,6,FALSE)</x:f>
        <x:v>Normal</x:v>
      </x:c>
      <x:c r="T523" s="9" t="str"/>
    </x:row>
    <x:row r="524" ht="22" customHeight="1">
      <x:c r="A524" s="2" t="str">
        <x:v>L00526-030</x:v>
      </x:c>
      <x:c r="B524" s="2" t="str">
        <x:v>L00526</x:v>
      </x:c>
      <x:c r="C524" s="2" t="str">
        <x:v>SO-26106</x:v>
      </x:c>
      <x:c r="D524" s="2" t="str">
        <x:v>S-S-SS</x:v>
      </x:c>
      <x:c r="E524" s="14" t="n">
        <x:v>20</x:v>
      </x:c>
      <x:c r="F524" s="2" t="str">
        <x:v>Wash &amp; dry</x:v>
      </x:c>
      <x:c r="G524" s="9" t="str">
        <x:v>WS-01</x:v>
      </x:c>
      <x:c r="H524" s="15" t="n">
        <x:v>51</x:v>
      </x:c>
      <x:c r="I524" s="9" t="str">
        <x:v>P18</x:v>
      </x:c>
      <x:c r="J524" s="11" t="n">
        <x:v>46301.770833333336</x:v>
      </x:c>
      <x:c r="K524" s="15" t="n">
        <x:v>12</x:v>
      </x:c>
      <x:c r="L524" s="15" t="n">
        <x:v>7</x:v>
      </x:c>
      <x:c r="M524" s="13" t="n">
        <x:f>J524+(K524+L524)/1440</x:f>
        <x:v>46301.78402777778</x:v>
      </x:c>
      <x:c r="N524" s="13" t="n">
        <x:f>VLOOKUP(C524,'MES orders'!$A$8:$H$127,5,FALSE)</x:f>
        <x:v>46303.666666666664</x:v>
      </x:c>
      <x:c r="O524" s="16" t="n">
        <x:f>MAX(0,(M524-N524)*24)</x:f>
        <x:v>0</x:v>
      </x:c>
      <x:c r="P524" s="9" t="str">
        <x:v>No</x:v>
      </x:c>
      <x:c r="Q524" s="15" t="n">
        <x:v>19</x:v>
      </x:c>
      <x:c r="R524" s="13" t="n">
        <x:f>J524+Q524/1440</x:f>
        <x:v>46301.78402777778</x:v>
      </x:c>
      <x:c r="S524" s="2" t="str">
        <x:f>VLOOKUP(C524,'MES orders'!$A$8:$H$127,6,FALSE)</x:f>
        <x:v>High</x:v>
      </x:c>
      <x:c r="T524" s="9" t="str"/>
    </x:row>
    <x:row r="525" ht="22" customHeight="1">
      <x:c r="A525" s="2" t="str">
        <x:v>L00009-030</x:v>
      </x:c>
      <x:c r="B525" s="2" t="str">
        <x:v>L00009</x:v>
      </x:c>
      <x:c r="C525" s="2" t="str">
        <x:v>SO-26002</x:v>
      </x:c>
      <x:c r="D525" s="2" t="str">
        <x:v>R-C-SS</x:v>
      </x:c>
      <x:c r="E525" s="14" t="n">
        <x:v>5</x:v>
      </x:c>
      <x:c r="F525" s="2" t="str">
        <x:v>Wash &amp; dry</x:v>
      </x:c>
      <x:c r="G525" s="9" t="str">
        <x:v>WS-02</x:v>
      </x:c>
      <x:c r="H525" s="15" t="n">
        <x:v>35</x:v>
      </x:c>
      <x:c r="I525" s="9" t="str">
        <x:v>P13</x:v>
      </x:c>
      <x:c r="J525" s="11" t="n">
        <x:v>46301.770833333336</x:v>
      </x:c>
      <x:c r="K525" s="15" t="n">
        <x:v>12</x:v>
      </x:c>
      <x:c r="L525" s="15" t="n">
        <x:v>1</x:v>
      </x:c>
      <x:c r="M525" s="13" t="n">
        <x:f>J525+(K525+L525)/1440</x:f>
        <x:v>46301.779861111114</x:v>
      </x:c>
      <x:c r="N525" s="13" t="n">
        <x:f>VLOOKUP(C525,'MES orders'!$A$8:$H$127,5,FALSE)</x:f>
        <x:v>46303.666666666664</x:v>
      </x:c>
      <x:c r="O525" s="16" t="n">
        <x:f>MAX(0,(M525-N525)*24)</x:f>
        <x:v>0</x:v>
      </x:c>
      <x:c r="P525" s="9" t="str">
        <x:v>No</x:v>
      </x:c>
      <x:c r="Q525" s="15" t="n">
        <x:v>13</x:v>
      </x:c>
      <x:c r="R525" s="13" t="n">
        <x:f>J525+Q525/1440</x:f>
        <x:v>46301.779861111114</x:v>
      </x:c>
      <x:c r="S525" s="2" t="str">
        <x:f>VLOOKUP(C525,'MES orders'!$A$8:$H$127,6,FALSE)</x:f>
        <x:v>Normal</x:v>
      </x:c>
      <x:c r="T525" s="9" t="str"/>
    </x:row>
    <x:row r="526" ht="22" customHeight="1">
      <x:c r="A526" s="2" t="str">
        <x:v>L00215-020</x:v>
      </x:c>
      <x:c r="B526" s="2" t="str">
        <x:v>L00215</x:v>
      </x:c>
      <x:c r="C526" s="2" t="str">
        <x:v>SO-26043</x:v>
      </x:c>
      <x:c r="D526" s="2" t="str">
        <x:v>R-C-AL</x:v>
      </x:c>
      <x:c r="E526" s="14" t="n">
        <x:v>15</x:v>
      </x:c>
      <x:c r="F526" s="2" t="str">
        <x:v>Deburr &amp; inspect</x:v>
      </x:c>
      <x:c r="G526" s="9" t="str">
        <x:v>DB-01</x:v>
      </x:c>
      <x:c r="H526" s="15" t="n">
        <x:v>54</x:v>
      </x:c>
      <x:c r="I526" s="9" t="str">
        <x:v>P20</x:v>
      </x:c>
      <x:c r="J526" s="11" t="n">
        <x:v>46301.77916666667</x:v>
      </x:c>
      <x:c r="K526" s="15" t="n">
        <x:v>4</x:v>
      </x:c>
      <x:c r="L526" s="15" t="n">
        <x:v>8</x:v>
      </x:c>
      <x:c r="M526" s="13" t="n">
        <x:f>J526+(K526+L526)/1440</x:f>
        <x:v>46301.7875</x:v>
      </x:c>
      <x:c r="N526" s="13" t="n">
        <x:f>VLOOKUP(C526,'MES orders'!$A$8:$H$127,5,FALSE)</x:f>
        <x:v>46304.666666666664</x:v>
      </x:c>
      <x:c r="O526" s="16" t="n">
        <x:f>MAX(0,(M526-N526)*24)</x:f>
        <x:v>0</x:v>
      </x:c>
      <x:c r="P526" s="9" t="str">
        <x:v>No</x:v>
      </x:c>
      <x:c r="Q526" s="15" t="n">
        <x:v>12</x:v>
      </x:c>
      <x:c r="R526" s="13" t="n">
        <x:f>J526+Q526/1440</x:f>
        <x:v>46301.7875</x:v>
      </x:c>
      <x:c r="S526" s="2" t="str">
        <x:f>VLOOKUP(C526,'MES orders'!$A$8:$H$127,6,FALSE)</x:f>
        <x:v>High</x:v>
      </x:c>
      <x:c r="T526" s="9" t="str"/>
    </x:row>
    <x:row r="527" ht="22" customHeight="1">
      <x:c r="A527" s="2" t="str">
        <x:v>L00212-030</x:v>
      </x:c>
      <x:c r="B527" s="2" t="str">
        <x:v>L00212</x:v>
      </x:c>
      <x:c r="C527" s="2" t="str">
        <x:v>SO-26043</x:v>
      </x:c>
      <x:c r="D527" s="2" t="str">
        <x:v>R-C-AL</x:v>
      </x:c>
      <x:c r="E527" s="14" t="n">
        <x:v>15</x:v>
      </x:c>
      <x:c r="F527" s="2" t="str">
        <x:v>Wash &amp; dry</x:v>
      </x:c>
      <x:c r="G527" s="9" t="str">
        <x:v>WS-02</x:v>
      </x:c>
      <x:c r="H527" s="15" t="n">
        <x:v>36</x:v>
      </x:c>
      <x:c r="I527" s="9" t="str">
        <x:v>P19</x:v>
      </x:c>
      <x:c r="J527" s="11" t="n">
        <x:v>46301.779861111114</x:v>
      </x:c>
      <x:c r="K527" s="15" t="n">
        <x:v>12</x:v>
      </x:c>
      <x:c r="L527" s="15" t="n">
        <x:v>4</x:v>
      </x:c>
      <x:c r="M527" s="13" t="n">
        <x:f>J527+(K527+L527)/1440</x:f>
        <x:v>46301.790972222225</x:v>
      </x:c>
      <x:c r="N527" s="13" t="n">
        <x:f>VLOOKUP(C527,'MES orders'!$A$8:$H$127,5,FALSE)</x:f>
        <x:v>46304.666666666664</x:v>
      </x:c>
      <x:c r="O527" s="16" t="n">
        <x:f>MAX(0,(M527-N527)*24)</x:f>
        <x:v>0</x:v>
      </x:c>
      <x:c r="P527" s="9" t="str">
        <x:v>No</x:v>
      </x:c>
      <x:c r="Q527" s="15" t="n">
        <x:v>16</x:v>
      </x:c>
      <x:c r="R527" s="13" t="n">
        <x:f>J527+Q527/1440</x:f>
        <x:v>46301.790972222225</x:v>
      </x:c>
      <x:c r="S527" s="2" t="str">
        <x:f>VLOOKUP(C527,'MES orders'!$A$8:$H$127,6,FALSE)</x:f>
        <x:v>High</x:v>
      </x:c>
      <x:c r="T527" s="9" t="str"/>
    </x:row>
    <x:row r="528" ht="22" customHeight="1">
      <x:c r="A528" s="2" t="str">
        <x:v>L00049-010</x:v>
      </x:c>
      <x:c r="B528" s="2" t="str">
        <x:v>L00049</x:v>
      </x:c>
      <x:c r="C528" s="2" t="str">
        <x:v>SO-26010</x:v>
      </x:c>
      <x:c r="D528" s="2" t="str">
        <x:v>R-S-SS</x:v>
      </x:c>
      <x:c r="E528" s="14" t="n">
        <x:v>25</x:v>
      </x:c>
      <x:c r="F528" s="2" t="str">
        <x:v>CNC machining</x:v>
      </x:c>
      <x:c r="G528" s="9" t="str">
        <x:v>CNC-05</x:v>
      </x:c>
      <x:c r="H528" s="15" t="n">
        <x:v>14</x:v>
      </x:c>
      <x:c r="I528" s="9" t="str">
        <x:v>P14</x:v>
      </x:c>
      <x:c r="J528" s="11" t="n">
        <x:v>46301.78333333333</x:v>
      </x:c>
      <x:c r="K528" s="15" t="n">
        <x:v>18</x:v>
      </x:c>
      <x:c r="L528" s="15" t="n">
        <x:v>75</x:v>
      </x:c>
      <x:c r="M528" s="13" t="n">
        <x:f>J528+(K528+L528)/1440</x:f>
        <x:v>46301.847916666666</x:v>
      </x:c>
      <x:c r="N528" s="13" t="n">
        <x:f>VLOOKUP(C528,'MES orders'!$A$8:$H$127,5,FALSE)</x:f>
        <x:v>46303.666666666664</x:v>
      </x:c>
      <x:c r="O528" s="16" t="n">
        <x:f>MAX(0,(M528-N528)*24)</x:f>
        <x:v>0</x:v>
      </x:c>
      <x:c r="P528" s="9" t="str">
        <x:v>No</x:v>
      </x:c>
      <x:c r="Q528" s="15" t="n">
        <x:v>18</x:v>
      </x:c>
      <x:c r="R528" s="13" t="n">
        <x:f>J528+Q528/1440</x:f>
        <x:v>46301.79583333333</x:v>
      </x:c>
      <x:c r="S528" s="2" t="str">
        <x:f>VLOOKUP(C528,'MES orders'!$A$8:$H$127,6,FALSE)</x:f>
        <x:v>Normal</x:v>
      </x:c>
      <x:c r="T528" s="9" t="str"/>
    </x:row>
    <x:row r="529" ht="22" customHeight="1">
      <x:c r="A529" s="2" t="str">
        <x:v>L00526-040</x:v>
      </x:c>
      <x:c r="B529" s="2" t="str">
        <x:v>L00526</x:v>
      </x:c>
      <x:c r="C529" s="2" t="str">
        <x:v>SO-26106</x:v>
      </x:c>
      <x:c r="D529" s="2" t="str">
        <x:v>S-S-SS</x:v>
      </x:c>
      <x:c r="E529" s="14" t="n">
        <x:v>20</x:v>
      </x:c>
      <x:c r="F529" s="2" t="str">
        <x:v>Mechanical preassembly</x:v>
      </x:c>
      <x:c r="G529" s="9" t="str">
        <x:v>AS-03</x:v>
      </x:c>
      <x:c r="H529" s="15" t="n">
        <x:v>25</x:v>
      </x:c>
      <x:c r="I529" s="9" t="str">
        <x:v>P18</x:v>
      </x:c>
      <x:c r="J529" s="11" t="n">
        <x:v>46301.78402777778</x:v>
      </x:c>
      <x:c r="K529" s="15" t="n">
        <x:v>6</x:v>
      </x:c>
      <x:c r="L529" s="15" t="n">
        <x:v>22</x:v>
      </x:c>
      <x:c r="M529" s="13" t="n">
        <x:f>J529+(K529+L529)/1440</x:f>
        <x:v>46301.80347222222</x:v>
      </x:c>
      <x:c r="N529" s="13" t="n">
        <x:f>VLOOKUP(C529,'MES orders'!$A$8:$H$127,5,FALSE)</x:f>
        <x:v>46303.666666666664</x:v>
      </x:c>
      <x:c r="O529" s="16" t="n">
        <x:f>MAX(0,(M529-N529)*24)</x:f>
        <x:v>0</x:v>
      </x:c>
      <x:c r="P529" s="9" t="str">
        <x:v>No</x:v>
      </x:c>
      <x:c r="Q529" s="15" t="n">
        <x:v>28</x:v>
      </x:c>
      <x:c r="R529" s="13" t="n">
        <x:f>J529+Q529/1440</x:f>
        <x:v>46301.80347222222</x:v>
      </x:c>
      <x:c r="S529" s="2" t="str">
        <x:f>VLOOKUP(C529,'MES orders'!$A$8:$H$127,6,FALSE)</x:f>
        <x:v>High</x:v>
      </x:c>
      <x:c r="T529" s="9" t="str"/>
    </x:row>
    <x:row r="530" ht="22" customHeight="1">
      <x:c r="A530" s="2" t="str">
        <x:v>L00050-010</x:v>
      </x:c>
      <x:c r="B530" s="2" t="str">
        <x:v>L00050</x:v>
      </x:c>
      <x:c r="C530" s="2" t="str">
        <x:v>SO-26010</x:v>
      </x:c>
      <x:c r="D530" s="2" t="str">
        <x:v>R-S-SS</x:v>
      </x:c>
      <x:c r="E530" s="14" t="n">
        <x:v>25</x:v>
      </x:c>
      <x:c r="F530" s="2" t="str">
        <x:v>CNC machining</x:v>
      </x:c>
      <x:c r="G530" s="9" t="str">
        <x:v>CNC-06</x:v>
      </x:c>
      <x:c r="H530" s="15" t="n">
        <x:v>13</x:v>
      </x:c>
      <x:c r="I530" s="9" t="str">
        <x:v>P15</x:v>
      </x:c>
      <x:c r="J530" s="11" t="n">
        <x:v>46301.78958333333</x:v>
      </x:c>
      <x:c r="K530" s="15" t="n">
        <x:v>18</x:v>
      </x:c>
      <x:c r="L530" s="15" t="n">
        <x:v>75</x:v>
      </x:c>
      <x:c r="M530" s="13" t="n">
        <x:f>J530+(K530+L530)/1440</x:f>
        <x:v>46301.854166666664</x:v>
      </x:c>
      <x:c r="N530" s="13" t="n">
        <x:f>VLOOKUP(C530,'MES orders'!$A$8:$H$127,5,FALSE)</x:f>
        <x:v>46303.666666666664</x:v>
      </x:c>
      <x:c r="O530" s="16" t="n">
        <x:f>MAX(0,(M530-N530)*24)</x:f>
        <x:v>0</x:v>
      </x:c>
      <x:c r="P530" s="9" t="str">
        <x:v>No</x:v>
      </x:c>
      <x:c r="Q530" s="15" t="n">
        <x:v>18</x:v>
      </x:c>
      <x:c r="R530" s="13" t="n">
        <x:f>J530+Q530/1440</x:f>
        <x:v>46301.80208333333</x:v>
      </x:c>
      <x:c r="S530" s="2" t="str">
        <x:f>VLOOKUP(C530,'MES orders'!$A$8:$H$127,6,FALSE)</x:f>
        <x:v>Normal</x:v>
      </x:c>
      <x:c r="T530" s="9" t="str"/>
    </x:row>
    <x:row r="531" ht="22" customHeight="1">
      <x:c r="A531" s="2" t="str">
        <x:v>L00046-020</x:v>
      </x:c>
      <x:c r="B531" s="2" t="str">
        <x:v>L00046</x:v>
      </x:c>
      <x:c r="C531" s="2" t="str">
        <x:v>SO-26010</x:v>
      </x:c>
      <x:c r="D531" s="2" t="str">
        <x:v>R-S-SS</x:v>
      </x:c>
      <x:c r="E531" s="14" t="n">
        <x:v>25</x:v>
      </x:c>
      <x:c r="F531" s="2" t="str">
        <x:v>Deburr &amp; inspect</x:v>
      </x:c>
      <x:c r="G531" s="9" t="str">
        <x:v>DB-01</x:v>
      </x:c>
      <x:c r="H531" s="15" t="n">
        <x:v>55</x:v>
      </x:c>
      <x:c r="I531" s="9" t="str">
        <x:v>P13</x:v>
      </x:c>
      <x:c r="J531" s="11" t="n">
        <x:v>46301.78958333333</x:v>
      </x:c>
      <x:c r="K531" s="15" t="n">
        <x:v>4</x:v>
      </x:c>
      <x:c r="L531" s="15" t="n">
        <x:v>18</x:v>
      </x:c>
      <x:c r="M531" s="13" t="n">
        <x:f>J531+(K531+L531)/1440</x:f>
        <x:v>46301.80486111111</x:v>
      </x:c>
      <x:c r="N531" s="13" t="n">
        <x:f>VLOOKUP(C531,'MES orders'!$A$8:$H$127,5,FALSE)</x:f>
        <x:v>46303.666666666664</x:v>
      </x:c>
      <x:c r="O531" s="16" t="n">
        <x:f>MAX(0,(M531-N531)*24)</x:f>
        <x:v>0</x:v>
      </x:c>
      <x:c r="P531" s="9" t="str">
        <x:v>No</x:v>
      </x:c>
      <x:c r="Q531" s="15" t="n">
        <x:v>22</x:v>
      </x:c>
      <x:c r="R531" s="13" t="n">
        <x:f>J531+Q531/1440</x:f>
        <x:v>46301.80486111111</x:v>
      </x:c>
      <x:c r="S531" s="2" t="str">
        <x:f>VLOOKUP(C531,'MES orders'!$A$8:$H$127,6,FALSE)</x:f>
        <x:v>Normal</x:v>
      </x:c>
      <x:c r="T531" s="9" t="str"/>
    </x:row>
    <x:row r="532" ht="22" customHeight="1">
      <x:c r="A532" s="2" t="str">
        <x:v>L00213-030</x:v>
      </x:c>
      <x:c r="B532" s="2" t="str">
        <x:v>L00213</x:v>
      </x:c>
      <x:c r="C532" s="2" t="str">
        <x:v>SO-26043</x:v>
      </x:c>
      <x:c r="D532" s="2" t="str">
        <x:v>R-C-AL</x:v>
      </x:c>
      <x:c r="E532" s="14" t="n">
        <x:v>15</x:v>
      </x:c>
      <x:c r="F532" s="2" t="str">
        <x:v>Wash &amp; dry</x:v>
      </x:c>
      <x:c r="G532" s="9" t="str">
        <x:v>WS-01</x:v>
      </x:c>
      <x:c r="H532" s="15" t="n">
        <x:v>52</x:v>
      </x:c>
      <x:c r="I532" s="9" t="str">
        <x:v>P24</x:v>
      </x:c>
      <x:c r="J532" s="11" t="n">
        <x:v>46301.79027777778</x:v>
      </x:c>
      <x:c r="K532" s="15" t="n">
        <x:v>12</x:v>
      </x:c>
      <x:c r="L532" s="15" t="n">
        <x:v>4</x:v>
      </x:c>
      <x:c r="M532" s="13" t="n">
        <x:f>J532+(K532+L532)/1440</x:f>
        <x:v>46301.80138888889</x:v>
      </x:c>
      <x:c r="N532" s="13" t="n">
        <x:f>VLOOKUP(C532,'MES orders'!$A$8:$H$127,5,FALSE)</x:f>
        <x:v>46304.666666666664</x:v>
      </x:c>
      <x:c r="O532" s="16" t="n">
        <x:f>MAX(0,(M532-N532)*24)</x:f>
        <x:v>0</x:v>
      </x:c>
      <x:c r="P532" s="9" t="str">
        <x:v>No</x:v>
      </x:c>
      <x:c r="Q532" s="15" t="n">
        <x:v>16</x:v>
      </x:c>
      <x:c r="R532" s="13" t="n">
        <x:f>J532+Q532/1440</x:f>
        <x:v>46301.80138888889</x:v>
      </x:c>
      <x:c r="S532" s="2" t="str">
        <x:f>VLOOKUP(C532,'MES orders'!$A$8:$H$127,6,FALSE)</x:f>
        <x:v>High</x:v>
      </x:c>
      <x:c r="T532" s="9" t="str"/>
    </x:row>
    <x:row r="533" ht="22" customHeight="1">
      <x:c r="A533" s="2" t="str">
        <x:v>L00212-040</x:v>
      </x:c>
      <x:c r="B533" s="2" t="str">
        <x:v>L00212</x:v>
      </x:c>
      <x:c r="C533" s="2" t="str">
        <x:v>SO-26043</x:v>
      </x:c>
      <x:c r="D533" s="2" t="str">
        <x:v>R-C-AL</x:v>
      </x:c>
      <x:c r="E533" s="14" t="n">
        <x:v>15</x:v>
      </x:c>
      <x:c r="F533" s="2" t="str">
        <x:v>Mechanical assembly</x:v>
      </x:c>
      <x:c r="G533" s="9" t="str">
        <x:v>AS-04</x:v>
      </x:c>
      <x:c r="H533" s="15" t="n">
        <x:v>15</x:v>
      </x:c>
      <x:c r="I533" s="9" t="str">
        <x:v>P20</x:v>
      </x:c>
      <x:c r="J533" s="11" t="n">
        <x:v>46301.790972222225</x:v>
      </x:c>
      <x:c r="K533" s="15" t="n">
        <x:v>8</x:v>
      </x:c>
      <x:c r="L533" s="15" t="n">
        <x:v>22</x:v>
      </x:c>
      <x:c r="M533" s="13" t="n">
        <x:f>J533+(K533+L533)/1440</x:f>
        <x:v>46301.81180555556</x:v>
      </x:c>
      <x:c r="N533" s="13" t="n">
        <x:f>VLOOKUP(C533,'MES orders'!$A$8:$H$127,5,FALSE)</x:f>
        <x:v>46304.666666666664</x:v>
      </x:c>
      <x:c r="O533" s="16" t="n">
        <x:f>MAX(0,(M533-N533)*24)</x:f>
        <x:v>0</x:v>
      </x:c>
      <x:c r="P533" s="9" t="str">
        <x:v>No</x:v>
      </x:c>
      <x:c r="Q533" s="15" t="n">
        <x:v>30</x:v>
      </x:c>
      <x:c r="R533" s="13" t="n">
        <x:f>J533+Q533/1440</x:f>
        <x:v>46301.81180555556</x:v>
      </x:c>
      <x:c r="S533" s="2" t="str">
        <x:f>VLOOKUP(C533,'MES orders'!$A$8:$H$127,6,FALSE)</x:f>
        <x:v>High</x:v>
      </x:c>
      <x:c r="T533" s="9" t="str"/>
    </x:row>
    <x:row r="534" ht="22" customHeight="1">
      <x:c r="A534" s="2" t="str">
        <x:v>L00214-030</x:v>
      </x:c>
      <x:c r="B534" s="2" t="str">
        <x:v>L00214</x:v>
      </x:c>
      <x:c r="C534" s="2" t="str">
        <x:v>SO-26043</x:v>
      </x:c>
      <x:c r="D534" s="2" t="str">
        <x:v>R-C-AL</x:v>
      </x:c>
      <x:c r="E534" s="14" t="n">
        <x:v>15</x:v>
      </x:c>
      <x:c r="F534" s="2" t="str">
        <x:v>Wash &amp; dry</x:v>
      </x:c>
      <x:c r="G534" s="9" t="str">
        <x:v>WS-02</x:v>
      </x:c>
      <x:c r="H534" s="15" t="n">
        <x:v>37</x:v>
      </x:c>
      <x:c r="I534" s="9" t="str">
        <x:v>P19</x:v>
      </x:c>
      <x:c r="J534" s="11" t="n">
        <x:v>46301.790972222225</x:v>
      </x:c>
      <x:c r="K534" s="15" t="n">
        <x:v>12</x:v>
      </x:c>
      <x:c r="L534" s="15" t="n">
        <x:v>4</x:v>
      </x:c>
      <x:c r="M534" s="13" t="n">
        <x:f>J534+(K534+L534)/1440</x:f>
        <x:v>46301.802083333336</x:v>
      </x:c>
      <x:c r="N534" s="13" t="n">
        <x:f>VLOOKUP(C534,'MES orders'!$A$8:$H$127,5,FALSE)</x:f>
        <x:v>46304.666666666664</x:v>
      </x:c>
      <x:c r="O534" s="16" t="n">
        <x:f>MAX(0,(M534-N534)*24)</x:f>
        <x:v>0</x:v>
      </x:c>
      <x:c r="P534" s="9" t="str">
        <x:v>No</x:v>
      </x:c>
      <x:c r="Q534" s="15" t="n">
        <x:v>16</x:v>
      </x:c>
      <x:c r="R534" s="13" t="n">
        <x:f>J534+Q534/1440</x:f>
        <x:v>46301.802083333336</x:v>
      </x:c>
      <x:c r="S534" s="2" t="str">
        <x:f>VLOOKUP(C534,'MES orders'!$A$8:$H$127,6,FALSE)</x:f>
        <x:v>High</x:v>
      </x:c>
      <x:c r="T534" s="9" t="str"/>
    </x:row>
    <x:row r="535" ht="22" customHeight="1">
      <x:c r="A535" s="2" t="str">
        <x:v>L00527-040</x:v>
      </x:c>
      <x:c r="B535" s="2" t="str">
        <x:v>L00527</x:v>
      </x:c>
      <x:c r="C535" s="2" t="str">
        <x:v>SO-26106</x:v>
      </x:c>
      <x:c r="D535" s="2" t="str">
        <x:v>S-S-SS</x:v>
      </x:c>
      <x:c r="E535" s="14" t="n">
        <x:v>20</x:v>
      </x:c>
      <x:c r="F535" s="2" t="str">
        <x:v>Mechanical preassembly</x:v>
      </x:c>
      <x:c r="G535" s="9" t="str">
        <x:v>AS-01</x:v>
      </x:c>
      <x:c r="H535" s="15" t="n">
        <x:v>45</x:v>
      </x:c>
      <x:c r="I535" s="9" t="str">
        <x:v>P16</x:v>
      </x:c>
      <x:c r="J535" s="11" t="n">
        <x:v>46301.80138888889</x:v>
      </x:c>
      <x:c r="K535" s="15" t="n">
        <x:v>6</x:v>
      </x:c>
      <x:c r="L535" s="15" t="n">
        <x:v>22</x:v>
      </x:c>
      <x:c r="M535" s="13" t="n">
        <x:f>J535+(K535+L535)/1440</x:f>
        <x:v>46301.82083333333</x:v>
      </x:c>
      <x:c r="N535" s="13" t="n">
        <x:f>VLOOKUP(C535,'MES orders'!$A$8:$H$127,5,FALSE)</x:f>
        <x:v>46303.666666666664</x:v>
      </x:c>
      <x:c r="O535" s="16" t="n">
        <x:f>MAX(0,(M535-N535)*24)</x:f>
        <x:v>0</x:v>
      </x:c>
      <x:c r="P535" s="9" t="str">
        <x:v>No</x:v>
      </x:c>
      <x:c r="Q535" s="15" t="n">
        <x:v>28</x:v>
      </x:c>
      <x:c r="R535" s="13" t="n">
        <x:f>J535+Q535/1440</x:f>
        <x:v>46301.82083333333</x:v>
      </x:c>
      <x:c r="S535" s="2" t="str">
        <x:f>VLOOKUP(C535,'MES orders'!$A$8:$H$127,6,FALSE)</x:f>
        <x:v>High</x:v>
      </x:c>
      <x:c r="T535" s="9" t="str"/>
    </x:row>
    <x:row r="536" ht="22" customHeight="1">
      <x:c r="A536" s="2" t="str">
        <x:v>L00213-040</x:v>
      </x:c>
      <x:c r="B536" s="2" t="str">
        <x:v>L00213</x:v>
      </x:c>
      <x:c r="C536" s="2" t="str">
        <x:v>SO-26043</x:v>
      </x:c>
      <x:c r="D536" s="2" t="str">
        <x:v>R-C-AL</x:v>
      </x:c>
      <x:c r="E536" s="14" t="n">
        <x:v>15</x:v>
      </x:c>
      <x:c r="F536" s="2" t="str">
        <x:v>Mechanical assembly</x:v>
      </x:c>
      <x:c r="G536" s="9" t="str">
        <x:v>AS-05</x:v>
      </x:c>
      <x:c r="H536" s="15" t="n">
        <x:v>12</x:v>
      </x:c>
      <x:c r="I536" s="9" t="str">
        <x:v>P14</x:v>
      </x:c>
      <x:c r="J536" s="11" t="n">
        <x:v>46301.80138888889</x:v>
      </x:c>
      <x:c r="K536" s="15" t="n">
        <x:v>8</x:v>
      </x:c>
      <x:c r="L536" s="15" t="n">
        <x:v>22</x:v>
      </x:c>
      <x:c r="M536" s="13" t="n">
        <x:f>J536+(K536+L536)/1440</x:f>
        <x:v>46301.822222222225</x:v>
      </x:c>
      <x:c r="N536" s="13" t="n">
        <x:f>VLOOKUP(C536,'MES orders'!$A$8:$H$127,5,FALSE)</x:f>
        <x:v>46304.666666666664</x:v>
      </x:c>
      <x:c r="O536" s="16" t="n">
        <x:f>MAX(0,(M536-N536)*24)</x:f>
        <x:v>0</x:v>
      </x:c>
      <x:c r="P536" s="9" t="str">
        <x:v>No</x:v>
      </x:c>
      <x:c r="Q536" s="15" t="n">
        <x:v>30</x:v>
      </x:c>
      <x:c r="R536" s="13" t="n">
        <x:f>J536+Q536/1440</x:f>
        <x:v>46301.822222222225</x:v>
      </x:c>
      <x:c r="S536" s="2" t="str">
        <x:f>VLOOKUP(C536,'MES orders'!$A$8:$H$127,6,FALSE)</x:f>
        <x:v>High</x:v>
      </x:c>
      <x:c r="T536" s="9" t="str"/>
    </x:row>
    <x:row r="537" ht="22" customHeight="1">
      <x:c r="A537" s="2" t="str">
        <x:v>L00247-050</x:v>
      </x:c>
      <x:c r="B537" s="2" t="str">
        <x:v>L00247</x:v>
      </x:c>
      <x:c r="C537" s="2" t="str">
        <x:v>SO-26050</x:v>
      </x:c>
      <x:c r="D537" s="2" t="str">
        <x:v>D-C-SS</x:v>
      </x:c>
      <x:c r="E537" s="14" t="n">
        <x:v>25</x:v>
      </x:c>
      <x:c r="F537" s="2" t="str">
        <x:v>Final leak / function test</x:v>
      </x:c>
      <x:c r="G537" s="9" t="str">
        <x:v>QA-01</x:v>
      </x:c>
      <x:c r="H537" s="15" t="n">
        <x:v>25</x:v>
      </x:c>
      <x:c r="I537" s="9" t="str">
        <x:v>P23</x:v>
      </x:c>
      <x:c r="J537" s="11" t="n">
        <x:v>46301.80138888889</x:v>
      </x:c>
      <x:c r="K537" s="15" t="n">
        <x:v>10</x:v>
      </x:c>
      <x:c r="L537" s="15" t="n">
        <x:v>18</x:v>
      </x:c>
      <x:c r="M537" s="13" t="n">
        <x:f>J537+(K537+L537)/1440</x:f>
        <x:v>46301.82083333333</x:v>
      </x:c>
      <x:c r="N537" s="13" t="n">
        <x:f>VLOOKUP(C537,'MES orders'!$A$8:$H$127,5,FALSE)</x:f>
        <x:v>46303.666666666664</x:v>
      </x:c>
      <x:c r="O537" s="16" t="n">
        <x:f>MAX(0,(M537-N537)*24)</x:f>
        <x:v>0</x:v>
      </x:c>
      <x:c r="P537" s="9" t="str">
        <x:v>No</x:v>
      </x:c>
      <x:c r="Q537" s="15" t="n">
        <x:v>28</x:v>
      </x:c>
      <x:c r="R537" s="13" t="n">
        <x:f>J537+Q537/1440</x:f>
        <x:v>46301.82083333333</x:v>
      </x:c>
      <x:c r="S537" s="2" t="str">
        <x:f>VLOOKUP(C537,'MES orders'!$A$8:$H$127,6,FALSE)</x:f>
        <x:v>High</x:v>
      </x:c>
      <x:c r="T537" s="9" t="str"/>
    </x:row>
    <x:row r="538" ht="22" customHeight="1">
      <x:c r="A538" s="2" t="str">
        <x:v>L00250-050</x:v>
      </x:c>
      <x:c r="B538" s="2" t="str">
        <x:v>L00250</x:v>
      </x:c>
      <x:c r="C538" s="2" t="str">
        <x:v>SO-26050</x:v>
      </x:c>
      <x:c r="D538" s="2" t="str">
        <x:v>D-C-SS</x:v>
      </x:c>
      <x:c r="E538" s="14" t="n">
        <x:v>25</x:v>
      </x:c>
      <x:c r="F538" s="2" t="str">
        <x:v>Final leak / function test</x:v>
      </x:c>
      <x:c r="G538" s="9" t="str">
        <x:v>QA-02</x:v>
      </x:c>
      <x:c r="H538" s="15" t="n">
        <x:v>37</x:v>
      </x:c>
      <x:c r="I538" s="9" t="str">
        <x:v>P24</x:v>
      </x:c>
      <x:c r="J538" s="11" t="n">
        <x:v>46301.80138888889</x:v>
      </x:c>
      <x:c r="K538" s="15" t="n">
        <x:v>10</x:v>
      </x:c>
      <x:c r="L538" s="15" t="n">
        <x:v>18</x:v>
      </x:c>
      <x:c r="M538" s="13" t="n">
        <x:f>J538+(K538+L538)/1440</x:f>
        <x:v>46301.82083333333</x:v>
      </x:c>
      <x:c r="N538" s="13" t="n">
        <x:f>VLOOKUP(C538,'MES orders'!$A$8:$H$127,5,FALSE)</x:f>
        <x:v>46303.666666666664</x:v>
      </x:c>
      <x:c r="O538" s="16" t="n">
        <x:f>MAX(0,(M538-N538)*24)</x:f>
        <x:v>0</x:v>
      </x:c>
      <x:c r="P538" s="9" t="str">
        <x:v>No</x:v>
      </x:c>
      <x:c r="Q538" s="15" t="n">
        <x:v>28</x:v>
      </x:c>
      <x:c r="R538" s="13" t="n">
        <x:f>J538+Q538/1440</x:f>
        <x:v>46301.82083333333</x:v>
      </x:c>
      <x:c r="S538" s="2" t="str">
        <x:f>VLOOKUP(C538,'MES orders'!$A$8:$H$127,6,FALSE)</x:f>
        <x:v>High</x:v>
      </x:c>
      <x:c r="T538" s="9" t="str"/>
    </x:row>
    <x:row r="539" ht="22" customHeight="1">
      <x:c r="A539" s="2" t="str">
        <x:v>L00528-030</x:v>
      </x:c>
      <x:c r="B539" s="2" t="str">
        <x:v>L00528</x:v>
      </x:c>
      <x:c r="C539" s="2" t="str">
        <x:v>SO-26106</x:v>
      </x:c>
      <x:c r="D539" s="2" t="str">
        <x:v>S-S-SS</x:v>
      </x:c>
      <x:c r="E539" s="14" t="n">
        <x:v>20</x:v>
      </x:c>
      <x:c r="F539" s="2" t="str">
        <x:v>Wash &amp; dry</x:v>
      </x:c>
      <x:c r="G539" s="9" t="str">
        <x:v>WS-01</x:v>
      </x:c>
      <x:c r="H539" s="15" t="n">
        <x:v>53</x:v>
      </x:c>
      <x:c r="I539" s="9" t="str">
        <x:v>P17</x:v>
      </x:c>
      <x:c r="J539" s="11" t="n">
        <x:v>46301.80138888889</x:v>
      </x:c>
      <x:c r="K539" s="15" t="n">
        <x:v>12</x:v>
      </x:c>
      <x:c r="L539" s="15" t="n">
        <x:v>7</x:v>
      </x:c>
      <x:c r="M539" s="13" t="n">
        <x:f>J539+(K539+L539)/1440</x:f>
        <x:v>46301.81458333333</x:v>
      </x:c>
      <x:c r="N539" s="13" t="n">
        <x:f>VLOOKUP(C539,'MES orders'!$A$8:$H$127,5,FALSE)</x:f>
        <x:v>46303.666666666664</x:v>
      </x:c>
      <x:c r="O539" s="16" t="n">
        <x:f>MAX(0,(M539-N539)*24)</x:f>
        <x:v>0</x:v>
      </x:c>
      <x:c r="P539" s="9" t="str">
        <x:v>No</x:v>
      </x:c>
      <x:c r="Q539" s="15" t="n">
        <x:v>19</x:v>
      </x:c>
      <x:c r="R539" s="13" t="n">
        <x:f>J539+Q539/1440</x:f>
        <x:v>46301.81458333333</x:v>
      </x:c>
      <x:c r="S539" s="2" t="str">
        <x:f>VLOOKUP(C539,'MES orders'!$A$8:$H$127,6,FALSE)</x:f>
        <x:v>High</x:v>
      </x:c>
      <x:c r="T539" s="9" t="str"/>
    </x:row>
    <x:row r="540" ht="22" customHeight="1">
      <x:c r="A540" s="2" t="str">
        <x:v>L00214-040</x:v>
      </x:c>
      <x:c r="B540" s="2" t="str">
        <x:v>L00214</x:v>
      </x:c>
      <x:c r="C540" s="2" t="str">
        <x:v>SO-26043</x:v>
      </x:c>
      <x:c r="D540" s="2" t="str">
        <x:v>R-C-AL</x:v>
      </x:c>
      <x:c r="E540" s="14" t="n">
        <x:v>15</x:v>
      </x:c>
      <x:c r="F540" s="2" t="str">
        <x:v>Mechanical assembly</x:v>
      </x:c>
      <x:c r="G540" s="9" t="str">
        <x:v>AS-06</x:v>
      </x:c>
      <x:c r="H540" s="15" t="n">
        <x:v>4</x:v>
      </x:c>
      <x:c r="I540" s="9" t="str">
        <x:v>P15</x:v>
      </x:c>
      <x:c r="J540" s="11" t="n">
        <x:v>46301.802083333336</x:v>
      </x:c>
      <x:c r="K540" s="15" t="n">
        <x:v>8</x:v>
      </x:c>
      <x:c r="L540" s="15" t="n">
        <x:v>22</x:v>
      </x:c>
      <x:c r="M540" s="13" t="n">
        <x:f>J540+(K540+L540)/1440</x:f>
        <x:v>46301.82291666667</x:v>
      </x:c>
      <x:c r="N540" s="13" t="n">
        <x:f>VLOOKUP(C540,'MES orders'!$A$8:$H$127,5,FALSE)</x:f>
        <x:v>46304.666666666664</x:v>
      </x:c>
      <x:c r="O540" s="16" t="n">
        <x:f>MAX(0,(M540-N540)*24)</x:f>
        <x:v>0</x:v>
      </x:c>
      <x:c r="P540" s="9" t="str">
        <x:v>No</x:v>
      </x:c>
      <x:c r="Q540" s="15" t="n">
        <x:v>30</x:v>
      </x:c>
      <x:c r="R540" s="13" t="n">
        <x:f>J540+Q540/1440</x:f>
        <x:v>46301.82291666667</x:v>
      </x:c>
      <x:c r="S540" s="2" t="str">
        <x:f>VLOOKUP(C540,'MES orders'!$A$8:$H$127,6,FALSE)</x:f>
        <x:v>High</x:v>
      </x:c>
      <x:c r="T540" s="9" t="str"/>
    </x:row>
    <x:row r="541" ht="22" customHeight="1">
      <x:c r="A541" s="2" t="str">
        <x:v>L00526-050</x:v>
      </x:c>
      <x:c r="B541" s="2" t="str">
        <x:v>L00526</x:v>
      </x:c>
      <x:c r="C541" s="2" t="str">
        <x:v>SO-26106</x:v>
      </x:c>
      <x:c r="D541" s="2" t="str">
        <x:v>S-S-SS</x:v>
      </x:c>
      <x:c r="E541" s="14" t="n">
        <x:v>20</x:v>
      </x:c>
      <x:c r="F541" s="2" t="str">
        <x:v>Sensor installation</x:v>
      </x:c>
      <x:c r="G541" s="9" t="str">
        <x:v>EL-01</x:v>
      </x:c>
      <x:c r="H541" s="15" t="n">
        <x:v>12</x:v>
      </x:c>
      <x:c r="I541" s="9" t="str">
        <x:v>P19</x:v>
      </x:c>
      <x:c r="J541" s="11" t="n">
        <x:v>46301.80347222222</x:v>
      </x:c>
      <x:c r="K541" s="15" t="n">
        <x:v>8</x:v>
      </x:c>
      <x:c r="L541" s="15" t="n">
        <x:v>24</x:v>
      </x:c>
      <x:c r="M541" s="13" t="n">
        <x:f>J541+(K541+L541)/1440</x:f>
        <x:v>46301.825694444444</x:v>
      </x:c>
      <x:c r="N541" s="13" t="n">
        <x:f>VLOOKUP(C541,'MES orders'!$A$8:$H$127,5,FALSE)</x:f>
        <x:v>46303.666666666664</x:v>
      </x:c>
      <x:c r="O541" s="16" t="n">
        <x:f>MAX(0,(M541-N541)*24)</x:f>
        <x:v>0</x:v>
      </x:c>
      <x:c r="P541" s="9" t="str">
        <x:v>No</x:v>
      </x:c>
      <x:c r="Q541" s="15" t="n">
        <x:v>32</x:v>
      </x:c>
      <x:c r="R541" s="13" t="n">
        <x:f>J541+Q541/1440</x:f>
        <x:v>46301.825694444444</x:v>
      </x:c>
      <x:c r="S541" s="2" t="str">
        <x:f>VLOOKUP(C541,'MES orders'!$A$8:$H$127,6,FALSE)</x:f>
        <x:v>High</x:v>
      </x:c>
      <x:c r="T541" s="9" t="str"/>
    </x:row>
    <x:row r="542" ht="22" customHeight="1">
      <x:c r="A542" s="2" t="str">
        <x:v>L00529-030</x:v>
      </x:c>
      <x:c r="B542" s="2" t="str">
        <x:v>L00529</x:v>
      </x:c>
      <x:c r="C542" s="2" t="str">
        <x:v>SO-26106</x:v>
      </x:c>
      <x:c r="D542" s="2" t="str">
        <x:v>S-S-SS</x:v>
      </x:c>
      <x:c r="E542" s="14" t="n">
        <x:v>20</x:v>
      </x:c>
      <x:c r="F542" s="2" t="str">
        <x:v>Wash &amp; dry</x:v>
      </x:c>
      <x:c r="G542" s="9" t="str">
        <x:v>WS-02</x:v>
      </x:c>
      <x:c r="H542" s="15" t="n">
        <x:v>38</x:v>
      </x:c>
      <x:c r="I542" s="9" t="str">
        <x:v>P18</x:v>
      </x:c>
      <x:c r="J542" s="11" t="n">
        <x:v>46301.80347222222</x:v>
      </x:c>
      <x:c r="K542" s="15" t="n">
        <x:v>12</x:v>
      </x:c>
      <x:c r="L542" s="15" t="n">
        <x:v>7</x:v>
      </x:c>
      <x:c r="M542" s="13" t="n">
        <x:f>J542+(K542+L542)/1440</x:f>
        <x:v>46301.816666666666</x:v>
      </x:c>
      <x:c r="N542" s="13" t="n">
        <x:f>VLOOKUP(C542,'MES orders'!$A$8:$H$127,5,FALSE)</x:f>
        <x:v>46303.666666666664</x:v>
      </x:c>
      <x:c r="O542" s="16" t="n">
        <x:f>MAX(0,(M542-N542)*24)</x:f>
        <x:v>0</x:v>
      </x:c>
      <x:c r="P542" s="9" t="str">
        <x:v>No</x:v>
      </x:c>
      <x:c r="Q542" s="15" t="n">
        <x:v>19</x:v>
      </x:c>
      <x:c r="R542" s="13" t="n">
        <x:f>J542+Q542/1440</x:f>
        <x:v>46301.816666666666</x:v>
      </x:c>
      <x:c r="S542" s="2" t="str">
        <x:f>VLOOKUP(C542,'MES orders'!$A$8:$H$127,6,FALSE)</x:f>
        <x:v>High</x:v>
      </x:c>
      <x:c r="T542" s="9" t="str"/>
    </x:row>
    <x:row r="543" ht="22" customHeight="1">
      <x:c r="A543" s="2" t="str">
        <x:v>L00528-040</x:v>
      </x:c>
      <x:c r="B543" s="2" t="str">
        <x:v>L00528</x:v>
      </x:c>
      <x:c r="C543" s="2" t="str">
        <x:v>SO-26106</x:v>
      </x:c>
      <x:c r="D543" s="2" t="str">
        <x:v>S-S-SS</x:v>
      </x:c>
      <x:c r="E543" s="14" t="n">
        <x:v>20</x:v>
      </x:c>
      <x:c r="F543" s="2" t="str">
        <x:v>Mechanical preassembly</x:v>
      </x:c>
      <x:c r="G543" s="9" t="str">
        <x:v>AS-02</x:v>
      </x:c>
      <x:c r="H543" s="15" t="n">
        <x:v>36</x:v>
      </x:c>
      <x:c r="I543" s="9" t="str">
        <x:v>P17</x:v>
      </x:c>
      <x:c r="J543" s="11" t="n">
        <x:v>46301.81458333333</x:v>
      </x:c>
      <x:c r="K543" s="15" t="n">
        <x:v>6</x:v>
      </x:c>
      <x:c r="L543" s="15" t="n">
        <x:v>22</x:v>
      </x:c>
      <x:c r="M543" s="13" t="n">
        <x:f>J543+(K543+L543)/1440</x:f>
        <x:v>46301.834027777775</x:v>
      </x:c>
      <x:c r="N543" s="13" t="n">
        <x:f>VLOOKUP(C543,'MES orders'!$A$8:$H$127,5,FALSE)</x:f>
        <x:v>46303.666666666664</x:v>
      </x:c>
      <x:c r="O543" s="16" t="n">
        <x:f>MAX(0,(M543-N543)*24)</x:f>
        <x:v>0</x:v>
      </x:c>
      <x:c r="P543" s="9" t="str">
        <x:v>No</x:v>
      </x:c>
      <x:c r="Q543" s="15" t="n">
        <x:v>28</x:v>
      </x:c>
      <x:c r="R543" s="13" t="n">
        <x:f>J543+Q543/1440</x:f>
        <x:v>46301.834027777775</x:v>
      </x:c>
      <x:c r="S543" s="2" t="str">
        <x:f>VLOOKUP(C543,'MES orders'!$A$8:$H$127,6,FALSE)</x:f>
        <x:v>High</x:v>
      </x:c>
      <x:c r="T543" s="9" t="str"/>
    </x:row>
    <x:row r="544" ht="22" customHeight="1">
      <x:c r="A544" s="2" t="str">
        <x:v>L00215-030</x:v>
      </x:c>
      <x:c r="B544" s="2" t="str">
        <x:v>L00215</x:v>
      </x:c>
      <x:c r="C544" s="2" t="str">
        <x:v>SO-26043</x:v>
      </x:c>
      <x:c r="D544" s="2" t="str">
        <x:v>R-C-AL</x:v>
      </x:c>
      <x:c r="E544" s="14" t="n">
        <x:v>15</x:v>
      </x:c>
      <x:c r="F544" s="2" t="str">
        <x:v>Wash &amp; dry</x:v>
      </x:c>
      <x:c r="G544" s="9" t="str">
        <x:v>WS-01</x:v>
      </x:c>
      <x:c r="H544" s="15" t="n">
        <x:v>54</x:v>
      </x:c>
      <x:c r="I544" s="9" t="str">
        <x:v>P13</x:v>
      </x:c>
      <x:c r="J544" s="11" t="n">
        <x:v>46301.81458333333</x:v>
      </x:c>
      <x:c r="K544" s="15" t="n">
        <x:v>12</x:v>
      </x:c>
      <x:c r="L544" s="15" t="n">
        <x:v>4</x:v>
      </x:c>
      <x:c r="M544" s="13" t="n">
        <x:f>J544+(K544+L544)/1440</x:f>
        <x:v>46301.825694444444</x:v>
      </x:c>
      <x:c r="N544" s="13" t="n">
        <x:f>VLOOKUP(C544,'MES orders'!$A$8:$H$127,5,FALSE)</x:f>
        <x:v>46304.666666666664</x:v>
      </x:c>
      <x:c r="O544" s="16" t="n">
        <x:f>MAX(0,(M544-N544)*24)</x:f>
        <x:v>0</x:v>
      </x:c>
      <x:c r="P544" s="9" t="str">
        <x:v>No</x:v>
      </x:c>
      <x:c r="Q544" s="15" t="n">
        <x:v>16</x:v>
      </x:c>
      <x:c r="R544" s="13" t="n">
        <x:f>J544+Q544/1440</x:f>
        <x:v>46301.825694444444</x:v>
      </x:c>
      <x:c r="S544" s="2" t="str">
        <x:f>VLOOKUP(C544,'MES orders'!$A$8:$H$127,6,FALSE)</x:f>
        <x:v>High</x:v>
      </x:c>
      <x:c r="T544" s="9" t="str"/>
    </x:row>
    <x:row r="545" ht="22" customHeight="1">
      <x:c r="A545" s="2" t="str">
        <x:v>L00529-040</x:v>
      </x:c>
      <x:c r="B545" s="2" t="str">
        <x:v>L00529</x:v>
      </x:c>
      <x:c r="C545" s="2" t="str">
        <x:v>SO-26106</x:v>
      </x:c>
      <x:c r="D545" s="2" t="str">
        <x:v>S-S-SS</x:v>
      </x:c>
      <x:c r="E545" s="14" t="n">
        <x:v>20</x:v>
      </x:c>
      <x:c r="F545" s="2" t="str">
        <x:v>Mechanical preassembly</x:v>
      </x:c>
      <x:c r="G545" s="9" t="str">
        <x:v>AS-03</x:v>
      </x:c>
      <x:c r="H545" s="15" t="n">
        <x:v>26</x:v>
      </x:c>
      <x:c r="I545" s="9" t="str">
        <x:v>P18</x:v>
      </x:c>
      <x:c r="J545" s="11" t="n">
        <x:v>46301.816666666666</x:v>
      </x:c>
      <x:c r="K545" s="15" t="n">
        <x:v>6</x:v>
      </x:c>
      <x:c r="L545" s="15" t="n">
        <x:v>22</x:v>
      </x:c>
      <x:c r="M545" s="13" t="n">
        <x:f>J545+(K545+L545)/1440</x:f>
        <x:v>46301.83611111111</x:v>
      </x:c>
      <x:c r="N545" s="13" t="n">
        <x:f>VLOOKUP(C545,'MES orders'!$A$8:$H$127,5,FALSE)</x:f>
        <x:v>46303.666666666664</x:v>
      </x:c>
      <x:c r="O545" s="16" t="n">
        <x:f>MAX(0,(M545-N545)*24)</x:f>
        <x:v>0</x:v>
      </x:c>
      <x:c r="P545" s="9" t="str">
        <x:v>No</x:v>
      </x:c>
      <x:c r="Q545" s="15" t="n">
        <x:v>28</x:v>
      </x:c>
      <x:c r="R545" s="13" t="n">
        <x:f>J545+Q545/1440</x:f>
        <x:v>46301.83611111111</x:v>
      </x:c>
      <x:c r="S545" s="2" t="str">
        <x:f>VLOOKUP(C545,'MES orders'!$A$8:$H$127,6,FALSE)</x:f>
        <x:v>High</x:v>
      </x:c>
      <x:c r="T545" s="9" t="str"/>
    </x:row>
    <x:row r="546" ht="22" customHeight="1">
      <x:c r="A546" s="2" t="str">
        <x:v>L00530-020</x:v>
      </x:c>
      <x:c r="B546" s="2" t="str">
        <x:v>L00530</x:v>
      </x:c>
      <x:c r="C546" s="2" t="str">
        <x:v>SO-26106</x:v>
      </x:c>
      <x:c r="D546" s="2" t="str">
        <x:v>S-S-SS</x:v>
      </x:c>
      <x:c r="E546" s="14" t="n">
        <x:v>20</x:v>
      </x:c>
      <x:c r="F546" s="2" t="str">
        <x:v>Deburr &amp; inspect</x:v>
      </x:c>
      <x:c r="G546" s="9" t="str">
        <x:v>DB-01</x:v>
      </x:c>
      <x:c r="H546" s="15" t="n">
        <x:v>56</x:v>
      </x:c>
      <x:c r="I546" s="9" t="str">
        <x:v>P16</x:v>
      </x:c>
      <x:c r="J546" s="11" t="n">
        <x:v>46301.82083333333</x:v>
      </x:c>
      <x:c r="K546" s="15" t="n">
        <x:v>4</x:v>
      </x:c>
      <x:c r="L546" s="15" t="n">
        <x:v>14</x:v>
      </x:c>
      <x:c r="M546" s="13" t="n">
        <x:f>J546+(K546+L546)/1440</x:f>
        <x:v>46301.83333333333</x:v>
      </x:c>
      <x:c r="N546" s="13" t="n">
        <x:f>VLOOKUP(C546,'MES orders'!$A$8:$H$127,5,FALSE)</x:f>
        <x:v>46303.666666666664</x:v>
      </x:c>
      <x:c r="O546" s="16" t="n">
        <x:f>MAX(0,(M546-N546)*24)</x:f>
        <x:v>0</x:v>
      </x:c>
      <x:c r="P546" s="9" t="str">
        <x:v>No</x:v>
      </x:c>
      <x:c r="Q546" s="15" t="n">
        <x:v>18</x:v>
      </x:c>
      <x:c r="R546" s="13" t="n">
        <x:f>J546+Q546/1440</x:f>
        <x:v>46301.83333333333</x:v>
      </x:c>
      <x:c r="S546" s="2" t="str">
        <x:f>VLOOKUP(C546,'MES orders'!$A$8:$H$127,6,FALSE)</x:f>
        <x:v>High</x:v>
      </x:c>
      <x:c r="T546" s="9" t="str"/>
    </x:row>
    <x:row r="547" ht="22" customHeight="1">
      <x:c r="A547" s="2" t="str">
        <x:v>L00527-050</x:v>
      </x:c>
      <x:c r="B547" s="2" t="str">
        <x:v>L00527</x:v>
      </x:c>
      <x:c r="C547" s="2" t="str">
        <x:v>SO-26106</x:v>
      </x:c>
      <x:c r="D547" s="2" t="str">
        <x:v>S-S-SS</x:v>
      </x:c>
      <x:c r="E547" s="14" t="n">
        <x:v>20</x:v>
      </x:c>
      <x:c r="F547" s="2" t="str">
        <x:v>Sensor installation</x:v>
      </x:c>
      <x:c r="G547" s="9" t="str">
        <x:v>EL-02</x:v>
      </x:c>
      <x:c r="H547" s="15" t="n">
        <x:v>5</x:v>
      </x:c>
      <x:c r="I547" s="9" t="str">
        <x:v>P20</x:v>
      </x:c>
      <x:c r="J547" s="11" t="n">
        <x:v>46301.82083333333</x:v>
      </x:c>
      <x:c r="K547" s="15" t="n">
        <x:v>8</x:v>
      </x:c>
      <x:c r="L547" s="15" t="n">
        <x:v>24</x:v>
      </x:c>
      <x:c r="M547" s="13" t="n">
        <x:f>J547+(K547+L547)/1440</x:f>
        <x:v>46301.84305555555</x:v>
      </x:c>
      <x:c r="N547" s="13" t="n">
        <x:f>VLOOKUP(C547,'MES orders'!$A$8:$H$127,5,FALSE)</x:f>
        <x:v>46303.666666666664</x:v>
      </x:c>
      <x:c r="O547" s="16" t="n">
        <x:f>MAX(0,(M547-N547)*24)</x:f>
        <x:v>0</x:v>
      </x:c>
      <x:c r="P547" s="9" t="str">
        <x:v>No</x:v>
      </x:c>
      <x:c r="Q547" s="15" t="n">
        <x:v>32</x:v>
      </x:c>
      <x:c r="R547" s="13" t="n">
        <x:f>J547+Q547/1440</x:f>
        <x:v>46301.84305555555</x:v>
      </x:c>
      <x:c r="S547" s="2" t="str">
        <x:f>VLOOKUP(C547,'MES orders'!$A$8:$H$127,6,FALSE)</x:f>
        <x:v>High</x:v>
      </x:c>
      <x:c r="T547" s="9" t="str"/>
    </x:row>
    <x:row r="548" ht="22" customHeight="1">
      <x:c r="A548" s="2" t="str">
        <x:v>L00491-010</x:v>
      </x:c>
      <x:c r="B548" s="2" t="str">
        <x:v>L00491</x:v>
      </x:c>
      <x:c r="C548" s="2" t="str">
        <x:v>SO-26099</x:v>
      </x:c>
      <x:c r="D548" s="2" t="str">
        <x:v>D-S-AL</x:v>
      </x:c>
      <x:c r="E548" s="14" t="n">
        <x:v>15</x:v>
      </x:c>
      <x:c r="F548" s="2" t="str">
        <x:v>CNC machining</x:v>
      </x:c>
      <x:c r="G548" s="9" t="str">
        <x:v>CNC-01</x:v>
      </x:c>
      <x:c r="H548" s="15" t="n">
        <x:v>23</x:v>
      </x:c>
      <x:c r="I548" s="9" t="str">
        <x:v>P14</x:v>
      </x:c>
      <x:c r="J548" s="11" t="n">
        <x:v>46301.822222222225</x:v>
      </x:c>
      <x:c r="K548" s="15" t="n">
        <x:v>18</x:v>
      </x:c>
      <x:c r="L548" s="15" t="n">
        <x:v>36</x:v>
      </x:c>
      <x:c r="M548" s="13" t="n">
        <x:f>J548+(K548+L548)/1440</x:f>
        <x:v>46301.85972222222</x:v>
      </x:c>
      <x:c r="N548" s="13" t="n">
        <x:f>VLOOKUP(C548,'MES orders'!$A$8:$H$127,5,FALSE)</x:f>
        <x:v>46304.666666666664</x:v>
      </x:c>
      <x:c r="O548" s="16" t="n">
        <x:f>MAX(0,(M548-N548)*24)</x:f>
        <x:v>0</x:v>
      </x:c>
      <x:c r="P548" s="9" t="str">
        <x:v>No</x:v>
      </x:c>
      <x:c r="Q548" s="15" t="n">
        <x:v>18</x:v>
      </x:c>
      <x:c r="R548" s="13" t="n">
        <x:f>J548+Q548/1440</x:f>
        <x:v>46301.83472222222</x:v>
      </x:c>
      <x:c r="S548" s="2" t="str">
        <x:f>VLOOKUP(C548,'MES orders'!$A$8:$H$127,6,FALSE)</x:f>
        <x:v>High</x:v>
      </x:c>
      <x:c r="T548" s="9" t="str"/>
    </x:row>
    <x:row r="549" ht="22" customHeight="1">
      <x:c r="A549" s="2" t="str">
        <x:v>L00215-040</x:v>
      </x:c>
      <x:c r="B549" s="2" t="str">
        <x:v>L00215</x:v>
      </x:c>
      <x:c r="C549" s="2" t="str">
        <x:v>SO-26043</x:v>
      </x:c>
      <x:c r="D549" s="2" t="str">
        <x:v>R-C-AL</x:v>
      </x:c>
      <x:c r="E549" s="14" t="n">
        <x:v>15</x:v>
      </x:c>
      <x:c r="F549" s="2" t="str">
        <x:v>Mechanical assembly</x:v>
      </x:c>
      <x:c r="G549" s="9" t="str">
        <x:v>AS-01</x:v>
      </x:c>
      <x:c r="H549" s="15" t="n">
        <x:v>46</x:v>
      </x:c>
      <x:c r="I549" s="9" t="str">
        <x:v>P15</x:v>
      </x:c>
      <x:c r="J549" s="11" t="n">
        <x:v>46301.825694444444</x:v>
      </x:c>
      <x:c r="K549" s="15" t="n">
        <x:v>8</x:v>
      </x:c>
      <x:c r="L549" s="15" t="n">
        <x:v>22</x:v>
      </x:c>
      <x:c r="M549" s="13" t="n">
        <x:f>J549+(K549+L549)/1440</x:f>
        <x:v>46301.84652777778</x:v>
      </x:c>
      <x:c r="N549" s="13" t="n">
        <x:f>VLOOKUP(C549,'MES orders'!$A$8:$H$127,5,FALSE)</x:f>
        <x:v>46304.666666666664</x:v>
      </x:c>
      <x:c r="O549" s="16" t="n">
        <x:f>MAX(0,(M549-N549)*24)</x:f>
        <x:v>0</x:v>
      </x:c>
      <x:c r="P549" s="9" t="str">
        <x:v>No</x:v>
      </x:c>
      <x:c r="Q549" s="15" t="n">
        <x:v>30</x:v>
      </x:c>
      <x:c r="R549" s="13" t="n">
        <x:f>J549+Q549/1440</x:f>
        <x:v>46301.84652777778</x:v>
      </x:c>
      <x:c r="S549" s="2" t="str">
        <x:f>VLOOKUP(C549,'MES orders'!$A$8:$H$127,6,FALSE)</x:f>
        <x:v>High</x:v>
      </x:c>
      <x:c r="T549" s="9" t="str"/>
    </x:row>
    <x:row r="550" ht="22" customHeight="1">
      <x:c r="A550" s="2" t="str">
        <x:v>L00526-060</x:v>
      </x:c>
      <x:c r="B550" s="2" t="str">
        <x:v>L00526</x:v>
      </x:c>
      <x:c r="C550" s="2" t="str">
        <x:v>SO-26106</x:v>
      </x:c>
      <x:c r="D550" s="2" t="str">
        <x:v>S-S-SS</x:v>
      </x:c>
      <x:c r="E550" s="14" t="n">
        <x:v>20</x:v>
      </x:c>
      <x:c r="F550" s="2" t="str">
        <x:v>Sensor calibration</x:v>
      </x:c>
      <x:c r="G550" s="9" t="str">
        <x:v>CAL-01</x:v>
      </x:c>
      <x:c r="H550" s="15" t="n">
        <x:v>16</x:v>
      </x:c>
      <x:c r="I550" s="9" t="str">
        <x:v>P21</x:v>
      </x:c>
      <x:c r="J550" s="11" t="n">
        <x:v>46301.825694444444</x:v>
      </x:c>
      <x:c r="K550" s="15" t="n">
        <x:v>10</x:v>
      </x:c>
      <x:c r="L550" s="15" t="n">
        <x:v>26</x:v>
      </x:c>
      <x:c r="M550" s="13" t="n">
        <x:f>J550+(K550+L550)/1440</x:f>
        <x:v>46301.850694444445</x:v>
      </x:c>
      <x:c r="N550" s="13" t="n">
        <x:f>VLOOKUP(C550,'MES orders'!$A$8:$H$127,5,FALSE)</x:f>
        <x:v>46303.666666666664</x:v>
      </x:c>
      <x:c r="O550" s="16" t="n">
        <x:f>MAX(0,(M550-N550)*24)</x:f>
        <x:v>0</x:v>
      </x:c>
      <x:c r="P550" s="9" t="str">
        <x:v>No</x:v>
      </x:c>
      <x:c r="Q550" s="15" t="n">
        <x:v>36</x:v>
      </x:c>
      <x:c r="R550" s="13" t="n">
        <x:f>J550+Q550/1440</x:f>
        <x:v>46301.850694444445</x:v>
      </x:c>
      <x:c r="S550" s="2" t="str">
        <x:f>VLOOKUP(C550,'MES orders'!$A$8:$H$127,6,FALSE)</x:f>
        <x:v>High</x:v>
      </x:c>
      <x:c r="T550" s="9" t="str"/>
    </x:row>
    <x:row r="551" ht="22" customHeight="1">
      <x:c r="A551" s="2" t="str">
        <x:v>L00530-030</x:v>
      </x:c>
      <x:c r="B551" s="2" t="str">
        <x:v>L00530</x:v>
      </x:c>
      <x:c r="C551" s="2" t="str">
        <x:v>SO-26106</x:v>
      </x:c>
      <x:c r="D551" s="2" t="str">
        <x:v>S-S-SS</x:v>
      </x:c>
      <x:c r="E551" s="14" t="n">
        <x:v>20</x:v>
      </x:c>
      <x:c r="F551" s="2" t="str">
        <x:v>Wash &amp; dry</x:v>
      </x:c>
      <x:c r="G551" s="9" t="str">
        <x:v>WS-01</x:v>
      </x:c>
      <x:c r="H551" s="15" t="n">
        <x:v>55</x:v>
      </x:c>
      <x:c r="I551" s="9" t="str">
        <x:v>P16</x:v>
      </x:c>
      <x:c r="J551" s="11" t="n">
        <x:v>46301.833333333336</x:v>
      </x:c>
      <x:c r="K551" s="15" t="n">
        <x:v>12</x:v>
      </x:c>
      <x:c r="L551" s="15" t="n">
        <x:v>7</x:v>
      </x:c>
      <x:c r="M551" s="13" t="n">
        <x:f>J551+(K551+L551)/1440</x:f>
        <x:v>46301.84652777778</x:v>
      </x:c>
      <x:c r="N551" s="13" t="n">
        <x:f>VLOOKUP(C551,'MES orders'!$A$8:$H$127,5,FALSE)</x:f>
        <x:v>46303.666666666664</x:v>
      </x:c>
      <x:c r="O551" s="16" t="n">
        <x:f>MAX(0,(M551-N551)*24)</x:f>
        <x:v>0</x:v>
      </x:c>
      <x:c r="P551" s="9" t="str">
        <x:v>No</x:v>
      </x:c>
      <x:c r="Q551" s="15" t="n">
        <x:v>19</x:v>
      </x:c>
      <x:c r="R551" s="13" t="n">
        <x:f>J551+Q551/1440</x:f>
        <x:v>46301.84652777778</x:v>
      </x:c>
      <x:c r="S551" s="2" t="str">
        <x:f>VLOOKUP(C551,'MES orders'!$A$8:$H$127,6,FALSE)</x:f>
        <x:v>High</x:v>
      </x:c>
      <x:c r="T551" s="9" t="str"/>
    </x:row>
    <x:row r="552" ht="22" customHeight="1">
      <x:c r="A552" s="2" t="str">
        <x:v>L00528-050</x:v>
      </x:c>
      <x:c r="B552" s="2" t="str">
        <x:v>L00528</x:v>
      </x:c>
      <x:c r="C552" s="2" t="str">
        <x:v>SO-26106</x:v>
      </x:c>
      <x:c r="D552" s="2" t="str">
        <x:v>S-S-SS</x:v>
      </x:c>
      <x:c r="E552" s="14" t="n">
        <x:v>20</x:v>
      </x:c>
      <x:c r="F552" s="2" t="str">
        <x:v>Sensor installation</x:v>
      </x:c>
      <x:c r="G552" s="9" t="str">
        <x:v>EL-01</x:v>
      </x:c>
      <x:c r="H552" s="15" t="n">
        <x:v>13</x:v>
      </x:c>
      <x:c r="I552" s="9" t="str">
        <x:v>P19</x:v>
      </x:c>
      <x:c r="J552" s="11" t="n">
        <x:v>46301.834027777775</x:v>
      </x:c>
      <x:c r="K552" s="15" t="n">
        <x:v>8</x:v>
      </x:c>
      <x:c r="L552" s="15" t="n">
        <x:v>24</x:v>
      </x:c>
      <x:c r="M552" s="13" t="n">
        <x:f>J552+(K552+L552)/1440</x:f>
        <x:v>46301.85625</x:v>
      </x:c>
      <x:c r="N552" s="13" t="n">
        <x:f>VLOOKUP(C552,'MES orders'!$A$8:$H$127,5,FALSE)</x:f>
        <x:v>46303.666666666664</x:v>
      </x:c>
      <x:c r="O552" s="16" t="n">
        <x:f>MAX(0,(M552-N552)*24)</x:f>
        <x:v>0</x:v>
      </x:c>
      <x:c r="P552" s="9" t="str">
        <x:v>No</x:v>
      </x:c>
      <x:c r="Q552" s="15" t="n">
        <x:v>32</x:v>
      </x:c>
      <x:c r="R552" s="13" t="n">
        <x:f>J552+Q552/1440</x:f>
        <x:v>46301.85625</x:v>
      </x:c>
      <x:c r="S552" s="2" t="str">
        <x:f>VLOOKUP(C552,'MES orders'!$A$8:$H$127,6,FALSE)</x:f>
        <x:v>High</x:v>
      </x:c>
      <x:c r="T552" s="9" t="str"/>
    </x:row>
    <x:row r="553" ht="22" customHeight="1">
      <x:c r="A553" s="2" t="str">
        <x:v>L00008-030</x:v>
      </x:c>
      <x:c r="B553" s="2" t="str">
        <x:v>L00008</x:v>
      </x:c>
      <x:c r="C553" s="2" t="str">
        <x:v>SO-26002</x:v>
      </x:c>
      <x:c r="D553" s="2" t="str">
        <x:v>R-C-SS</x:v>
      </x:c>
      <x:c r="E553" s="14" t="n">
        <x:v>5</x:v>
      </x:c>
      <x:c r="F553" s="2" t="str">
        <x:v>Wash &amp; dry</x:v>
      </x:c>
      <x:c r="G553" s="9" t="str">
        <x:v>WS-02</x:v>
      </x:c>
      <x:c r="H553" s="15" t="n">
        <x:v>39</x:v>
      </x:c>
      <x:c r="I553" s="9" t="str">
        <x:v>P17</x:v>
      </x:c>
      <x:c r="J553" s="11" t="n">
        <x:v>46301.834027777775</x:v>
      </x:c>
      <x:c r="K553" s="15" t="n">
        <x:v>12</x:v>
      </x:c>
      <x:c r="L553" s="15" t="n">
        <x:v>1</x:v>
      </x:c>
      <x:c r="M553" s="13" t="n">
        <x:f>J553+(K553+L553)/1440</x:f>
        <x:v>46301.84305555555</x:v>
      </x:c>
      <x:c r="N553" s="13" t="n">
        <x:f>VLOOKUP(C553,'MES orders'!$A$8:$H$127,5,FALSE)</x:f>
        <x:v>46303.666666666664</x:v>
      </x:c>
      <x:c r="O553" s="16" t="n">
        <x:f>MAX(0,(M553-N553)*24)</x:f>
        <x:v>0</x:v>
      </x:c>
      <x:c r="P553" s="9" t="str">
        <x:v>No</x:v>
      </x:c>
      <x:c r="Q553" s="15" t="n">
        <x:v>13</x:v>
      </x:c>
      <x:c r="R553" s="13" t="n">
        <x:f>J553+Q553/1440</x:f>
        <x:v>46301.84305555555</x:v>
      </x:c>
      <x:c r="S553" s="2" t="str">
        <x:f>VLOOKUP(C553,'MES orders'!$A$8:$H$127,6,FALSE)</x:f>
        <x:v>Normal</x:v>
      </x:c>
      <x:c r="T553" s="9" t="str"/>
    </x:row>
    <x:row r="554" ht="22" customHeight="1">
      <x:c r="A554" s="2" t="str">
        <x:v>L00126-010</x:v>
      </x:c>
      <x:c r="B554" s="2" t="str">
        <x:v>L00126</x:v>
      </x:c>
      <x:c r="C554" s="2" t="str">
        <x:v>SO-26026</x:v>
      </x:c>
      <x:c r="D554" s="2" t="str">
        <x:v>S-C-SS</x:v>
      </x:c>
      <x:c r="E554" s="14" t="n">
        <x:v>25</x:v>
      </x:c>
      <x:c r="F554" s="2" t="str">
        <x:v>CNC machining</x:v>
      </x:c>
      <x:c r="G554" s="9" t="str">
        <x:v>CNC-03</x:v>
      </x:c>
      <x:c r="H554" s="15" t="n">
        <x:v>19</x:v>
      </x:c>
      <x:c r="I554" s="9" t="str">
        <x:v>P13</x:v>
      </x:c>
      <x:c r="J554" s="11" t="n">
        <x:v>46301.83541666667</x:v>
      </x:c>
      <x:c r="K554" s="15" t="n">
        <x:v>18</x:v>
      </x:c>
      <x:c r="L554" s="15" t="n">
        <x:v>60</x:v>
      </x:c>
      <x:c r="M554" s="13" t="n">
        <x:f>J554+(K554+L554)/1440</x:f>
        <x:v>46301.88958333334</x:v>
      </x:c>
      <x:c r="N554" s="13" t="n">
        <x:f>VLOOKUP(C554,'MES orders'!$A$8:$H$127,5,FALSE)</x:f>
        <x:v>46303.666666666664</x:v>
      </x:c>
      <x:c r="O554" s="16" t="n">
        <x:f>MAX(0,(M554-N554)*24)</x:f>
        <x:v>0</x:v>
      </x:c>
      <x:c r="P554" s="9" t="str">
        <x:v>No</x:v>
      </x:c>
      <x:c r="Q554" s="15" t="n">
        <x:v>18</x:v>
      </x:c>
      <x:c r="R554" s="13" t="n">
        <x:f>J554+Q554/1440</x:f>
        <x:v>46301.847916666666</x:v>
      </x:c>
      <x:c r="S554" s="2" t="str">
        <x:f>VLOOKUP(C554,'MES orders'!$A$8:$H$127,6,FALSE)</x:f>
        <x:v>Normal</x:v>
      </x:c>
      <x:c r="T554" s="9" t="str"/>
    </x:row>
    <x:row r="555" ht="22" customHeight="1">
      <x:c r="A555" s="2" t="str">
        <x:v>L00127-010</x:v>
      </x:c>
      <x:c r="B555" s="2" t="str">
        <x:v>L00127</x:v>
      </x:c>
      <x:c r="C555" s="2" t="str">
        <x:v>SO-26026</x:v>
      </x:c>
      <x:c r="D555" s="2" t="str">
        <x:v>S-C-SS</x:v>
      </x:c>
      <x:c r="E555" s="14" t="n">
        <x:v>25</x:v>
      </x:c>
      <x:c r="F555" s="2" t="str">
        <x:v>CNC machining</x:v>
      </x:c>
      <x:c r="G555" s="9" t="str">
        <x:v>CNC-04</x:v>
      </x:c>
      <x:c r="H555" s="15" t="n">
        <x:v>18</x:v>
      </x:c>
      <x:c r="I555" s="9" t="str">
        <x:v>P14</x:v>
      </x:c>
      <x:c r="J555" s="11" t="n">
        <x:v>46301.83541666667</x:v>
      </x:c>
      <x:c r="K555" s="15" t="n">
        <x:v>18</x:v>
      </x:c>
      <x:c r="L555" s="15" t="n">
        <x:v>60</x:v>
      </x:c>
      <x:c r="M555" s="13" t="n">
        <x:f>J555+(K555+L555)/1440</x:f>
        <x:v>46301.88958333334</x:v>
      </x:c>
      <x:c r="N555" s="13" t="n">
        <x:f>VLOOKUP(C555,'MES orders'!$A$8:$H$127,5,FALSE)</x:f>
        <x:v>46303.666666666664</x:v>
      </x:c>
      <x:c r="O555" s="16" t="n">
        <x:f>MAX(0,(M555-N555)*24)</x:f>
        <x:v>0</x:v>
      </x:c>
      <x:c r="P555" s="9" t="str">
        <x:v>No</x:v>
      </x:c>
      <x:c r="Q555" s="15" t="n">
        <x:v>18</x:v>
      </x:c>
      <x:c r="R555" s="13" t="n">
        <x:f>J555+Q555/1440</x:f>
        <x:v>46301.847916666666</x:v>
      </x:c>
      <x:c r="S555" s="2" t="str">
        <x:f>VLOOKUP(C555,'MES orders'!$A$8:$H$127,6,FALSE)</x:f>
        <x:v>Normal</x:v>
      </x:c>
      <x:c r="T555" s="9" t="str"/>
    </x:row>
    <x:row r="556" ht="22" customHeight="1">
      <x:c r="A556" s="2" t="str">
        <x:v>L00010-020</x:v>
      </x:c>
      <x:c r="B556" s="2" t="str">
        <x:v>L00010</x:v>
      </x:c>
      <x:c r="C556" s="2" t="str">
        <x:v>SO-26002</x:v>
      </x:c>
      <x:c r="D556" s="2" t="str">
        <x:v>R-C-SS</x:v>
      </x:c>
      <x:c r="E556" s="14" t="n">
        <x:v>5</x:v>
      </x:c>
      <x:c r="F556" s="2" t="str">
        <x:v>Deburr &amp; inspect</x:v>
      </x:c>
      <x:c r="G556" s="9" t="str">
        <x:v>DB-01</x:v>
      </x:c>
      <x:c r="H556" s="15" t="n">
        <x:v>57</x:v>
      </x:c>
      <x:c r="I556" s="9" t="str">
        <x:v>P18</x:v>
      </x:c>
      <x:c r="J556" s="11" t="n">
        <x:v>46301.83611111111</x:v>
      </x:c>
      <x:c r="K556" s="15" t="n">
        <x:v>4</x:v>
      </x:c>
      <x:c r="L556" s="15" t="n">
        <x:v>3</x:v>
      </x:c>
      <x:c r="M556" s="13" t="n">
        <x:f>J556+(K556+L556)/1440</x:f>
        <x:v>46301.84097222222</x:v>
      </x:c>
      <x:c r="N556" s="13" t="n">
        <x:f>VLOOKUP(C556,'MES orders'!$A$8:$H$127,5,FALSE)</x:f>
        <x:v>46303.666666666664</x:v>
      </x:c>
      <x:c r="O556" s="16" t="n">
        <x:f>MAX(0,(M556-N556)*24)</x:f>
        <x:v>0</x:v>
      </x:c>
      <x:c r="P556" s="9" t="str">
        <x:v>No</x:v>
      </x:c>
      <x:c r="Q556" s="15" t="n">
        <x:v>7</x:v>
      </x:c>
      <x:c r="R556" s="13" t="n">
        <x:f>J556+Q556/1440</x:f>
        <x:v>46301.84097222222</x:v>
      </x:c>
      <x:c r="S556" s="2" t="str">
        <x:f>VLOOKUP(C556,'MES orders'!$A$8:$H$127,6,FALSE)</x:f>
        <x:v>Normal</x:v>
      </x:c>
      <x:c r="T556" s="9" t="str"/>
    </x:row>
    <x:row r="557" ht="22" customHeight="1">
      <x:c r="A557" s="2" t="str">
        <x:v>L00008-040</x:v>
      </x:c>
      <x:c r="B557" s="2" t="str">
        <x:v>L00008</x:v>
      </x:c>
      <x:c r="C557" s="2" t="str">
        <x:v>SO-26002</x:v>
      </x:c>
      <x:c r="D557" s="2" t="str">
        <x:v>R-C-SS</x:v>
      </x:c>
      <x:c r="E557" s="14" t="n">
        <x:v>5</x:v>
      </x:c>
      <x:c r="F557" s="2" t="str">
        <x:v>Mechanical assembly</x:v>
      </x:c>
      <x:c r="G557" s="9" t="str">
        <x:v>AS-03</x:v>
      </x:c>
      <x:c r="H557" s="15" t="n">
        <x:v>27</x:v>
      </x:c>
      <x:c r="I557" s="9" t="str">
        <x:v>P18</x:v>
      </x:c>
      <x:c r="J557" s="11" t="n">
        <x:v>46301.84305555555</x:v>
      </x:c>
      <x:c r="K557" s="15" t="n">
        <x:v>8</x:v>
      </x:c>
      <x:c r="L557" s="15" t="n">
        <x:v>7</x:v>
      </x:c>
      <x:c r="M557" s="13" t="n">
        <x:f>J557+(K557+L557)/1440</x:f>
        <x:v>46301.85347222222</x:v>
      </x:c>
      <x:c r="N557" s="13" t="n">
        <x:f>VLOOKUP(C557,'MES orders'!$A$8:$H$127,5,FALSE)</x:f>
        <x:v>46303.666666666664</x:v>
      </x:c>
      <x:c r="O557" s="16" t="n">
        <x:f>MAX(0,(M557-N557)*24)</x:f>
        <x:v>0</x:v>
      </x:c>
      <x:c r="P557" s="9" t="str">
        <x:v>No</x:v>
      </x:c>
      <x:c r="Q557" s="15" t="n">
        <x:v>15</x:v>
      </x:c>
      <x:c r="R557" s="13" t="n">
        <x:f>J557+Q557/1440</x:f>
        <x:v>46301.85347222222</x:v>
      </x:c>
      <x:c r="S557" s="2" t="str">
        <x:f>VLOOKUP(C557,'MES orders'!$A$8:$H$127,6,FALSE)</x:f>
        <x:v>Normal</x:v>
      </x:c>
      <x:c r="T557" s="9" t="str"/>
    </x:row>
    <x:row r="558" ht="22" customHeight="1">
      <x:c r="A558" s="2" t="str">
        <x:v>L00529-050</x:v>
      </x:c>
      <x:c r="B558" s="2" t="str">
        <x:v>L00529</x:v>
      </x:c>
      <x:c r="C558" s="2" t="str">
        <x:v>SO-26106</x:v>
      </x:c>
      <x:c r="D558" s="2" t="str">
        <x:v>S-S-SS</x:v>
      </x:c>
      <x:c r="E558" s="14" t="n">
        <x:v>20</x:v>
      </x:c>
      <x:c r="F558" s="2" t="str">
        <x:v>Sensor installation</x:v>
      </x:c>
      <x:c r="G558" s="9" t="str">
        <x:v>EL-02</x:v>
      </x:c>
      <x:c r="H558" s="15" t="n">
        <x:v>6</x:v>
      </x:c>
      <x:c r="I558" s="9" t="str">
        <x:v>P20</x:v>
      </x:c>
      <x:c r="J558" s="11" t="n">
        <x:v>46301.84305555555</x:v>
      </x:c>
      <x:c r="K558" s="15" t="n">
        <x:v>8</x:v>
      </x:c>
      <x:c r="L558" s="15" t="n">
        <x:v>24</x:v>
      </x:c>
      <x:c r="M558" s="13" t="n">
        <x:f>J558+(K558+L558)/1440</x:f>
        <x:v>46301.865277777775</x:v>
      </x:c>
      <x:c r="N558" s="13" t="n">
        <x:f>VLOOKUP(C558,'MES orders'!$A$8:$H$127,5,FALSE)</x:f>
        <x:v>46303.666666666664</x:v>
      </x:c>
      <x:c r="O558" s="16" t="n">
        <x:f>MAX(0,(M558-N558)*24)</x:f>
        <x:v>0</x:v>
      </x:c>
      <x:c r="P558" s="9" t="str">
        <x:v>No</x:v>
      </x:c>
      <x:c r="Q558" s="15" t="n">
        <x:v>32</x:v>
      </x:c>
      <x:c r="R558" s="13" t="n">
        <x:f>J558+Q558/1440</x:f>
        <x:v>46301.865277777775</x:v>
      </x:c>
      <x:c r="S558" s="2" t="str">
        <x:f>VLOOKUP(C558,'MES orders'!$A$8:$H$127,6,FALSE)</x:f>
        <x:v>High</x:v>
      </x:c>
      <x:c r="T558" s="9" t="str"/>
    </x:row>
    <x:row r="559" ht="22" customHeight="1">
      <x:c r="A559" s="2" t="str">
        <x:v>L00530-040</x:v>
      </x:c>
      <x:c r="B559" s="2" t="str">
        <x:v>L00530</x:v>
      </x:c>
      <x:c r="C559" s="2" t="str">
        <x:v>SO-26106</x:v>
      </x:c>
      <x:c r="D559" s="2" t="str">
        <x:v>S-S-SS</x:v>
      </x:c>
      <x:c r="E559" s="14" t="n">
        <x:v>20</x:v>
      </x:c>
      <x:c r="F559" s="2" t="str">
        <x:v>Mechanical preassembly</x:v>
      </x:c>
      <x:c r="G559" s="9" t="str">
        <x:v>AS-02</x:v>
      </x:c>
      <x:c r="H559" s="15" t="n">
        <x:v>37</x:v>
      </x:c>
      <x:c r="I559" s="9" t="str">
        <x:v>P16</x:v>
      </x:c>
      <x:c r="J559" s="11" t="n">
        <x:v>46301.84652777778</x:v>
      </x:c>
      <x:c r="K559" s="15" t="n">
        <x:v>6</x:v>
      </x:c>
      <x:c r="L559" s="15" t="n">
        <x:v>22</x:v>
      </x:c>
      <x:c r="M559" s="13" t="n">
        <x:f>J559+(K559+L559)/1440</x:f>
        <x:v>46301.86597222222</x:v>
      </x:c>
      <x:c r="N559" s="13" t="n">
        <x:f>VLOOKUP(C559,'MES orders'!$A$8:$H$127,5,FALSE)</x:f>
        <x:v>46303.666666666664</x:v>
      </x:c>
      <x:c r="O559" s="16" t="n">
        <x:f>MAX(0,(M559-N559)*24)</x:f>
        <x:v>0</x:v>
      </x:c>
      <x:c r="P559" s="9" t="str">
        <x:v>No</x:v>
      </x:c>
      <x:c r="Q559" s="15" t="n">
        <x:v>28</x:v>
      </x:c>
      <x:c r="R559" s="13" t="n">
        <x:f>J559+Q559/1440</x:f>
        <x:v>46301.86597222222</x:v>
      </x:c>
      <x:c r="S559" s="2" t="str">
        <x:f>VLOOKUP(C559,'MES orders'!$A$8:$H$127,6,FALSE)</x:f>
        <x:v>High</x:v>
      </x:c>
      <x:c r="T559" s="9" t="str"/>
    </x:row>
    <x:row r="560" ht="22" customHeight="1">
      <x:c r="A560" s="2" t="str">
        <x:v>L00128-010</x:v>
      </x:c>
      <x:c r="B560" s="2" t="str">
        <x:v>L00128</x:v>
      </x:c>
      <x:c r="C560" s="2" t="str">
        <x:v>SO-26026</x:v>
      </x:c>
      <x:c r="D560" s="2" t="str">
        <x:v>S-C-SS</x:v>
      </x:c>
      <x:c r="E560" s="14" t="n">
        <x:v>25</x:v>
      </x:c>
      <x:c r="F560" s="2" t="str">
        <x:v>CNC machining</x:v>
      </x:c>
      <x:c r="G560" s="9" t="str">
        <x:v>CNC-05</x:v>
      </x:c>
      <x:c r="H560" s="15" t="n">
        <x:v>15</x:v>
      </x:c>
      <x:c r="I560" s="9" t="str">
        <x:v>P15</x:v>
      </x:c>
      <x:c r="J560" s="11" t="n">
        <x:v>46301.847916666666</x:v>
      </x:c>
      <x:c r="K560" s="15" t="n">
        <x:v>18</x:v>
      </x:c>
      <x:c r="L560" s="15" t="n">
        <x:v>60</x:v>
      </x:c>
      <x:c r="M560" s="13" t="n">
        <x:f>J560+(K560+L560)/1440</x:f>
        <x:v>46301.902083333334</x:v>
      </x:c>
      <x:c r="N560" s="13" t="n">
        <x:f>VLOOKUP(C560,'MES orders'!$A$8:$H$127,5,FALSE)</x:f>
        <x:v>46303.666666666664</x:v>
      </x:c>
      <x:c r="O560" s="16" t="n">
        <x:f>MAX(0,(M560-N560)*24)</x:f>
        <x:v>0</x:v>
      </x:c>
      <x:c r="P560" s="9" t="str">
        <x:v>No</x:v>
      </x:c>
      <x:c r="Q560" s="15" t="n">
        <x:v>18</x:v>
      </x:c>
      <x:c r="R560" s="13" t="n">
        <x:f>J560+Q560/1440</x:f>
        <x:v>46301.86041666666</x:v>
      </x:c>
      <x:c r="S560" s="2" t="str">
        <x:f>VLOOKUP(C560,'MES orders'!$A$8:$H$127,6,FALSE)</x:f>
        <x:v>Normal</x:v>
      </x:c>
      <x:c r="T560" s="9" t="str"/>
    </x:row>
    <x:row r="561" ht="22" customHeight="1">
      <x:c r="A561" s="2" t="str">
        <x:v>L00049-020</x:v>
      </x:c>
      <x:c r="B561" s="2" t="str">
        <x:v>L00049</x:v>
      </x:c>
      <x:c r="C561" s="2" t="str">
        <x:v>SO-26010</x:v>
      </x:c>
      <x:c r="D561" s="2" t="str">
        <x:v>R-S-SS</x:v>
      </x:c>
      <x:c r="E561" s="14" t="n">
        <x:v>25</x:v>
      </x:c>
      <x:c r="F561" s="2" t="str">
        <x:v>Deburr &amp; inspect</x:v>
      </x:c>
      <x:c r="G561" s="9" t="str">
        <x:v>DB-01</x:v>
      </x:c>
      <x:c r="H561" s="15" t="n">
        <x:v>58</x:v>
      </x:c>
      <x:c r="I561" s="9" t="str">
        <x:v>P13</x:v>
      </x:c>
      <x:c r="J561" s="11" t="n">
        <x:v>46301.847916666666</x:v>
      </x:c>
      <x:c r="K561" s="15" t="n">
        <x:v>4</x:v>
      </x:c>
      <x:c r="L561" s="15" t="n">
        <x:v>18</x:v>
      </x:c>
      <x:c r="M561" s="13" t="n">
        <x:f>J561+(K561+L561)/1440</x:f>
        <x:v>46301.86319444444</x:v>
      </x:c>
      <x:c r="N561" s="13" t="n">
        <x:f>VLOOKUP(C561,'MES orders'!$A$8:$H$127,5,FALSE)</x:f>
        <x:v>46303.666666666664</x:v>
      </x:c>
      <x:c r="O561" s="16" t="n">
        <x:f>MAX(0,(M561-N561)*24)</x:f>
        <x:v>0</x:v>
      </x:c>
      <x:c r="P561" s="9" t="str">
        <x:v>No</x:v>
      </x:c>
      <x:c r="Q561" s="15" t="n">
        <x:v>22</x:v>
      </x:c>
      <x:c r="R561" s="13" t="n">
        <x:f>J561+Q561/1440</x:f>
        <x:v>46301.86319444444</x:v>
      </x:c>
      <x:c r="S561" s="2" t="str">
        <x:f>VLOOKUP(C561,'MES orders'!$A$8:$H$127,6,FALSE)</x:f>
        <x:v>Normal</x:v>
      </x:c>
      <x:c r="T561" s="9" t="str"/>
    </x:row>
    <x:row r="562" ht="22" customHeight="1">
      <x:c r="A562" s="2" t="str">
        <x:v>L00526-070</x:v>
      </x:c>
      <x:c r="B562" s="2" t="str">
        <x:v>L00526</x:v>
      </x:c>
      <x:c r="C562" s="2" t="str">
        <x:v>SO-26106</x:v>
      </x:c>
      <x:c r="D562" s="2" t="str">
        <x:v>S-S-SS</x:v>
      </x:c>
      <x:c r="E562" s="14" t="n">
        <x:v>20</x:v>
      </x:c>
      <x:c r="F562" s="2" t="str">
        <x:v>Final assembly</x:v>
      </x:c>
      <x:c r="G562" s="9" t="str">
        <x:v>AS-01</x:v>
      </x:c>
      <x:c r="H562" s="15" t="n">
        <x:v>47</x:v>
      </x:c>
      <x:c r="I562" s="9" t="str">
        <x:v>P17</x:v>
      </x:c>
      <x:c r="J562" s="11" t="n">
        <x:v>46301.850694444445</x:v>
      </x:c>
      <x:c r="K562" s="15" t="n">
        <x:v>5</x:v>
      </x:c>
      <x:c r="L562" s="15" t="n">
        <x:v>16</x:v>
      </x:c>
      <x:c r="M562" s="13" t="n">
        <x:f>J562+(K562+L562)/1440</x:f>
        <x:v>46301.865277777775</x:v>
      </x:c>
      <x:c r="N562" s="13" t="n">
        <x:f>VLOOKUP(C562,'MES orders'!$A$8:$H$127,5,FALSE)</x:f>
        <x:v>46303.666666666664</x:v>
      </x:c>
      <x:c r="O562" s="16" t="n">
        <x:f>MAX(0,(M562-N562)*24)</x:f>
        <x:v>0</x:v>
      </x:c>
      <x:c r="P562" s="9" t="str">
        <x:v>No</x:v>
      </x:c>
      <x:c r="Q562" s="15" t="n">
        <x:v>21</x:v>
      </x:c>
      <x:c r="R562" s="13" t="n">
        <x:f>J562+Q562/1440</x:f>
        <x:v>46301.865277777775</x:v>
      </x:c>
      <x:c r="S562" s="2" t="str">
        <x:f>VLOOKUP(C562,'MES orders'!$A$8:$H$127,6,FALSE)</x:f>
        <x:v>High</x:v>
      </x:c>
      <x:c r="T562" s="9" t="str"/>
    </x:row>
    <x:row r="563" ht="22" customHeight="1">
      <x:c r="A563" s="2" t="str">
        <x:v>L00527-060</x:v>
      </x:c>
      <x:c r="B563" s="2" t="str">
        <x:v>L00527</x:v>
      </x:c>
      <x:c r="C563" s="2" t="str">
        <x:v>SO-26106</x:v>
      </x:c>
      <x:c r="D563" s="2" t="str">
        <x:v>S-S-SS</x:v>
      </x:c>
      <x:c r="E563" s="14" t="n">
        <x:v>20</x:v>
      </x:c>
      <x:c r="F563" s="2" t="str">
        <x:v>Sensor calibration</x:v>
      </x:c>
      <x:c r="G563" s="9" t="str">
        <x:v>CAL-01</x:v>
      </x:c>
      <x:c r="H563" s="15" t="n">
        <x:v>17</x:v>
      </x:c>
      <x:c r="I563" s="9" t="str">
        <x:v>P21</x:v>
      </x:c>
      <x:c r="J563" s="11" t="n">
        <x:v>46301.850694444445</x:v>
      </x:c>
      <x:c r="K563" s="15" t="n">
        <x:v>10</x:v>
      </x:c>
      <x:c r="L563" s="15" t="n">
        <x:v>26</x:v>
      </x:c>
      <x:c r="M563" s="13" t="n">
        <x:f>J563+(K563+L563)/1440</x:f>
        <x:v>46301.87569444445</x:v>
      </x:c>
      <x:c r="N563" s="13" t="n">
        <x:f>VLOOKUP(C563,'MES orders'!$A$8:$H$127,5,FALSE)</x:f>
        <x:v>46303.666666666664</x:v>
      </x:c>
      <x:c r="O563" s="16" t="n">
        <x:f>MAX(0,(M563-N563)*24)</x:f>
        <x:v>0</x:v>
      </x:c>
      <x:c r="P563" s="9" t="str">
        <x:v>No</x:v>
      </x:c>
      <x:c r="Q563" s="15" t="n">
        <x:v>36</x:v>
      </x:c>
      <x:c r="R563" s="13" t="n">
        <x:f>J563+Q563/1440</x:f>
        <x:v>46301.87569444445</x:v>
      </x:c>
      <x:c r="S563" s="2" t="str">
        <x:f>VLOOKUP(C563,'MES orders'!$A$8:$H$127,6,FALSE)</x:f>
        <x:v>High</x:v>
      </x:c>
      <x:c r="T563" s="9" t="str"/>
    </x:row>
    <x:row r="564" ht="22" customHeight="1">
      <x:c r="A564" s="2" t="str">
        <x:v>L00008-050</x:v>
      </x:c>
      <x:c r="B564" s="2" t="str">
        <x:v>L00008</x:v>
      </x:c>
      <x:c r="C564" s="2" t="str">
        <x:v>SO-26002</x:v>
      </x:c>
      <x:c r="D564" s="2" t="str">
        <x:v>R-C-SS</x:v>
      </x:c>
      <x:c r="E564" s="14" t="n">
        <x:v>5</x:v>
      </x:c>
      <x:c r="F564" s="2" t="str">
        <x:v>Valve adjustment</x:v>
      </x:c>
      <x:c r="G564" s="9" t="str">
        <x:v>AS-03</x:v>
      </x:c>
      <x:c r="H564" s="15" t="n">
        <x:v>28</x:v>
      </x:c>
      <x:c r="I564" s="9" t="str">
        <x:v>P18</x:v>
      </x:c>
      <x:c r="J564" s="11" t="n">
        <x:v>46301.853472222225</x:v>
      </x:c>
      <x:c r="K564" s="15" t="n">
        <x:v>6</x:v>
      </x:c>
      <x:c r="L564" s="15" t="n">
        <x:v>4</x:v>
      </x:c>
      <x:c r="M564" s="13" t="n">
        <x:f>J564+(K564+L564)/1440</x:f>
        <x:v>46301.86041666667</x:v>
      </x:c>
      <x:c r="N564" s="13" t="n">
        <x:f>VLOOKUP(C564,'MES orders'!$A$8:$H$127,5,FALSE)</x:f>
        <x:v>46303.666666666664</x:v>
      </x:c>
      <x:c r="O564" s="16" t="n">
        <x:f>MAX(0,(M564-N564)*24)</x:f>
        <x:v>0</x:v>
      </x:c>
      <x:c r="P564" s="9" t="str">
        <x:v>No</x:v>
      </x:c>
      <x:c r="Q564" s="15" t="n">
        <x:v>10</x:v>
      </x:c>
      <x:c r="R564" s="13" t="n">
        <x:f>J564+Q564/1440</x:f>
        <x:v>46301.86041666667</x:v>
      </x:c>
      <x:c r="S564" s="2" t="str">
        <x:f>VLOOKUP(C564,'MES orders'!$A$8:$H$127,6,FALSE)</x:f>
        <x:v>Normal</x:v>
      </x:c>
      <x:c r="T564" s="9" t="str"/>
    </x:row>
    <x:row r="565" ht="22" customHeight="1">
      <x:c r="A565" s="2" t="str">
        <x:v>L00050-020</x:v>
      </x:c>
      <x:c r="B565" s="2" t="str">
        <x:v>L00050</x:v>
      </x:c>
      <x:c r="C565" s="2" t="str">
        <x:v>SO-26010</x:v>
      </x:c>
      <x:c r="D565" s="2" t="str">
        <x:v>R-S-SS</x:v>
      </x:c>
      <x:c r="E565" s="14" t="n">
        <x:v>25</x:v>
      </x:c>
      <x:c r="F565" s="2" t="str">
        <x:v>Deburr &amp; inspect</x:v>
      </x:c>
      <x:c r="G565" s="9" t="str">
        <x:v>DB-02</x:v>
      </x:c>
      <x:c r="H565" s="15" t="n">
        <x:v>40</x:v>
      </x:c>
      <x:c r="I565" s="9" t="str">
        <x:v>P14</x:v>
      </x:c>
      <x:c r="J565" s="11" t="n">
        <x:v>46301.854166666664</x:v>
      </x:c>
      <x:c r="K565" s="15" t="n">
        <x:v>4</x:v>
      </x:c>
      <x:c r="L565" s="15" t="n">
        <x:v>18</x:v>
      </x:c>
      <x:c r="M565" s="13" t="n">
        <x:f>J565+(K565+L565)/1440</x:f>
        <x:v>46301.86944444444</x:v>
      </x:c>
      <x:c r="N565" s="13" t="n">
        <x:f>VLOOKUP(C565,'MES orders'!$A$8:$H$127,5,FALSE)</x:f>
        <x:v>46303.666666666664</x:v>
      </x:c>
      <x:c r="O565" s="16" t="n">
        <x:f>MAX(0,(M565-N565)*24)</x:f>
        <x:v>0</x:v>
      </x:c>
      <x:c r="P565" s="9" t="str">
        <x:v>No</x:v>
      </x:c>
      <x:c r="Q565" s="15" t="n">
        <x:v>22</x:v>
      </x:c>
      <x:c r="R565" s="13" t="n">
        <x:f>J565+Q565/1440</x:f>
        <x:v>46301.86944444444</x:v>
      </x:c>
      <x:c r="S565" s="2" t="str">
        <x:f>VLOOKUP(C565,'MES orders'!$A$8:$H$127,6,FALSE)</x:f>
        <x:v>Normal</x:v>
      </x:c>
      <x:c r="T565" s="9" t="str"/>
    </x:row>
    <x:row r="566" ht="22" customHeight="1">
      <x:c r="A566" s="2" t="str">
        <x:v>L00009-040</x:v>
      </x:c>
      <x:c r="B566" s="2" t="str">
        <x:v>L00009</x:v>
      </x:c>
      <x:c r="C566" s="2" t="str">
        <x:v>SO-26002</x:v>
      </x:c>
      <x:c r="D566" s="2" t="str">
        <x:v>R-C-SS</x:v>
      </x:c>
      <x:c r="E566" s="14" t="n">
        <x:v>5</x:v>
      </x:c>
      <x:c r="F566" s="2" t="str">
        <x:v>Mechanical assembly</x:v>
      </x:c>
      <x:c r="G566" s="9" t="str">
        <x:v>AS-03</x:v>
      </x:c>
      <x:c r="H566" s="15" t="n">
        <x:v>29</x:v>
      </x:c>
      <x:c r="I566" s="9" t="str">
        <x:v>P18</x:v>
      </x:c>
      <x:c r="J566" s="11" t="n">
        <x:v>46301.86041666667</x:v>
      </x:c>
      <x:c r="K566" s="15" t="n">
        <x:v>8</x:v>
      </x:c>
      <x:c r="L566" s="15" t="n">
        <x:v>7</x:v>
      </x:c>
      <x:c r="M566" s="13" t="n">
        <x:f>J566+(K566+L566)/1440</x:f>
        <x:v>46301.870833333334</x:v>
      </x:c>
      <x:c r="N566" s="13" t="n">
        <x:f>VLOOKUP(C566,'MES orders'!$A$8:$H$127,5,FALSE)</x:f>
        <x:v>46303.666666666664</x:v>
      </x:c>
      <x:c r="O566" s="16" t="n">
        <x:f>MAX(0,(M566-N566)*24)</x:f>
        <x:v>0</x:v>
      </x:c>
      <x:c r="P566" s="9" t="str">
        <x:v>No</x:v>
      </x:c>
      <x:c r="Q566" s="15" t="n">
        <x:v>15</x:v>
      </x:c>
      <x:c r="R566" s="13" t="n">
        <x:f>J566+Q566/1440</x:f>
        <x:v>46301.870833333334</x:v>
      </x:c>
      <x:c r="S566" s="2" t="str">
        <x:f>VLOOKUP(C566,'MES orders'!$A$8:$H$127,6,FALSE)</x:f>
        <x:v>Normal</x:v>
      </x:c>
      <x:c r="T566" s="9" t="str"/>
    </x:row>
    <x:row r="567" ht="22" customHeight="1">
      <x:c r="A567" s="2" t="str">
        <x:v>L00129-010</x:v>
      </x:c>
      <x:c r="B567" s="2" t="str">
        <x:v>L00129</x:v>
      </x:c>
      <x:c r="C567" s="2" t="str">
        <x:v>SO-26026</x:v>
      </x:c>
      <x:c r="D567" s="2" t="str">
        <x:v>S-C-SS</x:v>
      </x:c>
      <x:c r="E567" s="14" t="n">
        <x:v>25</x:v>
      </x:c>
      <x:c r="F567" s="2" t="str">
        <x:v>CNC machining</x:v>
      </x:c>
      <x:c r="G567" s="9" t="str">
        <x:v>CNC-06</x:v>
      </x:c>
      <x:c r="H567" s="15" t="n">
        <x:v>14</x:v>
      </x:c>
      <x:c r="I567" s="9" t="str">
        <x:v>P15</x:v>
      </x:c>
      <x:c r="J567" s="11" t="n">
        <x:v>46301.86041666667</x:v>
      </x:c>
      <x:c r="K567" s="15" t="n">
        <x:v>18</x:v>
      </x:c>
      <x:c r="L567" s="15" t="n">
        <x:v>60</x:v>
      </x:c>
      <x:c r="M567" s="13" t="n">
        <x:f>J567+(K567+L567)/1440</x:f>
        <x:v>46301.91458333334</x:v>
      </x:c>
      <x:c r="N567" s="13" t="n">
        <x:f>VLOOKUP(C567,'MES orders'!$A$8:$H$127,5,FALSE)</x:f>
        <x:v>46303.666666666664</x:v>
      </x:c>
      <x:c r="O567" s="16" t="n">
        <x:f>MAX(0,(M567-N567)*24)</x:f>
        <x:v>0</x:v>
      </x:c>
      <x:c r="P567" s="9" t="str">
        <x:v>No</x:v>
      </x:c>
      <x:c r="Q567" s="15" t="n">
        <x:v>18</x:v>
      </x:c>
      <x:c r="R567" s="13" t="n">
        <x:f>J567+Q567/1440</x:f>
        <x:v>46301.87291666667</x:v>
      </x:c>
      <x:c r="S567" s="2" t="str">
        <x:f>VLOOKUP(C567,'MES orders'!$A$8:$H$127,6,FALSE)</x:f>
        <x:v>Normal</x:v>
      </x:c>
      <x:c r="T567" s="9" t="str"/>
    </x:row>
    <x:row r="568" ht="22" customHeight="1">
      <x:c r="A568" s="2" t="str">
        <x:v>L00008-060</x:v>
      </x:c>
      <x:c r="B568" s="2" t="str">
        <x:v>L00008</x:v>
      </x:c>
      <x:c r="C568" s="2" t="str">
        <x:v>SO-26002</x:v>
      </x:c>
      <x:c r="D568" s="2" t="str">
        <x:v>R-C-SS</x:v>
      </x:c>
      <x:c r="E568" s="14" t="n">
        <x:v>5</x:v>
      </x:c>
      <x:c r="F568" s="2" t="str">
        <x:v>Final leak / function test</x:v>
      </x:c>
      <x:c r="G568" s="9" t="str">
        <x:v>QA-03</x:v>
      </x:c>
      <x:c r="H568" s="15" t="n">
        <x:v>22</x:v>
      </x:c>
      <x:c r="I568" s="9" t="str">
        <x:v>P24</x:v>
      </x:c>
      <x:c r="J568" s="11" t="n">
        <x:v>46301.86041666667</x:v>
      </x:c>
      <x:c r="K568" s="15" t="n">
        <x:v>10</x:v>
      </x:c>
      <x:c r="L568" s="15" t="n">
        <x:v>4</x:v>
      </x:c>
      <x:c r="M568" s="13" t="n">
        <x:f>J568+(K568+L568)/1440</x:f>
        <x:v>46301.870138888895</x:v>
      </x:c>
      <x:c r="N568" s="13" t="n">
        <x:f>VLOOKUP(C568,'MES orders'!$A$8:$H$127,5,FALSE)</x:f>
        <x:v>46303.666666666664</x:v>
      </x:c>
      <x:c r="O568" s="16" t="n">
        <x:f>MAX(0,(M568-N568)*24)</x:f>
        <x:v>0</x:v>
      </x:c>
      <x:c r="P568" s="9" t="str">
        <x:v>No</x:v>
      </x:c>
      <x:c r="Q568" s="15" t="n">
        <x:v>14</x:v>
      </x:c>
      <x:c r="R568" s="13" t="n">
        <x:f>J568+Q568/1440</x:f>
        <x:v>46301.870138888895</x:v>
      </x:c>
      <x:c r="S568" s="2" t="str">
        <x:f>VLOOKUP(C568,'MES orders'!$A$8:$H$127,6,FALSE)</x:f>
        <x:v>Normal</x:v>
      </x:c>
      <x:c r="T568" s="9" t="str"/>
    </x:row>
    <x:row r="569" ht="22" customHeight="1">
      <x:c r="A569" s="2" t="str">
        <x:v>L00049-030</x:v>
      </x:c>
      <x:c r="B569" s="2" t="str">
        <x:v>L00049</x:v>
      </x:c>
      <x:c r="C569" s="2" t="str">
        <x:v>SO-26010</x:v>
      </x:c>
      <x:c r="D569" s="2" t="str">
        <x:v>R-S-SS</x:v>
      </x:c>
      <x:c r="E569" s="14" t="n">
        <x:v>25</x:v>
      </x:c>
      <x:c r="F569" s="2" t="str">
        <x:v>Wash &amp; dry</x:v>
      </x:c>
      <x:c r="G569" s="9" t="str">
        <x:v>WS-02</x:v>
      </x:c>
      <x:c r="H569" s="15" t="n">
        <x:v>40</x:v>
      </x:c>
      <x:c r="I569" s="9" t="str">
        <x:v>P13</x:v>
      </x:c>
      <x:c r="J569" s="11" t="n">
        <x:v>46301.86319444444</x:v>
      </x:c>
      <x:c r="K569" s="15" t="n">
        <x:v>12</x:v>
      </x:c>
      <x:c r="L569" s="15" t="n">
        <x:v>9</x:v>
      </x:c>
      <x:c r="M569" s="13" t="n">
        <x:f>J569+(K569+L569)/1440</x:f>
        <x:v>46301.87777777777</x:v>
      </x:c>
      <x:c r="N569" s="13" t="n">
        <x:f>VLOOKUP(C569,'MES orders'!$A$8:$H$127,5,FALSE)</x:f>
        <x:v>46303.666666666664</x:v>
      </x:c>
      <x:c r="O569" s="16" t="n">
        <x:f>MAX(0,(M569-N569)*24)</x:f>
        <x:v>0</x:v>
      </x:c>
      <x:c r="P569" s="9" t="str">
        <x:v>No</x:v>
      </x:c>
      <x:c r="Q569" s="15" t="n">
        <x:v>21</x:v>
      </x:c>
      <x:c r="R569" s="13" t="n">
        <x:f>J569+Q569/1440</x:f>
        <x:v>46301.87777777777</x:v>
      </x:c>
      <x:c r="S569" s="2" t="str">
        <x:f>VLOOKUP(C569,'MES orders'!$A$8:$H$127,6,FALSE)</x:f>
        <x:v>Normal</x:v>
      </x:c>
      <x:c r="T569" s="9" t="str"/>
    </x:row>
    <x:row r="570" ht="22" customHeight="1">
      <x:c r="A570" s="2" t="str">
        <x:v>L00212-050</x:v>
      </x:c>
      <x:c r="B570" s="2" t="str">
        <x:v>L00212</x:v>
      </x:c>
      <x:c r="C570" s="2" t="str">
        <x:v>SO-26043</x:v>
      </x:c>
      <x:c r="D570" s="2" t="str">
        <x:v>R-C-AL</x:v>
      </x:c>
      <x:c r="E570" s="14" t="n">
        <x:v>15</x:v>
      </x:c>
      <x:c r="F570" s="2" t="str">
        <x:v>Valve adjustment</x:v>
      </x:c>
      <x:c r="G570" s="9" t="str">
        <x:v>AS-05</x:v>
      </x:c>
      <x:c r="H570" s="15" t="n">
        <x:v>13</x:v>
      </x:c>
      <x:c r="I570" s="9" t="str">
        <x:v>P20</x:v>
      </x:c>
      <x:c r="J570" s="11" t="n">
        <x:v>46301.865277777775</x:v>
      </x:c>
      <x:c r="K570" s="15" t="n">
        <x:v>6</x:v>
      </x:c>
      <x:c r="L570" s="15" t="n">
        <x:v>13</x:v>
      </x:c>
      <x:c r="M570" s="13" t="n">
        <x:f>J570+(K570+L570)/1440</x:f>
        <x:v>46301.87847222222</x:v>
      </x:c>
      <x:c r="N570" s="13" t="n">
        <x:f>VLOOKUP(C570,'MES orders'!$A$8:$H$127,5,FALSE)</x:f>
        <x:v>46304.666666666664</x:v>
      </x:c>
      <x:c r="O570" s="16" t="n">
        <x:f>MAX(0,(M570-N570)*24)</x:f>
        <x:v>0</x:v>
      </x:c>
      <x:c r="P570" s="9" t="str">
        <x:v>No</x:v>
      </x:c>
      <x:c r="Q570" s="15" t="n">
        <x:v>19</x:v>
      </x:c>
      <x:c r="R570" s="13" t="n">
        <x:f>J570+Q570/1440</x:f>
        <x:v>46301.87847222222</x:v>
      </x:c>
      <x:c r="S570" s="2" t="str">
        <x:f>VLOOKUP(C570,'MES orders'!$A$8:$H$127,6,FALSE)</x:f>
        <x:v>High</x:v>
      </x:c>
      <x:c r="T570" s="9" t="str"/>
    </x:row>
    <x:row r="571" ht="22" customHeight="1">
      <x:c r="A571" s="2" t="str">
        <x:v>L00526-080</x:v>
      </x:c>
      <x:c r="B571" s="2" t="str">
        <x:v>L00526</x:v>
      </x:c>
      <x:c r="C571" s="2" t="str">
        <x:v>SO-26106</x:v>
      </x:c>
      <x:c r="D571" s="2" t="str">
        <x:v>S-S-SS</x:v>
      </x:c>
      <x:c r="E571" s="14" t="n">
        <x:v>20</x:v>
      </x:c>
      <x:c r="F571" s="2" t="str">
        <x:v>Final leak / function test</x:v>
      </x:c>
      <x:c r="G571" s="9" t="str">
        <x:v>QA-02</x:v>
      </x:c>
      <x:c r="H571" s="15" t="n">
        <x:v>38</x:v>
      </x:c>
      <x:c r="I571" s="9" t="str">
        <x:v>P23</x:v>
      </x:c>
      <x:c r="J571" s="11" t="n">
        <x:v>46301.865277777775</x:v>
      </x:c>
      <x:c r="K571" s="15" t="n">
        <x:v>10</x:v>
      </x:c>
      <x:c r="L571" s="15" t="n">
        <x:v>18</x:v>
      </x:c>
      <x:c r="M571" s="13" t="n">
        <x:f>J571+(K571+L571)/1440</x:f>
        <x:v>46301.88472222222</x:v>
      </x:c>
      <x:c r="N571" s="13" t="n">
        <x:f>VLOOKUP(C571,'MES orders'!$A$8:$H$127,5,FALSE)</x:f>
        <x:v>46303.666666666664</x:v>
      </x:c>
      <x:c r="O571" s="16" t="n">
        <x:f>MAX(0,(M571-N571)*24)</x:f>
        <x:v>0</x:v>
      </x:c>
      <x:c r="P571" s="9" t="str">
        <x:v>No</x:v>
      </x:c>
      <x:c r="Q571" s="15" t="n">
        <x:v>28</x:v>
      </x:c>
      <x:c r="R571" s="13" t="n">
        <x:f>J571+Q571/1440</x:f>
        <x:v>46301.88472222222</x:v>
      </x:c>
      <x:c r="S571" s="2" t="str">
        <x:f>VLOOKUP(C571,'MES orders'!$A$8:$H$127,6,FALSE)</x:f>
        <x:v>High</x:v>
      </x:c>
      <x:c r="T571" s="9" t="str"/>
    </x:row>
    <x:row r="572" ht="22" customHeight="1">
      <x:c r="A572" s="2" t="str">
        <x:v>L00010-030</x:v>
      </x:c>
      <x:c r="B572" s="2" t="str">
        <x:v>L00010</x:v>
      </x:c>
      <x:c r="C572" s="2" t="str">
        <x:v>SO-26002</x:v>
      </x:c>
      <x:c r="D572" s="2" t="str">
        <x:v>R-C-SS</x:v>
      </x:c>
      <x:c r="E572" s="14" t="n">
        <x:v>5</x:v>
      </x:c>
      <x:c r="F572" s="2" t="str">
        <x:v>Wash &amp; dry</x:v>
      </x:c>
      <x:c r="G572" s="9" t="str">
        <x:v>WS-01</x:v>
      </x:c>
      <x:c r="H572" s="15" t="n">
        <x:v>56</x:v>
      </x:c>
      <x:c r="I572" s="9" t="str">
        <x:v>P17</x:v>
      </x:c>
      <x:c r="J572" s="11" t="n">
        <x:v>46301.865277777775</x:v>
      </x:c>
      <x:c r="K572" s="15" t="n">
        <x:v>12</x:v>
      </x:c>
      <x:c r="L572" s="15" t="n">
        <x:v>1</x:v>
      </x:c>
      <x:c r="M572" s="13" t="n">
        <x:f>J572+(K572+L572)/1440</x:f>
        <x:v>46301.87430555555</x:v>
      </x:c>
      <x:c r="N572" s="13" t="n">
        <x:f>VLOOKUP(C572,'MES orders'!$A$8:$H$127,5,FALSE)</x:f>
        <x:v>46303.666666666664</x:v>
      </x:c>
      <x:c r="O572" s="16" t="n">
        <x:f>MAX(0,(M572-N572)*24)</x:f>
        <x:v>0</x:v>
      </x:c>
      <x:c r="P572" s="9" t="str">
        <x:v>No</x:v>
      </x:c>
      <x:c r="Q572" s="15" t="n">
        <x:v>13</x:v>
      </x:c>
      <x:c r="R572" s="13" t="n">
        <x:f>J572+Q572/1440</x:f>
        <x:v>46301.87430555555</x:v>
      </x:c>
      <x:c r="S572" s="2" t="str">
        <x:f>VLOOKUP(C572,'MES orders'!$A$8:$H$127,6,FALSE)</x:f>
        <x:v>Normal</x:v>
      </x:c>
      <x:c r="T572" s="9" t="str"/>
    </x:row>
    <x:row r="573" ht="22" customHeight="1">
      <x:c r="A573" s="2" t="str">
        <x:v>L00530-050</x:v>
      </x:c>
      <x:c r="B573" s="2" t="str">
        <x:v>L00530</x:v>
      </x:c>
      <x:c r="C573" s="2" t="str">
        <x:v>SO-26106</x:v>
      </x:c>
      <x:c r="D573" s="2" t="str">
        <x:v>S-S-SS</x:v>
      </x:c>
      <x:c r="E573" s="14" t="n">
        <x:v>20</x:v>
      </x:c>
      <x:c r="F573" s="2" t="str">
        <x:v>Sensor installation</x:v>
      </x:c>
      <x:c r="G573" s="9" t="str">
        <x:v>EL-01</x:v>
      </x:c>
      <x:c r="H573" s="15" t="n">
        <x:v>14</x:v>
      </x:c>
      <x:c r="I573" s="9" t="str">
        <x:v>P19</x:v>
      </x:c>
      <x:c r="J573" s="11" t="n">
        <x:v>46301.86597222222</x:v>
      </x:c>
      <x:c r="K573" s="15" t="n">
        <x:v>8</x:v>
      </x:c>
      <x:c r="L573" s="15" t="n">
        <x:v>24</x:v>
      </x:c>
      <x:c r="M573" s="13" t="n">
        <x:f>J573+(K573+L573)/1440</x:f>
        <x:v>46301.888194444444</x:v>
      </x:c>
      <x:c r="N573" s="13" t="n">
        <x:f>VLOOKUP(C573,'MES orders'!$A$8:$H$127,5,FALSE)</x:f>
        <x:v>46303.666666666664</x:v>
      </x:c>
      <x:c r="O573" s="16" t="n">
        <x:f>MAX(0,(M573-N573)*24)</x:f>
        <x:v>0</x:v>
      </x:c>
      <x:c r="P573" s="9" t="str">
        <x:v>No</x:v>
      </x:c>
      <x:c r="Q573" s="15" t="n">
        <x:v>32</x:v>
      </x:c>
      <x:c r="R573" s="13" t="n">
        <x:f>J573+Q573/1440</x:f>
        <x:v>46301.888194444444</x:v>
      </x:c>
      <x:c r="S573" s="2" t="str">
        <x:f>VLOOKUP(C573,'MES orders'!$A$8:$H$127,6,FALSE)</x:f>
        <x:v>High</x:v>
      </x:c>
      <x:c r="T573" s="9" t="str"/>
    </x:row>
    <x:row r="574" ht="22" customHeight="1">
      <x:c r="A574" s="2" t="str">
        <x:v>L00009-050</x:v>
      </x:c>
      <x:c r="B574" s="2" t="str">
        <x:v>L00009</x:v>
      </x:c>
      <x:c r="C574" s="2" t="str">
        <x:v>SO-26002</x:v>
      </x:c>
      <x:c r="D574" s="2" t="str">
        <x:v>R-C-SS</x:v>
      </x:c>
      <x:c r="E574" s="14" t="n">
        <x:v>5</x:v>
      </x:c>
      <x:c r="F574" s="2" t="str">
        <x:v>Valve adjustment</x:v>
      </x:c>
      <x:c r="G574" s="9" t="str">
        <x:v>AS-02</x:v>
      </x:c>
      <x:c r="H574" s="15" t="n">
        <x:v>38</x:v>
      </x:c>
      <x:c r="I574" s="9" t="str">
        <x:v>P18</x:v>
      </x:c>
      <x:c r="J574" s="11" t="n">
        <x:v>46301.870833333334</x:v>
      </x:c>
      <x:c r="K574" s="15" t="n">
        <x:v>6</x:v>
      </x:c>
      <x:c r="L574" s="15" t="n">
        <x:v>4</x:v>
      </x:c>
      <x:c r="M574" s="13" t="n">
        <x:f>J574+(K574+L574)/1440</x:f>
        <x:v>46301.87777777778</x:v>
      </x:c>
      <x:c r="N574" s="13" t="n">
        <x:f>VLOOKUP(C574,'MES orders'!$A$8:$H$127,5,FALSE)</x:f>
        <x:v>46303.666666666664</x:v>
      </x:c>
      <x:c r="O574" s="16" t="n">
        <x:f>MAX(0,(M574-N574)*24)</x:f>
        <x:v>0</x:v>
      </x:c>
      <x:c r="P574" s="9" t="str">
        <x:v>No</x:v>
      </x:c>
      <x:c r="Q574" s="15" t="n">
        <x:v>10</x:v>
      </x:c>
      <x:c r="R574" s="13" t="n">
        <x:f>J574+Q574/1440</x:f>
        <x:v>46301.87777777778</x:v>
      </x:c>
      <x:c r="S574" s="2" t="str">
        <x:f>VLOOKUP(C574,'MES orders'!$A$8:$H$127,6,FALSE)</x:f>
        <x:v>Normal</x:v>
      </x:c>
      <x:c r="T574" s="9" t="str"/>
    </x:row>
    <x:row r="575" ht="22" customHeight="1">
      <x:c r="A575" s="2" t="str">
        <x:v>L00492-010</x:v>
      </x:c>
      <x:c r="B575" s="2" t="str">
        <x:v>L00492</x:v>
      </x:c>
      <x:c r="C575" s="2" t="str">
        <x:v>SO-26099</x:v>
      </x:c>
      <x:c r="D575" s="2" t="str">
        <x:v>D-S-AL</x:v>
      </x:c>
      <x:c r="E575" s="14" t="n">
        <x:v>15</x:v>
      </x:c>
      <x:c r="F575" s="2" t="str">
        <x:v>CNC machining</x:v>
      </x:c>
      <x:c r="G575" s="9" t="str">
        <x:v>CNC-01</x:v>
      </x:c>
      <x:c r="H575" s="15" t="n">
        <x:v>24</x:v>
      </x:c>
      <x:c r="I575" s="9" t="str">
        <x:v>P15</x:v>
      </x:c>
      <x:c r="J575" s="11" t="n">
        <x:v>46301.87291666667</x:v>
      </x:c>
      <x:c r="K575" s="15" t="n">
        <x:v>18</x:v>
      </x:c>
      <x:c r="L575" s="15" t="n">
        <x:v>36</x:v>
      </x:c>
      <x:c r="M575" s="13" t="n">
        <x:f>J575+(K575+L575)/1440</x:f>
        <x:v>46301.910416666666</x:v>
      </x:c>
      <x:c r="N575" s="13" t="n">
        <x:f>VLOOKUP(C575,'MES orders'!$A$8:$H$127,5,FALSE)</x:f>
        <x:v>46304.666666666664</x:v>
      </x:c>
      <x:c r="O575" s="16" t="n">
        <x:f>MAX(0,(M575-N575)*24)</x:f>
        <x:v>0</x:v>
      </x:c>
      <x:c r="P575" s="9" t="str">
        <x:v>No</x:v>
      </x:c>
      <x:c r="Q575" s="15" t="n">
        <x:v>18</x:v>
      </x:c>
      <x:c r="R575" s="13" t="n">
        <x:f>J575+Q575/1440</x:f>
        <x:v>46301.885416666664</x:v>
      </x:c>
      <x:c r="S575" s="2" t="str">
        <x:f>VLOOKUP(C575,'MES orders'!$A$8:$H$127,6,FALSE)</x:f>
        <x:v>High</x:v>
      </x:c>
      <x:c r="T575" s="9" t="str"/>
    </x:row>
    <x:row r="576" ht="22" customHeight="1">
      <x:c r="A576" s="2" t="str">
        <x:v>L00010-040</x:v>
      </x:c>
      <x:c r="B576" s="2" t="str">
        <x:v>L00010</x:v>
      </x:c>
      <x:c r="C576" s="2" t="str">
        <x:v>SO-26002</x:v>
      </x:c>
      <x:c r="D576" s="2" t="str">
        <x:v>R-C-SS</x:v>
      </x:c>
      <x:c r="E576" s="14" t="n">
        <x:v>5</x:v>
      </x:c>
      <x:c r="F576" s="2" t="str">
        <x:v>Mechanical assembly</x:v>
      </x:c>
      <x:c r="G576" s="9" t="str">
        <x:v>AS-03</x:v>
      </x:c>
      <x:c r="H576" s="15" t="n">
        <x:v>30</x:v>
      </x:c>
      <x:c r="I576" s="9" t="str">
        <x:v>P16</x:v>
      </x:c>
      <x:c r="J576" s="11" t="n">
        <x:v>46301.87430555555</x:v>
      </x:c>
      <x:c r="K576" s="15" t="n">
        <x:v>8</x:v>
      </x:c>
      <x:c r="L576" s="15" t="n">
        <x:v>7</x:v>
      </x:c>
      <x:c r="M576" s="13" t="n">
        <x:f>J576+(K576+L576)/1440</x:f>
        <x:v>46301.88472222222</x:v>
      </x:c>
      <x:c r="N576" s="13" t="n">
        <x:f>VLOOKUP(C576,'MES orders'!$A$8:$H$127,5,FALSE)</x:f>
        <x:v>46303.666666666664</x:v>
      </x:c>
      <x:c r="O576" s="16" t="n">
        <x:f>MAX(0,(M576-N576)*24)</x:f>
        <x:v>0</x:v>
      </x:c>
      <x:c r="P576" s="9" t="str">
        <x:v>No</x:v>
      </x:c>
      <x:c r="Q576" s="15" t="n">
        <x:v>15</x:v>
      </x:c>
      <x:c r="R576" s="13" t="n">
        <x:f>J576+Q576/1440</x:f>
        <x:v>46301.88472222222</x:v>
      </x:c>
      <x:c r="S576" s="2" t="str">
        <x:f>VLOOKUP(C576,'MES orders'!$A$8:$H$127,6,FALSE)</x:f>
        <x:v>Normal</x:v>
      </x:c>
      <x:c r="T576" s="9" t="str"/>
    </x:row>
    <x:row r="577" ht="22" customHeight="1">
      <x:c r="A577" s="2" t="str">
        <x:v>L00527-070</x:v>
      </x:c>
      <x:c r="B577" s="2" t="str">
        <x:v>L00527</x:v>
      </x:c>
      <x:c r="C577" s="2" t="str">
        <x:v>SO-26106</x:v>
      </x:c>
      <x:c r="D577" s="2" t="str">
        <x:v>S-S-SS</x:v>
      </x:c>
      <x:c r="E577" s="14" t="n">
        <x:v>20</x:v>
      </x:c>
      <x:c r="F577" s="2" t="str">
        <x:v>Final assembly</x:v>
      </x:c>
      <x:c r="G577" s="9" t="str">
        <x:v>AS-01</x:v>
      </x:c>
      <x:c r="H577" s="15" t="n">
        <x:v>48</x:v>
      </x:c>
      <x:c r="I577" s="9" t="str">
        <x:v>P17</x:v>
      </x:c>
      <x:c r="J577" s="11" t="n">
        <x:v>46301.87569444445</x:v>
      </x:c>
      <x:c r="K577" s="15" t="n">
        <x:v>5</x:v>
      </x:c>
      <x:c r="L577" s="15" t="n">
        <x:v>16</x:v>
      </x:c>
      <x:c r="M577" s="13" t="n">
        <x:f>J577+(K577+L577)/1440</x:f>
        <x:v>46301.89027777778</x:v>
      </x:c>
      <x:c r="N577" s="13" t="n">
        <x:f>VLOOKUP(C577,'MES orders'!$A$8:$H$127,5,FALSE)</x:f>
        <x:v>46303.666666666664</x:v>
      </x:c>
      <x:c r="O577" s="16" t="n">
        <x:f>MAX(0,(M577-N577)*24)</x:f>
        <x:v>0</x:v>
      </x:c>
      <x:c r="P577" s="9" t="str">
        <x:v>No</x:v>
      </x:c>
      <x:c r="Q577" s="15" t="n">
        <x:v>21</x:v>
      </x:c>
      <x:c r="R577" s="13" t="n">
        <x:f>J577+Q577/1440</x:f>
        <x:v>46301.89027777778</x:v>
      </x:c>
      <x:c r="S577" s="2" t="str">
        <x:f>VLOOKUP(C577,'MES orders'!$A$8:$H$127,6,FALSE)</x:f>
        <x:v>High</x:v>
      </x:c>
      <x:c r="T577" s="9" t="str"/>
    </x:row>
    <x:row r="578" ht="22" customHeight="1">
      <x:c r="A578" s="2" t="str">
        <x:v>L00528-060</x:v>
      </x:c>
      <x:c r="B578" s="2" t="str">
        <x:v>L00528</x:v>
      </x:c>
      <x:c r="C578" s="2" t="str">
        <x:v>SO-26106</x:v>
      </x:c>
      <x:c r="D578" s="2" t="str">
        <x:v>S-S-SS</x:v>
      </x:c>
      <x:c r="E578" s="14" t="n">
        <x:v>20</x:v>
      </x:c>
      <x:c r="F578" s="2" t="str">
        <x:v>Sensor calibration</x:v>
      </x:c>
      <x:c r="G578" s="9" t="str">
        <x:v>CAL-01</x:v>
      </x:c>
      <x:c r="H578" s="15" t="n">
        <x:v>18</x:v>
      </x:c>
      <x:c r="I578" s="9" t="str">
        <x:v>P21</x:v>
      </x:c>
      <x:c r="J578" s="11" t="n">
        <x:v>46301.87569444445</x:v>
      </x:c>
      <x:c r="K578" s="15" t="n">
        <x:v>10</x:v>
      </x:c>
      <x:c r="L578" s="15" t="n">
        <x:v>26</x:v>
      </x:c>
      <x:c r="M578" s="13" t="n">
        <x:f>J578+(K578+L578)/1440</x:f>
        <x:v>46301.90069444445</x:v>
      </x:c>
      <x:c r="N578" s="13" t="n">
        <x:f>VLOOKUP(C578,'MES orders'!$A$8:$H$127,5,FALSE)</x:f>
        <x:v>46303.666666666664</x:v>
      </x:c>
      <x:c r="O578" s="16" t="n">
        <x:f>MAX(0,(M578-N578)*24)</x:f>
        <x:v>0</x:v>
      </x:c>
      <x:c r="P578" s="9" t="str">
        <x:v>No</x:v>
      </x:c>
      <x:c r="Q578" s="15" t="n">
        <x:v>36</x:v>
      </x:c>
      <x:c r="R578" s="13" t="n">
        <x:f>J578+Q578/1440</x:f>
        <x:v>46301.90069444445</x:v>
      </x:c>
      <x:c r="S578" s="2" t="str">
        <x:f>VLOOKUP(C578,'MES orders'!$A$8:$H$127,6,FALSE)</x:f>
        <x:v>High</x:v>
      </x:c>
      <x:c r="T578" s="9" t="str"/>
    </x:row>
    <x:row r="579" ht="22" customHeight="1">
      <x:c r="A579" s="2" t="str">
        <x:v>L00049-040</x:v>
      </x:c>
      <x:c r="B579" s="2" t="str">
        <x:v>L00049</x:v>
      </x:c>
      <x:c r="C579" s="2" t="str">
        <x:v>SO-26010</x:v>
      </x:c>
      <x:c r="D579" s="2" t="str">
        <x:v>R-S-SS</x:v>
      </x:c>
      <x:c r="E579" s="14" t="n">
        <x:v>25</x:v>
      </x:c>
      <x:c r="F579" s="2" t="str">
        <x:v>Mechanical assembly</x:v>
      </x:c>
      <x:c r="G579" s="9" t="str">
        <x:v>AS-04</x:v>
      </x:c>
      <x:c r="H579" s="15" t="n">
        <x:v>16</x:v>
      </x:c>
      <x:c r="I579" s="9" t="str">
        <x:v>P13</x:v>
      </x:c>
      <x:c r="J579" s="11" t="n">
        <x:v>46301.87777777778</x:v>
      </x:c>
      <x:c r="K579" s="15" t="n">
        <x:v>8</x:v>
      </x:c>
      <x:c r="L579" s="15" t="n">
        <x:v>45</x:v>
      </x:c>
      <x:c r="M579" s="13" t="n">
        <x:f>J579+(K579+L579)/1440</x:f>
        <x:v>46301.91458333334</x:v>
      </x:c>
      <x:c r="N579" s="13" t="n">
        <x:f>VLOOKUP(C579,'MES orders'!$A$8:$H$127,5,FALSE)</x:f>
        <x:v>46303.666666666664</x:v>
      </x:c>
      <x:c r="O579" s="16" t="n">
        <x:f>MAX(0,(M579-N579)*24)</x:f>
        <x:v>0</x:v>
      </x:c>
      <x:c r="P579" s="9" t="str">
        <x:v>No</x:v>
      </x:c>
      <x:c r="Q579" s="15" t="n">
        <x:v>53</x:v>
      </x:c>
      <x:c r="R579" s="13" t="n">
        <x:f>J579+Q579/1440</x:f>
        <x:v>46301.91458333334</x:v>
      </x:c>
      <x:c r="S579" s="2" t="str">
        <x:f>VLOOKUP(C579,'MES orders'!$A$8:$H$127,6,FALSE)</x:f>
        <x:v>Normal</x:v>
      </x:c>
      <x:c r="T579" s="9" t="str"/>
    </x:row>
    <x:row r="580" ht="22" customHeight="1">
      <x:c r="A580" s="2" t="str">
        <x:v>L00009-060</x:v>
      </x:c>
      <x:c r="B580" s="2" t="str">
        <x:v>L00009</x:v>
      </x:c>
      <x:c r="C580" s="2" t="str">
        <x:v>SO-26002</x:v>
      </x:c>
      <x:c r="D580" s="2" t="str">
        <x:v>R-C-SS</x:v>
      </x:c>
      <x:c r="E580" s="14" t="n">
        <x:v>5</x:v>
      </x:c>
      <x:c r="F580" s="2" t="str">
        <x:v>Final leak / function test</x:v>
      </x:c>
      <x:c r="G580" s="9" t="str">
        <x:v>QA-03</x:v>
      </x:c>
      <x:c r="H580" s="15" t="n">
        <x:v>23</x:v>
      </x:c>
      <x:c r="I580" s="9" t="str">
        <x:v>P24</x:v>
      </x:c>
      <x:c r="J580" s="11" t="n">
        <x:v>46301.87777777778</x:v>
      </x:c>
      <x:c r="K580" s="15" t="n">
        <x:v>10</x:v>
      </x:c>
      <x:c r="L580" s="15" t="n">
        <x:v>4</x:v>
      </x:c>
      <x:c r="M580" s="13" t="n">
        <x:f>J580+(K580+L580)/1440</x:f>
        <x:v>46301.887500000004</x:v>
      </x:c>
      <x:c r="N580" s="13" t="n">
        <x:f>VLOOKUP(C580,'MES orders'!$A$8:$H$127,5,FALSE)</x:f>
        <x:v>46303.666666666664</x:v>
      </x:c>
      <x:c r="O580" s="16" t="n">
        <x:f>MAX(0,(M580-N580)*24)</x:f>
        <x:v>0</x:v>
      </x:c>
      <x:c r="P580" s="9" t="str">
        <x:v>No</x:v>
      </x:c>
      <x:c r="Q580" s="15" t="n">
        <x:v>14</x:v>
      </x:c>
      <x:c r="R580" s="13" t="n">
        <x:f>J580+Q580/1440</x:f>
        <x:v>46301.887500000004</x:v>
      </x:c>
      <x:c r="S580" s="2" t="str">
        <x:f>VLOOKUP(C580,'MES orders'!$A$8:$H$127,6,FALSE)</x:f>
        <x:v>Normal</x:v>
      </x:c>
      <x:c r="T580" s="9" t="str"/>
    </x:row>
    <x:row r="581" ht="22" customHeight="1">
      <x:c r="A581" s="2" t="str">
        <x:v>L00050-030</x:v>
      </x:c>
      <x:c r="B581" s="2" t="str">
        <x:v>L00050</x:v>
      </x:c>
      <x:c r="C581" s="2" t="str">
        <x:v>SO-26010</x:v>
      </x:c>
      <x:c r="D581" s="2" t="str">
        <x:v>R-S-SS</x:v>
      </x:c>
      <x:c r="E581" s="14" t="n">
        <x:v>25</x:v>
      </x:c>
      <x:c r="F581" s="2" t="str">
        <x:v>Wash &amp; dry</x:v>
      </x:c>
      <x:c r="G581" s="9" t="str">
        <x:v>WS-02</x:v>
      </x:c>
      <x:c r="H581" s="15" t="n">
        <x:v>41</x:v>
      </x:c>
      <x:c r="I581" s="9" t="str">
        <x:v>P14</x:v>
      </x:c>
      <x:c r="J581" s="11" t="n">
        <x:v>46301.87777777778</x:v>
      </x:c>
      <x:c r="K581" s="15" t="n">
        <x:v>12</x:v>
      </x:c>
      <x:c r="L581" s="15" t="n">
        <x:v>9</x:v>
      </x:c>
      <x:c r="M581" s="13" t="n">
        <x:f>J581+(K581+L581)/1440</x:f>
        <x:v>46301.89236111111</x:v>
      </x:c>
      <x:c r="N581" s="13" t="n">
        <x:f>VLOOKUP(C581,'MES orders'!$A$8:$H$127,5,FALSE)</x:f>
        <x:v>46303.666666666664</x:v>
      </x:c>
      <x:c r="O581" s="16" t="n">
        <x:f>MAX(0,(M581-N581)*24)</x:f>
        <x:v>0</x:v>
      </x:c>
      <x:c r="P581" s="9" t="str">
        <x:v>No</x:v>
      </x:c>
      <x:c r="Q581" s="15" t="n">
        <x:v>21</x:v>
      </x:c>
      <x:c r="R581" s="13" t="n">
        <x:f>J581+Q581/1440</x:f>
        <x:v>46301.89236111111</x:v>
      </x:c>
      <x:c r="S581" s="2" t="str">
        <x:f>VLOOKUP(C581,'MES orders'!$A$8:$H$127,6,FALSE)</x:f>
        <x:v>Normal</x:v>
      </x:c>
      <x:c r="T581" s="9" t="str"/>
    </x:row>
    <x:row r="582" ht="22" customHeight="1">
      <x:c r="A582" s="2" t="str">
        <x:v>L00213-050</x:v>
      </x:c>
      <x:c r="B582" s="2" t="str">
        <x:v>L00213</x:v>
      </x:c>
      <x:c r="C582" s="2" t="str">
        <x:v>SO-26043</x:v>
      </x:c>
      <x:c r="D582" s="2" t="str">
        <x:v>R-C-AL</x:v>
      </x:c>
      <x:c r="E582" s="14" t="n">
        <x:v>15</x:v>
      </x:c>
      <x:c r="F582" s="2" t="str">
        <x:v>Valve adjustment</x:v>
      </x:c>
      <x:c r="G582" s="9" t="str">
        <x:v>AS-05</x:v>
      </x:c>
      <x:c r="H582" s="15" t="n">
        <x:v>14</x:v>
      </x:c>
      <x:c r="I582" s="9" t="str">
        <x:v>P20</x:v>
      </x:c>
      <x:c r="J582" s="11" t="n">
        <x:v>46301.87847222222</x:v>
      </x:c>
      <x:c r="K582" s="15" t="n">
        <x:v>6</x:v>
      </x:c>
      <x:c r="L582" s="15" t="n">
        <x:v>13</x:v>
      </x:c>
      <x:c r="M582" s="13" t="n">
        <x:f>J582+(K582+L582)/1440</x:f>
        <x:v>46301.89166666666</x:v>
      </x:c>
      <x:c r="N582" s="13" t="n">
        <x:f>VLOOKUP(C582,'MES orders'!$A$8:$H$127,5,FALSE)</x:f>
        <x:v>46304.666666666664</x:v>
      </x:c>
      <x:c r="O582" s="16" t="n">
        <x:f>MAX(0,(M582-N582)*24)</x:f>
        <x:v>0</x:v>
      </x:c>
      <x:c r="P582" s="9" t="str">
        <x:v>No</x:v>
      </x:c>
      <x:c r="Q582" s="15" t="n">
        <x:v>19</x:v>
      </x:c>
      <x:c r="R582" s="13" t="n">
        <x:f>J582+Q582/1440</x:f>
        <x:v>46301.89166666666</x:v>
      </x:c>
      <x:c r="S582" s="2" t="str">
        <x:f>VLOOKUP(C582,'MES orders'!$A$8:$H$127,6,FALSE)</x:f>
        <x:v>High</x:v>
      </x:c>
      <x:c r="T582" s="9" t="str"/>
    </x:row>
    <x:row r="583" ht="22" customHeight="1">
      <x:c r="A583" s="2" t="str">
        <x:v>L00010-050</x:v>
      </x:c>
      <x:c r="B583" s="2" t="str">
        <x:v>L00010</x:v>
      </x:c>
      <x:c r="C583" s="2" t="str">
        <x:v>SO-26002</x:v>
      </x:c>
      <x:c r="D583" s="2" t="str">
        <x:v>R-C-SS</x:v>
      </x:c>
      <x:c r="E583" s="14" t="n">
        <x:v>5</x:v>
      </x:c>
      <x:c r="F583" s="2" t="str">
        <x:v>Valve adjustment</x:v>
      </x:c>
      <x:c r="G583" s="9" t="str">
        <x:v>AS-02</x:v>
      </x:c>
      <x:c r="H583" s="15" t="n">
        <x:v>39</x:v>
      </x:c>
      <x:c r="I583" s="9" t="str">
        <x:v>P18</x:v>
      </x:c>
      <x:c r="J583" s="11" t="n">
        <x:v>46301.884722222225</x:v>
      </x:c>
      <x:c r="K583" s="15" t="n">
        <x:v>6</x:v>
      </x:c>
      <x:c r="L583" s="15" t="n">
        <x:v>4</x:v>
      </x:c>
      <x:c r="M583" s="13" t="n">
        <x:f>J583+(K583+L583)/1440</x:f>
        <x:v>46301.89166666667</x:v>
      </x:c>
      <x:c r="N583" s="13" t="n">
        <x:f>VLOOKUP(C583,'MES orders'!$A$8:$H$127,5,FALSE)</x:f>
        <x:v>46303.666666666664</x:v>
      </x:c>
      <x:c r="O583" s="16" t="n">
        <x:f>MAX(0,(M583-N583)*24)</x:f>
        <x:v>0</x:v>
      </x:c>
      <x:c r="P583" s="9" t="str">
        <x:v>No</x:v>
      </x:c>
      <x:c r="Q583" s="15" t="n">
        <x:v>10</x:v>
      </x:c>
      <x:c r="R583" s="13" t="n">
        <x:f>J583+Q583/1440</x:f>
        <x:v>46301.89166666667</x:v>
      </x:c>
      <x:c r="S583" s="2" t="str">
        <x:f>VLOOKUP(C583,'MES orders'!$A$8:$H$127,6,FALSE)</x:f>
        <x:v>Normal</x:v>
      </x:c>
      <x:c r="T583" s="9" t="str"/>
    </x:row>
    <x:row r="584" ht="22" customHeight="1">
      <x:c r="A584" s="2" t="str">
        <x:v>L00046-030</x:v>
      </x:c>
      <x:c r="B584" s="2" t="str">
        <x:v>L00046</x:v>
      </x:c>
      <x:c r="C584" s="2" t="str">
        <x:v>SO-26010</x:v>
      </x:c>
      <x:c r="D584" s="2" t="str">
        <x:v>R-S-SS</x:v>
      </x:c>
      <x:c r="E584" s="14" t="n">
        <x:v>25</x:v>
      </x:c>
      <x:c r="F584" s="2" t="str">
        <x:v>Wash &amp; dry</x:v>
      </x:c>
      <x:c r="G584" s="9" t="str">
        <x:v>WS-01</x:v>
      </x:c>
      <x:c r="H584" s="15" t="n">
        <x:v>57</x:v>
      </x:c>
      <x:c r="I584" s="9" t="str">
        <x:v>P16</x:v>
      </x:c>
      <x:c r="J584" s="11" t="n">
        <x:v>46301.884722222225</x:v>
      </x:c>
      <x:c r="K584" s="15" t="n">
        <x:v>12</x:v>
      </x:c>
      <x:c r="L584" s="15" t="n">
        <x:v>9</x:v>
      </x:c>
      <x:c r="M584" s="13" t="n">
        <x:f>J584+(K584+L584)/1440</x:f>
        <x:v>46301.899305555555</x:v>
      </x:c>
      <x:c r="N584" s="13" t="n">
        <x:f>VLOOKUP(C584,'MES orders'!$A$8:$H$127,5,FALSE)</x:f>
        <x:v>46303.666666666664</x:v>
      </x:c>
      <x:c r="O584" s="16" t="n">
        <x:f>MAX(0,(M584-N584)*24)</x:f>
        <x:v>0</x:v>
      </x:c>
      <x:c r="P584" s="9" t="str">
        <x:v>No</x:v>
      </x:c>
      <x:c r="Q584" s="15" t="n">
        <x:v>21</x:v>
      </x:c>
      <x:c r="R584" s="13" t="n">
        <x:f>J584+Q584/1440</x:f>
        <x:v>46301.899305555555</x:v>
      </x:c>
      <x:c r="S584" s="2" t="str">
        <x:f>VLOOKUP(C584,'MES orders'!$A$8:$H$127,6,FALSE)</x:f>
        <x:v>Normal</x:v>
      </x:c>
      <x:c r="T584" s="9" t="str"/>
    </x:row>
    <x:row r="585" ht="22" customHeight="1">
      <x:c r="A585" s="2" t="str">
        <x:v>L00446-010</x:v>
      </x:c>
      <x:c r="B585" s="2" t="str">
        <x:v>L00446</x:v>
      </x:c>
      <x:c r="C585" s="2" t="str">
        <x:v>SO-26090</x:v>
      </x:c>
      <x:c r="D585" s="2" t="str">
        <x:v>R-L-SS</x:v>
      </x:c>
      <x:c r="E585" s="14" t="n">
        <x:v>5</x:v>
      </x:c>
      <x:c r="F585" s="2" t="str">
        <x:v>CNC machining</x:v>
      </x:c>
      <x:c r="G585" s="9" t="str">
        <x:v>CNC-03</x:v>
      </x:c>
      <x:c r="H585" s="15" t="n">
        <x:v>20</x:v>
      </x:c>
      <x:c r="I585" s="9" t="str">
        <x:v>P15</x:v>
      </x:c>
      <x:c r="J585" s="11" t="n">
        <x:v>46301.88958333333</x:v>
      </x:c>
      <x:c r="K585" s="15" t="n">
        <x:v>18</x:v>
      </x:c>
      <x:c r="L585" s="15" t="n">
        <x:v>20</x:v>
      </x:c>
      <x:c r="M585" s="13" t="n">
        <x:f>J585+(K585+L585)/1440</x:f>
        <x:v>46301.91597222222</x:v>
      </x:c>
      <x:c r="N585" s="13" t="n">
        <x:f>VLOOKUP(C585,'MES orders'!$A$8:$H$127,5,FALSE)</x:f>
        <x:v>46303.666666666664</x:v>
      </x:c>
      <x:c r="O585" s="16" t="n">
        <x:f>MAX(0,(M585-N585)*24)</x:f>
        <x:v>0</x:v>
      </x:c>
      <x:c r="P585" s="9" t="str">
        <x:v>No</x:v>
      </x:c>
      <x:c r="Q585" s="15" t="n">
        <x:v>18</x:v>
      </x:c>
      <x:c r="R585" s="13" t="n">
        <x:f>J585+Q585/1440</x:f>
        <x:v>46301.90208333333</x:v>
      </x:c>
      <x:c r="S585" s="2" t="str">
        <x:f>VLOOKUP(C585,'MES orders'!$A$8:$H$127,6,FALSE)</x:f>
        <x:v>Normal</x:v>
      </x:c>
      <x:c r="T585" s="9" t="str"/>
    </x:row>
    <x:row r="586" ht="22" customHeight="1">
      <x:c r="A586" s="2" t="str">
        <x:v>L00527-080</x:v>
      </x:c>
      <x:c r="B586" s="2" t="str">
        <x:v>L00527</x:v>
      </x:c>
      <x:c r="C586" s="2" t="str">
        <x:v>SO-26106</x:v>
      </x:c>
      <x:c r="D586" s="2" t="str">
        <x:v>S-S-SS</x:v>
      </x:c>
      <x:c r="E586" s="14" t="n">
        <x:v>20</x:v>
      </x:c>
      <x:c r="F586" s="2" t="str">
        <x:v>Final leak / function test</x:v>
      </x:c>
      <x:c r="G586" s="9" t="str">
        <x:v>QA-02</x:v>
      </x:c>
      <x:c r="H586" s="15" t="n">
        <x:v>39</x:v>
      </x:c>
      <x:c r="I586" s="9" t="str">
        <x:v>P23</x:v>
      </x:c>
      <x:c r="J586" s="11" t="n">
        <x:v>46301.89027777778</x:v>
      </x:c>
      <x:c r="K586" s="15" t="n">
        <x:v>10</x:v>
      </x:c>
      <x:c r="L586" s="15" t="n">
        <x:v>18</x:v>
      </x:c>
      <x:c r="M586" s="13" t="n">
        <x:f>J586+(K586+L586)/1440</x:f>
        <x:v>46301.90972222222</x:v>
      </x:c>
      <x:c r="N586" s="13" t="n">
        <x:f>VLOOKUP(C586,'MES orders'!$A$8:$H$127,5,FALSE)</x:f>
        <x:v>46303.666666666664</x:v>
      </x:c>
      <x:c r="O586" s="16" t="n">
        <x:f>MAX(0,(M586-N586)*24)</x:f>
        <x:v>0</x:v>
      </x:c>
      <x:c r="P586" s="9" t="str">
        <x:v>No</x:v>
      </x:c>
      <x:c r="Q586" s="15" t="n">
        <x:v>28</x:v>
      </x:c>
      <x:c r="R586" s="13" t="n">
        <x:f>J586+Q586/1440</x:f>
        <x:v>46301.90972222222</x:v>
      </x:c>
      <x:c r="S586" s="2" t="str">
        <x:f>VLOOKUP(C586,'MES orders'!$A$8:$H$127,6,FALSE)</x:f>
        <x:v>High</x:v>
      </x:c>
      <x:c r="T586" s="9" t="str"/>
    </x:row>
    <x:row r="587" ht="22" customHeight="1">
      <x:c r="A587" s="2" t="str">
        <x:v>L00214-050</x:v>
      </x:c>
      <x:c r="B587" s="2" t="str">
        <x:v>L00214</x:v>
      </x:c>
      <x:c r="C587" s="2" t="str">
        <x:v>SO-26043</x:v>
      </x:c>
      <x:c r="D587" s="2" t="str">
        <x:v>R-C-AL</x:v>
      </x:c>
      <x:c r="E587" s="14" t="n">
        <x:v>15</x:v>
      </x:c>
      <x:c r="F587" s="2" t="str">
        <x:v>Valve adjustment</x:v>
      </x:c>
      <x:c r="G587" s="9" t="str">
        <x:v>AS-02</x:v>
      </x:c>
      <x:c r="H587" s="15" t="n">
        <x:v>40</x:v>
      </x:c>
      <x:c r="I587" s="9" t="str">
        <x:v>P20</x:v>
      </x:c>
      <x:c r="J587" s="11" t="n">
        <x:v>46301.89166666667</x:v>
      </x:c>
      <x:c r="K587" s="15" t="n">
        <x:v>6</x:v>
      </x:c>
      <x:c r="L587" s="15" t="n">
        <x:v>13</x:v>
      </x:c>
      <x:c r="M587" s="13" t="n">
        <x:f>J587+(K587+L587)/1440</x:f>
        <x:v>46301.904861111114</x:v>
      </x:c>
      <x:c r="N587" s="13" t="n">
        <x:f>VLOOKUP(C587,'MES orders'!$A$8:$H$127,5,FALSE)</x:f>
        <x:v>46304.666666666664</x:v>
      </x:c>
      <x:c r="O587" s="16" t="n">
        <x:f>MAX(0,(M587-N587)*24)</x:f>
        <x:v>0</x:v>
      </x:c>
      <x:c r="P587" s="9" t="str">
        <x:v>No</x:v>
      </x:c>
      <x:c r="Q587" s="15" t="n">
        <x:v>19</x:v>
      </x:c>
      <x:c r="R587" s="13" t="n">
        <x:f>J587+Q587/1440</x:f>
        <x:v>46301.904861111114</x:v>
      </x:c>
      <x:c r="S587" s="2" t="str">
        <x:f>VLOOKUP(C587,'MES orders'!$A$8:$H$127,6,FALSE)</x:f>
        <x:v>High</x:v>
      </x:c>
      <x:c r="T587" s="9" t="str"/>
    </x:row>
    <x:row r="588" ht="22" customHeight="1">
      <x:c r="A588" s="2" t="str">
        <x:v>L00047-020</x:v>
      </x:c>
      <x:c r="B588" s="2" t="str">
        <x:v>L00047</x:v>
      </x:c>
      <x:c r="C588" s="2" t="str">
        <x:v>SO-26010</x:v>
      </x:c>
      <x:c r="D588" s="2" t="str">
        <x:v>R-S-SS</x:v>
      </x:c>
      <x:c r="E588" s="14" t="n">
        <x:v>25</x:v>
      </x:c>
      <x:c r="F588" s="2" t="str">
        <x:v>Deburr &amp; inspect</x:v>
      </x:c>
      <x:c r="G588" s="9" t="str">
        <x:v>DB-01</x:v>
      </x:c>
      <x:c r="H588" s="15" t="n">
        <x:v>59</x:v>
      </x:c>
      <x:c r="I588" s="9" t="str">
        <x:v>P18</x:v>
      </x:c>
      <x:c r="J588" s="11" t="n">
        <x:v>46301.89166666667</x:v>
      </x:c>
      <x:c r="K588" s="15" t="n">
        <x:v>4</x:v>
      </x:c>
      <x:c r="L588" s="15" t="n">
        <x:v>18</x:v>
      </x:c>
      <x:c r="M588" s="13" t="n">
        <x:f>J588+(K588+L588)/1440</x:f>
        <x:v>46301.90694444445</x:v>
      </x:c>
      <x:c r="N588" s="13" t="n">
        <x:f>VLOOKUP(C588,'MES orders'!$A$8:$H$127,5,FALSE)</x:f>
        <x:v>46303.666666666664</x:v>
      </x:c>
      <x:c r="O588" s="16" t="n">
        <x:f>MAX(0,(M588-N588)*24)</x:f>
        <x:v>0</x:v>
      </x:c>
      <x:c r="P588" s="9" t="str">
        <x:v>No</x:v>
      </x:c>
      <x:c r="Q588" s="15" t="n">
        <x:v>22</x:v>
      </x:c>
      <x:c r="R588" s="13" t="n">
        <x:f>J588+Q588/1440</x:f>
        <x:v>46301.90694444445</x:v>
      </x:c>
      <x:c r="S588" s="2" t="str">
        <x:f>VLOOKUP(C588,'MES orders'!$A$8:$H$127,6,FALSE)</x:f>
        <x:v>Normal</x:v>
      </x:c>
      <x:c r="T588" s="9" t="str"/>
    </x:row>
    <x:row r="589" ht="22" customHeight="1">
      <x:c r="A589" s="2" t="str">
        <x:v>L00010-060</x:v>
      </x:c>
      <x:c r="B589" s="2" t="str">
        <x:v>L00010</x:v>
      </x:c>
      <x:c r="C589" s="2" t="str">
        <x:v>SO-26002</x:v>
      </x:c>
      <x:c r="D589" s="2" t="str">
        <x:v>R-C-SS</x:v>
      </x:c>
      <x:c r="E589" s="14" t="n">
        <x:v>5</x:v>
      </x:c>
      <x:c r="F589" s="2" t="str">
        <x:v>Final leak / function test</x:v>
      </x:c>
      <x:c r="G589" s="9" t="str">
        <x:v>QA-03</x:v>
      </x:c>
      <x:c r="H589" s="15" t="n">
        <x:v>24</x:v>
      </x:c>
      <x:c r="I589" s="9" t="str">
        <x:v>P24</x:v>
      </x:c>
      <x:c r="J589" s="11" t="n">
        <x:v>46301.89166666667</x:v>
      </x:c>
      <x:c r="K589" s="15" t="n">
        <x:v>10</x:v>
      </x:c>
      <x:c r="L589" s="15" t="n">
        <x:v>4</x:v>
      </x:c>
      <x:c r="M589" s="13" t="n">
        <x:f>J589+(K589+L589)/1440</x:f>
        <x:v>46301.901388888895</x:v>
      </x:c>
      <x:c r="N589" s="13" t="n">
        <x:f>VLOOKUP(C589,'MES orders'!$A$8:$H$127,5,FALSE)</x:f>
        <x:v>46303.666666666664</x:v>
      </x:c>
      <x:c r="O589" s="16" t="n">
        <x:f>MAX(0,(M589-N589)*24)</x:f>
        <x:v>0</x:v>
      </x:c>
      <x:c r="P589" s="9" t="str">
        <x:v>No</x:v>
      </x:c>
      <x:c r="Q589" s="15" t="n">
        <x:v>14</x:v>
      </x:c>
      <x:c r="R589" s="13" t="n">
        <x:f>J589+Q589/1440</x:f>
        <x:v>46301.901388888895</x:v>
      </x:c>
      <x:c r="S589" s="2" t="str">
        <x:f>VLOOKUP(C589,'MES orders'!$A$8:$H$127,6,FALSE)</x:f>
        <x:v>Normal</x:v>
      </x:c>
      <x:c r="T589" s="9" t="str"/>
    </x:row>
    <x:row r="590" ht="22" customHeight="1">
      <x:c r="A590" s="2" t="str">
        <x:v>L00091-010</x:v>
      </x:c>
      <x:c r="B590" s="2" t="str">
        <x:v>L00091</x:v>
      </x:c>
      <x:c r="C590" s="2" t="str">
        <x:v>SO-26019</x:v>
      </x:c>
      <x:c r="D590" s="2" t="str">
        <x:v>D-C-AL</x:v>
      </x:c>
      <x:c r="E590" s="14" t="n">
        <x:v>5</x:v>
      </x:c>
      <x:c r="F590" s="2" t="str">
        <x:v>CNC machining</x:v>
      </x:c>
      <x:c r="G590" s="9" t="str">
        <x:v>CNC-02</x:v>
      </x:c>
      <x:c r="H590" s="15" t="n">
        <x:v>17</x:v>
      </x:c>
      <x:c r="I590" s="9" t="str">
        <x:v>P14</x:v>
      </x:c>
      <x:c r="J590" s="11" t="n">
        <x:v>46301.89236111111</x:v>
      </x:c>
      <x:c r="K590" s="15" t="n">
        <x:v>18</x:v>
      </x:c>
      <x:c r="L590" s="15" t="n">
        <x:v>10</x:v>
      </x:c>
      <x:c r="M590" s="13" t="n">
        <x:f>J590+(K590+L590)/1440</x:f>
        <x:v>46301.91180555555</x:v>
      </x:c>
      <x:c r="N590" s="13" t="n">
        <x:f>VLOOKUP(C590,'MES orders'!$A$8:$H$127,5,FALSE)</x:f>
        <x:v>46304.666666666664</x:v>
      </x:c>
      <x:c r="O590" s="16" t="n">
        <x:f>MAX(0,(M590-N590)*24)</x:f>
        <x:v>0</x:v>
      </x:c>
      <x:c r="P590" s="9" t="str">
        <x:v>No</x:v>
      </x:c>
      <x:c r="Q590" s="15" t="n">
        <x:v>18</x:v>
      </x:c>
      <x:c r="R590" s="13" t="n">
        <x:f>J590+Q590/1440</x:f>
        <x:v>46301.90486111111</x:v>
      </x:c>
      <x:c r="S590" s="2" t="str">
        <x:f>VLOOKUP(C590,'MES orders'!$A$8:$H$127,6,FALSE)</x:f>
        <x:v>Normal</x:v>
      </x:c>
      <x:c r="T590" s="9" t="str"/>
    </x:row>
    <x:row r="591" ht="22" customHeight="1">
      <x:c r="A591" s="2" t="str">
        <x:v>L00048-020</x:v>
      </x:c>
      <x:c r="B591" s="2" t="str">
        <x:v>L00048</x:v>
      </x:c>
      <x:c r="C591" s="2" t="str">
        <x:v>SO-26010</x:v>
      </x:c>
      <x:c r="D591" s="2" t="str">
        <x:v>R-S-SS</x:v>
      </x:c>
      <x:c r="E591" s="14" t="n">
        <x:v>25</x:v>
      </x:c>
      <x:c r="F591" s="2" t="str">
        <x:v>Deburr &amp; inspect</x:v>
      </x:c>
      <x:c r="G591" s="9" t="str">
        <x:v>DB-02</x:v>
      </x:c>
      <x:c r="H591" s="15" t="n">
        <x:v>41</x:v>
      </x:c>
      <x:c r="I591" s="9" t="str">
        <x:v>P16</x:v>
      </x:c>
      <x:c r="J591" s="11" t="n">
        <x:v>46301.899305555555</x:v>
      </x:c>
      <x:c r="K591" s="15" t="n">
        <x:v>4</x:v>
      </x:c>
      <x:c r="L591" s="15" t="n">
        <x:v>18</x:v>
      </x:c>
      <x:c r="M591" s="13" t="n">
        <x:f>J591+(K591+L591)/1440</x:f>
        <x:v>46301.91458333333</x:v>
      </x:c>
      <x:c r="N591" s="13" t="n">
        <x:f>VLOOKUP(C591,'MES orders'!$A$8:$H$127,5,FALSE)</x:f>
        <x:v>46303.666666666664</x:v>
      </x:c>
      <x:c r="O591" s="16" t="n">
        <x:f>MAX(0,(M591-N591)*24)</x:f>
        <x:v>0</x:v>
      </x:c>
      <x:c r="P591" s="9" t="str">
        <x:v>No</x:v>
      </x:c>
      <x:c r="Q591" s="15" t="n">
        <x:v>22</x:v>
      </x:c>
      <x:c r="R591" s="13" t="n">
        <x:f>J591+Q591/1440</x:f>
        <x:v>46301.91458333333</x:v>
      </x:c>
      <x:c r="S591" s="2" t="str">
        <x:f>VLOOKUP(C591,'MES orders'!$A$8:$H$127,6,FALSE)</x:f>
        <x:v>Normal</x:v>
      </x:c>
      <x:c r="T591" s="9" t="str"/>
    </x:row>
    <x:row r="592" ht="22" customHeight="1">
      <x:c r="A592" s="2" t="str">
        <x:v>L00528-070</x:v>
      </x:c>
      <x:c r="B592" s="2" t="str">
        <x:v>L00528</x:v>
      </x:c>
      <x:c r="C592" s="2" t="str">
        <x:v>SO-26106</x:v>
      </x:c>
      <x:c r="D592" s="2" t="str">
        <x:v>S-S-SS</x:v>
      </x:c>
      <x:c r="E592" s="14" t="n">
        <x:v>20</x:v>
      </x:c>
      <x:c r="F592" s="2" t="str">
        <x:v>Final assembly</x:v>
      </x:c>
      <x:c r="G592" s="9" t="str">
        <x:v>AS-01</x:v>
      </x:c>
      <x:c r="H592" s="15" t="n">
        <x:v>49</x:v>
      </x:c>
      <x:c r="I592" s="9" t="str">
        <x:v>P17</x:v>
      </x:c>
      <x:c r="J592" s="11" t="n">
        <x:v>46301.90069444444</x:v>
      </x:c>
      <x:c r="K592" s="15" t="n">
        <x:v>5</x:v>
      </x:c>
      <x:c r="L592" s="15" t="n">
        <x:v>16</x:v>
      </x:c>
      <x:c r="M592" s="13" t="n">
        <x:f>J592+(K592+L592)/1440</x:f>
        <x:v>46301.91527777777</x:v>
      </x:c>
      <x:c r="N592" s="13" t="n">
        <x:f>VLOOKUP(C592,'MES orders'!$A$8:$H$127,5,FALSE)</x:f>
        <x:v>46303.666666666664</x:v>
      </x:c>
      <x:c r="O592" s="16" t="n">
        <x:f>MAX(0,(M592-N592)*24)</x:f>
        <x:v>0</x:v>
      </x:c>
      <x:c r="P592" s="9" t="str">
        <x:v>No</x:v>
      </x:c>
      <x:c r="Q592" s="15" t="n">
        <x:v>21</x:v>
      </x:c>
      <x:c r="R592" s="13" t="n">
        <x:f>J592+Q592/1440</x:f>
        <x:v>46301.91527777777</x:v>
      </x:c>
      <x:c r="S592" s="2" t="str">
        <x:f>VLOOKUP(C592,'MES orders'!$A$8:$H$127,6,FALSE)</x:f>
        <x:v>High</x:v>
      </x:c>
      <x:c r="T592" s="9" t="str"/>
    </x:row>
    <x:row r="593" ht="22" customHeight="1">
      <x:c r="A593" s="2" t="str">
        <x:v>L00215-050</x:v>
      </x:c>
      <x:c r="B593" s="2" t="str">
        <x:v>L00215</x:v>
      </x:c>
      <x:c r="C593" s="2" t="str">
        <x:v>SO-26043</x:v>
      </x:c>
      <x:c r="D593" s="2" t="str">
        <x:v>R-C-AL</x:v>
      </x:c>
      <x:c r="E593" s="14" t="n">
        <x:v>15</x:v>
      </x:c>
      <x:c r="F593" s="2" t="str">
        <x:v>Valve adjustment</x:v>
      </x:c>
      <x:c r="G593" s="9" t="str">
        <x:v>AS-03</x:v>
      </x:c>
      <x:c r="H593" s="15" t="n">
        <x:v>31</x:v>
      </x:c>
      <x:c r="I593" s="9" t="str">
        <x:v>P21</x:v>
      </x:c>
      <x:c r="J593" s="11" t="n">
        <x:v>46301.90069444444</x:v>
      </x:c>
      <x:c r="K593" s="15" t="n">
        <x:v>6</x:v>
      </x:c>
      <x:c r="L593" s="15" t="n">
        <x:v>13</x:v>
      </x:c>
      <x:c r="M593" s="13" t="n">
        <x:f>J593+(K593+L593)/1440</x:f>
        <x:v>46301.913888888885</x:v>
      </x:c>
      <x:c r="N593" s="13" t="n">
        <x:f>VLOOKUP(C593,'MES orders'!$A$8:$H$127,5,FALSE)</x:f>
        <x:v>46304.666666666664</x:v>
      </x:c>
      <x:c r="O593" s="16" t="n">
        <x:f>MAX(0,(M593-N593)*24)</x:f>
        <x:v>0</x:v>
      </x:c>
      <x:c r="P593" s="9" t="str">
        <x:v>No</x:v>
      </x:c>
      <x:c r="Q593" s="15" t="n">
        <x:v>19</x:v>
      </x:c>
      <x:c r="R593" s="13" t="n">
        <x:f>J593+Q593/1440</x:f>
        <x:v>46301.913888888885</x:v>
      </x:c>
      <x:c r="S593" s="2" t="str">
        <x:f>VLOOKUP(C593,'MES orders'!$A$8:$H$127,6,FALSE)</x:f>
        <x:v>High</x:v>
      </x:c>
      <x:c r="T593" s="9" t="str"/>
    </x:row>
    <x:row r="594" ht="22" customHeight="1">
      <x:c r="A594" s="2" t="str">
        <x:v>L00212-060</x:v>
      </x:c>
      <x:c r="B594" s="2" t="str">
        <x:v>L00212</x:v>
      </x:c>
      <x:c r="C594" s="2" t="str">
        <x:v>SO-26043</x:v>
      </x:c>
      <x:c r="D594" s="2" t="str">
        <x:v>R-C-AL</x:v>
      </x:c>
      <x:c r="E594" s="14" t="n">
        <x:v>15</x:v>
      </x:c>
      <x:c r="F594" s="2" t="str">
        <x:v>Final leak / function test</x:v>
      </x:c>
      <x:c r="G594" s="9" t="str">
        <x:v>QA-03</x:v>
      </x:c>
      <x:c r="H594" s="15" t="n">
        <x:v>25</x:v>
      </x:c>
      <x:c r="I594" s="9" t="str">
        <x:v>P24</x:v>
      </x:c>
      <x:c r="J594" s="11" t="n">
        <x:v>46301.90138888889</x:v>
      </x:c>
      <x:c r="K594" s="15" t="n">
        <x:v>10</x:v>
      </x:c>
      <x:c r="L594" s="15" t="n">
        <x:v>11</x:v>
      </x:c>
      <x:c r="M594" s="13" t="n">
        <x:f>J594+(K594+L594)/1440</x:f>
        <x:v>46301.91597222222</x:v>
      </x:c>
      <x:c r="N594" s="13" t="n">
        <x:f>VLOOKUP(C594,'MES orders'!$A$8:$H$127,5,FALSE)</x:f>
        <x:v>46304.666666666664</x:v>
      </x:c>
      <x:c r="O594" s="16" t="n">
        <x:f>MAX(0,(M594-N594)*24)</x:f>
        <x:v>0</x:v>
      </x:c>
      <x:c r="P594" s="9" t="str">
        <x:v>No</x:v>
      </x:c>
      <x:c r="Q594" s="15" t="n">
        <x:v>21</x:v>
      </x:c>
      <x:c r="R594" s="13" t="n">
        <x:f>J594+Q594/1440</x:f>
        <x:v>46301.91597222222</x:v>
      </x:c>
      <x:c r="S594" s="2" t="str">
        <x:f>VLOOKUP(C594,'MES orders'!$A$8:$H$127,6,FALSE)</x:f>
        <x:v>High</x:v>
      </x:c>
      <x:c r="T594" s="9" t="str"/>
    </x:row>
    <x:row r="595" ht="22" customHeight="1">
      <x:c r="A595" s="2" t="str">
        <x:v>L00491-020</x:v>
      </x:c>
      <x:c r="B595" s="2" t="str">
        <x:v>L00491</x:v>
      </x:c>
      <x:c r="C595" s="2" t="str">
        <x:v>SO-26099</x:v>
      </x:c>
      <x:c r="D595" s="2" t="str">
        <x:v>D-S-AL</x:v>
      </x:c>
      <x:c r="E595" s="14" t="n">
        <x:v>15</x:v>
      </x:c>
      <x:c r="F595" s="2" t="str">
        <x:v>Deburr &amp; inspect</x:v>
      </x:c>
      <x:c r="G595" s="9" t="str">
        <x:v>DB-01</x:v>
      </x:c>
      <x:c r="H595" s="15" t="n">
        <x:v>60</x:v>
      </x:c>
      <x:c r="I595" s="9" t="str">
        <x:v>P18</x:v>
      </x:c>
      <x:c r="J595" s="11" t="n">
        <x:v>46301.90694444445</x:v>
      </x:c>
      <x:c r="K595" s="15" t="n">
        <x:v>4</x:v>
      </x:c>
      <x:c r="L595" s="15" t="n">
        <x:v>10</x:v>
      </x:c>
      <x:c r="M595" s="13" t="n">
        <x:f>J595+(K595+L595)/1440</x:f>
        <x:v>46301.91666666667</x:v>
      </x:c>
      <x:c r="N595" s="13" t="n">
        <x:f>VLOOKUP(C595,'MES orders'!$A$8:$H$127,5,FALSE)</x:f>
        <x:v>46304.666666666664</x:v>
      </x:c>
      <x:c r="O595" s="16" t="n">
        <x:f>MAX(0,(M595-N595)*24)</x:f>
        <x:v>0</x:v>
      </x:c>
      <x:c r="P595" s="9" t="str">
        <x:v>No</x:v>
      </x:c>
      <x:c r="Q595" s="15" t="n">
        <x:v>14</x:v>
      </x:c>
      <x:c r="R595" s="13" t="n">
        <x:f>J595+Q595/1440</x:f>
        <x:v>46301.91666666667</x:v>
      </x:c>
      <x:c r="S595" s="2" t="str">
        <x:f>VLOOKUP(C595,'MES orders'!$A$8:$H$127,6,FALSE)</x:f>
        <x:v>High</x:v>
      </x:c>
      <x:c r="T595" s="9" t="str"/>
    </x:row>
    <x:row r="596" ht="22" customHeight="1">
      <x:c r="A596" s="2" t="str">
        <x:v>L00049-050</x:v>
      </x:c>
      <x:c r="B596" s="2" t="str">
        <x:v>L00049</x:v>
      </x:c>
      <x:c r="C596" s="2" t="str">
        <x:v>SO-26010</x:v>
      </x:c>
      <x:c r="D596" s="2" t="str">
        <x:v>R-S-SS</x:v>
      </x:c>
      <x:c r="E596" s="14" t="n">
        <x:v>25</x:v>
      </x:c>
      <x:c r="F596" s="2" t="str">
        <x:v>Valve adjustment</x:v>
      </x:c>
      <x:c r="G596" s="9" t="str">
        <x:v>AS-01</x:v>
      </x:c>
      <x:c r="H596" s="15" t="n">
        <x:v>50</x:v>
      </x:c>
      <x:c r="I596" s="9" t="str">
        <x:v>P08</x:v>
      </x:c>
      <x:c r="J596" s="11" t="n">
        <x:v>46302.25</x:v>
      </x:c>
      <x:c r="K596" s="15" t="n">
        <x:v>6</x:v>
      </x:c>
      <x:c r="L596" s="15" t="n">
        <x:v>28</x:v>
      </x:c>
      <x:c r="M596" s="13" t="n">
        <x:f>J596+(K596+L596)/1440</x:f>
        <x:v>46302.27361111111</x:v>
      </x:c>
      <x:c r="N596" s="13" t="n">
        <x:f>VLOOKUP(C596,'MES orders'!$A$8:$H$127,5,FALSE)</x:f>
        <x:v>46303.666666666664</x:v>
      </x:c>
      <x:c r="O596" s="16" t="n">
        <x:f>MAX(0,(M596-N596)*24)</x:f>
        <x:v>0</x:v>
      </x:c>
      <x:c r="P596" s="9" t="str">
        <x:v>No</x:v>
      </x:c>
      <x:c r="Q596" s="15" t="n">
        <x:v>34</x:v>
      </x:c>
      <x:c r="R596" s="13" t="n">
        <x:f>J596+Q596/1440</x:f>
        <x:v>46302.27361111111</x:v>
      </x:c>
      <x:c r="S596" s="2" t="str">
        <x:f>VLOOKUP(C596,'MES orders'!$A$8:$H$127,6,FALSE)</x:f>
        <x:v>Normal</x:v>
      </x:c>
      <x:c r="T596" s="9" t="str"/>
    </x:row>
    <x:row r="597" ht="22" customHeight="1">
      <x:c r="A597" s="2" t="str">
        <x:v>L00046-040</x:v>
      </x:c>
      <x:c r="B597" s="2" t="str">
        <x:v>L00046</x:v>
      </x:c>
      <x:c r="C597" s="2" t="str">
        <x:v>SO-26010</x:v>
      </x:c>
      <x:c r="D597" s="2" t="str">
        <x:v>R-S-SS</x:v>
      </x:c>
      <x:c r="E597" s="14" t="n">
        <x:v>25</x:v>
      </x:c>
      <x:c r="F597" s="2" t="str">
        <x:v>Mechanical assembly</x:v>
      </x:c>
      <x:c r="G597" s="9" t="str">
        <x:v>AS-02</x:v>
      </x:c>
      <x:c r="H597" s="15" t="n">
        <x:v>41</x:v>
      </x:c>
      <x:c r="I597" s="9" t="str">
        <x:v>P04</x:v>
      </x:c>
      <x:c r="J597" s="11" t="n">
        <x:v>46302.25</x:v>
      </x:c>
      <x:c r="K597" s="15" t="n">
        <x:v>8</x:v>
      </x:c>
      <x:c r="L597" s="15" t="n">
        <x:v>45</x:v>
      </x:c>
      <x:c r="M597" s="13" t="n">
        <x:f>J597+(K597+L597)/1440</x:f>
        <x:v>46302.28680555556</x:v>
      </x:c>
      <x:c r="N597" s="13" t="n">
        <x:f>VLOOKUP(C597,'MES orders'!$A$8:$H$127,5,FALSE)</x:f>
        <x:v>46303.666666666664</x:v>
      </x:c>
      <x:c r="O597" s="16" t="n">
        <x:f>MAX(0,(M597-N597)*24)</x:f>
        <x:v>0</x:v>
      </x:c>
      <x:c r="P597" s="9" t="str">
        <x:v>No</x:v>
      </x:c>
      <x:c r="Q597" s="15" t="n">
        <x:v>53</x:v>
      </x:c>
      <x:c r="R597" s="13" t="n">
        <x:f>J597+Q597/1440</x:f>
        <x:v>46302.28680555556</x:v>
      </x:c>
      <x:c r="S597" s="2" t="str">
        <x:f>VLOOKUP(C597,'MES orders'!$A$8:$H$127,6,FALSE)</x:f>
        <x:v>Normal</x:v>
      </x:c>
      <x:c r="T597" s="9" t="str"/>
    </x:row>
    <x:row r="598" ht="22" customHeight="1">
      <x:c r="A598" s="2" t="str">
        <x:v>L00529-060</x:v>
      </x:c>
      <x:c r="B598" s="2" t="str">
        <x:v>L00529</x:v>
      </x:c>
      <x:c r="C598" s="2" t="str">
        <x:v>SO-26106</x:v>
      </x:c>
      <x:c r="D598" s="2" t="str">
        <x:v>S-S-SS</x:v>
      </x:c>
      <x:c r="E598" s="14" t="n">
        <x:v>20</x:v>
      </x:c>
      <x:c r="F598" s="2" t="str">
        <x:v>Sensor calibration</x:v>
      </x:c>
      <x:c r="G598" s="9" t="str">
        <x:v>CAL-01</x:v>
      </x:c>
      <x:c r="H598" s="15" t="n">
        <x:v>19</x:v>
      </x:c>
      <x:c r="I598" s="9" t="str">
        <x:v>P09</x:v>
      </x:c>
      <x:c r="J598" s="11" t="n">
        <x:v>46302.25</x:v>
      </x:c>
      <x:c r="K598" s="15" t="n">
        <x:v>10</x:v>
      </x:c>
      <x:c r="L598" s="15" t="n">
        <x:v>26</x:v>
      </x:c>
      <x:c r="M598" s="13" t="n">
        <x:f>J598+(K598+L598)/1440</x:f>
        <x:v>46302.275</x:v>
      </x:c>
      <x:c r="N598" s="13" t="n">
        <x:f>VLOOKUP(C598,'MES orders'!$A$8:$H$127,5,FALSE)</x:f>
        <x:v>46303.666666666664</x:v>
      </x:c>
      <x:c r="O598" s="16" t="n">
        <x:f>MAX(0,(M598-N598)*24)</x:f>
        <x:v>0</x:v>
      </x:c>
      <x:c r="P598" s="9" t="str">
        <x:v>No</x:v>
      </x:c>
      <x:c r="Q598" s="15" t="n">
        <x:v>36</x:v>
      </x:c>
      <x:c r="R598" s="13" t="n">
        <x:f>J598+Q598/1440</x:f>
        <x:v>46302.275</x:v>
      </x:c>
      <x:c r="S598" s="2" t="str">
        <x:f>VLOOKUP(C598,'MES orders'!$A$8:$H$127,6,FALSE)</x:f>
        <x:v>High</x:v>
      </x:c>
      <x:c r="T598" s="9" t="str"/>
    </x:row>
    <x:row r="599" ht="22" customHeight="1">
      <x:c r="A599" s="2" t="str">
        <x:v>L00086-010</x:v>
      </x:c>
      <x:c r="B599" s="2" t="str">
        <x:v>L00086</x:v>
      </x:c>
      <x:c r="C599" s="2" t="str">
        <x:v>SO-26018</x:v>
      </x:c>
      <x:c r="D599" s="2" t="str">
        <x:v>R-L-SS</x:v>
      </x:c>
      <x:c r="E599" s="14" t="n">
        <x:v>25</x:v>
      </x:c>
      <x:c r="F599" s="2" t="str">
        <x:v>CNC machining</x:v>
      </x:c>
      <x:c r="G599" s="9" t="str">
        <x:v>CNC-04</x:v>
      </x:c>
      <x:c r="H599" s="15" t="n">
        <x:v>19</x:v>
      </x:c>
      <x:c r="I599" s="9" t="str">
        <x:v>P01</x:v>
      </x:c>
      <x:c r="J599" s="11" t="n">
        <x:v>46302.25</x:v>
      </x:c>
      <x:c r="K599" s="15" t="n">
        <x:v>18</x:v>
      </x:c>
      <x:c r="L599" s="15" t="n">
        <x:v>101</x:v>
      </x:c>
      <x:c r="M599" s="13" t="n">
        <x:f>J599+(K599+L599)/1440</x:f>
        <x:v>46302.33263888889</x:v>
      </x:c>
      <x:c r="N599" s="13" t="n">
        <x:f>VLOOKUP(C599,'MES orders'!$A$8:$H$127,5,FALSE)</x:f>
        <x:v>46303.666666666664</x:v>
      </x:c>
      <x:c r="O599" s="16" t="n">
        <x:f>MAX(0,(M599-N599)*24)</x:f>
        <x:v>0</x:v>
      </x:c>
      <x:c r="P599" s="9" t="str">
        <x:v>No</x:v>
      </x:c>
      <x:c r="Q599" s="15" t="n">
        <x:v>18</x:v>
      </x:c>
      <x:c r="R599" s="13" t="n">
        <x:f>J599+Q599/1440</x:f>
        <x:v>46302.2625</x:v>
      </x:c>
      <x:c r="S599" s="2" t="str">
        <x:f>VLOOKUP(C599,'MES orders'!$A$8:$H$127,6,FALSE)</x:f>
        <x:v>Normal</x:v>
      </x:c>
      <x:c r="T599" s="9" t="str"/>
    </x:row>
    <x:row r="600" ht="22" customHeight="1">
      <x:c r="A600" s="2" t="str">
        <x:v>L00087-010</x:v>
      </x:c>
      <x:c r="B600" s="2" t="str">
        <x:v>L00087</x:v>
      </x:c>
      <x:c r="C600" s="2" t="str">
        <x:v>SO-26018</x:v>
      </x:c>
      <x:c r="D600" s="2" t="str">
        <x:v>R-L-SS</x:v>
      </x:c>
      <x:c r="E600" s="14" t="n">
        <x:v>25</x:v>
      </x:c>
      <x:c r="F600" s="2" t="str">
        <x:v>CNC machining</x:v>
      </x:c>
      <x:c r="G600" s="9" t="str">
        <x:v>CNC-05</x:v>
      </x:c>
      <x:c r="H600" s="15" t="n">
        <x:v>16</x:v>
      </x:c>
      <x:c r="I600" s="9" t="str">
        <x:v>P02</x:v>
      </x:c>
      <x:c r="J600" s="11" t="n">
        <x:v>46302.25</x:v>
      </x:c>
      <x:c r="K600" s="15" t="n">
        <x:v>18</x:v>
      </x:c>
      <x:c r="L600" s="15" t="n">
        <x:v>101</x:v>
      </x:c>
      <x:c r="M600" s="13" t="n">
        <x:f>J600+(K600+L600)/1440</x:f>
        <x:v>46302.33263888889</x:v>
      </x:c>
      <x:c r="N600" s="13" t="n">
        <x:f>VLOOKUP(C600,'MES orders'!$A$8:$H$127,5,FALSE)</x:f>
        <x:v>46303.666666666664</x:v>
      </x:c>
      <x:c r="O600" s="16" t="n">
        <x:f>MAX(0,(M600-N600)*24)</x:f>
        <x:v>0</x:v>
      </x:c>
      <x:c r="P600" s="9" t="str">
        <x:v>No</x:v>
      </x:c>
      <x:c r="Q600" s="15" t="n">
        <x:v>18</x:v>
      </x:c>
      <x:c r="R600" s="13" t="n">
        <x:f>J600+Q600/1440</x:f>
        <x:v>46302.2625</x:v>
      </x:c>
      <x:c r="S600" s="2" t="str">
        <x:f>VLOOKUP(C600,'MES orders'!$A$8:$H$127,6,FALSE)</x:f>
        <x:v>Normal</x:v>
      </x:c>
      <x:c r="T600" s="9" t="str"/>
    </x:row>
    <x:row r="601" ht="22" customHeight="1">
      <x:c r="A601" s="2" t="str">
        <x:v>L00088-010</x:v>
      </x:c>
      <x:c r="B601" s="2" t="str">
        <x:v>L00088</x:v>
      </x:c>
      <x:c r="C601" s="2" t="str">
        <x:v>SO-26018</x:v>
      </x:c>
      <x:c r="D601" s="2" t="str">
        <x:v>R-L-SS</x:v>
      </x:c>
      <x:c r="E601" s="14" t="n">
        <x:v>25</x:v>
      </x:c>
      <x:c r="F601" s="2" t="str">
        <x:v>CNC machining</x:v>
      </x:c>
      <x:c r="G601" s="9" t="str">
        <x:v>CNC-06</x:v>
      </x:c>
      <x:c r="H601" s="15" t="n">
        <x:v>15</x:v>
      </x:c>
      <x:c r="I601" s="9" t="str">
        <x:v>P03</x:v>
      </x:c>
      <x:c r="J601" s="11" t="n">
        <x:v>46302.25</x:v>
      </x:c>
      <x:c r="K601" s="15" t="n">
        <x:v>18</x:v>
      </x:c>
      <x:c r="L601" s="15" t="n">
        <x:v>101</x:v>
      </x:c>
      <x:c r="M601" s="13" t="n">
        <x:f>J601+(K601+L601)/1440</x:f>
        <x:v>46302.33263888889</x:v>
      </x:c>
      <x:c r="N601" s="13" t="n">
        <x:f>VLOOKUP(C601,'MES orders'!$A$8:$H$127,5,FALSE)</x:f>
        <x:v>46303.666666666664</x:v>
      </x:c>
      <x:c r="O601" s="16" t="n">
        <x:f>MAX(0,(M601-N601)*24)</x:f>
        <x:v>0</x:v>
      </x:c>
      <x:c r="P601" s="9" t="str">
        <x:v>No</x:v>
      </x:c>
      <x:c r="Q601" s="15" t="n">
        <x:v>18</x:v>
      </x:c>
      <x:c r="R601" s="13" t="n">
        <x:f>J601+Q601/1440</x:f>
        <x:v>46302.2625</x:v>
      </x:c>
      <x:c r="S601" s="2" t="str">
        <x:f>VLOOKUP(C601,'MES orders'!$A$8:$H$127,6,FALSE)</x:f>
        <x:v>Normal</x:v>
      </x:c>
      <x:c r="T601" s="9" t="str"/>
    </x:row>
    <x:row r="602" ht="22" customHeight="1">
      <x:c r="A602" s="2" t="str">
        <x:v>L00127-020</x:v>
      </x:c>
      <x:c r="B602" s="2" t="str">
        <x:v>L00127</x:v>
      </x:c>
      <x:c r="C602" s="2" t="str">
        <x:v>SO-26026</x:v>
      </x:c>
      <x:c r="D602" s="2" t="str">
        <x:v>S-C-SS</x:v>
      </x:c>
      <x:c r="E602" s="14" t="n">
        <x:v>25</x:v>
      </x:c>
      <x:c r="F602" s="2" t="str">
        <x:v>Deburr &amp; inspect</x:v>
      </x:c>
      <x:c r="G602" s="9" t="str">
        <x:v>DB-01</x:v>
      </x:c>
      <x:c r="H602" s="15" t="n">
        <x:v>61</x:v>
      </x:c>
      <x:c r="I602" s="9" t="str">
        <x:v>P07</x:v>
      </x:c>
      <x:c r="J602" s="11" t="n">
        <x:v>46302.25</x:v>
      </x:c>
      <x:c r="K602" s="15" t="n">
        <x:v>4</x:v>
      </x:c>
      <x:c r="L602" s="15" t="n">
        <x:v>14</x:v>
      </x:c>
      <x:c r="M602" s="13" t="n">
        <x:f>J602+(K602+L602)/1440</x:f>
        <x:v>46302.2625</x:v>
      </x:c>
      <x:c r="N602" s="13" t="n">
        <x:f>VLOOKUP(C602,'MES orders'!$A$8:$H$127,5,FALSE)</x:f>
        <x:v>46303.666666666664</x:v>
      </x:c>
      <x:c r="O602" s="16" t="n">
        <x:f>MAX(0,(M602-N602)*24)</x:f>
        <x:v>0</x:v>
      </x:c>
      <x:c r="P602" s="9" t="str">
        <x:v>No</x:v>
      </x:c>
      <x:c r="Q602" s="15" t="n">
        <x:v>18</x:v>
      </x:c>
      <x:c r="R602" s="13" t="n">
        <x:f>J602+Q602/1440</x:f>
        <x:v>46302.2625</x:v>
      </x:c>
      <x:c r="S602" s="2" t="str">
        <x:f>VLOOKUP(C602,'MES orders'!$A$8:$H$127,6,FALSE)</x:f>
        <x:v>Normal</x:v>
      </x:c>
      <x:c r="T602" s="9" t="str"/>
    </x:row>
    <x:row r="603" ht="22" customHeight="1">
      <x:c r="A603" s="2" t="str">
        <x:v>L00128-020</x:v>
      </x:c>
      <x:c r="B603" s="2" t="str">
        <x:v>L00128</x:v>
      </x:c>
      <x:c r="C603" s="2" t="str">
        <x:v>SO-26026</x:v>
      </x:c>
      <x:c r="D603" s="2" t="str">
        <x:v>S-C-SS</x:v>
      </x:c>
      <x:c r="E603" s="14" t="n">
        <x:v>25</x:v>
      </x:c>
      <x:c r="F603" s="2" t="str">
        <x:v>Deburr &amp; inspect</x:v>
      </x:c>
      <x:c r="G603" s="9" t="str">
        <x:v>DB-02</x:v>
      </x:c>
      <x:c r="H603" s="15" t="n">
        <x:v>42</x:v>
      </x:c>
      <x:c r="I603" s="9" t="str">
        <x:v>P12</x:v>
      </x:c>
      <x:c r="J603" s="11" t="n">
        <x:v>46302.25</x:v>
      </x:c>
      <x:c r="K603" s="15" t="n">
        <x:v>4</x:v>
      </x:c>
      <x:c r="L603" s="15" t="n">
        <x:v>14</x:v>
      </x:c>
      <x:c r="M603" s="13" t="n">
        <x:f>J603+(K603+L603)/1440</x:f>
        <x:v>46302.2625</x:v>
      </x:c>
      <x:c r="N603" s="13" t="n">
        <x:f>VLOOKUP(C603,'MES orders'!$A$8:$H$127,5,FALSE)</x:f>
        <x:v>46303.666666666664</x:v>
      </x:c>
      <x:c r="O603" s="16" t="n">
        <x:f>MAX(0,(M603-N603)*24)</x:f>
        <x:v>0</x:v>
      </x:c>
      <x:c r="P603" s="9" t="str">
        <x:v>No</x:v>
      </x:c>
      <x:c r="Q603" s="15" t="n">
        <x:v>18</x:v>
      </x:c>
      <x:c r="R603" s="13" t="n">
        <x:f>J603+Q603/1440</x:f>
        <x:v>46302.2625</x:v>
      </x:c>
      <x:c r="S603" s="2" t="str">
        <x:f>VLOOKUP(C603,'MES orders'!$A$8:$H$127,6,FALSE)</x:f>
        <x:v>Normal</x:v>
      </x:c>
      <x:c r="T603" s="9" t="str"/>
    </x:row>
    <x:row r="604" ht="22" customHeight="1">
      <x:c r="A604" s="2" t="str">
        <x:v>L00528-080</x:v>
      </x:c>
      <x:c r="B604" s="2" t="str">
        <x:v>L00528</x:v>
      </x:c>
      <x:c r="C604" s="2" t="str">
        <x:v>SO-26106</x:v>
      </x:c>
      <x:c r="D604" s="2" t="str">
        <x:v>S-S-SS</x:v>
      </x:c>
      <x:c r="E604" s="14" t="n">
        <x:v>20</x:v>
      </x:c>
      <x:c r="F604" s="2" t="str">
        <x:v>Final leak / function test</x:v>
      </x:c>
      <x:c r="G604" s="9" t="str">
        <x:v>QA-02</x:v>
      </x:c>
      <x:c r="H604" s="15" t="n">
        <x:v>40</x:v>
      </x:c>
      <x:c r="I604" s="9" t="str">
        <x:v>P11</x:v>
      </x:c>
      <x:c r="J604" s="11" t="n">
        <x:v>46302.25</x:v>
      </x:c>
      <x:c r="K604" s="15" t="n">
        <x:v>10</x:v>
      </x:c>
      <x:c r="L604" s="15" t="n">
        <x:v>18</x:v>
      </x:c>
      <x:c r="M604" s="13" t="n">
        <x:f>J604+(K604+L604)/1440</x:f>
        <x:v>46302.26944444444</x:v>
      </x:c>
      <x:c r="N604" s="13" t="n">
        <x:f>VLOOKUP(C604,'MES orders'!$A$8:$H$127,5,FALSE)</x:f>
        <x:v>46303.666666666664</x:v>
      </x:c>
      <x:c r="O604" s="16" t="n">
        <x:f>MAX(0,(M604-N604)*24)</x:f>
        <x:v>0</x:v>
      </x:c>
      <x:c r="P604" s="9" t="str">
        <x:v>No</x:v>
      </x:c>
      <x:c r="Q604" s="15" t="n">
        <x:v>28</x:v>
      </x:c>
      <x:c r="R604" s="13" t="n">
        <x:f>J604+Q604/1440</x:f>
        <x:v>46302.26944444444</x:v>
      </x:c>
      <x:c r="S604" s="2" t="str">
        <x:f>VLOOKUP(C604,'MES orders'!$A$8:$H$127,6,FALSE)</x:f>
        <x:v>High</x:v>
      </x:c>
      <x:c r="T604" s="9" t="str"/>
    </x:row>
    <x:row r="605" ht="22" customHeight="1">
      <x:c r="A605" s="2" t="str">
        <x:v>L00215-060</x:v>
      </x:c>
      <x:c r="B605" s="2" t="str">
        <x:v>L00215</x:v>
      </x:c>
      <x:c r="C605" s="2" t="str">
        <x:v>SO-26043</x:v>
      </x:c>
      <x:c r="D605" s="2" t="str">
        <x:v>R-C-AL</x:v>
      </x:c>
      <x:c r="E605" s="14" t="n">
        <x:v>15</x:v>
      </x:c>
      <x:c r="F605" s="2" t="str">
        <x:v>Final leak / function test</x:v>
      </x:c>
      <x:c r="G605" s="9" t="str">
        <x:v>QA-03</x:v>
      </x:c>
      <x:c r="H605" s="15" t="n">
        <x:v>26</x:v>
      </x:c>
      <x:c r="I605" s="9" t="str">
        <x:v>P10</x:v>
      </x:c>
      <x:c r="J605" s="11" t="n">
        <x:v>46302.25</x:v>
      </x:c>
      <x:c r="K605" s="15" t="n">
        <x:v>10</x:v>
      </x:c>
      <x:c r="L605" s="15" t="n">
        <x:v>11</x:v>
      </x:c>
      <x:c r="M605" s="13" t="n">
        <x:f>J605+(K605+L605)/1440</x:f>
        <x:v>46302.26458333333</x:v>
      </x:c>
      <x:c r="N605" s="13" t="n">
        <x:f>VLOOKUP(C605,'MES orders'!$A$8:$H$127,5,FALSE)</x:f>
        <x:v>46304.666666666664</x:v>
      </x:c>
      <x:c r="O605" s="16" t="n">
        <x:f>MAX(0,(M605-N605)*24)</x:f>
        <x:v>0</x:v>
      </x:c>
      <x:c r="P605" s="9" t="str">
        <x:v>No</x:v>
      </x:c>
      <x:c r="Q605" s="15" t="n">
        <x:v>21</x:v>
      </x:c>
      <x:c r="R605" s="13" t="n">
        <x:f>J605+Q605/1440</x:f>
        <x:v>46302.26458333333</x:v>
      </x:c>
      <x:c r="S605" s="2" t="str">
        <x:f>VLOOKUP(C605,'MES orders'!$A$8:$H$127,6,FALSE)</x:f>
        <x:v>High</x:v>
      </x:c>
      <x:c r="T605" s="9" t="str"/>
    </x:row>
    <x:row r="606" ht="22" customHeight="1">
      <x:c r="A606" s="2" t="str">
        <x:v>L00047-030</x:v>
      </x:c>
      <x:c r="B606" s="2" t="str">
        <x:v>L00047</x:v>
      </x:c>
      <x:c r="C606" s="2" t="str">
        <x:v>SO-26010</x:v>
      </x:c>
      <x:c r="D606" s="2" t="str">
        <x:v>R-S-SS</x:v>
      </x:c>
      <x:c r="E606" s="14" t="n">
        <x:v>25</x:v>
      </x:c>
      <x:c r="F606" s="2" t="str">
        <x:v>Wash &amp; dry</x:v>
      </x:c>
      <x:c r="G606" s="9" t="str">
        <x:v>WS-01</x:v>
      </x:c>
      <x:c r="H606" s="15" t="n">
        <x:v>58</x:v>
      </x:c>
      <x:c r="I606" s="9" t="str">
        <x:v>P05</x:v>
      </x:c>
      <x:c r="J606" s="11" t="n">
        <x:v>46302.25</x:v>
      </x:c>
      <x:c r="K606" s="15" t="n">
        <x:v>12</x:v>
      </x:c>
      <x:c r="L606" s="15" t="n">
        <x:v>9</x:v>
      </x:c>
      <x:c r="M606" s="13" t="n">
        <x:f>J606+(K606+L606)/1440</x:f>
        <x:v>46302.26458333333</x:v>
      </x:c>
      <x:c r="N606" s="13" t="n">
        <x:f>VLOOKUP(C606,'MES orders'!$A$8:$H$127,5,FALSE)</x:f>
        <x:v>46303.666666666664</x:v>
      </x:c>
      <x:c r="O606" s="16" t="n">
        <x:f>MAX(0,(M606-N606)*24)</x:f>
        <x:v>0</x:v>
      </x:c>
      <x:c r="P606" s="9" t="str">
        <x:v>No</x:v>
      </x:c>
      <x:c r="Q606" s="15" t="n">
        <x:v>21</x:v>
      </x:c>
      <x:c r="R606" s="13" t="n">
        <x:f>J606+Q606/1440</x:f>
        <x:v>46302.26458333333</x:v>
      </x:c>
      <x:c r="S606" s="2" t="str">
        <x:f>VLOOKUP(C606,'MES orders'!$A$8:$H$127,6,FALSE)</x:f>
        <x:v>Normal</x:v>
      </x:c>
      <x:c r="T606" s="9" t="str"/>
    </x:row>
    <x:row r="607" ht="22" customHeight="1">
      <x:c r="A607" s="2" t="str">
        <x:v>L00048-030</x:v>
      </x:c>
      <x:c r="B607" s="2" t="str">
        <x:v>L00048</x:v>
      </x:c>
      <x:c r="C607" s="2" t="str">
        <x:v>SO-26010</x:v>
      </x:c>
      <x:c r="D607" s="2" t="str">
        <x:v>R-S-SS</x:v>
      </x:c>
      <x:c r="E607" s="14" t="n">
        <x:v>25</x:v>
      </x:c>
      <x:c r="F607" s="2" t="str">
        <x:v>Wash &amp; dry</x:v>
      </x:c>
      <x:c r="G607" s="9" t="str">
        <x:v>WS-02</x:v>
      </x:c>
      <x:c r="H607" s="15" t="n">
        <x:v>42</x:v>
      </x:c>
      <x:c r="I607" s="9" t="str">
        <x:v>P06</x:v>
      </x:c>
      <x:c r="J607" s="11" t="n">
        <x:v>46302.25</x:v>
      </x:c>
      <x:c r="K607" s="15" t="n">
        <x:v>12</x:v>
      </x:c>
      <x:c r="L607" s="15" t="n">
        <x:v>9</x:v>
      </x:c>
      <x:c r="M607" s="13" t="n">
        <x:f>J607+(K607+L607)/1440</x:f>
        <x:v>46302.26458333333</x:v>
      </x:c>
      <x:c r="N607" s="13" t="n">
        <x:f>VLOOKUP(C607,'MES orders'!$A$8:$H$127,5,FALSE)</x:f>
        <x:v>46303.666666666664</x:v>
      </x:c>
      <x:c r="O607" s="16" t="n">
        <x:f>MAX(0,(M607-N607)*24)</x:f>
        <x:v>0</x:v>
      </x:c>
      <x:c r="P607" s="9" t="str">
        <x:v>No</x:v>
      </x:c>
      <x:c r="Q607" s="15" t="n">
        <x:v>21</x:v>
      </x:c>
      <x:c r="R607" s="13" t="n">
        <x:f>J607+Q607/1440</x:f>
        <x:v>46302.26458333333</x:v>
      </x:c>
      <x:c r="S607" s="2" t="str">
        <x:f>VLOOKUP(C607,'MES orders'!$A$8:$H$127,6,FALSE)</x:f>
        <x:v>Normal</x:v>
      </x:c>
      <x:c r="T607" s="9" t="str"/>
    </x:row>
    <x:row r="608" ht="22" customHeight="1">
      <x:c r="A608" s="2" t="str">
        <x:v>L00129-020</x:v>
      </x:c>
      <x:c r="B608" s="2" t="str">
        <x:v>L00129</x:v>
      </x:c>
      <x:c r="C608" s="2" t="str">
        <x:v>SO-26026</x:v>
      </x:c>
      <x:c r="D608" s="2" t="str">
        <x:v>S-C-SS</x:v>
      </x:c>
      <x:c r="E608" s="14" t="n">
        <x:v>25</x:v>
      </x:c>
      <x:c r="F608" s="2" t="str">
        <x:v>Deburr &amp; inspect</x:v>
      </x:c>
      <x:c r="G608" s="9" t="str">
        <x:v>DB-02</x:v>
      </x:c>
      <x:c r="H608" s="15" t="n">
        <x:v>43</x:v>
      </x:c>
      <x:c r="I608" s="9" t="str">
        <x:v>P03</x:v>
      </x:c>
      <x:c r="J608" s="11" t="n">
        <x:v>46302.2625</x:v>
      </x:c>
      <x:c r="K608" s="15" t="n">
        <x:v>4</x:v>
      </x:c>
      <x:c r="L608" s="15" t="n">
        <x:v>14</x:v>
      </x:c>
      <x:c r="M608" s="13" t="n">
        <x:f>J608+(K608+L608)/1440</x:f>
        <x:v>46302.274999999994</x:v>
      </x:c>
      <x:c r="N608" s="13" t="n">
        <x:f>VLOOKUP(C608,'MES orders'!$A$8:$H$127,5,FALSE)</x:f>
        <x:v>46303.666666666664</x:v>
      </x:c>
      <x:c r="O608" s="16" t="n">
        <x:f>MAX(0,(M608-N608)*24)</x:f>
        <x:v>0</x:v>
      </x:c>
      <x:c r="P608" s="9" t="str">
        <x:v>No</x:v>
      </x:c>
      <x:c r="Q608" s="15" t="n">
        <x:v>18</x:v>
      </x:c>
      <x:c r="R608" s="13" t="n">
        <x:f>J608+Q608/1440</x:f>
        <x:v>46302.274999999994</x:v>
      </x:c>
      <x:c r="S608" s="2" t="str">
        <x:f>VLOOKUP(C608,'MES orders'!$A$8:$H$127,6,FALSE)</x:f>
        <x:v>Normal</x:v>
      </x:c>
      <x:c r="T608" s="9" t="str"/>
    </x:row>
    <x:row r="609" ht="22" customHeight="1">
      <x:c r="A609" s="2" t="str">
        <x:v>L00126-020</x:v>
      </x:c>
      <x:c r="B609" s="2" t="str">
        <x:v>L00126</x:v>
      </x:c>
      <x:c r="C609" s="2" t="str">
        <x:v>SO-26026</x:v>
      </x:c>
      <x:c r="D609" s="2" t="str">
        <x:v>S-C-SS</x:v>
      </x:c>
      <x:c r="E609" s="14" t="n">
        <x:v>25</x:v>
      </x:c>
      <x:c r="F609" s="2" t="str">
        <x:v>Deburr &amp; inspect</x:v>
      </x:c>
      <x:c r="G609" s="9" t="str">
        <x:v>DB-01</x:v>
      </x:c>
      <x:c r="H609" s="15" t="n">
        <x:v>62</x:v>
      </x:c>
      <x:c r="I609" s="9" t="str">
        <x:v>P06</x:v>
      </x:c>
      <x:c r="J609" s="11" t="n">
        <x:v>46302.26458333333</x:v>
      </x:c>
      <x:c r="K609" s="15" t="n">
        <x:v>4</x:v>
      </x:c>
      <x:c r="L609" s="15" t="n">
        <x:v>14</x:v>
      </x:c>
      <x:c r="M609" s="13" t="n">
        <x:f>J609+(K609+L609)/1440</x:f>
        <x:v>46302.27708333333</x:v>
      </x:c>
      <x:c r="N609" s="13" t="n">
        <x:f>VLOOKUP(C609,'MES orders'!$A$8:$H$127,5,FALSE)</x:f>
        <x:v>46303.666666666664</x:v>
      </x:c>
      <x:c r="O609" s="16" t="n">
        <x:f>MAX(0,(M609-N609)*24)</x:f>
        <x:v>0</x:v>
      </x:c>
      <x:c r="P609" s="9" t="str">
        <x:v>No</x:v>
      </x:c>
      <x:c r="Q609" s="15" t="n">
        <x:v>18</x:v>
      </x:c>
      <x:c r="R609" s="13" t="n">
        <x:f>J609+Q609/1440</x:f>
        <x:v>46302.27708333333</x:v>
      </x:c>
      <x:c r="S609" s="2" t="str">
        <x:f>VLOOKUP(C609,'MES orders'!$A$8:$H$127,6,FALSE)</x:f>
        <x:v>Normal</x:v>
      </x:c>
      <x:c r="T609" s="9" t="str"/>
    </x:row>
    <x:row r="610" ht="22" customHeight="1">
      <x:c r="A610" s="2" t="str">
        <x:v>L00127-030</x:v>
      </x:c>
      <x:c r="B610" s="2" t="str">
        <x:v>L00127</x:v>
      </x:c>
      <x:c r="C610" s="2" t="str">
        <x:v>SO-26026</x:v>
      </x:c>
      <x:c r="D610" s="2" t="str">
        <x:v>S-C-SS</x:v>
      </x:c>
      <x:c r="E610" s="14" t="n">
        <x:v>25</x:v>
      </x:c>
      <x:c r="F610" s="2" t="str">
        <x:v>Wash &amp; dry</x:v>
      </x:c>
      <x:c r="G610" s="9" t="str">
        <x:v>WS-01</x:v>
      </x:c>
      <x:c r="H610" s="15" t="n">
        <x:v>59</x:v>
      </x:c>
      <x:c r="I610" s="9" t="str">
        <x:v>P01</x:v>
      </x:c>
      <x:c r="J610" s="11" t="n">
        <x:v>46302.26458333333</x:v>
      </x:c>
      <x:c r="K610" s="15" t="n">
        <x:v>12</x:v>
      </x:c>
      <x:c r="L610" s="15" t="n">
        <x:v>7</x:v>
      </x:c>
      <x:c r="M610" s="13" t="n">
        <x:f>J610+(K610+L610)/1440</x:f>
        <x:v>46302.277777777774</x:v>
      </x:c>
      <x:c r="N610" s="13" t="n">
        <x:f>VLOOKUP(C610,'MES orders'!$A$8:$H$127,5,FALSE)</x:f>
        <x:v>46303.666666666664</x:v>
      </x:c>
      <x:c r="O610" s="16" t="n">
        <x:f>MAX(0,(M610-N610)*24)</x:f>
        <x:v>0</x:v>
      </x:c>
      <x:c r="P610" s="9" t="str">
        <x:v>No</x:v>
      </x:c>
      <x:c r="Q610" s="15" t="n">
        <x:v>19</x:v>
      </x:c>
      <x:c r="R610" s="13" t="n">
        <x:f>J610+Q610/1440</x:f>
        <x:v>46302.277777777774</x:v>
      </x:c>
      <x:c r="S610" s="2" t="str">
        <x:f>VLOOKUP(C610,'MES orders'!$A$8:$H$127,6,FALSE)</x:f>
        <x:v>Normal</x:v>
      </x:c>
      <x:c r="T610" s="9" t="str"/>
    </x:row>
    <x:row r="611" ht="22" customHeight="1">
      <x:c r="A611" s="2" t="str">
        <x:v>L00128-030</x:v>
      </x:c>
      <x:c r="B611" s="2" t="str">
        <x:v>L00128</x:v>
      </x:c>
      <x:c r="C611" s="2" t="str">
        <x:v>SO-26026</x:v>
      </x:c>
      <x:c r="D611" s="2" t="str">
        <x:v>S-C-SS</x:v>
      </x:c>
      <x:c r="E611" s="14" t="n">
        <x:v>25</x:v>
      </x:c>
      <x:c r="F611" s="2" t="str">
        <x:v>Wash &amp; dry</x:v>
      </x:c>
      <x:c r="G611" s="9" t="str">
        <x:v>WS-02</x:v>
      </x:c>
      <x:c r="H611" s="15" t="n">
        <x:v>43</x:v>
      </x:c>
      <x:c r="I611" s="9" t="str">
        <x:v>P02</x:v>
      </x:c>
      <x:c r="J611" s="11" t="n">
        <x:v>46302.26458333333</x:v>
      </x:c>
      <x:c r="K611" s="15" t="n">
        <x:v>12</x:v>
      </x:c>
      <x:c r="L611" s="15" t="n">
        <x:v>7</x:v>
      </x:c>
      <x:c r="M611" s="13" t="n">
        <x:f>J611+(K611+L611)/1440</x:f>
        <x:v>46302.277777777774</x:v>
      </x:c>
      <x:c r="N611" s="13" t="n">
        <x:f>VLOOKUP(C611,'MES orders'!$A$8:$H$127,5,FALSE)</x:f>
        <x:v>46303.666666666664</x:v>
      </x:c>
      <x:c r="O611" s="16" t="n">
        <x:f>MAX(0,(M611-N611)*24)</x:f>
        <x:v>0</x:v>
      </x:c>
      <x:c r="P611" s="9" t="str">
        <x:v>No</x:v>
      </x:c>
      <x:c r="Q611" s="15" t="n">
        <x:v>19</x:v>
      </x:c>
      <x:c r="R611" s="13" t="n">
        <x:f>J611+Q611/1440</x:f>
        <x:v>46302.277777777774</x:v>
      </x:c>
      <x:c r="S611" s="2" t="str">
        <x:f>VLOOKUP(C611,'MES orders'!$A$8:$H$127,6,FALSE)</x:f>
        <x:v>Normal</x:v>
      </x:c>
      <x:c r="T611" s="9" t="str"/>
    </x:row>
    <x:row r="612" ht="22" customHeight="1">
      <x:c r="A612" s="2" t="str">
        <x:v>L00213-060</x:v>
      </x:c>
      <x:c r="B612" s="2" t="str">
        <x:v>L00213</x:v>
      </x:c>
      <x:c r="C612" s="2" t="str">
        <x:v>SO-26043</x:v>
      </x:c>
      <x:c r="D612" s="2" t="str">
        <x:v>R-C-AL</x:v>
      </x:c>
      <x:c r="E612" s="14" t="n">
        <x:v>15</x:v>
      </x:c>
      <x:c r="F612" s="2" t="str">
        <x:v>Final leak / function test</x:v>
      </x:c>
      <x:c r="G612" s="9" t="str">
        <x:v>QA-02</x:v>
      </x:c>
      <x:c r="H612" s="15" t="n">
        <x:v>41</x:v>
      </x:c>
      <x:c r="I612" s="9" t="str">
        <x:v>P11</x:v>
      </x:c>
      <x:c r="J612" s="11" t="n">
        <x:v>46302.26944444444</x:v>
      </x:c>
      <x:c r="K612" s="15" t="n">
        <x:v>10</x:v>
      </x:c>
      <x:c r="L612" s="15" t="n">
        <x:v>11</x:v>
      </x:c>
      <x:c r="M612" s="13" t="n">
        <x:f>J612+(K612+L612)/1440</x:f>
        <x:v>46302.28402777777</x:v>
      </x:c>
      <x:c r="N612" s="13" t="n">
        <x:f>VLOOKUP(C612,'MES orders'!$A$8:$H$127,5,FALSE)</x:f>
        <x:v>46304.666666666664</x:v>
      </x:c>
      <x:c r="O612" s="16" t="n">
        <x:f>MAX(0,(M612-N612)*24)</x:f>
        <x:v>0</x:v>
      </x:c>
      <x:c r="P612" s="9" t="str">
        <x:v>No</x:v>
      </x:c>
      <x:c r="Q612" s="15" t="n">
        <x:v>21</x:v>
      </x:c>
      <x:c r="R612" s="13" t="n">
        <x:f>J612+Q612/1440</x:f>
        <x:v>46302.28402777777</x:v>
      </x:c>
      <x:c r="S612" s="2" t="str">
        <x:f>VLOOKUP(C612,'MES orders'!$A$8:$H$127,6,FALSE)</x:f>
        <x:v>High</x:v>
      </x:c>
      <x:c r="T612" s="9" t="str"/>
    </x:row>
    <x:row r="613" ht="22" customHeight="1">
      <x:c r="A613" s="2" t="str">
        <x:v>L00049-060</x:v>
      </x:c>
      <x:c r="B613" s="2" t="str">
        <x:v>L00049</x:v>
      </x:c>
      <x:c r="C613" s="2" t="str">
        <x:v>SO-26010</x:v>
      </x:c>
      <x:c r="D613" s="2" t="str">
        <x:v>R-S-SS</x:v>
      </x:c>
      <x:c r="E613" s="14" t="n">
        <x:v>25</x:v>
      </x:c>
      <x:c r="F613" s="2" t="str">
        <x:v>Final leak / function test</x:v>
      </x:c>
      <x:c r="G613" s="9" t="str">
        <x:v>QA-03</x:v>
      </x:c>
      <x:c r="H613" s="15" t="n">
        <x:v>27</x:v>
      </x:c>
      <x:c r="I613" s="9" t="str">
        <x:v>P12</x:v>
      </x:c>
      <x:c r="J613" s="11" t="n">
        <x:v>46302.27361111111</x:v>
      </x:c>
      <x:c r="K613" s="15" t="n">
        <x:v>10</x:v>
      </x:c>
      <x:c r="L613" s="15" t="n">
        <x:v>22</x:v>
      </x:c>
      <x:c r="M613" s="13" t="n">
        <x:f>J613+(K613+L613)/1440</x:f>
        <x:v>46302.29583333333</x:v>
      </x:c>
      <x:c r="N613" s="13" t="n">
        <x:f>VLOOKUP(C613,'MES orders'!$A$8:$H$127,5,FALSE)</x:f>
        <x:v>46303.666666666664</x:v>
      </x:c>
      <x:c r="O613" s="16" t="n">
        <x:f>MAX(0,(M613-N613)*24)</x:f>
        <x:v>0</x:v>
      </x:c>
      <x:c r="P613" s="9" t="str">
        <x:v>No</x:v>
      </x:c>
      <x:c r="Q613" s="15" t="n">
        <x:v>32</x:v>
      </x:c>
      <x:c r="R613" s="13" t="n">
        <x:f>J613+Q613/1440</x:f>
        <x:v>46302.29583333333</x:v>
      </x:c>
      <x:c r="S613" s="2" t="str">
        <x:f>VLOOKUP(C613,'MES orders'!$A$8:$H$127,6,FALSE)</x:f>
        <x:v>Normal</x:v>
      </x:c>
      <x:c r="T613" s="9" t="str"/>
    </x:row>
    <x:row r="614" ht="22" customHeight="1">
      <x:c r="A614" s="2" t="str">
        <x:v>L00529-070</x:v>
      </x:c>
      <x:c r="B614" s="2" t="str">
        <x:v>L00529</x:v>
      </x:c>
      <x:c r="C614" s="2" t="str">
        <x:v>SO-26106</x:v>
      </x:c>
      <x:c r="D614" s="2" t="str">
        <x:v>S-S-SS</x:v>
      </x:c>
      <x:c r="E614" s="14" t="n">
        <x:v>20</x:v>
      </x:c>
      <x:c r="F614" s="2" t="str">
        <x:v>Final assembly</x:v>
      </x:c>
      <x:c r="G614" s="9" t="str">
        <x:v>AS-01</x:v>
      </x:c>
      <x:c r="H614" s="15" t="n">
        <x:v>51</x:v>
      </x:c>
      <x:c r="I614" s="9" t="str">
        <x:v>P05</x:v>
      </x:c>
      <x:c r="J614" s="11" t="n">
        <x:v>46302.275</x:v>
      </x:c>
      <x:c r="K614" s="15" t="n">
        <x:v>5</x:v>
      </x:c>
      <x:c r="L614" s="15" t="n">
        <x:v>16</x:v>
      </x:c>
      <x:c r="M614" s="13" t="n">
        <x:f>J614+(K614+L614)/1440</x:f>
        <x:v>46302.28958333333</x:v>
      </x:c>
      <x:c r="N614" s="13" t="n">
        <x:f>VLOOKUP(C614,'MES orders'!$A$8:$H$127,5,FALSE)</x:f>
        <x:v>46303.666666666664</x:v>
      </x:c>
      <x:c r="O614" s="16" t="n">
        <x:f>MAX(0,(M614-N614)*24)</x:f>
        <x:v>0</x:v>
      </x:c>
      <x:c r="P614" s="9" t="str">
        <x:v>No</x:v>
      </x:c>
      <x:c r="Q614" s="15" t="n">
        <x:v>21</x:v>
      </x:c>
      <x:c r="R614" s="13" t="n">
        <x:f>J614+Q614/1440</x:f>
        <x:v>46302.28958333333</x:v>
      </x:c>
      <x:c r="S614" s="2" t="str">
        <x:f>VLOOKUP(C614,'MES orders'!$A$8:$H$127,6,FALSE)</x:f>
        <x:v>High</x:v>
      </x:c>
      <x:c r="T614" s="9" t="str"/>
    </x:row>
    <x:row r="615" ht="22" customHeight="1">
      <x:c r="A615" s="2" t="str">
        <x:v>L00530-060</x:v>
      </x:c>
      <x:c r="B615" s="2" t="str">
        <x:v>L00530</x:v>
      </x:c>
      <x:c r="C615" s="2" t="str">
        <x:v>SO-26106</x:v>
      </x:c>
      <x:c r="D615" s="2" t="str">
        <x:v>S-S-SS</x:v>
      </x:c>
      <x:c r="E615" s="14" t="n">
        <x:v>20</x:v>
      </x:c>
      <x:c r="F615" s="2" t="str">
        <x:v>Sensor calibration</x:v>
      </x:c>
      <x:c r="G615" s="9" t="str">
        <x:v>CAL-01</x:v>
      </x:c>
      <x:c r="H615" s="15" t="n">
        <x:v>20</x:v>
      </x:c>
      <x:c r="I615" s="9" t="str">
        <x:v>P09</x:v>
      </x:c>
      <x:c r="J615" s="11" t="n">
        <x:v>46302.275</x:v>
      </x:c>
      <x:c r="K615" s="15" t="n">
        <x:v>10</x:v>
      </x:c>
      <x:c r="L615" s="15" t="n">
        <x:v>26</x:v>
      </x:c>
      <x:c r="M615" s="13" t="n">
        <x:f>J615+(K615+L615)/1440</x:f>
        <x:v>46302.3</x:v>
      </x:c>
      <x:c r="N615" s="13" t="n">
        <x:f>VLOOKUP(C615,'MES orders'!$A$8:$H$127,5,FALSE)</x:f>
        <x:v>46303.666666666664</x:v>
      </x:c>
      <x:c r="O615" s="16" t="n">
        <x:f>MAX(0,(M615-N615)*24)</x:f>
        <x:v>0</x:v>
      </x:c>
      <x:c r="P615" s="9" t="str">
        <x:v>No</x:v>
      </x:c>
      <x:c r="Q615" s="15" t="n">
        <x:v>36</x:v>
      </x:c>
      <x:c r="R615" s="13" t="n">
        <x:f>J615+Q615/1440</x:f>
        <x:v>46302.3</x:v>
      </x:c>
      <x:c r="S615" s="2" t="str">
        <x:f>VLOOKUP(C615,'MES orders'!$A$8:$H$127,6,FALSE)</x:f>
        <x:v>High</x:v>
      </x:c>
      <x:c r="T615" s="9" t="str"/>
    </x:row>
    <x:row r="616" ht="22" customHeight="1">
      <x:c r="A616" s="2" t="str">
        <x:v>L00492-020</x:v>
      </x:c>
      <x:c r="B616" s="2" t="str">
        <x:v>L00492</x:v>
      </x:c>
      <x:c r="C616" s="2" t="str">
        <x:v>SO-26099</x:v>
      </x:c>
      <x:c r="D616" s="2" t="str">
        <x:v>D-S-AL</x:v>
      </x:c>
      <x:c r="E616" s="14" t="n">
        <x:v>15</x:v>
      </x:c>
      <x:c r="F616" s="2" t="str">
        <x:v>Deburr &amp; inspect</x:v>
      </x:c>
      <x:c r="G616" s="9" t="str">
        <x:v>DB-02</x:v>
      </x:c>
      <x:c r="H616" s="15" t="n">
        <x:v>44</x:v>
      </x:c>
      <x:c r="I616" s="9" t="str">
        <x:v>P08</x:v>
      </x:c>
      <x:c r="J616" s="11" t="n">
        <x:v>46302.275</x:v>
      </x:c>
      <x:c r="K616" s="15" t="n">
        <x:v>4</x:v>
      </x:c>
      <x:c r="L616" s="15" t="n">
        <x:v>10</x:v>
      </x:c>
      <x:c r="M616" s="13" t="n">
        <x:f>J616+(K616+L616)/1440</x:f>
        <x:v>46302.284722222226</x:v>
      </x:c>
      <x:c r="N616" s="13" t="n">
        <x:f>VLOOKUP(C616,'MES orders'!$A$8:$H$127,5,FALSE)</x:f>
        <x:v>46304.666666666664</x:v>
      </x:c>
      <x:c r="O616" s="16" t="n">
        <x:f>MAX(0,(M616-N616)*24)</x:f>
        <x:v>0</x:v>
      </x:c>
      <x:c r="P616" s="9" t="str">
        <x:v>No</x:v>
      </x:c>
      <x:c r="Q616" s="15" t="n">
        <x:v>14</x:v>
      </x:c>
      <x:c r="R616" s="13" t="n">
        <x:f>J616+Q616/1440</x:f>
        <x:v>46302.284722222226</x:v>
      </x:c>
      <x:c r="S616" s="2" t="str">
        <x:f>VLOOKUP(C616,'MES orders'!$A$8:$H$127,6,FALSE)</x:f>
        <x:v>High</x:v>
      </x:c>
      <x:c r="T616" s="9" t="str"/>
    </x:row>
    <x:row r="617" ht="22" customHeight="1">
      <x:c r="A617" s="2" t="str">
        <x:v>L00446-020</x:v>
      </x:c>
      <x:c r="B617" s="2" t="str">
        <x:v>L00446</x:v>
      </x:c>
      <x:c r="C617" s="2" t="str">
        <x:v>SO-26090</x:v>
      </x:c>
      <x:c r="D617" s="2" t="str">
        <x:v>R-L-SS</x:v>
      </x:c>
      <x:c r="E617" s="14" t="n">
        <x:v>5</x:v>
      </x:c>
      <x:c r="F617" s="2" t="str">
        <x:v>Deburr &amp; inspect</x:v>
      </x:c>
      <x:c r="G617" s="9" t="str">
        <x:v>DB-01</x:v>
      </x:c>
      <x:c r="H617" s="15" t="n">
        <x:v>63</x:v>
      </x:c>
      <x:c r="I617" s="9" t="str">
        <x:v>P06</x:v>
      </x:c>
      <x:c r="J617" s="11" t="n">
        <x:v>46302.277083333334</x:v>
      </x:c>
      <x:c r="K617" s="15" t="n">
        <x:v>4</x:v>
      </x:c>
      <x:c r="L617" s="15" t="n">
        <x:v>5</x:v>
      </x:c>
      <x:c r="M617" s="13" t="n">
        <x:f>J617+(K617+L617)/1440</x:f>
        <x:v>46302.28333333333</x:v>
      </x:c>
      <x:c r="N617" s="13" t="n">
        <x:f>VLOOKUP(C617,'MES orders'!$A$8:$H$127,5,FALSE)</x:f>
        <x:v>46303.666666666664</x:v>
      </x:c>
      <x:c r="O617" s="16" t="n">
        <x:f>MAX(0,(M617-N617)*24)</x:f>
        <x:v>0</x:v>
      </x:c>
      <x:c r="P617" s="9" t="str">
        <x:v>No</x:v>
      </x:c>
      <x:c r="Q617" s="15" t="n">
        <x:v>9</x:v>
      </x:c>
      <x:c r="R617" s="13" t="n">
        <x:f>J617+Q617/1440</x:f>
        <x:v>46302.28333333333</x:v>
      </x:c>
      <x:c r="S617" s="2" t="str">
        <x:f>VLOOKUP(C617,'MES orders'!$A$8:$H$127,6,FALSE)</x:f>
        <x:v>Normal</x:v>
      </x:c>
      <x:c r="T617" s="9" t="str"/>
    </x:row>
    <x:row r="618" ht="22" customHeight="1">
      <x:c r="A618" s="2" t="str">
        <x:v>L00127-040</x:v>
      </x:c>
      <x:c r="B618" s="2" t="str">
        <x:v>L00127</x:v>
      </x:c>
      <x:c r="C618" s="2" t="str">
        <x:v>SO-26026</x:v>
      </x:c>
      <x:c r="D618" s="2" t="str">
        <x:v>S-C-SS</x:v>
      </x:c>
      <x:c r="E618" s="14" t="n">
        <x:v>25</x:v>
      </x:c>
      <x:c r="F618" s="2" t="str">
        <x:v>Mechanical preassembly</x:v>
      </x:c>
      <x:c r="G618" s="9" t="str">
        <x:v>AS-04</x:v>
      </x:c>
      <x:c r="H618" s="15" t="n">
        <x:v>17</x:v>
      </x:c>
      <x:c r="I618" s="9" t="str">
        <x:v>P01</x:v>
      </x:c>
      <x:c r="J618" s="11" t="n">
        <x:v>46302.27777777778</x:v>
      </x:c>
      <x:c r="K618" s="15" t="n">
        <x:v>6</x:v>
      </x:c>
      <x:c r="L618" s="15" t="n">
        <x:v>22</x:v>
      </x:c>
      <x:c r="M618" s="13" t="n">
        <x:f>J618+(K618+L618)/1440</x:f>
        <x:v>46302.29722222222</x:v>
      </x:c>
      <x:c r="N618" s="13" t="n">
        <x:f>VLOOKUP(C618,'MES orders'!$A$8:$H$127,5,FALSE)</x:f>
        <x:v>46303.666666666664</x:v>
      </x:c>
      <x:c r="O618" s="16" t="n">
        <x:f>MAX(0,(M618-N618)*24)</x:f>
        <x:v>0</x:v>
      </x:c>
      <x:c r="P618" s="9" t="str">
        <x:v>No</x:v>
      </x:c>
      <x:c r="Q618" s="15" t="n">
        <x:v>28</x:v>
      </x:c>
      <x:c r="R618" s="13" t="n">
        <x:f>J618+Q618/1440</x:f>
        <x:v>46302.29722222222</x:v>
      </x:c>
      <x:c r="S618" s="2" t="str">
        <x:f>VLOOKUP(C618,'MES orders'!$A$8:$H$127,6,FALSE)</x:f>
        <x:v>Normal</x:v>
      </x:c>
      <x:c r="T618" s="9" t="str"/>
    </x:row>
    <x:row r="619" ht="22" customHeight="1">
      <x:c r="A619" s="2" t="str">
        <x:v>L00128-040</x:v>
      </x:c>
      <x:c r="B619" s="2" t="str">
        <x:v>L00128</x:v>
      </x:c>
      <x:c r="C619" s="2" t="str">
        <x:v>SO-26026</x:v>
      </x:c>
      <x:c r="D619" s="2" t="str">
        <x:v>S-C-SS</x:v>
      </x:c>
      <x:c r="E619" s="14" t="n">
        <x:v>25</x:v>
      </x:c>
      <x:c r="F619" s="2" t="str">
        <x:v>Mechanical preassembly</x:v>
      </x:c>
      <x:c r="G619" s="9" t="str">
        <x:v>AS-05</x:v>
      </x:c>
      <x:c r="H619" s="15" t="n">
        <x:v>15</x:v>
      </x:c>
      <x:c r="I619" s="9" t="str">
        <x:v>P02</x:v>
      </x:c>
      <x:c r="J619" s="11" t="n">
        <x:v>46302.27777777778</x:v>
      </x:c>
      <x:c r="K619" s="15" t="n">
        <x:v>6</x:v>
      </x:c>
      <x:c r="L619" s="15" t="n">
        <x:v>22</x:v>
      </x:c>
      <x:c r="M619" s="13" t="n">
        <x:f>J619+(K619+L619)/1440</x:f>
        <x:v>46302.29722222222</x:v>
      </x:c>
      <x:c r="N619" s="13" t="n">
        <x:f>VLOOKUP(C619,'MES orders'!$A$8:$H$127,5,FALSE)</x:f>
        <x:v>46303.666666666664</x:v>
      </x:c>
      <x:c r="O619" s="16" t="n">
        <x:f>MAX(0,(M619-N619)*24)</x:f>
        <x:v>0</x:v>
      </x:c>
      <x:c r="P619" s="9" t="str">
        <x:v>No</x:v>
      </x:c>
      <x:c r="Q619" s="15" t="n">
        <x:v>28</x:v>
      </x:c>
      <x:c r="R619" s="13" t="n">
        <x:f>J619+Q619/1440</x:f>
        <x:v>46302.29722222222</x:v>
      </x:c>
      <x:c r="S619" s="2" t="str">
        <x:f>VLOOKUP(C619,'MES orders'!$A$8:$H$127,6,FALSE)</x:f>
        <x:v>Normal</x:v>
      </x:c>
      <x:c r="T619" s="9" t="str"/>
    </x:row>
    <x:row r="620" ht="22" customHeight="1">
      <x:c r="A620" s="2" t="str">
        <x:v>L00129-030</x:v>
      </x:c>
      <x:c r="B620" s="2" t="str">
        <x:v>L00129</x:v>
      </x:c>
      <x:c r="C620" s="2" t="str">
        <x:v>SO-26026</x:v>
      </x:c>
      <x:c r="D620" s="2" t="str">
        <x:v>S-C-SS</x:v>
      </x:c>
      <x:c r="E620" s="14" t="n">
        <x:v>25</x:v>
      </x:c>
      <x:c r="F620" s="2" t="str">
        <x:v>Wash &amp; dry</x:v>
      </x:c>
      <x:c r="G620" s="9" t="str">
        <x:v>WS-01</x:v>
      </x:c>
      <x:c r="H620" s="15" t="n">
        <x:v>60</x:v>
      </x:c>
      <x:c r="I620" s="9" t="str">
        <x:v>P03</x:v>
      </x:c>
      <x:c r="J620" s="11" t="n">
        <x:v>46302.27777777778</x:v>
      </x:c>
      <x:c r="K620" s="15" t="n">
        <x:v>12</x:v>
      </x:c>
      <x:c r="L620" s="15" t="n">
        <x:v>7</x:v>
      </x:c>
      <x:c r="M620" s="13" t="n">
        <x:f>J620+(K620+L620)/1440</x:f>
        <x:v>46302.290972222225</x:v>
      </x:c>
      <x:c r="N620" s="13" t="n">
        <x:f>VLOOKUP(C620,'MES orders'!$A$8:$H$127,5,FALSE)</x:f>
        <x:v>46303.666666666664</x:v>
      </x:c>
      <x:c r="O620" s="16" t="n">
        <x:f>MAX(0,(M620-N620)*24)</x:f>
        <x:v>0</x:v>
      </x:c>
      <x:c r="P620" s="9" t="str">
        <x:v>No</x:v>
      </x:c>
      <x:c r="Q620" s="15" t="n">
        <x:v>19</x:v>
      </x:c>
      <x:c r="R620" s="13" t="n">
        <x:f>J620+Q620/1440</x:f>
        <x:v>46302.290972222225</x:v>
      </x:c>
      <x:c r="S620" s="2" t="str">
        <x:f>VLOOKUP(C620,'MES orders'!$A$8:$H$127,6,FALSE)</x:f>
        <x:v>Normal</x:v>
      </x:c>
      <x:c r="T620" s="9" t="str"/>
    </x:row>
    <x:row r="621" ht="22" customHeight="1">
      <x:c r="A621" s="2" t="str">
        <x:v>L00491-030</x:v>
      </x:c>
      <x:c r="B621" s="2" t="str">
        <x:v>L00491</x:v>
      </x:c>
      <x:c r="C621" s="2" t="str">
        <x:v>SO-26099</x:v>
      </x:c>
      <x:c r="D621" s="2" t="str">
        <x:v>D-S-AL</x:v>
      </x:c>
      <x:c r="E621" s="14" t="n">
        <x:v>15</x:v>
      </x:c>
      <x:c r="F621" s="2" t="str">
        <x:v>Wash &amp; dry</x:v>
      </x:c>
      <x:c r="G621" s="9" t="str">
        <x:v>WS-02</x:v>
      </x:c>
      <x:c r="H621" s="15" t="n">
        <x:v>44</x:v>
      </x:c>
      <x:c r="I621" s="9" t="str">
        <x:v>P07</x:v>
      </x:c>
      <x:c r="J621" s="11" t="n">
        <x:v>46302.27777777778</x:v>
      </x:c>
      <x:c r="K621" s="15" t="n">
        <x:v>12</x:v>
      </x:c>
      <x:c r="L621" s="15" t="n">
        <x:v>5</x:v>
      </x:c>
      <x:c r="M621" s="13" t="n">
        <x:f>J621+(K621+L621)/1440</x:f>
        <x:v>46302.28958333334</x:v>
      </x:c>
      <x:c r="N621" s="13" t="n">
        <x:f>VLOOKUP(C621,'MES orders'!$A$8:$H$127,5,FALSE)</x:f>
        <x:v>46304.666666666664</x:v>
      </x:c>
      <x:c r="O621" s="16" t="n">
        <x:f>MAX(0,(M621-N621)*24)</x:f>
        <x:v>0</x:v>
      </x:c>
      <x:c r="P621" s="9" t="str">
        <x:v>No</x:v>
      </x:c>
      <x:c r="Q621" s="15" t="n">
        <x:v>17</x:v>
      </x:c>
      <x:c r="R621" s="13" t="n">
        <x:f>J621+Q621/1440</x:f>
        <x:v>46302.28958333334</x:v>
      </x:c>
      <x:c r="S621" s="2" t="str">
        <x:f>VLOOKUP(C621,'MES orders'!$A$8:$H$127,6,FALSE)</x:f>
        <x:v>High</x:v>
      </x:c>
      <x:c r="T621" s="9" t="str"/>
    </x:row>
    <x:row r="622" ht="22" customHeight="1">
      <x:c r="A622" s="2" t="str">
        <x:v>L00091-020</x:v>
      </x:c>
      <x:c r="B622" s="2" t="str">
        <x:v>L00091</x:v>
      </x:c>
      <x:c r="C622" s="2" t="str">
        <x:v>SO-26019</x:v>
      </x:c>
      <x:c r="D622" s="2" t="str">
        <x:v>D-C-AL</x:v>
      </x:c>
      <x:c r="E622" s="14" t="n">
        <x:v>5</x:v>
      </x:c>
      <x:c r="F622" s="2" t="str">
        <x:v>Deburr &amp; inspect</x:v>
      </x:c>
      <x:c r="G622" s="9" t="str">
        <x:v>DB-01</x:v>
      </x:c>
      <x:c r="H622" s="15" t="n">
        <x:v>64</x:v>
      </x:c>
      <x:c r="I622" s="9" t="str">
        <x:v>P11</x:v>
      </x:c>
      <x:c r="J622" s="11" t="n">
        <x:v>46302.28402777778</x:v>
      </x:c>
      <x:c r="K622" s="15" t="n">
        <x:v>4</x:v>
      </x:c>
      <x:c r="L622" s="15" t="n">
        <x:v>3</x:v>
      </x:c>
      <x:c r="M622" s="13" t="n">
        <x:f>J622+(K622+L622)/1440</x:f>
        <x:v>46302.28888888889</x:v>
      </x:c>
      <x:c r="N622" s="13" t="n">
        <x:f>VLOOKUP(C622,'MES orders'!$A$8:$H$127,5,FALSE)</x:f>
        <x:v>46304.666666666664</x:v>
      </x:c>
      <x:c r="O622" s="16" t="n">
        <x:f>MAX(0,(M622-N622)*24)</x:f>
        <x:v>0</x:v>
      </x:c>
      <x:c r="P622" s="9" t="str">
        <x:v>No</x:v>
      </x:c>
      <x:c r="Q622" s="15" t="n">
        <x:v>7</x:v>
      </x:c>
      <x:c r="R622" s="13" t="n">
        <x:f>J622+Q622/1440</x:f>
        <x:v>46302.28888888889</x:v>
      </x:c>
      <x:c r="S622" s="2" t="str">
        <x:f>VLOOKUP(C622,'MES orders'!$A$8:$H$127,6,FALSE)</x:f>
        <x:v>Normal</x:v>
      </x:c>
      <x:c r="T622" s="9" t="str"/>
    </x:row>
    <x:row r="623" ht="22" customHeight="1">
      <x:c r="A623" s="2" t="str">
        <x:v>L00046-050</x:v>
      </x:c>
      <x:c r="B623" s="2" t="str">
        <x:v>L00046</x:v>
      </x:c>
      <x:c r="C623" s="2" t="str">
        <x:v>SO-26010</x:v>
      </x:c>
      <x:c r="D623" s="2" t="str">
        <x:v>R-S-SS</x:v>
      </x:c>
      <x:c r="E623" s="14" t="n">
        <x:v>25</x:v>
      </x:c>
      <x:c r="F623" s="2" t="str">
        <x:v>Valve adjustment</x:v>
      </x:c>
      <x:c r="G623" s="9" t="str">
        <x:v>AS-02</x:v>
      </x:c>
      <x:c r="H623" s="15" t="n">
        <x:v>42</x:v>
      </x:c>
      <x:c r="I623" s="9" t="str">
        <x:v>P06</x:v>
      </x:c>
      <x:c r="J623" s="11" t="n">
        <x:v>46302.28680555556</x:v>
      </x:c>
      <x:c r="K623" s="15" t="n">
        <x:v>6</x:v>
      </x:c>
      <x:c r="L623" s="15" t="n">
        <x:v>28</x:v>
      </x:c>
      <x:c r="M623" s="13" t="n">
        <x:f>J623+(K623+L623)/1440</x:f>
        <x:v>46302.31041666667</x:v>
      </x:c>
      <x:c r="N623" s="13" t="n">
        <x:f>VLOOKUP(C623,'MES orders'!$A$8:$H$127,5,FALSE)</x:f>
        <x:v>46303.666666666664</x:v>
      </x:c>
      <x:c r="O623" s="16" t="n">
        <x:f>MAX(0,(M623-N623)*24)</x:f>
        <x:v>0</x:v>
      </x:c>
      <x:c r="P623" s="9" t="str">
        <x:v>No</x:v>
      </x:c>
      <x:c r="Q623" s="15" t="n">
        <x:v>34</x:v>
      </x:c>
      <x:c r="R623" s="13" t="n">
        <x:f>J623+Q623/1440</x:f>
        <x:v>46302.31041666667</x:v>
      </x:c>
      <x:c r="S623" s="2" t="str">
        <x:f>VLOOKUP(C623,'MES orders'!$A$8:$H$127,6,FALSE)</x:f>
        <x:v>Normal</x:v>
      </x:c>
      <x:c r="T623" s="9" t="str"/>
    </x:row>
    <x:row r="624" ht="22" customHeight="1">
      <x:c r="A624" s="2" t="str">
        <x:v>L00047-040</x:v>
      </x:c>
      <x:c r="B624" s="2" t="str">
        <x:v>L00047</x:v>
      </x:c>
      <x:c r="C624" s="2" t="str">
        <x:v>SO-26010</x:v>
      </x:c>
      <x:c r="D624" s="2" t="str">
        <x:v>R-S-SS</x:v>
      </x:c>
      <x:c r="E624" s="14" t="n">
        <x:v>25</x:v>
      </x:c>
      <x:c r="F624" s="2" t="str">
        <x:v>Mechanical assembly</x:v>
      </x:c>
      <x:c r="G624" s="9" t="str">
        <x:v>AS-03</x:v>
      </x:c>
      <x:c r="H624" s="15" t="n">
        <x:v>32</x:v>
      </x:c>
      <x:c r="I624" s="9" t="str">
        <x:v>P04</x:v>
      </x:c>
      <x:c r="J624" s="11" t="n">
        <x:v>46302.28680555556</x:v>
      </x:c>
      <x:c r="K624" s="15" t="n">
        <x:v>8</x:v>
      </x:c>
      <x:c r="L624" s="15" t="n">
        <x:v>45</x:v>
      </x:c>
      <x:c r="M624" s="13" t="n">
        <x:f>J624+(K624+L624)/1440</x:f>
        <x:v>46302.32361111112</x:v>
      </x:c>
      <x:c r="N624" s="13" t="n">
        <x:f>VLOOKUP(C624,'MES orders'!$A$8:$H$127,5,FALSE)</x:f>
        <x:v>46303.666666666664</x:v>
      </x:c>
      <x:c r="O624" s="16" t="n">
        <x:f>MAX(0,(M624-N624)*24)</x:f>
        <x:v>0</x:v>
      </x:c>
      <x:c r="P624" s="9" t="str">
        <x:v>No</x:v>
      </x:c>
      <x:c r="Q624" s="15" t="n">
        <x:v>53</x:v>
      </x:c>
      <x:c r="R624" s="13" t="n">
        <x:f>J624+Q624/1440</x:f>
        <x:v>46302.32361111112</x:v>
      </x:c>
      <x:c r="S624" s="2" t="str">
        <x:f>VLOOKUP(C624,'MES orders'!$A$8:$H$127,6,FALSE)</x:f>
        <x:v>Normal</x:v>
      </x:c>
      <x:c r="T624" s="9" t="str"/>
    </x:row>
    <x:row r="625" ht="22" customHeight="1">
      <x:c r="A625" s="2" t="str">
        <x:v>L00529-080</x:v>
      </x:c>
      <x:c r="B625" s="2" t="str">
        <x:v>L00529</x:v>
      </x:c>
      <x:c r="C625" s="2" t="str">
        <x:v>SO-26106</x:v>
      </x:c>
      <x:c r="D625" s="2" t="str">
        <x:v>S-S-SS</x:v>
      </x:c>
      <x:c r="E625" s="14" t="n">
        <x:v>20</x:v>
      </x:c>
      <x:c r="F625" s="2" t="str">
        <x:v>Final leak / function test</x:v>
      </x:c>
      <x:c r="G625" s="9" t="str">
        <x:v>QA-02</x:v>
      </x:c>
      <x:c r="H625" s="15" t="n">
        <x:v>42</x:v>
      </x:c>
      <x:c r="I625" s="9" t="str">
        <x:v>P11</x:v>
      </x:c>
      <x:c r="J625" s="11" t="n">
        <x:v>46302.28958333333</x:v>
      </x:c>
      <x:c r="K625" s="15" t="n">
        <x:v>10</x:v>
      </x:c>
      <x:c r="L625" s="15" t="n">
        <x:v>18</x:v>
      </x:c>
      <x:c r="M625" s="13" t="n">
        <x:f>J625+(K625+L625)/1440</x:f>
        <x:v>46302.309027777774</x:v>
      </x:c>
      <x:c r="N625" s="13" t="n">
        <x:f>VLOOKUP(C625,'MES orders'!$A$8:$H$127,5,FALSE)</x:f>
        <x:v>46303.666666666664</x:v>
      </x:c>
      <x:c r="O625" s="16" t="n">
        <x:f>MAX(0,(M625-N625)*24)</x:f>
        <x:v>0</x:v>
      </x:c>
      <x:c r="P625" s="9" t="str">
        <x:v>No</x:v>
      </x:c>
      <x:c r="Q625" s="15" t="n">
        <x:v>28</x:v>
      </x:c>
      <x:c r="R625" s="13" t="n">
        <x:f>J625+Q625/1440</x:f>
        <x:v>46302.309027777774</x:v>
      </x:c>
      <x:c r="S625" s="2" t="str">
        <x:f>VLOOKUP(C625,'MES orders'!$A$8:$H$127,6,FALSE)</x:f>
        <x:v>High</x:v>
      </x:c>
      <x:c r="T625" s="9" t="str"/>
    </x:row>
    <x:row r="626" ht="22" customHeight="1">
      <x:c r="A626" s="2" t="str">
        <x:v>L00446-030</x:v>
      </x:c>
      <x:c r="B626" s="2" t="str">
        <x:v>L00446</x:v>
      </x:c>
      <x:c r="C626" s="2" t="str">
        <x:v>SO-26090</x:v>
      </x:c>
      <x:c r="D626" s="2" t="str">
        <x:v>R-L-SS</x:v>
      </x:c>
      <x:c r="E626" s="14" t="n">
        <x:v>5</x:v>
      </x:c>
      <x:c r="F626" s="2" t="str">
        <x:v>Wash &amp; dry</x:v>
      </x:c>
      <x:c r="G626" s="9" t="str">
        <x:v>WS-02</x:v>
      </x:c>
      <x:c r="H626" s="15" t="n">
        <x:v>45</x:v>
      </x:c>
      <x:c r="I626" s="9" t="str">
        <x:v>P05</x:v>
      </x:c>
      <x:c r="J626" s="11" t="n">
        <x:v>46302.28958333333</x:v>
      </x:c>
      <x:c r="K626" s="15" t="n">
        <x:v>12</x:v>
      </x:c>
      <x:c r="L626" s="15" t="n">
        <x:v>2</x:v>
      </x:c>
      <x:c r="M626" s="13" t="n">
        <x:f>J626+(K626+L626)/1440</x:f>
        <x:v>46302.299305555556</x:v>
      </x:c>
      <x:c r="N626" s="13" t="n">
        <x:f>VLOOKUP(C626,'MES orders'!$A$8:$H$127,5,FALSE)</x:f>
        <x:v>46303.666666666664</x:v>
      </x:c>
      <x:c r="O626" s="16" t="n">
        <x:f>MAX(0,(M626-N626)*24)</x:f>
        <x:v>0</x:v>
      </x:c>
      <x:c r="P626" s="9" t="str">
        <x:v>No</x:v>
      </x:c>
      <x:c r="Q626" s="15" t="n">
        <x:v>14</x:v>
      </x:c>
      <x:c r="R626" s="13" t="n">
        <x:f>J626+Q626/1440</x:f>
        <x:v>46302.299305555556</x:v>
      </x:c>
      <x:c r="S626" s="2" t="str">
        <x:f>VLOOKUP(C626,'MES orders'!$A$8:$H$127,6,FALSE)</x:f>
        <x:v>Normal</x:v>
      </x:c>
      <x:c r="T626" s="9" t="str"/>
    </x:row>
    <x:row r="627" ht="22" customHeight="1">
      <x:c r="A627" s="2" t="str">
        <x:v>L00129-040</x:v>
      </x:c>
      <x:c r="B627" s="2" t="str">
        <x:v>L00129</x:v>
      </x:c>
      <x:c r="C627" s="2" t="str">
        <x:v>SO-26026</x:v>
      </x:c>
      <x:c r="D627" s="2" t="str">
        <x:v>S-C-SS</x:v>
      </x:c>
      <x:c r="E627" s="14" t="n">
        <x:v>25</x:v>
      </x:c>
      <x:c r="F627" s="2" t="str">
        <x:v>Mechanical preassembly</x:v>
      </x:c>
      <x:c r="G627" s="9" t="str">
        <x:v>AS-06</x:v>
      </x:c>
      <x:c r="H627" s="15" t="n">
        <x:v>5</x:v>
      </x:c>
      <x:c r="I627" s="9" t="str">
        <x:v>P03</x:v>
      </x:c>
      <x:c r="J627" s="11" t="n">
        <x:v>46302.290972222225</x:v>
      </x:c>
      <x:c r="K627" s="15" t="n">
        <x:v>6</x:v>
      </x:c>
      <x:c r="L627" s="15" t="n">
        <x:v>22</x:v>
      </x:c>
      <x:c r="M627" s="13" t="n">
        <x:f>J627+(K627+L627)/1440</x:f>
        <x:v>46302.31041666667</x:v>
      </x:c>
      <x:c r="N627" s="13" t="n">
        <x:f>VLOOKUP(C627,'MES orders'!$A$8:$H$127,5,FALSE)</x:f>
        <x:v>46303.666666666664</x:v>
      </x:c>
      <x:c r="O627" s="16" t="n">
        <x:f>MAX(0,(M627-N627)*24)</x:f>
        <x:v>0</x:v>
      </x:c>
      <x:c r="P627" s="9" t="str">
        <x:v>No</x:v>
      </x:c>
      <x:c r="Q627" s="15" t="n">
        <x:v>28</x:v>
      </x:c>
      <x:c r="R627" s="13" t="n">
        <x:f>J627+Q627/1440</x:f>
        <x:v>46302.31041666667</x:v>
      </x:c>
      <x:c r="S627" s="2" t="str">
        <x:f>VLOOKUP(C627,'MES orders'!$A$8:$H$127,6,FALSE)</x:f>
        <x:v>Normal</x:v>
      </x:c>
      <x:c r="T627" s="9" t="str"/>
    </x:row>
    <x:row r="628" ht="22" customHeight="1">
      <x:c r="A628" s="2" t="str">
        <x:v>L00214-060</x:v>
      </x:c>
      <x:c r="B628" s="2" t="str">
        <x:v>L00214</x:v>
      </x:c>
      <x:c r="C628" s="2" t="str">
        <x:v>SO-26043</x:v>
      </x:c>
      <x:c r="D628" s="2" t="str">
        <x:v>R-C-AL</x:v>
      </x:c>
      <x:c r="E628" s="14" t="n">
        <x:v>15</x:v>
      </x:c>
      <x:c r="F628" s="2" t="str">
        <x:v>Final leak / function test</x:v>
      </x:c>
      <x:c r="G628" s="9" t="str">
        <x:v>QA-03</x:v>
      </x:c>
      <x:c r="H628" s="15" t="n">
        <x:v>28</x:v>
      </x:c>
      <x:c r="I628" s="9" t="str">
        <x:v>P12</x:v>
      </x:c>
      <x:c r="J628" s="11" t="n">
        <x:v>46302.29583333333</x:v>
      </x:c>
      <x:c r="K628" s="15" t="n">
        <x:v>10</x:v>
      </x:c>
      <x:c r="L628" s="15" t="n">
        <x:v>11</x:v>
      </x:c>
      <x:c r="M628" s="13" t="n">
        <x:f>J628+(K628+L628)/1440</x:f>
        <x:v>46302.31041666666</x:v>
      </x:c>
      <x:c r="N628" s="13" t="n">
        <x:f>VLOOKUP(C628,'MES orders'!$A$8:$H$127,5,FALSE)</x:f>
        <x:v>46304.666666666664</x:v>
      </x:c>
      <x:c r="O628" s="16" t="n">
        <x:f>MAX(0,(M628-N628)*24)</x:f>
        <x:v>0</x:v>
      </x:c>
      <x:c r="P628" s="9" t="str">
        <x:v>No</x:v>
      </x:c>
      <x:c r="Q628" s="15" t="n">
        <x:v>21</x:v>
      </x:c>
      <x:c r="R628" s="13" t="n">
        <x:f>J628+Q628/1440</x:f>
        <x:v>46302.31041666666</x:v>
      </x:c>
      <x:c r="S628" s="2" t="str">
        <x:f>VLOOKUP(C628,'MES orders'!$A$8:$H$127,6,FALSE)</x:f>
        <x:v>High</x:v>
      </x:c>
      <x:c r="T628" s="9" t="str"/>
    </x:row>
    <x:row r="629" ht="22" customHeight="1">
      <x:c r="A629" s="2" t="str">
        <x:v>L00491-040</x:v>
      </x:c>
      <x:c r="B629" s="2" t="str">
        <x:v>L00491</x:v>
      </x:c>
      <x:c r="C629" s="2" t="str">
        <x:v>SO-26099</x:v>
      </x:c>
      <x:c r="D629" s="2" t="str">
        <x:v>D-S-AL</x:v>
      </x:c>
      <x:c r="E629" s="14" t="n">
        <x:v>15</x:v>
      </x:c>
      <x:c r="F629" s="2" t="str">
        <x:v>Mechanical assembly</x:v>
      </x:c>
      <x:c r="G629" s="9" t="str">
        <x:v>AS-05</x:v>
      </x:c>
      <x:c r="H629" s="15" t="n">
        <x:v>16</x:v>
      </x:c>
      <x:c r="I629" s="9" t="str">
        <x:v>P02</x:v>
      </x:c>
      <x:c r="J629" s="11" t="n">
        <x:v>46302.29722222222</x:v>
      </x:c>
      <x:c r="K629" s="15" t="n">
        <x:v>8</x:v>
      </x:c>
      <x:c r="L629" s="15" t="n">
        <x:v>27</x:v>
      </x:c>
      <x:c r="M629" s="13" t="n">
        <x:f>J629+(K629+L629)/1440</x:f>
        <x:v>46302.32152777778</x:v>
      </x:c>
      <x:c r="N629" s="13" t="n">
        <x:f>VLOOKUP(C629,'MES orders'!$A$8:$H$127,5,FALSE)</x:f>
        <x:v>46304.666666666664</x:v>
      </x:c>
      <x:c r="O629" s="16" t="n">
        <x:f>MAX(0,(M629-N629)*24)</x:f>
        <x:v>0</x:v>
      </x:c>
      <x:c r="P629" s="9" t="str">
        <x:v>No</x:v>
      </x:c>
      <x:c r="Q629" s="15" t="n">
        <x:v>35</x:v>
      </x:c>
      <x:c r="R629" s="13" t="n">
        <x:f>J629+Q629/1440</x:f>
        <x:v>46302.32152777778</x:v>
      </x:c>
      <x:c r="S629" s="2" t="str">
        <x:f>VLOOKUP(C629,'MES orders'!$A$8:$H$127,6,FALSE)</x:f>
        <x:v>High</x:v>
      </x:c>
      <x:c r="T629" s="9" t="str"/>
    </x:row>
    <x:row r="630" ht="22" customHeight="1">
      <x:c r="A630" s="2" t="str">
        <x:v>L00127-050</x:v>
      </x:c>
      <x:c r="B630" s="2" t="str">
        <x:v>L00127</x:v>
      </x:c>
      <x:c r="C630" s="2" t="str">
        <x:v>SO-26026</x:v>
      </x:c>
      <x:c r="D630" s="2" t="str">
        <x:v>S-C-SS</x:v>
      </x:c>
      <x:c r="E630" s="14" t="n">
        <x:v>25</x:v>
      </x:c>
      <x:c r="F630" s="2" t="str">
        <x:v>Sensor installation</x:v>
      </x:c>
      <x:c r="G630" s="9" t="str">
        <x:v>EL-01</x:v>
      </x:c>
      <x:c r="H630" s="15" t="n">
        <x:v>15</x:v>
      </x:c>
      <x:c r="I630" s="9" t="str">
        <x:v>P07</x:v>
      </x:c>
      <x:c r="J630" s="11" t="n">
        <x:v>46302.29722222222</x:v>
      </x:c>
      <x:c r="K630" s="15" t="n">
        <x:v>8</x:v>
      </x:c>
      <x:c r="L630" s="15" t="n">
        <x:v>24</x:v>
      </x:c>
      <x:c r="M630" s="13" t="n">
        <x:f>J630+(K630+L630)/1440</x:f>
        <x:v>46302.319444444445</x:v>
      </x:c>
      <x:c r="N630" s="13" t="n">
        <x:f>VLOOKUP(C630,'MES orders'!$A$8:$H$127,5,FALSE)</x:f>
        <x:v>46303.666666666664</x:v>
      </x:c>
      <x:c r="O630" s="16" t="n">
        <x:f>MAX(0,(M630-N630)*24)</x:f>
        <x:v>0</x:v>
      </x:c>
      <x:c r="P630" s="9" t="str">
        <x:v>No</x:v>
      </x:c>
      <x:c r="Q630" s="15" t="n">
        <x:v>32</x:v>
      </x:c>
      <x:c r="R630" s="13" t="n">
        <x:f>J630+Q630/1440</x:f>
        <x:v>46302.319444444445</x:v>
      </x:c>
      <x:c r="S630" s="2" t="str">
        <x:f>VLOOKUP(C630,'MES orders'!$A$8:$H$127,6,FALSE)</x:f>
        <x:v>Normal</x:v>
      </x:c>
      <x:c r="T630" s="9" t="str"/>
    </x:row>
    <x:row r="631" ht="22" customHeight="1">
      <x:c r="A631" s="2" t="str">
        <x:v>L00128-050</x:v>
      </x:c>
      <x:c r="B631" s="2" t="str">
        <x:v>L00128</x:v>
      </x:c>
      <x:c r="C631" s="2" t="str">
        <x:v>SO-26026</x:v>
      </x:c>
      <x:c r="D631" s="2" t="str">
        <x:v>S-C-SS</x:v>
      </x:c>
      <x:c r="E631" s="14" t="n">
        <x:v>25</x:v>
      </x:c>
      <x:c r="F631" s="2" t="str">
        <x:v>Sensor installation</x:v>
      </x:c>
      <x:c r="G631" s="9" t="str">
        <x:v>EL-02</x:v>
      </x:c>
      <x:c r="H631" s="15" t="n">
        <x:v>7</x:v>
      </x:c>
      <x:c r="I631" s="9" t="str">
        <x:v>P08</x:v>
      </x:c>
      <x:c r="J631" s="11" t="n">
        <x:v>46302.29722222222</x:v>
      </x:c>
      <x:c r="K631" s="15" t="n">
        <x:v>8</x:v>
      </x:c>
      <x:c r="L631" s="15" t="n">
        <x:v>24</x:v>
      </x:c>
      <x:c r="M631" s="13" t="n">
        <x:f>J631+(K631+L631)/1440</x:f>
        <x:v>46302.319444444445</x:v>
      </x:c>
      <x:c r="N631" s="13" t="n">
        <x:f>VLOOKUP(C631,'MES orders'!$A$8:$H$127,5,FALSE)</x:f>
        <x:v>46303.666666666664</x:v>
      </x:c>
      <x:c r="O631" s="16" t="n">
        <x:f>MAX(0,(M631-N631)*24)</x:f>
        <x:v>0</x:v>
      </x:c>
      <x:c r="P631" s="9" t="str">
        <x:v>No</x:v>
      </x:c>
      <x:c r="Q631" s="15" t="n">
        <x:v>32</x:v>
      </x:c>
      <x:c r="R631" s="13" t="n">
        <x:f>J631+Q631/1440</x:f>
        <x:v>46302.319444444445</x:v>
      </x:c>
      <x:c r="S631" s="2" t="str">
        <x:f>VLOOKUP(C631,'MES orders'!$A$8:$H$127,6,FALSE)</x:f>
        <x:v>Normal</x:v>
      </x:c>
      <x:c r="T631" s="9" t="str"/>
    </x:row>
    <x:row r="632" ht="22" customHeight="1">
      <x:c r="A632" s="2" t="str">
        <x:v>L00446-040</x:v>
      </x:c>
      <x:c r="B632" s="2" t="str">
        <x:v>L00446</x:v>
      </x:c>
      <x:c r="C632" s="2" t="str">
        <x:v>SO-26090</x:v>
      </x:c>
      <x:c r="D632" s="2" t="str">
        <x:v>R-L-SS</x:v>
      </x:c>
      <x:c r="E632" s="14" t="n">
        <x:v>5</x:v>
      </x:c>
      <x:c r="F632" s="2" t="str">
        <x:v>Mechanical assembly</x:v>
      </x:c>
      <x:c r="G632" s="9" t="str">
        <x:v>AS-04</x:v>
      </x:c>
      <x:c r="H632" s="15" t="n">
        <x:v>18</x:v>
      </x:c>
      <x:c r="I632" s="9" t="str">
        <x:v>P01</x:v>
      </x:c>
      <x:c r="J632" s="11" t="n">
        <x:v>46302.299305555556</x:v>
      </x:c>
      <x:c r="K632" s="15" t="n">
        <x:v>8</x:v>
      </x:c>
      <x:c r="L632" s="15" t="n">
        <x:v>12</x:v>
      </x:c>
      <x:c r="M632" s="13" t="n">
        <x:f>J632+(K632+L632)/1440</x:f>
        <x:v>46302.31319444445</x:v>
      </x:c>
      <x:c r="N632" s="13" t="n">
        <x:f>VLOOKUP(C632,'MES orders'!$A$8:$H$127,5,FALSE)</x:f>
        <x:v>46303.666666666664</x:v>
      </x:c>
      <x:c r="O632" s="16" t="n">
        <x:f>MAX(0,(M632-N632)*24)</x:f>
        <x:v>0</x:v>
      </x:c>
      <x:c r="P632" s="9" t="str">
        <x:v>No</x:v>
      </x:c>
      <x:c r="Q632" s="15" t="n">
        <x:v>20</x:v>
      </x:c>
      <x:c r="R632" s="13" t="n">
        <x:f>J632+Q632/1440</x:f>
        <x:v>46302.31319444445</x:v>
      </x:c>
      <x:c r="S632" s="2" t="str">
        <x:f>VLOOKUP(C632,'MES orders'!$A$8:$H$127,6,FALSE)</x:f>
        <x:v>Normal</x:v>
      </x:c>
      <x:c r="T632" s="9" t="str"/>
    </x:row>
    <x:row r="633" ht="22" customHeight="1">
      <x:c r="A633" s="2" t="str">
        <x:v>L00530-070</x:v>
      </x:c>
      <x:c r="B633" s="2" t="str">
        <x:v>L00530</x:v>
      </x:c>
      <x:c r="C633" s="2" t="str">
        <x:v>SO-26106</x:v>
      </x:c>
      <x:c r="D633" s="2" t="str">
        <x:v>S-S-SS</x:v>
      </x:c>
      <x:c r="E633" s="14" t="n">
        <x:v>20</x:v>
      </x:c>
      <x:c r="F633" s="2" t="str">
        <x:v>Final assembly</x:v>
      </x:c>
      <x:c r="G633" s="9" t="str">
        <x:v>AS-01</x:v>
      </x:c>
      <x:c r="H633" s="15" t="n">
        <x:v>52</x:v>
      </x:c>
      <x:c r="I633" s="9" t="str">
        <x:v>P05</x:v>
      </x:c>
      <x:c r="J633" s="11" t="n">
        <x:v>46302.3</x:v>
      </x:c>
      <x:c r="K633" s="15" t="n">
        <x:v>5</x:v>
      </x:c>
      <x:c r="L633" s="15" t="n">
        <x:v>16</x:v>
      </x:c>
      <x:c r="M633" s="13" t="n">
        <x:f>J633+(K633+L633)/1440</x:f>
        <x:v>46302.31458333333</x:v>
      </x:c>
      <x:c r="N633" s="13" t="n">
        <x:f>VLOOKUP(C633,'MES orders'!$A$8:$H$127,5,FALSE)</x:f>
        <x:v>46303.666666666664</x:v>
      </x:c>
      <x:c r="O633" s="16" t="n">
        <x:f>MAX(0,(M633-N633)*24)</x:f>
        <x:v>0</x:v>
      </x:c>
      <x:c r="P633" s="9" t="str">
        <x:v>No</x:v>
      </x:c>
      <x:c r="Q633" s="15" t="n">
        <x:v>21</x:v>
      </x:c>
      <x:c r="R633" s="13" t="n">
        <x:f>J633+Q633/1440</x:f>
        <x:v>46302.31458333333</x:v>
      </x:c>
      <x:c r="S633" s="2" t="str">
        <x:f>VLOOKUP(C633,'MES orders'!$A$8:$H$127,6,FALSE)</x:f>
        <x:v>High</x:v>
      </x:c>
      <x:c r="T633" s="9" t="str"/>
    </x:row>
    <x:row r="634" ht="22" customHeight="1">
      <x:c r="A634" s="2" t="str">
        <x:v>L00048-040</x:v>
      </x:c>
      <x:c r="B634" s="2" t="str">
        <x:v>L00048</x:v>
      </x:c>
      <x:c r="C634" s="2" t="str">
        <x:v>SO-26010</x:v>
      </x:c>
      <x:c r="D634" s="2" t="str">
        <x:v>R-S-SS</x:v>
      </x:c>
      <x:c r="E634" s="14" t="n">
        <x:v>25</x:v>
      </x:c>
      <x:c r="F634" s="2" t="str">
        <x:v>Mechanical assembly</x:v>
      </x:c>
      <x:c r="G634" s="9" t="str">
        <x:v>AS-02</x:v>
      </x:c>
      <x:c r="H634" s="15" t="n">
        <x:v>43</x:v>
      </x:c>
      <x:c r="I634" s="9" t="str">
        <x:v>P06</x:v>
      </x:c>
      <x:c r="J634" s="11" t="n">
        <x:v>46302.31041666667</x:v>
      </x:c>
      <x:c r="K634" s="15" t="n">
        <x:v>8</x:v>
      </x:c>
      <x:c r="L634" s="15" t="n">
        <x:v>45</x:v>
      </x:c>
      <x:c r="M634" s="13" t="n">
        <x:f>J634+(K634+L634)/1440</x:f>
        <x:v>46302.347222222226</x:v>
      </x:c>
      <x:c r="N634" s="13" t="n">
        <x:f>VLOOKUP(C634,'MES orders'!$A$8:$H$127,5,FALSE)</x:f>
        <x:v>46303.666666666664</x:v>
      </x:c>
      <x:c r="O634" s="16" t="n">
        <x:f>MAX(0,(M634-N634)*24)</x:f>
        <x:v>0</x:v>
      </x:c>
      <x:c r="P634" s="9" t="str">
        <x:v>No</x:v>
      </x:c>
      <x:c r="Q634" s="15" t="n">
        <x:v>53</x:v>
      </x:c>
      <x:c r="R634" s="13" t="n">
        <x:f>J634+Q634/1440</x:f>
        <x:v>46302.347222222226</x:v>
      </x:c>
      <x:c r="S634" s="2" t="str">
        <x:f>VLOOKUP(C634,'MES orders'!$A$8:$H$127,6,FALSE)</x:f>
        <x:v>Normal</x:v>
      </x:c>
      <x:c r="T634" s="9" t="str"/>
    </x:row>
    <x:row r="635" ht="22" customHeight="1">
      <x:c r="A635" s="2" t="str">
        <x:v>L00046-060</x:v>
      </x:c>
      <x:c r="B635" s="2" t="str">
        <x:v>L00046</x:v>
      </x:c>
      <x:c r="C635" s="2" t="str">
        <x:v>SO-26010</x:v>
      </x:c>
      <x:c r="D635" s="2" t="str">
        <x:v>R-S-SS</x:v>
      </x:c>
      <x:c r="E635" s="14" t="n">
        <x:v>25</x:v>
      </x:c>
      <x:c r="F635" s="2" t="str">
        <x:v>Final leak / function test</x:v>
      </x:c>
      <x:c r="G635" s="9" t="str">
        <x:v>QA-03</x:v>
      </x:c>
      <x:c r="H635" s="15" t="n">
        <x:v>29</x:v>
      </x:c>
      <x:c r="I635" s="9" t="str">
        <x:v>P12</x:v>
      </x:c>
      <x:c r="J635" s="11" t="n">
        <x:v>46302.31041666667</x:v>
      </x:c>
      <x:c r="K635" s="15" t="n">
        <x:v>10</x:v>
      </x:c>
      <x:c r="L635" s="15" t="n">
        <x:v>22</x:v>
      </x:c>
      <x:c r="M635" s="13" t="n">
        <x:f>J635+(K635+L635)/1440</x:f>
        <x:v>46302.33263888889</x:v>
      </x:c>
      <x:c r="N635" s="13" t="n">
        <x:f>VLOOKUP(C635,'MES orders'!$A$8:$H$127,5,FALSE)</x:f>
        <x:v>46303.666666666664</x:v>
      </x:c>
      <x:c r="O635" s="16" t="n">
        <x:f>MAX(0,(M635-N635)*24)</x:f>
        <x:v>0</x:v>
      </x:c>
      <x:c r="P635" s="9" t="str">
        <x:v>No</x:v>
      </x:c>
      <x:c r="Q635" s="15" t="n">
        <x:v>32</x:v>
      </x:c>
      <x:c r="R635" s="13" t="n">
        <x:f>J635+Q635/1440</x:f>
        <x:v>46302.33263888889</x:v>
      </x:c>
      <x:c r="S635" s="2" t="str">
        <x:f>VLOOKUP(C635,'MES orders'!$A$8:$H$127,6,FALSE)</x:f>
        <x:v>Normal</x:v>
      </x:c>
      <x:c r="T635" s="9" t="str"/>
    </x:row>
    <x:row r="636" ht="22" customHeight="1">
      <x:c r="A636" s="2" t="str">
        <x:v>L00492-030</x:v>
      </x:c>
      <x:c r="B636" s="2" t="str">
        <x:v>L00492</x:v>
      </x:c>
      <x:c r="C636" s="2" t="str">
        <x:v>SO-26099</x:v>
      </x:c>
      <x:c r="D636" s="2" t="str">
        <x:v>D-S-AL</x:v>
      </x:c>
      <x:c r="E636" s="14" t="n">
        <x:v>15</x:v>
      </x:c>
      <x:c r="F636" s="2" t="str">
        <x:v>Wash &amp; dry</x:v>
      </x:c>
      <x:c r="G636" s="9" t="str">
        <x:v>WS-01</x:v>
      </x:c>
      <x:c r="H636" s="15" t="n">
        <x:v>61</x:v>
      </x:c>
      <x:c r="I636" s="9" t="str">
        <x:v>P03</x:v>
      </x:c>
      <x:c r="J636" s="11" t="n">
        <x:v>46302.31041666667</x:v>
      </x:c>
      <x:c r="K636" s="15" t="n">
        <x:v>12</x:v>
      </x:c>
      <x:c r="L636" s="15" t="n">
        <x:v>5</x:v>
      </x:c>
      <x:c r="M636" s="13" t="n">
        <x:f>J636+(K636+L636)/1440</x:f>
        <x:v>46302.322222222225</x:v>
      </x:c>
      <x:c r="N636" s="13" t="n">
        <x:f>VLOOKUP(C636,'MES orders'!$A$8:$H$127,5,FALSE)</x:f>
        <x:v>46304.666666666664</x:v>
      </x:c>
      <x:c r="O636" s="16" t="n">
        <x:f>MAX(0,(M636-N636)*24)</x:f>
        <x:v>0</x:v>
      </x:c>
      <x:c r="P636" s="9" t="str">
        <x:v>No</x:v>
      </x:c>
      <x:c r="Q636" s="15" t="n">
        <x:v>17</x:v>
      </x:c>
      <x:c r="R636" s="13" t="n">
        <x:f>J636+Q636/1440</x:f>
        <x:v>46302.322222222225</x:v>
      </x:c>
      <x:c r="S636" s="2" t="str">
        <x:f>VLOOKUP(C636,'MES orders'!$A$8:$H$127,6,FALSE)</x:f>
        <x:v>High</x:v>
      </x:c>
      <x:c r="T636" s="9" t="str"/>
    </x:row>
    <x:row r="637" ht="22" customHeight="1">
      <x:c r="A637" s="2" t="str">
        <x:v>L00493-010</x:v>
      </x:c>
      <x:c r="B637" s="2" t="str">
        <x:v>L00493</x:v>
      </x:c>
      <x:c r="C637" s="2" t="str">
        <x:v>SO-26099</x:v>
      </x:c>
      <x:c r="D637" s="2" t="str">
        <x:v>D-S-AL</x:v>
      </x:c>
      <x:c r="E637" s="14" t="n">
        <x:v>15</x:v>
      </x:c>
      <x:c r="F637" s="2" t="str">
        <x:v>CNC machining</x:v>
      </x:c>
      <x:c r="G637" s="9" t="str">
        <x:v>CNC-01</x:v>
      </x:c>
      <x:c r="H637" s="15" t="n">
        <x:v>25</x:v>
      </x:c>
      <x:c r="I637" s="9" t="str">
        <x:v>P01</x:v>
      </x:c>
      <x:c r="J637" s="11" t="n">
        <x:v>46302.31319444445</x:v>
      </x:c>
      <x:c r="K637" s="15" t="n">
        <x:v>18</x:v>
      </x:c>
      <x:c r="L637" s="15" t="n">
        <x:v>36</x:v>
      </x:c>
      <x:c r="M637" s="13" t="n">
        <x:f>J637+(K637+L637)/1440</x:f>
        <x:v>46302.350694444445</x:v>
      </x:c>
      <x:c r="N637" s="13" t="n">
        <x:f>VLOOKUP(C637,'MES orders'!$A$8:$H$127,5,FALSE)</x:f>
        <x:v>46304.666666666664</x:v>
      </x:c>
      <x:c r="O637" s="16" t="n">
        <x:f>MAX(0,(M637-N637)*24)</x:f>
        <x:v>0</x:v>
      </x:c>
      <x:c r="P637" s="9" t="str">
        <x:v>No</x:v>
      </x:c>
      <x:c r="Q637" s="15" t="n">
        <x:v>18</x:v>
      </x:c>
      <x:c r="R637" s="13" t="n">
        <x:f>J637+Q637/1440</x:f>
        <x:v>46302.325694444444</x:v>
      </x:c>
      <x:c r="S637" s="2" t="str">
        <x:f>VLOOKUP(C637,'MES orders'!$A$8:$H$127,6,FALSE)</x:f>
        <x:v>High</x:v>
      </x:c>
      <x:c r="T637" s="9" t="str"/>
    </x:row>
    <x:row r="638" ht="22" customHeight="1">
      <x:c r="A638" s="2" t="str">
        <x:v>L00446-050</x:v>
      </x:c>
      <x:c r="B638" s="2" t="str">
        <x:v>L00446</x:v>
      </x:c>
      <x:c r="C638" s="2" t="str">
        <x:v>SO-26090</x:v>
      </x:c>
      <x:c r="D638" s="2" t="str">
        <x:v>R-L-SS</x:v>
      </x:c>
      <x:c r="E638" s="14" t="n">
        <x:v>5</x:v>
      </x:c>
      <x:c r="F638" s="2" t="str">
        <x:v>Valve adjustment</x:v>
      </x:c>
      <x:c r="G638" s="9" t="str">
        <x:v>AS-01</x:v>
      </x:c>
      <x:c r="H638" s="15" t="n">
        <x:v>53</x:v>
      </x:c>
      <x:c r="I638" s="9" t="str">
        <x:v>P05</x:v>
      </x:c>
      <x:c r="J638" s="11" t="n">
        <x:v>46302.31458333333</x:v>
      </x:c>
      <x:c r="K638" s="15" t="n">
        <x:v>6</x:v>
      </x:c>
      <x:c r="L638" s="15" t="n">
        <x:v>7</x:v>
      </x:c>
      <x:c r="M638" s="13" t="n">
        <x:f>J638+(K638+L638)/1440</x:f>
        <x:v>46302.32361111111</x:v>
      </x:c>
      <x:c r="N638" s="13" t="n">
        <x:f>VLOOKUP(C638,'MES orders'!$A$8:$H$127,5,FALSE)</x:f>
        <x:v>46303.666666666664</x:v>
      </x:c>
      <x:c r="O638" s="16" t="n">
        <x:f>MAX(0,(M638-N638)*24)</x:f>
        <x:v>0</x:v>
      </x:c>
      <x:c r="P638" s="9" t="str">
        <x:v>No</x:v>
      </x:c>
      <x:c r="Q638" s="15" t="n">
        <x:v>13</x:v>
      </x:c>
      <x:c r="R638" s="13" t="n">
        <x:f>J638+Q638/1440</x:f>
        <x:v>46302.32361111111</x:v>
      </x:c>
      <x:c r="S638" s="2" t="str">
        <x:f>VLOOKUP(C638,'MES orders'!$A$8:$H$127,6,FALSE)</x:f>
        <x:v>Normal</x:v>
      </x:c>
      <x:c r="T638" s="9" t="str"/>
    </x:row>
    <x:row r="639" ht="22" customHeight="1">
      <x:c r="A639" s="2" t="str">
        <x:v>L00530-080</x:v>
      </x:c>
      <x:c r="B639" s="2" t="str">
        <x:v>L00530</x:v>
      </x:c>
      <x:c r="C639" s="2" t="str">
        <x:v>SO-26106</x:v>
      </x:c>
      <x:c r="D639" s="2" t="str">
        <x:v>S-S-SS</x:v>
      </x:c>
      <x:c r="E639" s="14" t="n">
        <x:v>20</x:v>
      </x:c>
      <x:c r="F639" s="2" t="str">
        <x:v>Final leak / function test</x:v>
      </x:c>
      <x:c r="G639" s="9" t="str">
        <x:v>QA-02</x:v>
      </x:c>
      <x:c r="H639" s="15" t="n">
        <x:v>43</x:v>
      </x:c>
      <x:c r="I639" s="9" t="str">
        <x:v>P11</x:v>
      </x:c>
      <x:c r="J639" s="11" t="n">
        <x:v>46302.31458333333</x:v>
      </x:c>
      <x:c r="K639" s="15" t="n">
        <x:v>10</x:v>
      </x:c>
      <x:c r="L639" s="15" t="n">
        <x:v>18</x:v>
      </x:c>
      <x:c r="M639" s="13" t="n">
        <x:f>J639+(K639+L639)/1440</x:f>
        <x:v>46302.334027777775</x:v>
      </x:c>
      <x:c r="N639" s="13" t="n">
        <x:f>VLOOKUP(C639,'MES orders'!$A$8:$H$127,5,FALSE)</x:f>
        <x:v>46303.666666666664</x:v>
      </x:c>
      <x:c r="O639" s="16" t="n">
        <x:f>MAX(0,(M639-N639)*24)</x:f>
        <x:v>0</x:v>
      </x:c>
      <x:c r="P639" s="9" t="str">
        <x:v>No</x:v>
      </x:c>
      <x:c r="Q639" s="15" t="n">
        <x:v>28</x:v>
      </x:c>
      <x:c r="R639" s="13" t="n">
        <x:f>J639+Q639/1440</x:f>
        <x:v>46302.334027777775</x:v>
      </x:c>
      <x:c r="S639" s="2" t="str">
        <x:f>VLOOKUP(C639,'MES orders'!$A$8:$H$127,6,FALSE)</x:f>
        <x:v>High</x:v>
      </x:c>
      <x:c r="T639" s="9" t="str"/>
    </x:row>
    <x:row r="640" ht="22" customHeight="1">
      <x:c r="A640" s="2" t="str">
        <x:v>L00127-060</x:v>
      </x:c>
      <x:c r="B640" s="2" t="str">
        <x:v>L00127</x:v>
      </x:c>
      <x:c r="C640" s="2" t="str">
        <x:v>SO-26026</x:v>
      </x:c>
      <x:c r="D640" s="2" t="str">
        <x:v>S-C-SS</x:v>
      </x:c>
      <x:c r="E640" s="14" t="n">
        <x:v>25</x:v>
      </x:c>
      <x:c r="F640" s="2" t="str">
        <x:v>Sensor calibration</x:v>
      </x:c>
      <x:c r="G640" s="9" t="str">
        <x:v>CAL-01</x:v>
      </x:c>
      <x:c r="H640" s="15" t="n">
        <x:v>21</x:v>
      </x:c>
      <x:c r="I640" s="9" t="str">
        <x:v>P09</x:v>
      </x:c>
      <x:c r="J640" s="11" t="n">
        <x:v>46302.319444444445</x:v>
      </x:c>
      <x:c r="K640" s="15" t="n">
        <x:v>10</x:v>
      </x:c>
      <x:c r="L640" s="15" t="n">
        <x:v>26</x:v>
      </x:c>
      <x:c r="M640" s="13" t="n">
        <x:f>J640+(K640+L640)/1440</x:f>
        <x:v>46302.34444444445</x:v>
      </x:c>
      <x:c r="N640" s="13" t="n">
        <x:f>VLOOKUP(C640,'MES orders'!$A$8:$H$127,5,FALSE)</x:f>
        <x:v>46303.666666666664</x:v>
      </x:c>
      <x:c r="O640" s="16" t="n">
        <x:f>MAX(0,(M640-N640)*24)</x:f>
        <x:v>0</x:v>
      </x:c>
      <x:c r="P640" s="9" t="str">
        <x:v>No</x:v>
      </x:c>
      <x:c r="Q640" s="15" t="n">
        <x:v>36</x:v>
      </x:c>
      <x:c r="R640" s="13" t="n">
        <x:f>J640+Q640/1440</x:f>
        <x:v>46302.34444444445</x:v>
      </x:c>
      <x:c r="S640" s="2" t="str">
        <x:f>VLOOKUP(C640,'MES orders'!$A$8:$H$127,6,FALSE)</x:f>
        <x:v>Normal</x:v>
      </x:c>
      <x:c r="T640" s="9" t="str"/>
    </x:row>
    <x:row r="641" ht="22" customHeight="1">
      <x:c r="A641" s="2" t="str">
        <x:v>L00129-050</x:v>
      </x:c>
      <x:c r="B641" s="2" t="str">
        <x:v>L00129</x:v>
      </x:c>
      <x:c r="C641" s="2" t="str">
        <x:v>SO-26026</x:v>
      </x:c>
      <x:c r="D641" s="2" t="str">
        <x:v>S-C-SS</x:v>
      </x:c>
      <x:c r="E641" s="14" t="n">
        <x:v>25</x:v>
      </x:c>
      <x:c r="F641" s="2" t="str">
        <x:v>Sensor installation</x:v>
      </x:c>
      <x:c r="G641" s="9" t="str">
        <x:v>EL-01</x:v>
      </x:c>
      <x:c r="H641" s="15" t="n">
        <x:v>16</x:v>
      </x:c>
      <x:c r="I641" s="9" t="str">
        <x:v>P07</x:v>
      </x:c>
      <x:c r="J641" s="11" t="n">
        <x:v>46302.319444444445</x:v>
      </x:c>
      <x:c r="K641" s="15" t="n">
        <x:v>8</x:v>
      </x:c>
      <x:c r="L641" s="15" t="n">
        <x:v>24</x:v>
      </x:c>
      <x:c r="M641" s="13" t="n">
        <x:f>J641+(K641+L641)/1440</x:f>
        <x:v>46302.34166666667</x:v>
      </x:c>
      <x:c r="N641" s="13" t="n">
        <x:f>VLOOKUP(C641,'MES orders'!$A$8:$H$127,5,FALSE)</x:f>
        <x:v>46303.666666666664</x:v>
      </x:c>
      <x:c r="O641" s="16" t="n">
        <x:f>MAX(0,(M641-N641)*24)</x:f>
        <x:v>0</x:v>
      </x:c>
      <x:c r="P641" s="9" t="str">
        <x:v>No</x:v>
      </x:c>
      <x:c r="Q641" s="15" t="n">
        <x:v>32</x:v>
      </x:c>
      <x:c r="R641" s="13" t="n">
        <x:f>J641+Q641/1440</x:f>
        <x:v>46302.34166666667</x:v>
      </x:c>
      <x:c r="S641" s="2" t="str">
        <x:f>VLOOKUP(C641,'MES orders'!$A$8:$H$127,6,FALSE)</x:f>
        <x:v>Normal</x:v>
      </x:c>
      <x:c r="T641" s="9" t="str"/>
    </x:row>
    <x:row r="642" ht="22" customHeight="1">
      <x:c r="A642" s="2" t="str">
        <x:v>L00091-030</x:v>
      </x:c>
      <x:c r="B642" s="2" t="str">
        <x:v>L00091</x:v>
      </x:c>
      <x:c r="C642" s="2" t="str">
        <x:v>SO-26019</x:v>
      </x:c>
      <x:c r="D642" s="2" t="str">
        <x:v>D-C-AL</x:v>
      </x:c>
      <x:c r="E642" s="14" t="n">
        <x:v>5</x:v>
      </x:c>
      <x:c r="F642" s="2" t="str">
        <x:v>Wash &amp; dry</x:v>
      </x:c>
      <x:c r="G642" s="9" t="str">
        <x:v>WS-02</x:v>
      </x:c>
      <x:c r="H642" s="15" t="n">
        <x:v>46</x:v>
      </x:c>
      <x:c r="I642" s="9" t="str">
        <x:v>P08</x:v>
      </x:c>
      <x:c r="J642" s="11" t="n">
        <x:v>46302.319444444445</x:v>
      </x:c>
      <x:c r="K642" s="15" t="n">
        <x:v>12</x:v>
      </x:c>
      <x:c r="L642" s="15" t="n">
        <x:v>1</x:v>
      </x:c>
      <x:c r="M642" s="13" t="n">
        <x:f>J642+(K642+L642)/1440</x:f>
        <x:v>46302.32847222222</x:v>
      </x:c>
      <x:c r="N642" s="13" t="n">
        <x:f>VLOOKUP(C642,'MES orders'!$A$8:$H$127,5,FALSE)</x:f>
        <x:v>46304.666666666664</x:v>
      </x:c>
      <x:c r="O642" s="16" t="n">
        <x:f>MAX(0,(M642-N642)*24)</x:f>
        <x:v>0</x:v>
      </x:c>
      <x:c r="P642" s="9" t="str">
        <x:v>No</x:v>
      </x:c>
      <x:c r="Q642" s="15" t="n">
        <x:v>13</x:v>
      </x:c>
      <x:c r="R642" s="13" t="n">
        <x:f>J642+Q642/1440</x:f>
        <x:v>46302.32847222222</x:v>
      </x:c>
      <x:c r="S642" s="2" t="str">
        <x:f>VLOOKUP(C642,'MES orders'!$A$8:$H$127,6,FALSE)</x:f>
        <x:v>Normal</x:v>
      </x:c>
      <x:c r="T642" s="9" t="str"/>
    </x:row>
    <x:row r="643" ht="22" customHeight="1">
      <x:c r="A643" s="2" t="str">
        <x:v>L00491-050</x:v>
      </x:c>
      <x:c r="B643" s="2" t="str">
        <x:v>L00491</x:v>
      </x:c>
      <x:c r="C643" s="2" t="str">
        <x:v>SO-26099</x:v>
      </x:c>
      <x:c r="D643" s="2" t="str">
        <x:v>D-S-AL</x:v>
      </x:c>
      <x:c r="E643" s="14" t="n">
        <x:v>15</x:v>
      </x:c>
      <x:c r="F643" s="2" t="str">
        <x:v>Final leak / function test</x:v>
      </x:c>
      <x:c r="G643" s="9" t="str">
        <x:v>QA-01</x:v>
      </x:c>
      <x:c r="H643" s="15" t="n">
        <x:v>26</x:v>
      </x:c>
      <x:c r="I643" s="9" t="str">
        <x:v>P10</x:v>
      </x:c>
      <x:c r="J643" s="11" t="n">
        <x:v>46302.32152777778</x:v>
      </x:c>
      <x:c r="K643" s="15" t="n">
        <x:v>10</x:v>
      </x:c>
      <x:c r="L643" s="15" t="n">
        <x:v>14</x:v>
      </x:c>
      <x:c r="M643" s="13" t="n">
        <x:f>J643+(K643+L643)/1440</x:f>
        <x:v>46302.33819444445</x:v>
      </x:c>
      <x:c r="N643" s="13" t="n">
        <x:f>VLOOKUP(C643,'MES orders'!$A$8:$H$127,5,FALSE)</x:f>
        <x:v>46304.666666666664</x:v>
      </x:c>
      <x:c r="O643" s="16" t="n">
        <x:f>MAX(0,(M643-N643)*24)</x:f>
        <x:v>0</x:v>
      </x:c>
      <x:c r="P643" s="9" t="str">
        <x:v>No</x:v>
      </x:c>
      <x:c r="Q643" s="15" t="n">
        <x:v>24</x:v>
      </x:c>
      <x:c r="R643" s="13" t="n">
        <x:f>J643+Q643/1440</x:f>
        <x:v>46302.33819444445</x:v>
      </x:c>
      <x:c r="S643" s="2" t="str">
        <x:f>VLOOKUP(C643,'MES orders'!$A$8:$H$127,6,FALSE)</x:f>
        <x:v>High</x:v>
      </x:c>
      <x:c r="T643" s="9" t="str"/>
    </x:row>
    <x:row r="644" ht="22" customHeight="1">
      <x:c r="A644" s="2" t="str">
        <x:v>L00047-050</x:v>
      </x:c>
      <x:c r="B644" s="2" t="str">
        <x:v>L00047</x:v>
      </x:c>
      <x:c r="C644" s="2" t="str">
        <x:v>SO-26010</x:v>
      </x:c>
      <x:c r="D644" s="2" t="str">
        <x:v>R-S-SS</x:v>
      </x:c>
      <x:c r="E644" s="14" t="n">
        <x:v>25</x:v>
      </x:c>
      <x:c r="F644" s="2" t="str">
        <x:v>Valve adjustment</x:v>
      </x:c>
      <x:c r="G644" s="9" t="str">
        <x:v>AS-01</x:v>
      </x:c>
      <x:c r="H644" s="15" t="n">
        <x:v>54</x:v>
      </x:c>
      <x:c r="I644" s="9" t="str">
        <x:v>P05</x:v>
      </x:c>
      <x:c r="J644" s="11" t="n">
        <x:v>46302.32361111111</x:v>
      </x:c>
      <x:c r="K644" s="15" t="n">
        <x:v>6</x:v>
      </x:c>
      <x:c r="L644" s="15" t="n">
        <x:v>28</x:v>
      </x:c>
      <x:c r="M644" s="13" t="n">
        <x:f>J644+(K644+L644)/1440</x:f>
        <x:v>46302.34722222222</x:v>
      </x:c>
      <x:c r="N644" s="13" t="n">
        <x:f>VLOOKUP(C644,'MES orders'!$A$8:$H$127,5,FALSE)</x:f>
        <x:v>46303.666666666664</x:v>
      </x:c>
      <x:c r="O644" s="16" t="n">
        <x:f>MAX(0,(M644-N644)*24)</x:f>
        <x:v>0</x:v>
      </x:c>
      <x:c r="P644" s="9" t="str">
        <x:v>No</x:v>
      </x:c>
      <x:c r="Q644" s="15" t="n">
        <x:v>34</x:v>
      </x:c>
      <x:c r="R644" s="13" t="n">
        <x:f>J644+Q644/1440</x:f>
        <x:v>46302.34722222222</x:v>
      </x:c>
      <x:c r="S644" s="2" t="str">
        <x:f>VLOOKUP(C644,'MES orders'!$A$8:$H$127,6,FALSE)</x:f>
        <x:v>Normal</x:v>
      </x:c>
      <x:c r="T644" s="9" t="str"/>
    </x:row>
    <x:row r="645" ht="22" customHeight="1">
      <x:c r="A645" s="2" t="str">
        <x:v>L00050-040</x:v>
      </x:c>
      <x:c r="B645" s="2" t="str">
        <x:v>L00050</x:v>
      </x:c>
      <x:c r="C645" s="2" t="str">
        <x:v>SO-26010</x:v>
      </x:c>
      <x:c r="D645" s="2" t="str">
        <x:v>R-S-SS</x:v>
      </x:c>
      <x:c r="E645" s="14" t="n">
        <x:v>25</x:v>
      </x:c>
      <x:c r="F645" s="2" t="str">
        <x:v>Mechanical assembly</x:v>
      </x:c>
      <x:c r="G645" s="9" t="str">
        <x:v>AS-03</x:v>
      </x:c>
      <x:c r="H645" s="15" t="n">
        <x:v>33</x:v>
      </x:c>
      <x:c r="I645" s="9" t="str">
        <x:v>P04</x:v>
      </x:c>
      <x:c r="J645" s="11" t="n">
        <x:v>46302.32361111111</x:v>
      </x:c>
      <x:c r="K645" s="15" t="n">
        <x:v>8</x:v>
      </x:c>
      <x:c r="L645" s="15" t="n">
        <x:v>45</x:v>
      </x:c>
      <x:c r="M645" s="13" t="n">
        <x:f>J645+(K645+L645)/1440</x:f>
        <x:v>46302.36041666667</x:v>
      </x:c>
      <x:c r="N645" s="13" t="n">
        <x:f>VLOOKUP(C645,'MES orders'!$A$8:$H$127,5,FALSE)</x:f>
        <x:v>46303.666666666664</x:v>
      </x:c>
      <x:c r="O645" s="16" t="n">
        <x:f>MAX(0,(M645-N645)*24)</x:f>
        <x:v>0</x:v>
      </x:c>
      <x:c r="P645" s="9" t="str">
        <x:v>No</x:v>
      </x:c>
      <x:c r="Q645" s="15" t="n">
        <x:v>53</x:v>
      </x:c>
      <x:c r="R645" s="13" t="n">
        <x:f>J645+Q645/1440</x:f>
        <x:v>46302.36041666667</x:v>
      </x:c>
      <x:c r="S645" s="2" t="str">
        <x:f>VLOOKUP(C645,'MES orders'!$A$8:$H$127,6,FALSE)</x:f>
        <x:v>Normal</x:v>
      </x:c>
      <x:c r="T645" s="9" t="str"/>
    </x:row>
    <x:row r="646" ht="22" customHeight="1">
      <x:c r="A646" s="2" t="str">
        <x:v>L00091-040</x:v>
      </x:c>
      <x:c r="B646" s="2" t="str">
        <x:v>L00091</x:v>
      </x:c>
      <x:c r="C646" s="2" t="str">
        <x:v>SO-26019</x:v>
      </x:c>
      <x:c r="D646" s="2" t="str">
        <x:v>D-C-AL</x:v>
      </x:c>
      <x:c r="E646" s="14" t="n">
        <x:v>5</x:v>
      </x:c>
      <x:c r="F646" s="2" t="str">
        <x:v>Mechanical assembly</x:v>
      </x:c>
      <x:c r="G646" s="9" t="str">
        <x:v>AS-04</x:v>
      </x:c>
      <x:c r="H646" s="15" t="n">
        <x:v>19</x:v>
      </x:c>
      <x:c r="I646" s="9" t="str">
        <x:v>P08</x:v>
      </x:c>
      <x:c r="J646" s="11" t="n">
        <x:v>46302.32847222222</x:v>
      </x:c>
      <x:c r="K646" s="15" t="n">
        <x:v>8</x:v>
      </x:c>
      <x:c r="L646" s="15" t="n">
        <x:v>7</x:v>
      </x:c>
      <x:c r="M646" s="13" t="n">
        <x:f>J646+(K646+L646)/1440</x:f>
        <x:v>46302.33888888889</x:v>
      </x:c>
      <x:c r="N646" s="13" t="n">
        <x:f>VLOOKUP(C646,'MES orders'!$A$8:$H$127,5,FALSE)</x:f>
        <x:v>46304.666666666664</x:v>
      </x:c>
      <x:c r="O646" s="16" t="n">
        <x:f>MAX(0,(M646-N646)*24)</x:f>
        <x:v>0</x:v>
      </x:c>
      <x:c r="P646" s="9" t="str">
        <x:v>No</x:v>
      </x:c>
      <x:c r="Q646" s="15" t="n">
        <x:v>15</x:v>
      </x:c>
      <x:c r="R646" s="13" t="n">
        <x:f>J646+Q646/1440</x:f>
        <x:v>46302.33888888889</x:v>
      </x:c>
      <x:c r="S646" s="2" t="str">
        <x:f>VLOOKUP(C646,'MES orders'!$A$8:$H$127,6,FALSE)</x:f>
        <x:v>Normal</x:v>
      </x:c>
      <x:c r="T646" s="9" t="str"/>
    </x:row>
    <x:row r="647" ht="22" customHeight="1">
      <x:c r="A647" s="2" t="str">
        <x:v>L00089-010</x:v>
      </x:c>
      <x:c r="B647" s="2" t="str">
        <x:v>L00089</x:v>
      </x:c>
      <x:c r="C647" s="2" t="str">
        <x:v>SO-26018</x:v>
      </x:c>
      <x:c r="D647" s="2" t="str">
        <x:v>R-L-SS</x:v>
      </x:c>
      <x:c r="E647" s="14" t="n">
        <x:v>25</x:v>
      </x:c>
      <x:c r="F647" s="2" t="str">
        <x:v>CNC machining</x:v>
      </x:c>
      <x:c r="G647" s="9" t="str">
        <x:v>CNC-04</x:v>
      </x:c>
      <x:c r="H647" s="15" t="n">
        <x:v>20</x:v>
      </x:c>
      <x:c r="I647" s="9" t="str">
        <x:v>P01</x:v>
      </x:c>
      <x:c r="J647" s="11" t="n">
        <x:v>46302.33263888889</x:v>
      </x:c>
      <x:c r="K647" s="15" t="n">
        <x:v>18</x:v>
      </x:c>
      <x:c r="L647" s="15" t="n">
        <x:v>101</x:v>
      </x:c>
      <x:c r="M647" s="13" t="n">
        <x:f>J647+(K647+L647)/1440</x:f>
        <x:v>46302.41527777778</x:v>
      </x:c>
      <x:c r="N647" s="13" t="n">
        <x:f>VLOOKUP(C647,'MES orders'!$A$8:$H$127,5,FALSE)</x:f>
        <x:v>46303.666666666664</x:v>
      </x:c>
      <x:c r="O647" s="16" t="n">
        <x:f>MAX(0,(M647-N647)*24)</x:f>
        <x:v>0</x:v>
      </x:c>
      <x:c r="P647" s="9" t="str">
        <x:v>No</x:v>
      </x:c>
      <x:c r="Q647" s="15" t="n">
        <x:v>18</x:v>
      </x:c>
      <x:c r="R647" s="13" t="n">
        <x:f>J647+Q647/1440</x:f>
        <x:v>46302.345138888886</x:v>
      </x:c>
      <x:c r="S647" s="2" t="str">
        <x:f>VLOOKUP(C647,'MES orders'!$A$8:$H$127,6,FALSE)</x:f>
        <x:v>Normal</x:v>
      </x:c>
      <x:c r="T647" s="9" t="str"/>
    </x:row>
    <x:row r="648" ht="22" customHeight="1">
      <x:c r="A648" s="2" t="str">
        <x:v>L00090-010</x:v>
      </x:c>
      <x:c r="B648" s="2" t="str">
        <x:v>L00090</x:v>
      </x:c>
      <x:c r="C648" s="2" t="str">
        <x:v>SO-26018</x:v>
      </x:c>
      <x:c r="D648" s="2" t="str">
        <x:v>R-L-SS</x:v>
      </x:c>
      <x:c r="E648" s="14" t="n">
        <x:v>25</x:v>
      </x:c>
      <x:c r="F648" s="2" t="str">
        <x:v>CNC machining</x:v>
      </x:c>
      <x:c r="G648" s="9" t="str">
        <x:v>CNC-05</x:v>
      </x:c>
      <x:c r="H648" s="15" t="n">
        <x:v>17</x:v>
      </x:c>
      <x:c r="I648" s="9" t="str">
        <x:v>P02</x:v>
      </x:c>
      <x:c r="J648" s="11" t="n">
        <x:v>46302.33263888889</x:v>
      </x:c>
      <x:c r="K648" s="15" t="n">
        <x:v>18</x:v>
      </x:c>
      <x:c r="L648" s="15" t="n">
        <x:v>101</x:v>
      </x:c>
      <x:c r="M648" s="13" t="n">
        <x:f>J648+(K648+L648)/1440</x:f>
        <x:v>46302.41527777778</x:v>
      </x:c>
      <x:c r="N648" s="13" t="n">
        <x:f>VLOOKUP(C648,'MES orders'!$A$8:$H$127,5,FALSE)</x:f>
        <x:v>46303.666666666664</x:v>
      </x:c>
      <x:c r="O648" s="16" t="n">
        <x:f>MAX(0,(M648-N648)*24)</x:f>
        <x:v>0</x:v>
      </x:c>
      <x:c r="P648" s="9" t="str">
        <x:v>No</x:v>
      </x:c>
      <x:c r="Q648" s="15" t="n">
        <x:v>18</x:v>
      </x:c>
      <x:c r="R648" s="13" t="n">
        <x:f>J648+Q648/1440</x:f>
        <x:v>46302.345138888886</x:v>
      </x:c>
      <x:c r="S648" s="2" t="str">
        <x:f>VLOOKUP(C648,'MES orders'!$A$8:$H$127,6,FALSE)</x:f>
        <x:v>Normal</x:v>
      </x:c>
      <x:c r="T648" s="9" t="str"/>
    </x:row>
    <x:row r="649" ht="22" customHeight="1">
      <x:c r="A649" s="2" t="str">
        <x:v>L00130-010</x:v>
      </x:c>
      <x:c r="B649" s="2" t="str">
        <x:v>L00130</x:v>
      </x:c>
      <x:c r="C649" s="2" t="str">
        <x:v>SO-26026</x:v>
      </x:c>
      <x:c r="D649" s="2" t="str">
        <x:v>S-C-SS</x:v>
      </x:c>
      <x:c r="E649" s="14" t="n">
        <x:v>25</x:v>
      </x:c>
      <x:c r="F649" s="2" t="str">
        <x:v>CNC machining</x:v>
      </x:c>
      <x:c r="G649" s="9" t="str">
        <x:v>CNC-06</x:v>
      </x:c>
      <x:c r="H649" s="15" t="n">
        <x:v>16</x:v>
      </x:c>
      <x:c r="I649" s="9" t="str">
        <x:v>P03</x:v>
      </x:c>
      <x:c r="J649" s="11" t="n">
        <x:v>46302.33263888889</x:v>
      </x:c>
      <x:c r="K649" s="15" t="n">
        <x:v>18</x:v>
      </x:c>
      <x:c r="L649" s="15" t="n">
        <x:v>60</x:v>
      </x:c>
      <x:c r="M649" s="13" t="n">
        <x:f>J649+(K649+L649)/1440</x:f>
        <x:v>46302.38680555556</x:v>
      </x:c>
      <x:c r="N649" s="13" t="n">
        <x:f>VLOOKUP(C649,'MES orders'!$A$8:$H$127,5,FALSE)</x:f>
        <x:v>46303.666666666664</x:v>
      </x:c>
      <x:c r="O649" s="16" t="n">
        <x:f>MAX(0,(M649-N649)*24)</x:f>
        <x:v>0</x:v>
      </x:c>
      <x:c r="P649" s="9" t="str">
        <x:v>No</x:v>
      </x:c>
      <x:c r="Q649" s="15" t="n">
        <x:v>18</x:v>
      </x:c>
      <x:c r="R649" s="13" t="n">
        <x:f>J649+Q649/1440</x:f>
        <x:v>46302.345138888886</x:v>
      </x:c>
      <x:c r="S649" s="2" t="str">
        <x:f>VLOOKUP(C649,'MES orders'!$A$8:$H$127,6,FALSE)</x:f>
        <x:v>Normal</x:v>
      </x:c>
      <x:c r="T649" s="9" t="str"/>
    </x:row>
    <x:row r="650" ht="22" customHeight="1">
      <x:c r="A650" s="2" t="str">
        <x:v>L00446-060</x:v>
      </x:c>
      <x:c r="B650" s="2" t="str">
        <x:v>L00446</x:v>
      </x:c>
      <x:c r="C650" s="2" t="str">
        <x:v>SO-26090</x:v>
      </x:c>
      <x:c r="D650" s="2" t="str">
        <x:v>R-L-SS</x:v>
      </x:c>
      <x:c r="E650" s="14" t="n">
        <x:v>5</x:v>
      </x:c>
      <x:c r="F650" s="2" t="str">
        <x:v>Final leak / function test</x:v>
      </x:c>
      <x:c r="G650" s="9" t="str">
        <x:v>QA-03</x:v>
      </x:c>
      <x:c r="H650" s="15" t="n">
        <x:v>30</x:v>
      </x:c>
      <x:c r="I650" s="9" t="str">
        <x:v>P12</x:v>
      </x:c>
      <x:c r="J650" s="11" t="n">
        <x:v>46302.33263888889</x:v>
      </x:c>
      <x:c r="K650" s="15" t="n">
        <x:v>10</x:v>
      </x:c>
      <x:c r="L650" s="15" t="n">
        <x:v>6</x:v>
      </x:c>
      <x:c r="M650" s="13" t="n">
        <x:f>J650+(K650+L650)/1440</x:f>
        <x:v>46302.34375</x:v>
      </x:c>
      <x:c r="N650" s="13" t="n">
        <x:f>VLOOKUP(C650,'MES orders'!$A$8:$H$127,5,FALSE)</x:f>
        <x:v>46303.666666666664</x:v>
      </x:c>
      <x:c r="O650" s="16" t="n">
        <x:f>MAX(0,(M650-N650)*24)</x:f>
        <x:v>0</x:v>
      </x:c>
      <x:c r="P650" s="9" t="str">
        <x:v>No</x:v>
      </x:c>
      <x:c r="Q650" s="15" t="n">
        <x:v>16</x:v>
      </x:c>
      <x:c r="R650" s="13" t="n">
        <x:f>J650+Q650/1440</x:f>
        <x:v>46302.34375</x:v>
      </x:c>
      <x:c r="S650" s="2" t="str">
        <x:f>VLOOKUP(C650,'MES orders'!$A$8:$H$127,6,FALSE)</x:f>
        <x:v>Normal</x:v>
      </x:c>
      <x:c r="T650" s="9" t="str"/>
    </x:row>
    <x:row r="651" ht="22" customHeight="1">
      <x:c r="A651" s="2" t="str">
        <x:v>L00492-040</x:v>
      </x:c>
      <x:c r="B651" s="2" t="str">
        <x:v>L00492</x:v>
      </x:c>
      <x:c r="C651" s="2" t="str">
        <x:v>SO-26099</x:v>
      </x:c>
      <x:c r="D651" s="2" t="str">
        <x:v>D-S-AL</x:v>
      </x:c>
      <x:c r="E651" s="14" t="n">
        <x:v>15</x:v>
      </x:c>
      <x:c r="F651" s="2" t="str">
        <x:v>Mechanical assembly</x:v>
      </x:c>
      <x:c r="G651" s="9" t="str">
        <x:v>AS-05</x:v>
      </x:c>
      <x:c r="H651" s="15" t="n">
        <x:v>17</x:v>
      </x:c>
      <x:c r="I651" s="9" t="str">
        <x:v>P07</x:v>
      </x:c>
      <x:c r="J651" s="11" t="n">
        <x:v>46302.34166666667</x:v>
      </x:c>
      <x:c r="K651" s="15" t="n">
        <x:v>8</x:v>
      </x:c>
      <x:c r="L651" s="15" t="n">
        <x:v>27</x:v>
      </x:c>
      <x:c r="M651" s="13" t="n">
        <x:f>J651+(K651+L651)/1440</x:f>
        <x:v>46302.36597222222</x:v>
      </x:c>
      <x:c r="N651" s="13" t="n">
        <x:f>VLOOKUP(C651,'MES orders'!$A$8:$H$127,5,FALSE)</x:f>
        <x:v>46304.666666666664</x:v>
      </x:c>
      <x:c r="O651" s="16" t="n">
        <x:f>MAX(0,(M651-N651)*24)</x:f>
        <x:v>0</x:v>
      </x:c>
      <x:c r="P651" s="9" t="str">
        <x:v>No</x:v>
      </x:c>
      <x:c r="Q651" s="15" t="n">
        <x:v>35</x:v>
      </x:c>
      <x:c r="R651" s="13" t="n">
        <x:f>J651+Q651/1440</x:f>
        <x:v>46302.36597222222</x:v>
      </x:c>
      <x:c r="S651" s="2" t="str">
        <x:f>VLOOKUP(C651,'MES orders'!$A$8:$H$127,6,FALSE)</x:f>
        <x:v>High</x:v>
      </x:c>
      <x:c r="T651" s="9" t="str"/>
    </x:row>
    <x:row r="652" ht="22" customHeight="1">
      <x:c r="A652" s="2" t="str">
        <x:v>L00091-050</x:v>
      </x:c>
      <x:c r="B652" s="2" t="str">
        <x:v>L00091</x:v>
      </x:c>
      <x:c r="C652" s="2" t="str">
        <x:v>SO-26019</x:v>
      </x:c>
      <x:c r="D652" s="2" t="str">
        <x:v>D-C-AL</x:v>
      </x:c>
      <x:c r="E652" s="14" t="n">
        <x:v>5</x:v>
      </x:c>
      <x:c r="F652" s="2" t="str">
        <x:v>Final leak / function test</x:v>
      </x:c>
      <x:c r="G652" s="9" t="str">
        <x:v>QA-01</x:v>
      </x:c>
      <x:c r="H652" s="15" t="n">
        <x:v>27</x:v>
      </x:c>
      <x:c r="I652" s="9" t="str">
        <x:v>P12</x:v>
      </x:c>
      <x:c r="J652" s="11" t="n">
        <x:v>46302.34375</x:v>
      </x:c>
      <x:c r="K652" s="15" t="n">
        <x:v>10</x:v>
      </x:c>
      <x:c r="L652" s="15" t="n">
        <x:v>4</x:v>
      </x:c>
      <x:c r="M652" s="13" t="n">
        <x:f>J652+(K652+L652)/1440</x:f>
        <x:v>46302.353472222225</x:v>
      </x:c>
      <x:c r="N652" s="13" t="n">
        <x:f>VLOOKUP(C652,'MES orders'!$A$8:$H$127,5,FALSE)</x:f>
        <x:v>46304.666666666664</x:v>
      </x:c>
      <x:c r="O652" s="16" t="n">
        <x:f>MAX(0,(M652-N652)*24)</x:f>
        <x:v>0</x:v>
      </x:c>
      <x:c r="P652" s="9" t="str">
        <x:v>No</x:v>
      </x:c>
      <x:c r="Q652" s="15" t="n">
        <x:v>14</x:v>
      </x:c>
      <x:c r="R652" s="13" t="n">
        <x:f>J652+Q652/1440</x:f>
        <x:v>46302.353472222225</x:v>
      </x:c>
      <x:c r="S652" s="2" t="str">
        <x:f>VLOOKUP(C652,'MES orders'!$A$8:$H$127,6,FALSE)</x:f>
        <x:v>Normal</x:v>
      </x:c>
      <x:c r="T652" s="9" t="str"/>
    </x:row>
    <x:row r="653" ht="22" customHeight="1">
      <x:c r="A653" s="2" t="str">
        <x:v>L00127-070</x:v>
      </x:c>
      <x:c r="B653" s="2" t="str">
        <x:v>L00127</x:v>
      </x:c>
      <x:c r="C653" s="2" t="str">
        <x:v>SO-26026</x:v>
      </x:c>
      <x:c r="D653" s="2" t="str">
        <x:v>S-C-SS</x:v>
      </x:c>
      <x:c r="E653" s="14" t="n">
        <x:v>25</x:v>
      </x:c>
      <x:c r="F653" s="2" t="str">
        <x:v>Final assembly</x:v>
      </x:c>
      <x:c r="G653" s="9" t="str">
        <x:v>AS-04</x:v>
      </x:c>
      <x:c r="H653" s="15" t="n">
        <x:v>20</x:v>
      </x:c>
      <x:c r="I653" s="9" t="str">
        <x:v>P08</x:v>
      </x:c>
      <x:c r="J653" s="11" t="n">
        <x:v>46302.34444444445</x:v>
      </x:c>
      <x:c r="K653" s="15" t="n">
        <x:v>5</x:v>
      </x:c>
      <x:c r="L653" s="15" t="n">
        <x:v>16</x:v>
      </x:c>
      <x:c r="M653" s="13" t="n">
        <x:f>J653+(K653+L653)/1440</x:f>
        <x:v>46302.35902777778</x:v>
      </x:c>
      <x:c r="N653" s="13" t="n">
        <x:f>VLOOKUP(C653,'MES orders'!$A$8:$H$127,5,FALSE)</x:f>
        <x:v>46303.666666666664</x:v>
      </x:c>
      <x:c r="O653" s="16" t="n">
        <x:f>MAX(0,(M653-N653)*24)</x:f>
        <x:v>0</x:v>
      </x:c>
      <x:c r="P653" s="9" t="str">
        <x:v>No</x:v>
      </x:c>
      <x:c r="Q653" s="15" t="n">
        <x:v>21</x:v>
      </x:c>
      <x:c r="R653" s="13" t="n">
        <x:f>J653+Q653/1440</x:f>
        <x:v>46302.35902777778</x:v>
      </x:c>
      <x:c r="S653" s="2" t="str">
        <x:f>VLOOKUP(C653,'MES orders'!$A$8:$H$127,6,FALSE)</x:f>
        <x:v>Normal</x:v>
      </x:c>
      <x:c r="T653" s="9" t="str"/>
    </x:row>
    <x:row r="654" ht="22" customHeight="1">
      <x:c r="A654" s="2" t="str">
        <x:v>L00128-060</x:v>
      </x:c>
      <x:c r="B654" s="2" t="str">
        <x:v>L00128</x:v>
      </x:c>
      <x:c r="C654" s="2" t="str">
        <x:v>SO-26026</x:v>
      </x:c>
      <x:c r="D654" s="2" t="str">
        <x:v>S-C-SS</x:v>
      </x:c>
      <x:c r="E654" s="14" t="n">
        <x:v>25</x:v>
      </x:c>
      <x:c r="F654" s="2" t="str">
        <x:v>Sensor calibration</x:v>
      </x:c>
      <x:c r="G654" s="9" t="str">
        <x:v>CAL-01</x:v>
      </x:c>
      <x:c r="H654" s="15" t="n">
        <x:v>22</x:v>
      </x:c>
      <x:c r="I654" s="9" t="str">
        <x:v>P09</x:v>
      </x:c>
      <x:c r="J654" s="11" t="n">
        <x:v>46302.34444444445</x:v>
      </x:c>
      <x:c r="K654" s="15" t="n">
        <x:v>10</x:v>
      </x:c>
      <x:c r="L654" s="15" t="n">
        <x:v>26</x:v>
      </x:c>
      <x:c r="M654" s="13" t="n">
        <x:f>J654+(K654+L654)/1440</x:f>
        <x:v>46302.36944444445</x:v>
      </x:c>
      <x:c r="N654" s="13" t="n">
        <x:f>VLOOKUP(C654,'MES orders'!$A$8:$H$127,5,FALSE)</x:f>
        <x:v>46303.666666666664</x:v>
      </x:c>
      <x:c r="O654" s="16" t="n">
        <x:f>MAX(0,(M654-N654)*24)</x:f>
        <x:v>0</x:v>
      </x:c>
      <x:c r="P654" s="9" t="str">
        <x:v>No</x:v>
      </x:c>
      <x:c r="Q654" s="15" t="n">
        <x:v>36</x:v>
      </x:c>
      <x:c r="R654" s="13" t="n">
        <x:f>J654+Q654/1440</x:f>
        <x:v>46302.36944444445</x:v>
      </x:c>
      <x:c r="S654" s="2" t="str">
        <x:f>VLOOKUP(C654,'MES orders'!$A$8:$H$127,6,FALSE)</x:f>
        <x:v>Normal</x:v>
      </x:c>
      <x:c r="T654" s="9" t="str"/>
    </x:row>
    <x:row r="655" ht="22" customHeight="1">
      <x:c r="A655" s="2" t="str">
        <x:v>L00494-010</x:v>
      </x:c>
      <x:c r="B655" s="2" t="str">
        <x:v>L00494</x:v>
      </x:c>
      <x:c r="C655" s="2" t="str">
        <x:v>SO-26099</x:v>
      </x:c>
      <x:c r="D655" s="2" t="str">
        <x:v>D-S-AL</x:v>
      </x:c>
      <x:c r="E655" s="14" t="n">
        <x:v>15</x:v>
      </x:c>
      <x:c r="F655" s="2" t="str">
        <x:v>CNC machining</x:v>
      </x:c>
      <x:c r="G655" s="9" t="str">
        <x:v>CNC-02</x:v>
      </x:c>
      <x:c r="H655" s="15" t="n">
        <x:v>18</x:v>
      </x:c>
      <x:c r="I655" s="9" t="str">
        <x:v>P01</x:v>
      </x:c>
      <x:c r="J655" s="11" t="n">
        <x:v>46302.345138888886</x:v>
      </x:c>
      <x:c r="K655" s="15" t="n">
        <x:v>18</x:v>
      </x:c>
      <x:c r="L655" s="15" t="n">
        <x:v>36</x:v>
      </x:c>
      <x:c r="M655" s="13" t="n">
        <x:f>J655+(K655+L655)/1440</x:f>
        <x:v>46302.382638888885</x:v>
      </x:c>
      <x:c r="N655" s="13" t="n">
        <x:f>VLOOKUP(C655,'MES orders'!$A$8:$H$127,5,FALSE)</x:f>
        <x:v>46304.666666666664</x:v>
      </x:c>
      <x:c r="O655" s="16" t="n">
        <x:f>MAX(0,(M655-N655)*24)</x:f>
        <x:v>0</x:v>
      </x:c>
      <x:c r="P655" s="9" t="str">
        <x:v>No</x:v>
      </x:c>
      <x:c r="Q655" s="15" t="n">
        <x:v>18</x:v>
      </x:c>
      <x:c r="R655" s="13" t="n">
        <x:f>J655+Q655/1440</x:f>
        <x:v>46302.35763888888</x:v>
      </x:c>
      <x:c r="S655" s="2" t="str">
        <x:f>VLOOKUP(C655,'MES orders'!$A$8:$H$127,6,FALSE)</x:f>
        <x:v>High</x:v>
      </x:c>
      <x:c r="T655" s="9" t="str"/>
    </x:row>
    <x:row r="656" ht="22" customHeight="1">
      <x:c r="A656" s="2" t="str">
        <x:v>L00048-050</x:v>
      </x:c>
      <x:c r="B656" s="2" t="str">
        <x:v>L00048</x:v>
      </x:c>
      <x:c r="C656" s="2" t="str">
        <x:v>SO-26010</x:v>
      </x:c>
      <x:c r="D656" s="2" t="str">
        <x:v>R-S-SS</x:v>
      </x:c>
      <x:c r="E656" s="14" t="n">
        <x:v>25</x:v>
      </x:c>
      <x:c r="F656" s="2" t="str">
        <x:v>Valve adjustment</x:v>
      </x:c>
      <x:c r="G656" s="9" t="str">
        <x:v>AS-01</x:v>
      </x:c>
      <x:c r="H656" s="15" t="n">
        <x:v>55</x:v>
      </x:c>
      <x:c r="I656" s="9" t="str">
        <x:v>P05</x:v>
      </x:c>
      <x:c r="J656" s="11" t="n">
        <x:v>46302.34722222222</x:v>
      </x:c>
      <x:c r="K656" s="15" t="n">
        <x:v>6</x:v>
      </x:c>
      <x:c r="L656" s="15" t="n">
        <x:v>28</x:v>
      </x:c>
      <x:c r="M656" s="13" t="n">
        <x:f>J656+(K656+L656)/1440</x:f>
        <x:v>46302.37083333333</x:v>
      </x:c>
      <x:c r="N656" s="13" t="n">
        <x:f>VLOOKUP(C656,'MES orders'!$A$8:$H$127,5,FALSE)</x:f>
        <x:v>46303.666666666664</x:v>
      </x:c>
      <x:c r="O656" s="16" t="n">
        <x:f>MAX(0,(M656-N656)*24)</x:f>
        <x:v>0</x:v>
      </x:c>
      <x:c r="P656" s="9" t="str">
        <x:v>No</x:v>
      </x:c>
      <x:c r="Q656" s="15" t="n">
        <x:v>34</x:v>
      </x:c>
      <x:c r="R656" s="13" t="n">
        <x:f>J656+Q656/1440</x:f>
        <x:v>46302.37083333333</x:v>
      </x:c>
      <x:c r="S656" s="2" t="str">
        <x:f>VLOOKUP(C656,'MES orders'!$A$8:$H$127,6,FALSE)</x:f>
        <x:v>Normal</x:v>
      </x:c>
      <x:c r="T656" s="9" t="str"/>
    </x:row>
    <x:row r="657" ht="22" customHeight="1">
      <x:c r="A657" s="2" t="str">
        <x:v>L00047-060</x:v>
      </x:c>
      <x:c r="B657" s="2" t="str">
        <x:v>L00047</x:v>
      </x:c>
      <x:c r="C657" s="2" t="str">
        <x:v>SO-26010</x:v>
      </x:c>
      <x:c r="D657" s="2" t="str">
        <x:v>R-S-SS</x:v>
      </x:c>
      <x:c r="E657" s="14" t="n">
        <x:v>25</x:v>
      </x:c>
      <x:c r="F657" s="2" t="str">
        <x:v>Final leak / function test</x:v>
      </x:c>
      <x:c r="G657" s="9" t="str">
        <x:v>QA-02</x:v>
      </x:c>
      <x:c r="H657" s="15" t="n">
        <x:v>44</x:v>
      </x:c>
      <x:c r="I657" s="9" t="str">
        <x:v>P11</x:v>
      </x:c>
      <x:c r="J657" s="11" t="n">
        <x:v>46302.34722222222</x:v>
      </x:c>
      <x:c r="K657" s="15" t="n">
        <x:v>10</x:v>
      </x:c>
      <x:c r="L657" s="15" t="n">
        <x:v>22</x:v>
      </x:c>
      <x:c r="M657" s="13" t="n">
        <x:f>J657+(K657+L657)/1440</x:f>
        <x:v>46302.36944444444</x:v>
      </x:c>
      <x:c r="N657" s="13" t="n">
        <x:f>VLOOKUP(C657,'MES orders'!$A$8:$H$127,5,FALSE)</x:f>
        <x:v>46303.666666666664</x:v>
      </x:c>
      <x:c r="O657" s="16" t="n">
        <x:f>MAX(0,(M657-N657)*24)</x:f>
        <x:v>0</x:v>
      </x:c>
      <x:c r="P657" s="9" t="str">
        <x:v>No</x:v>
      </x:c>
      <x:c r="Q657" s="15" t="n">
        <x:v>32</x:v>
      </x:c>
      <x:c r="R657" s="13" t="n">
        <x:f>J657+Q657/1440</x:f>
        <x:v>46302.36944444444</x:v>
      </x:c>
      <x:c r="S657" s="2" t="str">
        <x:f>VLOOKUP(C657,'MES orders'!$A$8:$H$127,6,FALSE)</x:f>
        <x:v>Normal</x:v>
      </x:c>
      <x:c r="T657" s="9" t="str"/>
    </x:row>
    <x:row r="658" ht="22" customHeight="1">
      <x:c r="A658" s="2" t="str">
        <x:v>L00126-030</x:v>
      </x:c>
      <x:c r="B658" s="2" t="str">
        <x:v>L00126</x:v>
      </x:c>
      <x:c r="C658" s="2" t="str">
        <x:v>SO-26026</x:v>
      </x:c>
      <x:c r="D658" s="2" t="str">
        <x:v>S-C-SS</x:v>
      </x:c>
      <x:c r="E658" s="14" t="n">
        <x:v>25</x:v>
      </x:c>
      <x:c r="F658" s="2" t="str">
        <x:v>Wash &amp; dry</x:v>
      </x:c>
      <x:c r="G658" s="9" t="str">
        <x:v>WS-01</x:v>
      </x:c>
      <x:c r="H658" s="15" t="n">
        <x:v>62</x:v>
      </x:c>
      <x:c r="I658" s="9" t="str">
        <x:v>P06</x:v>
      </x:c>
      <x:c r="J658" s="11" t="n">
        <x:v>46302.34722222222</x:v>
      </x:c>
      <x:c r="K658" s="15" t="n">
        <x:v>12</x:v>
      </x:c>
      <x:c r="L658" s="15" t="n">
        <x:v>7</x:v>
      </x:c>
      <x:c r="M658" s="13" t="n">
        <x:f>J658+(K658+L658)/1440</x:f>
        <x:v>46302.36041666666</x:v>
      </x:c>
      <x:c r="N658" s="13" t="n">
        <x:f>VLOOKUP(C658,'MES orders'!$A$8:$H$127,5,FALSE)</x:f>
        <x:v>46303.666666666664</x:v>
      </x:c>
      <x:c r="O658" s="16" t="n">
        <x:f>MAX(0,(M658-N658)*24)</x:f>
        <x:v>0</x:v>
      </x:c>
      <x:c r="P658" s="9" t="str">
        <x:v>No</x:v>
      </x:c>
      <x:c r="Q658" s="15" t="n">
        <x:v>19</x:v>
      </x:c>
      <x:c r="R658" s="13" t="n">
        <x:f>J658+Q658/1440</x:f>
        <x:v>46302.36041666666</x:v>
      </x:c>
      <x:c r="S658" s="2" t="str">
        <x:f>VLOOKUP(C658,'MES orders'!$A$8:$H$127,6,FALSE)</x:f>
        <x:v>Normal</x:v>
      </x:c>
      <x:c r="T658" s="9" t="str"/>
    </x:row>
    <x:row r="659" ht="22" customHeight="1">
      <x:c r="A659" s="2" t="str">
        <x:v>L00495-010</x:v>
      </x:c>
      <x:c r="B659" s="2" t="str">
        <x:v>L00495</x:v>
      </x:c>
      <x:c r="C659" s="2" t="str">
        <x:v>SO-26099</x:v>
      </x:c>
      <x:c r="D659" s="2" t="str">
        <x:v>D-S-AL</x:v>
      </x:c>
      <x:c r="E659" s="14" t="n">
        <x:v>15</x:v>
      </x:c>
      <x:c r="F659" s="2" t="str">
        <x:v>CNC machining</x:v>
      </x:c>
      <x:c r="G659" s="9" t="str">
        <x:v>CNC-01</x:v>
      </x:c>
      <x:c r="H659" s="15" t="n">
        <x:v>26</x:v>
      </x:c>
      <x:c r="I659" s="9" t="str">
        <x:v>P02</x:v>
      </x:c>
      <x:c r="J659" s="11" t="n">
        <x:v>46302.350694444445</x:v>
      </x:c>
      <x:c r="K659" s="15" t="n">
        <x:v>18</x:v>
      </x:c>
      <x:c r="L659" s="15" t="n">
        <x:v>36</x:v>
      </x:c>
      <x:c r="M659" s="13" t="n">
        <x:f>J659+(K659+L659)/1440</x:f>
        <x:v>46302.388194444444</x:v>
      </x:c>
      <x:c r="N659" s="13" t="n">
        <x:f>VLOOKUP(C659,'MES orders'!$A$8:$H$127,5,FALSE)</x:f>
        <x:v>46304.666666666664</x:v>
      </x:c>
      <x:c r="O659" s="16" t="n">
        <x:f>MAX(0,(M659-N659)*24)</x:f>
        <x:v>0</x:v>
      </x:c>
      <x:c r="P659" s="9" t="str">
        <x:v>No</x:v>
      </x:c>
      <x:c r="Q659" s="15" t="n">
        <x:v>18</x:v>
      </x:c>
      <x:c r="R659" s="13" t="n">
        <x:f>J659+Q659/1440</x:f>
        <x:v>46302.36319444444</x:v>
      </x:c>
      <x:c r="S659" s="2" t="str">
        <x:f>VLOOKUP(C659,'MES orders'!$A$8:$H$127,6,FALSE)</x:f>
        <x:v>High</x:v>
      </x:c>
      <x:c r="T659" s="9" t="str"/>
    </x:row>
    <x:row r="660" ht="22" customHeight="1">
      <x:c r="A660" s="2" t="str">
        <x:v>L00127-080</x:v>
      </x:c>
      <x:c r="B660" s="2" t="str">
        <x:v>L00127</x:v>
      </x:c>
      <x:c r="C660" s="2" t="str">
        <x:v>SO-26026</x:v>
      </x:c>
      <x:c r="D660" s="2" t="str">
        <x:v>S-C-SS</x:v>
      </x:c>
      <x:c r="E660" s="14" t="n">
        <x:v>25</x:v>
      </x:c>
      <x:c r="F660" s="2" t="str">
        <x:v>Final leak / function test</x:v>
      </x:c>
      <x:c r="G660" s="9" t="str">
        <x:v>QA-03</x:v>
      </x:c>
      <x:c r="H660" s="15" t="n">
        <x:v>31</x:v>
      </x:c>
      <x:c r="I660" s="9" t="str">
        <x:v>P12</x:v>
      </x:c>
      <x:c r="J660" s="11" t="n">
        <x:v>46302.35902777778</x:v>
      </x:c>
      <x:c r="K660" s="15" t="n">
        <x:v>10</x:v>
      </x:c>
      <x:c r="L660" s="15" t="n">
        <x:v>18</x:v>
      </x:c>
      <x:c r="M660" s="13" t="n">
        <x:f>J660+(K660+L660)/1440</x:f>
        <x:v>46302.37847222222</x:v>
      </x:c>
      <x:c r="N660" s="13" t="n">
        <x:f>VLOOKUP(C660,'MES orders'!$A$8:$H$127,5,FALSE)</x:f>
        <x:v>46303.666666666664</x:v>
      </x:c>
      <x:c r="O660" s="16" t="n">
        <x:f>MAX(0,(M660-N660)*24)</x:f>
        <x:v>0</x:v>
      </x:c>
      <x:c r="P660" s="9" t="str">
        <x:v>No</x:v>
      </x:c>
      <x:c r="Q660" s="15" t="n">
        <x:v>28</x:v>
      </x:c>
      <x:c r="R660" s="13" t="n">
        <x:f>J660+Q660/1440</x:f>
        <x:v>46302.37847222222</x:v>
      </x:c>
      <x:c r="S660" s="2" t="str">
        <x:f>VLOOKUP(C660,'MES orders'!$A$8:$H$127,6,FALSE)</x:f>
        <x:v>Normal</x:v>
      </x:c>
      <x:c r="T660" s="9" t="str"/>
    </x:row>
    <x:row r="661" ht="22" customHeight="1">
      <x:c r="A661" s="2" t="str">
        <x:v>L00050-050</x:v>
      </x:c>
      <x:c r="B661" s="2" t="str">
        <x:v>L00050</x:v>
      </x:c>
      <x:c r="C661" s="2" t="str">
        <x:v>SO-26010</x:v>
      </x:c>
      <x:c r="D661" s="2" t="str">
        <x:v>R-S-SS</x:v>
      </x:c>
      <x:c r="E661" s="14" t="n">
        <x:v>25</x:v>
      </x:c>
      <x:c r="F661" s="2" t="str">
        <x:v>Valve adjustment</x:v>
      </x:c>
      <x:c r="G661" s="9" t="str">
        <x:v>AS-02</x:v>
      </x:c>
      <x:c r="H661" s="15" t="n">
        <x:v>44</x:v>
      </x:c>
      <x:c r="I661" s="9" t="str">
        <x:v>P06</x:v>
      </x:c>
      <x:c r="J661" s="11" t="n">
        <x:v>46302.36041666667</x:v>
      </x:c>
      <x:c r="K661" s="15" t="n">
        <x:v>6</x:v>
      </x:c>
      <x:c r="L661" s="15" t="n">
        <x:v>28</x:v>
      </x:c>
      <x:c r="M661" s="13" t="n">
        <x:f>J661+(K661+L661)/1440</x:f>
        <x:v>46302.38402777778</x:v>
      </x:c>
      <x:c r="N661" s="13" t="n">
        <x:f>VLOOKUP(C661,'MES orders'!$A$8:$H$127,5,FALSE)</x:f>
        <x:v>46303.666666666664</x:v>
      </x:c>
      <x:c r="O661" s="16" t="n">
        <x:f>MAX(0,(M661-N661)*24)</x:f>
        <x:v>0</x:v>
      </x:c>
      <x:c r="P661" s="9" t="str">
        <x:v>No</x:v>
      </x:c>
      <x:c r="Q661" s="15" t="n">
        <x:v>34</x:v>
      </x:c>
      <x:c r="R661" s="13" t="n">
        <x:f>J661+Q661/1440</x:f>
        <x:v>46302.38402777778</x:v>
      </x:c>
      <x:c r="S661" s="2" t="str">
        <x:f>VLOOKUP(C661,'MES orders'!$A$8:$H$127,6,FALSE)</x:f>
        <x:v>Normal</x:v>
      </x:c>
      <x:c r="T661" s="9" t="str"/>
    </x:row>
    <x:row r="662" ht="22" customHeight="1">
      <x:c r="A662" s="2" t="str">
        <x:v>L00086-020</x:v>
      </x:c>
      <x:c r="B662" s="2" t="str">
        <x:v>L00086</x:v>
      </x:c>
      <x:c r="C662" s="2" t="str">
        <x:v>SO-26018</x:v>
      </x:c>
      <x:c r="D662" s="2" t="str">
        <x:v>R-L-SS</x:v>
      </x:c>
      <x:c r="E662" s="14" t="n">
        <x:v>25</x:v>
      </x:c>
      <x:c r="F662" s="2" t="str">
        <x:v>Deburr &amp; inspect</x:v>
      </x:c>
      <x:c r="G662" s="9" t="str">
        <x:v>DB-01</x:v>
      </x:c>
      <x:c r="H662" s="15" t="n">
        <x:v>65</x:v>
      </x:c>
      <x:c r="I662" s="9" t="str">
        <x:v>P04</x:v>
      </x:c>
      <x:c r="J662" s="11" t="n">
        <x:v>46302.36041666667</x:v>
      </x:c>
      <x:c r="K662" s="15" t="n">
        <x:v>4</x:v>
      </x:c>
      <x:c r="L662" s="15" t="n">
        <x:v>24</x:v>
      </x:c>
      <x:c r="M662" s="13" t="n">
        <x:f>J662+(K662+L662)/1440</x:f>
        <x:v>46302.37986111111</x:v>
      </x:c>
      <x:c r="N662" s="13" t="n">
        <x:f>VLOOKUP(C662,'MES orders'!$A$8:$H$127,5,FALSE)</x:f>
        <x:v>46303.666666666664</x:v>
      </x:c>
      <x:c r="O662" s="16" t="n">
        <x:f>MAX(0,(M662-N662)*24)</x:f>
        <x:v>0</x:v>
      </x:c>
      <x:c r="P662" s="9" t="str">
        <x:v>No</x:v>
      </x:c>
      <x:c r="Q662" s="15" t="n">
        <x:v>28</x:v>
      </x:c>
      <x:c r="R662" s="13" t="n">
        <x:f>J662+Q662/1440</x:f>
        <x:v>46302.37986111111</x:v>
      </x:c>
      <x:c r="S662" s="2" t="str">
        <x:f>VLOOKUP(C662,'MES orders'!$A$8:$H$127,6,FALSE)</x:f>
        <x:v>Normal</x:v>
      </x:c>
      <x:c r="T662" s="9" t="str"/>
    </x:row>
    <x:row r="663" ht="22" customHeight="1">
      <x:c r="A663" s="2" t="str">
        <x:v>L00128-070</x:v>
      </x:c>
      <x:c r="B663" s="2" t="str">
        <x:v>L00128</x:v>
      </x:c>
      <x:c r="C663" s="2" t="str">
        <x:v>SO-26026</x:v>
      </x:c>
      <x:c r="D663" s="2" t="str">
        <x:v>S-C-SS</x:v>
      </x:c>
      <x:c r="E663" s="14" t="n">
        <x:v>25</x:v>
      </x:c>
      <x:c r="F663" s="2" t="str">
        <x:v>Final assembly</x:v>
      </x:c>
      <x:c r="G663" s="9" t="str">
        <x:v>AS-03</x:v>
      </x:c>
      <x:c r="H663" s="15" t="n">
        <x:v>34</x:v>
      </x:c>
      <x:c r="I663" s="9" t="str">
        <x:v>P08</x:v>
      </x:c>
      <x:c r="J663" s="11" t="n">
        <x:v>46302.36944444444</x:v>
      </x:c>
      <x:c r="K663" s="15" t="n">
        <x:v>5</x:v>
      </x:c>
      <x:c r="L663" s="15" t="n">
        <x:v>16</x:v>
      </x:c>
      <x:c r="M663" s="13" t="n">
        <x:f>J663+(K663+L663)/1440</x:f>
        <x:v>46302.38402777777</x:v>
      </x:c>
      <x:c r="N663" s="13" t="n">
        <x:f>VLOOKUP(C663,'MES orders'!$A$8:$H$127,5,FALSE)</x:f>
        <x:v>46303.666666666664</x:v>
      </x:c>
      <x:c r="O663" s="16" t="n">
        <x:f>MAX(0,(M663-N663)*24)</x:f>
        <x:v>0</x:v>
      </x:c>
      <x:c r="P663" s="9" t="str">
        <x:v>No</x:v>
      </x:c>
      <x:c r="Q663" s="15" t="n">
        <x:v>21</x:v>
      </x:c>
      <x:c r="R663" s="13" t="n">
        <x:f>J663+Q663/1440</x:f>
        <x:v>46302.38402777777</x:v>
      </x:c>
      <x:c r="S663" s="2" t="str">
        <x:f>VLOOKUP(C663,'MES orders'!$A$8:$H$127,6,FALSE)</x:f>
        <x:v>Normal</x:v>
      </x:c>
      <x:c r="T663" s="9" t="str"/>
    </x:row>
    <x:row r="664" ht="22" customHeight="1">
      <x:c r="A664" s="2" t="str">
        <x:v>L00129-060</x:v>
      </x:c>
      <x:c r="B664" s="2" t="str">
        <x:v>L00129</x:v>
      </x:c>
      <x:c r="C664" s="2" t="str">
        <x:v>SO-26026</x:v>
      </x:c>
      <x:c r="D664" s="2" t="str">
        <x:v>S-C-SS</x:v>
      </x:c>
      <x:c r="E664" s="14" t="n">
        <x:v>25</x:v>
      </x:c>
      <x:c r="F664" s="2" t="str">
        <x:v>Sensor calibration</x:v>
      </x:c>
      <x:c r="G664" s="9" t="str">
        <x:v>CAL-01</x:v>
      </x:c>
      <x:c r="H664" s="15" t="n">
        <x:v>23</x:v>
      </x:c>
      <x:c r="I664" s="9" t="str">
        <x:v>P09</x:v>
      </x:c>
      <x:c r="J664" s="11" t="n">
        <x:v>46302.36944444444</x:v>
      </x:c>
      <x:c r="K664" s="15" t="n">
        <x:v>10</x:v>
      </x:c>
      <x:c r="L664" s="15" t="n">
        <x:v>26</x:v>
      </x:c>
      <x:c r="M664" s="13" t="n">
        <x:f>J664+(K664+L664)/1440</x:f>
        <x:v>46302.39444444444</x:v>
      </x:c>
      <x:c r="N664" s="13" t="n">
        <x:f>VLOOKUP(C664,'MES orders'!$A$8:$H$127,5,FALSE)</x:f>
        <x:v>46303.666666666664</x:v>
      </x:c>
      <x:c r="O664" s="16" t="n">
        <x:f>MAX(0,(M664-N664)*24)</x:f>
        <x:v>0</x:v>
      </x:c>
      <x:c r="P664" s="9" t="str">
        <x:v>No</x:v>
      </x:c>
      <x:c r="Q664" s="15" t="n">
        <x:v>36</x:v>
      </x:c>
      <x:c r="R664" s="13" t="n">
        <x:f>J664+Q664/1440</x:f>
        <x:v>46302.39444444444</x:v>
      </x:c>
      <x:c r="S664" s="2" t="str">
        <x:f>VLOOKUP(C664,'MES orders'!$A$8:$H$127,6,FALSE)</x:f>
        <x:v>Normal</x:v>
      </x:c>
      <x:c r="T664" s="9" t="str"/>
    </x:row>
    <x:row r="665" ht="22" customHeight="1">
      <x:c r="A665" s="2" t="str">
        <x:v>L00087-020</x:v>
      </x:c>
      <x:c r="B665" s="2" t="str">
        <x:v>L00087</x:v>
      </x:c>
      <x:c r="C665" s="2" t="str">
        <x:v>SO-26018</x:v>
      </x:c>
      <x:c r="D665" s="2" t="str">
        <x:v>R-L-SS</x:v>
      </x:c>
      <x:c r="E665" s="14" t="n">
        <x:v>25</x:v>
      </x:c>
      <x:c r="F665" s="2" t="str">
        <x:v>Deburr &amp; inspect</x:v>
      </x:c>
      <x:c r="G665" s="9" t="str">
        <x:v>DB-02</x:v>
      </x:c>
      <x:c r="H665" s="15" t="n">
        <x:v>45</x:v>
      </x:c>
      <x:c r="I665" s="9" t="str">
        <x:v>P05</x:v>
      </x:c>
      <x:c r="J665" s="11" t="n">
        <x:v>46302.370833333334</x:v>
      </x:c>
      <x:c r="K665" s="15" t="n">
        <x:v>4</x:v>
      </x:c>
      <x:c r="L665" s="15" t="n">
        <x:v>24</x:v>
      </x:c>
      <x:c r="M665" s="13" t="n">
        <x:f>J665+(K665+L665)/1440</x:f>
        <x:v>46302.39027777778</x:v>
      </x:c>
      <x:c r="N665" s="13" t="n">
        <x:f>VLOOKUP(C665,'MES orders'!$A$8:$H$127,5,FALSE)</x:f>
        <x:v>46303.666666666664</x:v>
      </x:c>
      <x:c r="O665" s="16" t="n">
        <x:f>MAX(0,(M665-N665)*24)</x:f>
        <x:v>0</x:v>
      </x:c>
      <x:c r="P665" s="9" t="str">
        <x:v>No</x:v>
      </x:c>
      <x:c r="Q665" s="15" t="n">
        <x:v>28</x:v>
      </x:c>
      <x:c r="R665" s="13" t="n">
        <x:f>J665+Q665/1440</x:f>
        <x:v>46302.39027777778</x:v>
      </x:c>
      <x:c r="S665" s="2" t="str">
        <x:f>VLOOKUP(C665,'MES orders'!$A$8:$H$127,6,FALSE)</x:f>
        <x:v>Normal</x:v>
      </x:c>
      <x:c r="T665" s="9" t="str"/>
    </x:row>
    <x:row r="666" ht="22" customHeight="1">
      <x:c r="A666" s="2" t="str">
        <x:v>L00048-060</x:v>
      </x:c>
      <x:c r="B666" s="2" t="str">
        <x:v>L00048</x:v>
      </x:c>
      <x:c r="C666" s="2" t="str">
        <x:v>SO-26010</x:v>
      </x:c>
      <x:c r="D666" s="2" t="str">
        <x:v>R-S-SS</x:v>
      </x:c>
      <x:c r="E666" s="14" t="n">
        <x:v>25</x:v>
      </x:c>
      <x:c r="F666" s="2" t="str">
        <x:v>Final leak / function test</x:v>
      </x:c>
      <x:c r="G666" s="9" t="str">
        <x:v>QA-02</x:v>
      </x:c>
      <x:c r="H666" s="15" t="n">
        <x:v>45</x:v>
      </x:c>
      <x:c r="I666" s="9" t="str">
        <x:v>P11</x:v>
      </x:c>
      <x:c r="J666" s="11" t="n">
        <x:v>46302.370833333334</x:v>
      </x:c>
      <x:c r="K666" s="15" t="n">
        <x:v>10</x:v>
      </x:c>
      <x:c r="L666" s="15" t="n">
        <x:v>22</x:v>
      </x:c>
      <x:c r="M666" s="13" t="n">
        <x:f>J666+(K666+L666)/1440</x:f>
        <x:v>46302.393055555556</x:v>
      </x:c>
      <x:c r="N666" s="13" t="n">
        <x:f>VLOOKUP(C666,'MES orders'!$A$8:$H$127,5,FALSE)</x:f>
        <x:v>46303.666666666664</x:v>
      </x:c>
      <x:c r="O666" s="16" t="n">
        <x:f>MAX(0,(M666-N666)*24)</x:f>
        <x:v>0</x:v>
      </x:c>
      <x:c r="P666" s="9" t="str">
        <x:v>No</x:v>
      </x:c>
      <x:c r="Q666" s="15" t="n">
        <x:v>32</x:v>
      </x:c>
      <x:c r="R666" s="13" t="n">
        <x:f>J666+Q666/1440</x:f>
        <x:v>46302.393055555556</x:v>
      </x:c>
      <x:c r="S666" s="2" t="str">
        <x:f>VLOOKUP(C666,'MES orders'!$A$8:$H$127,6,FALSE)</x:f>
        <x:v>Normal</x:v>
      </x:c>
      <x:c r="T666" s="9" t="str"/>
    </x:row>
    <x:row r="667" ht="22" customHeight="1">
      <x:c r="A667" s="2" t="str">
        <x:v>L00086-030</x:v>
      </x:c>
      <x:c r="B667" s="2" t="str">
        <x:v>L00086</x:v>
      </x:c>
      <x:c r="C667" s="2" t="str">
        <x:v>SO-26018</x:v>
      </x:c>
      <x:c r="D667" s="2" t="str">
        <x:v>R-L-SS</x:v>
      </x:c>
      <x:c r="E667" s="14" t="n">
        <x:v>25</x:v>
      </x:c>
      <x:c r="F667" s="2" t="str">
        <x:v>Wash &amp; dry</x:v>
      </x:c>
      <x:c r="G667" s="9" t="str">
        <x:v>WS-01</x:v>
      </x:c>
      <x:c r="H667" s="15" t="n">
        <x:v>63</x:v>
      </x:c>
      <x:c r="I667" s="9" t="str">
        <x:v>P04</x:v>
      </x:c>
      <x:c r="J667" s="11" t="n">
        <x:v>46302.37986111111</x:v>
      </x:c>
      <x:c r="K667" s="15" t="n">
        <x:v>12</x:v>
      </x:c>
      <x:c r="L667" s="15" t="n">
        <x:v>12</x:v>
      </x:c>
      <x:c r="M667" s="13" t="n">
        <x:f>J667+(K667+L667)/1440</x:f>
        <x:v>46302.39652777778</x:v>
      </x:c>
      <x:c r="N667" s="13" t="n">
        <x:f>VLOOKUP(C667,'MES orders'!$A$8:$H$127,5,FALSE)</x:f>
        <x:v>46303.666666666664</x:v>
      </x:c>
      <x:c r="O667" s="16" t="n">
        <x:f>MAX(0,(M667-N667)*24)</x:f>
        <x:v>0</x:v>
      </x:c>
      <x:c r="P667" s="9" t="str">
        <x:v>No</x:v>
      </x:c>
      <x:c r="Q667" s="15" t="n">
        <x:v>24</x:v>
      </x:c>
      <x:c r="R667" s="13" t="n">
        <x:f>J667+Q667/1440</x:f>
        <x:v>46302.39652777778</x:v>
      </x:c>
      <x:c r="S667" s="2" t="str">
        <x:f>VLOOKUP(C667,'MES orders'!$A$8:$H$127,6,FALSE)</x:f>
        <x:v>Normal</x:v>
      </x:c>
      <x:c r="T667" s="9" t="str"/>
    </x:row>
    <x:row r="668" ht="22" customHeight="1">
      <x:c r="A668" s="2" t="str">
        <x:v>L00011-010</x:v>
      </x:c>
      <x:c r="B668" s="2" t="str">
        <x:v>L00011</x:v>
      </x:c>
      <x:c r="C668" s="2" t="str">
        <x:v>SO-26003</x:v>
      </x:c>
      <x:c r="D668" s="2" t="str">
        <x:v>S-S-AL</x:v>
      </x:c>
      <x:c r="E668" s="14" t="n">
        <x:v>15</x:v>
      </x:c>
      <x:c r="F668" s="2" t="str">
        <x:v>CNC machining</x:v>
      </x:c>
      <x:c r="G668" s="9" t="str">
        <x:v>CNC-02</x:v>
      </x:c>
      <x:c r="H668" s="15" t="n">
        <x:v>19</x:v>
      </x:c>
      <x:c r="I668" s="9" t="str">
        <x:v>P03</x:v>
      </x:c>
      <x:c r="J668" s="11" t="n">
        <x:v>46302.38263888889</x:v>
      </x:c>
      <x:c r="K668" s="15" t="n">
        <x:v>18</x:v>
      </x:c>
      <x:c r="L668" s="15" t="n">
        <x:v>36</x:v>
      </x:c>
      <x:c r="M668" s="13" t="n">
        <x:f>J668+(K668+L668)/1440</x:f>
        <x:v>46302.42013888889</x:v>
      </x:c>
      <x:c r="N668" s="13" t="n">
        <x:f>VLOOKUP(C668,'MES orders'!$A$8:$H$127,5,FALSE)</x:f>
        <x:v>46304.666666666664</x:v>
      </x:c>
      <x:c r="O668" s="16" t="n">
        <x:f>MAX(0,(M668-N668)*24)</x:f>
        <x:v>0</x:v>
      </x:c>
      <x:c r="P668" s="9" t="str">
        <x:v>No</x:v>
      </x:c>
      <x:c r="Q668" s="15" t="n">
        <x:v>18</x:v>
      </x:c>
      <x:c r="R668" s="13" t="n">
        <x:f>J668+Q668/1440</x:f>
        <x:v>46302.39513888889</x:v>
      </x:c>
      <x:c r="S668" s="2" t="str">
        <x:f>VLOOKUP(C668,'MES orders'!$A$8:$H$127,6,FALSE)</x:f>
        <x:v>Normal</x:v>
      </x:c>
      <x:c r="T668" s="9" t="str"/>
    </x:row>
    <x:row r="669" ht="22" customHeight="1">
      <x:c r="A669" s="2" t="str">
        <x:v>L00088-020</x:v>
      </x:c>
      <x:c r="B669" s="2" t="str">
        <x:v>L00088</x:v>
      </x:c>
      <x:c r="C669" s="2" t="str">
        <x:v>SO-26018</x:v>
      </x:c>
      <x:c r="D669" s="2" t="str">
        <x:v>R-L-SS</x:v>
      </x:c>
      <x:c r="E669" s="14" t="n">
        <x:v>25</x:v>
      </x:c>
      <x:c r="F669" s="2" t="str">
        <x:v>Deburr &amp; inspect</x:v>
      </x:c>
      <x:c r="G669" s="9" t="str">
        <x:v>DB-01</x:v>
      </x:c>
      <x:c r="H669" s="15" t="n">
        <x:v>66</x:v>
      </x:c>
      <x:c r="I669" s="9" t="str">
        <x:v>P06</x:v>
      </x:c>
      <x:c r="J669" s="11" t="n">
        <x:v>46302.38402777778</x:v>
      </x:c>
      <x:c r="K669" s="15" t="n">
        <x:v>4</x:v>
      </x:c>
      <x:c r="L669" s="15" t="n">
        <x:v>24</x:v>
      </x:c>
      <x:c r="M669" s="13" t="n">
        <x:f>J669+(K669+L669)/1440</x:f>
        <x:v>46302.40347222222</x:v>
      </x:c>
      <x:c r="N669" s="13" t="n">
        <x:f>VLOOKUP(C669,'MES orders'!$A$8:$H$127,5,FALSE)</x:f>
        <x:v>46303.666666666664</x:v>
      </x:c>
      <x:c r="O669" s="16" t="n">
        <x:f>MAX(0,(M669-N669)*24)</x:f>
        <x:v>0</x:v>
      </x:c>
      <x:c r="P669" s="9" t="str">
        <x:v>No</x:v>
      </x:c>
      <x:c r="Q669" s="15" t="n">
        <x:v>28</x:v>
      </x:c>
      <x:c r="R669" s="13" t="n">
        <x:f>J669+Q669/1440</x:f>
        <x:v>46302.40347222222</x:v>
      </x:c>
      <x:c r="S669" s="2" t="str">
        <x:f>VLOOKUP(C669,'MES orders'!$A$8:$H$127,6,FALSE)</x:f>
        <x:v>Normal</x:v>
      </x:c>
      <x:c r="T669" s="9" t="str"/>
    </x:row>
    <x:row r="670" ht="22" customHeight="1">
      <x:c r="A670" s="2" t="str">
        <x:v>L00050-060</x:v>
      </x:c>
      <x:c r="B670" s="2" t="str">
        <x:v>L00050</x:v>
      </x:c>
      <x:c r="C670" s="2" t="str">
        <x:v>SO-26010</x:v>
      </x:c>
      <x:c r="D670" s="2" t="str">
        <x:v>R-S-SS</x:v>
      </x:c>
      <x:c r="E670" s="14" t="n">
        <x:v>25</x:v>
      </x:c>
      <x:c r="F670" s="2" t="str">
        <x:v>Final leak / function test</x:v>
      </x:c>
      <x:c r="G670" s="9" t="str">
        <x:v>QA-03</x:v>
      </x:c>
      <x:c r="H670" s="15" t="n">
        <x:v>32</x:v>
      </x:c>
      <x:c r="I670" s="9" t="str">
        <x:v>P12</x:v>
      </x:c>
      <x:c r="J670" s="11" t="n">
        <x:v>46302.38402777778</x:v>
      </x:c>
      <x:c r="K670" s="15" t="n">
        <x:v>10</x:v>
      </x:c>
      <x:c r="L670" s="15" t="n">
        <x:v>22</x:v>
      </x:c>
      <x:c r="M670" s="13" t="n">
        <x:f>J670+(K670+L670)/1440</x:f>
        <x:v>46302.40625</x:v>
      </x:c>
      <x:c r="N670" s="13" t="n">
        <x:f>VLOOKUP(C670,'MES orders'!$A$8:$H$127,5,FALSE)</x:f>
        <x:v>46303.666666666664</x:v>
      </x:c>
      <x:c r="O670" s="16" t="n">
        <x:f>MAX(0,(M670-N670)*24)</x:f>
        <x:v>0</x:v>
      </x:c>
      <x:c r="P670" s="9" t="str">
        <x:v>No</x:v>
      </x:c>
      <x:c r="Q670" s="15" t="n">
        <x:v>32</x:v>
      </x:c>
      <x:c r="R670" s="13" t="n">
        <x:f>J670+Q670/1440</x:f>
        <x:v>46302.40625</x:v>
      </x:c>
      <x:c r="S670" s="2" t="str">
        <x:f>VLOOKUP(C670,'MES orders'!$A$8:$H$127,6,FALSE)</x:f>
        <x:v>Normal</x:v>
      </x:c>
      <x:c r="T670" s="9" t="str"/>
    </x:row>
    <x:row r="671" ht="22" customHeight="1">
      <x:c r="A671" s="2" t="str">
        <x:v>L00166-010</x:v>
      </x:c>
      <x:c r="B671" s="2" t="str">
        <x:v>L00166</x:v>
      </x:c>
      <x:c r="C671" s="2" t="str">
        <x:v>SO-26034</x:v>
      </x:c>
      <x:c r="D671" s="2" t="str">
        <x:v>S-S-SS</x:v>
      </x:c>
      <x:c r="E671" s="14" t="n">
        <x:v>10</x:v>
      </x:c>
      <x:c r="F671" s="2" t="str">
        <x:v>CNC machining</x:v>
      </x:c>
      <x:c r="G671" s="9" t="str">
        <x:v>CNC-06</x:v>
      </x:c>
      <x:c r="H671" s="15" t="n">
        <x:v>17</x:v>
      </x:c>
      <x:c r="I671" s="9" t="str">
        <x:v>P01</x:v>
      </x:c>
      <x:c r="J671" s="11" t="n">
        <x:v>46302.38680555556</x:v>
      </x:c>
      <x:c r="K671" s="15" t="n">
        <x:v>18</x:v>
      </x:c>
      <x:c r="L671" s="15" t="n">
        <x:v>30</x:v>
      </x:c>
      <x:c r="M671" s="13" t="n">
        <x:f>J671+(K671+L671)/1440</x:f>
        <x:v>46302.42013888889</x:v>
      </x:c>
      <x:c r="N671" s="13" t="n">
        <x:f>VLOOKUP(C671,'MES orders'!$A$8:$H$127,5,FALSE)</x:f>
        <x:v>46303.666666666664</x:v>
      </x:c>
      <x:c r="O671" s="16" t="n">
        <x:f>MAX(0,(M671-N671)*24)</x:f>
        <x:v>0</x:v>
      </x:c>
      <x:c r="P671" s="9" t="str">
        <x:v>No</x:v>
      </x:c>
      <x:c r="Q671" s="15" t="n">
        <x:v>18</x:v>
      </x:c>
      <x:c r="R671" s="13" t="n">
        <x:f>J671+Q671/1440</x:f>
        <x:v>46302.399305555555</x:v>
      </x:c>
      <x:c r="S671" s="2" t="str">
        <x:f>VLOOKUP(C671,'MES orders'!$A$8:$H$127,6,FALSE)</x:f>
        <x:v>Normal</x:v>
      </x:c>
      <x:c r="T671" s="9" t="str"/>
    </x:row>
    <x:row r="672" ht="22" customHeight="1">
      <x:c r="A672" s="2" t="str">
        <x:v>L00494-020</x:v>
      </x:c>
      <x:c r="B672" s="2" t="str">
        <x:v>L00494</x:v>
      </x:c>
      <x:c r="C672" s="2" t="str">
        <x:v>SO-26099</x:v>
      </x:c>
      <x:c r="D672" s="2" t="str">
        <x:v>D-S-AL</x:v>
      </x:c>
      <x:c r="E672" s="14" t="n">
        <x:v>15</x:v>
      </x:c>
      <x:c r="F672" s="2" t="str">
        <x:v>Deburr &amp; inspect</x:v>
      </x:c>
      <x:c r="G672" s="9" t="str">
        <x:v>DB-02</x:v>
      </x:c>
      <x:c r="H672" s="15" t="n">
        <x:v>46</x:v>
      </x:c>
      <x:c r="I672" s="9" t="str">
        <x:v>P02</x:v>
      </x:c>
      <x:c r="J672" s="11" t="n">
        <x:v>46302.39027777778</x:v>
      </x:c>
      <x:c r="K672" s="15" t="n">
        <x:v>4</x:v>
      </x:c>
      <x:c r="L672" s="15" t="n">
        <x:v>10</x:v>
      </x:c>
      <x:c r="M672" s="13" t="n">
        <x:f>J672+(K672+L672)/1440</x:f>
        <x:v>46302.4</x:v>
      </x:c>
      <x:c r="N672" s="13" t="n">
        <x:f>VLOOKUP(C672,'MES orders'!$A$8:$H$127,5,FALSE)</x:f>
        <x:v>46304.666666666664</x:v>
      </x:c>
      <x:c r="O672" s="16" t="n">
        <x:f>MAX(0,(M672-N672)*24)</x:f>
        <x:v>0</x:v>
      </x:c>
      <x:c r="P672" s="9" t="str">
        <x:v>No</x:v>
      </x:c>
      <x:c r="Q672" s="15" t="n">
        <x:v>14</x:v>
      </x:c>
      <x:c r="R672" s="13" t="n">
        <x:f>J672+Q672/1440</x:f>
        <x:v>46302.4</x:v>
      </x:c>
      <x:c r="S672" s="2" t="str">
        <x:f>VLOOKUP(C672,'MES orders'!$A$8:$H$127,6,FALSE)</x:f>
        <x:v>High</x:v>
      </x:c>
      <x:c r="T672" s="9" t="str"/>
    </x:row>
    <x:row r="673" ht="22" customHeight="1">
      <x:c r="A673" s="2" t="str">
        <x:v>L00087-030</x:v>
      </x:c>
      <x:c r="B673" s="2" t="str">
        <x:v>L00087</x:v>
      </x:c>
      <x:c r="C673" s="2" t="str">
        <x:v>SO-26018</x:v>
      </x:c>
      <x:c r="D673" s="2" t="str">
        <x:v>R-L-SS</x:v>
      </x:c>
      <x:c r="E673" s="14" t="n">
        <x:v>25</x:v>
      </x:c>
      <x:c r="F673" s="2" t="str">
        <x:v>Wash &amp; dry</x:v>
      </x:c>
      <x:c r="G673" s="9" t="str">
        <x:v>WS-02</x:v>
      </x:c>
      <x:c r="H673" s="15" t="n">
        <x:v>47</x:v>
      </x:c>
      <x:c r="I673" s="9" t="str">
        <x:v>P05</x:v>
      </x:c>
      <x:c r="J673" s="11" t="n">
        <x:v>46302.39027777778</x:v>
      </x:c>
      <x:c r="K673" s="15" t="n">
        <x:v>12</x:v>
      </x:c>
      <x:c r="L673" s="15" t="n">
        <x:v>12</x:v>
      </x:c>
      <x:c r="M673" s="13" t="n">
        <x:f>J673+(K673+L673)/1440</x:f>
        <x:v>46302.40694444445</x:v>
      </x:c>
      <x:c r="N673" s="13" t="n">
        <x:f>VLOOKUP(C673,'MES orders'!$A$8:$H$127,5,FALSE)</x:f>
        <x:v>46303.666666666664</x:v>
      </x:c>
      <x:c r="O673" s="16" t="n">
        <x:f>MAX(0,(M673-N673)*24)</x:f>
        <x:v>0</x:v>
      </x:c>
      <x:c r="P673" s="9" t="str">
        <x:v>No</x:v>
      </x:c>
      <x:c r="Q673" s="15" t="n">
        <x:v>24</x:v>
      </x:c>
      <x:c r="R673" s="13" t="n">
        <x:f>J673+Q673/1440</x:f>
        <x:v>46302.40694444445</x:v>
      </x:c>
      <x:c r="S673" s="2" t="str">
        <x:f>VLOOKUP(C673,'MES orders'!$A$8:$H$127,6,FALSE)</x:f>
        <x:v>Normal</x:v>
      </x:c>
      <x:c r="T673" s="9" t="str"/>
    </x:row>
    <x:row r="674" ht="22" customHeight="1">
      <x:c r="A674" s="2" t="str">
        <x:v>L00128-080</x:v>
      </x:c>
      <x:c r="B674" s="2" t="str">
        <x:v>L00128</x:v>
      </x:c>
      <x:c r="C674" s="2" t="str">
        <x:v>SO-26026</x:v>
      </x:c>
      <x:c r="D674" s="2" t="str">
        <x:v>S-C-SS</x:v>
      </x:c>
      <x:c r="E674" s="14" t="n">
        <x:v>25</x:v>
      </x:c>
      <x:c r="F674" s="2" t="str">
        <x:v>Final leak / function test</x:v>
      </x:c>
      <x:c r="G674" s="9" t="str">
        <x:v>QA-02</x:v>
      </x:c>
      <x:c r="H674" s="15" t="n">
        <x:v>46</x:v>
      </x:c>
      <x:c r="I674" s="9" t="str">
        <x:v>P11</x:v>
      </x:c>
      <x:c r="J674" s="11" t="n">
        <x:v>46302.393055555556</x:v>
      </x:c>
      <x:c r="K674" s="15" t="n">
        <x:v>10</x:v>
      </x:c>
      <x:c r="L674" s="15" t="n">
        <x:v>18</x:v>
      </x:c>
      <x:c r="M674" s="13" t="n">
        <x:f>J674+(K674+L674)/1440</x:f>
        <x:v>46302.4125</x:v>
      </x:c>
      <x:c r="N674" s="13" t="n">
        <x:f>VLOOKUP(C674,'MES orders'!$A$8:$H$127,5,FALSE)</x:f>
        <x:v>46303.666666666664</x:v>
      </x:c>
      <x:c r="O674" s="16" t="n">
        <x:f>MAX(0,(M674-N674)*24)</x:f>
        <x:v>0</x:v>
      </x:c>
      <x:c r="P674" s="9" t="str">
        <x:v>No</x:v>
      </x:c>
      <x:c r="Q674" s="15" t="n">
        <x:v>28</x:v>
      </x:c>
      <x:c r="R674" s="13" t="n">
        <x:f>J674+Q674/1440</x:f>
        <x:v>46302.4125</x:v>
      </x:c>
      <x:c r="S674" s="2" t="str">
        <x:f>VLOOKUP(C674,'MES orders'!$A$8:$H$127,6,FALSE)</x:f>
        <x:v>Normal</x:v>
      </x:c>
      <x:c r="T674" s="9" t="str"/>
    </x:row>
    <x:row r="675" ht="22" customHeight="1">
      <x:c r="A675" s="2" t="str">
        <x:v>L00129-070</x:v>
      </x:c>
      <x:c r="B675" s="2" t="str">
        <x:v>L00129</x:v>
      </x:c>
      <x:c r="C675" s="2" t="str">
        <x:v>SO-26026</x:v>
      </x:c>
      <x:c r="D675" s="2" t="str">
        <x:v>S-C-SS</x:v>
      </x:c>
      <x:c r="E675" s="14" t="n">
        <x:v>25</x:v>
      </x:c>
      <x:c r="F675" s="2" t="str">
        <x:v>Final assembly</x:v>
      </x:c>
      <x:c r="G675" s="9" t="str">
        <x:v>AS-02</x:v>
      </x:c>
      <x:c r="H675" s="15" t="n">
        <x:v>45</x:v>
      </x:c>
      <x:c r="I675" s="9" t="str">
        <x:v>P08</x:v>
      </x:c>
      <x:c r="J675" s="11" t="n">
        <x:v>46302.39444444444</x:v>
      </x:c>
      <x:c r="K675" s="15" t="n">
        <x:v>5</x:v>
      </x:c>
      <x:c r="L675" s="15" t="n">
        <x:v>16</x:v>
      </x:c>
      <x:c r="M675" s="13" t="n">
        <x:f>J675+(K675+L675)/1440</x:f>
        <x:v>46302.40902777777</x:v>
      </x:c>
      <x:c r="N675" s="13" t="n">
        <x:f>VLOOKUP(C675,'MES orders'!$A$8:$H$127,5,FALSE)</x:f>
        <x:v>46303.666666666664</x:v>
      </x:c>
      <x:c r="O675" s="16" t="n">
        <x:f>MAX(0,(M675-N675)*24)</x:f>
        <x:v>0</x:v>
      </x:c>
      <x:c r="P675" s="9" t="str">
        <x:v>No</x:v>
      </x:c>
      <x:c r="Q675" s="15" t="n">
        <x:v>21</x:v>
      </x:c>
      <x:c r="R675" s="13" t="n">
        <x:f>J675+Q675/1440</x:f>
        <x:v>46302.40902777777</x:v>
      </x:c>
      <x:c r="S675" s="2" t="str">
        <x:f>VLOOKUP(C675,'MES orders'!$A$8:$H$127,6,FALSE)</x:f>
        <x:v>Normal</x:v>
      </x:c>
      <x:c r="T675" s="9" t="str"/>
    </x:row>
    <x:row r="676" ht="22" customHeight="1">
      <x:c r="A676" s="2" t="str">
        <x:v>L00012-010</x:v>
      </x:c>
      <x:c r="B676" s="2" t="str">
        <x:v>L00012</x:v>
      </x:c>
      <x:c r="C676" s="2" t="str">
        <x:v>SO-26003</x:v>
      </x:c>
      <x:c r="D676" s="2" t="str">
        <x:v>S-S-AL</x:v>
      </x:c>
      <x:c r="E676" s="14" t="n">
        <x:v>15</x:v>
      </x:c>
      <x:c r="F676" s="2" t="str">
        <x:v>CNC machining</x:v>
      </x:c>
      <x:c r="G676" s="9" t="str">
        <x:v>CNC-01</x:v>
      </x:c>
      <x:c r="H676" s="15" t="n">
        <x:v>27</x:v>
      </x:c>
      <x:c r="I676" s="9" t="str">
        <x:v>P03</x:v>
      </x:c>
      <x:c r="J676" s="11" t="n">
        <x:v>46302.39513888889</x:v>
      </x:c>
      <x:c r="K676" s="15" t="n">
        <x:v>18</x:v>
      </x:c>
      <x:c r="L676" s="15" t="n">
        <x:v>36</x:v>
      </x:c>
      <x:c r="M676" s="13" t="n">
        <x:f>J676+(K676+L676)/1440</x:f>
        <x:v>46302.43263888889</x:v>
      </x:c>
      <x:c r="N676" s="13" t="n">
        <x:f>VLOOKUP(C676,'MES orders'!$A$8:$H$127,5,FALSE)</x:f>
        <x:v>46304.666666666664</x:v>
      </x:c>
      <x:c r="O676" s="16" t="n">
        <x:f>MAX(0,(M676-N676)*24)</x:f>
        <x:v>0</x:v>
      </x:c>
      <x:c r="P676" s="9" t="str">
        <x:v>No</x:v>
      </x:c>
      <x:c r="Q676" s="15" t="n">
        <x:v>18</x:v>
      </x:c>
      <x:c r="R676" s="13" t="n">
        <x:f>J676+Q676/1440</x:f>
        <x:v>46302.407638888886</x:v>
      </x:c>
      <x:c r="S676" s="2" t="str">
        <x:f>VLOOKUP(C676,'MES orders'!$A$8:$H$127,6,FALSE)</x:f>
        <x:v>Normal</x:v>
      </x:c>
      <x:c r="T676" s="9" t="str"/>
    </x:row>
    <x:row r="677" ht="22" customHeight="1">
      <x:c r="A677" s="2" t="str">
        <x:v>L00126-040</x:v>
      </x:c>
      <x:c r="B677" s="2" t="str">
        <x:v>L00126</x:v>
      </x:c>
      <x:c r="C677" s="2" t="str">
        <x:v>SO-26026</x:v>
      </x:c>
      <x:c r="D677" s="2" t="str">
        <x:v>S-C-SS</x:v>
      </x:c>
      <x:c r="E677" s="14" t="n">
        <x:v>25</x:v>
      </x:c>
      <x:c r="F677" s="2" t="str">
        <x:v>Mechanical preassembly</x:v>
      </x:c>
      <x:c r="G677" s="9" t="str">
        <x:v>AS-01</x:v>
      </x:c>
      <x:c r="H677" s="15" t="n">
        <x:v>56</x:v>
      </x:c>
      <x:c r="I677" s="9" t="str">
        <x:v>P04</x:v>
      </x:c>
      <x:c r="J677" s="11" t="n">
        <x:v>46302.396527777775</x:v>
      </x:c>
      <x:c r="K677" s="15" t="n">
        <x:v>6</x:v>
      </x:c>
      <x:c r="L677" s="15" t="n">
        <x:v>22</x:v>
      </x:c>
      <x:c r="M677" s="13" t="n">
        <x:f>J677+(K677+L677)/1440</x:f>
        <x:v>46302.41597222222</x:v>
      </x:c>
      <x:c r="N677" s="13" t="n">
        <x:f>VLOOKUP(C677,'MES orders'!$A$8:$H$127,5,FALSE)</x:f>
        <x:v>46303.666666666664</x:v>
      </x:c>
      <x:c r="O677" s="16" t="n">
        <x:f>MAX(0,(M677-N677)*24)</x:f>
        <x:v>0</x:v>
      </x:c>
      <x:c r="P677" s="9" t="str">
        <x:v>No</x:v>
      </x:c>
      <x:c r="Q677" s="15" t="n">
        <x:v>28</x:v>
      </x:c>
      <x:c r="R677" s="13" t="n">
        <x:f>J677+Q677/1440</x:f>
        <x:v>46302.41597222222</x:v>
      </x:c>
      <x:c r="S677" s="2" t="str">
        <x:f>VLOOKUP(C677,'MES orders'!$A$8:$H$127,6,FALSE)</x:f>
        <x:v>Normal</x:v>
      </x:c>
      <x:c r="T677" s="9" t="str"/>
    </x:row>
    <x:row r="678" ht="22" customHeight="1">
      <x:c r="A678" s="2" t="str">
        <x:v>L00494-030</x:v>
      </x:c>
      <x:c r="B678" s="2" t="str">
        <x:v>L00494</x:v>
      </x:c>
      <x:c r="C678" s="2" t="str">
        <x:v>SO-26099</x:v>
      </x:c>
      <x:c r="D678" s="2" t="str">
        <x:v>D-S-AL</x:v>
      </x:c>
      <x:c r="E678" s="14" t="n">
        <x:v>15</x:v>
      </x:c>
      <x:c r="F678" s="2" t="str">
        <x:v>Wash &amp; dry</x:v>
      </x:c>
      <x:c r="G678" s="9" t="str">
        <x:v>WS-01</x:v>
      </x:c>
      <x:c r="H678" s="15" t="n">
        <x:v>64</x:v>
      </x:c>
      <x:c r="I678" s="9" t="str">
        <x:v>P01</x:v>
      </x:c>
      <x:c r="J678" s="11" t="n">
        <x:v>46302.4</x:v>
      </x:c>
      <x:c r="K678" s="15" t="n">
        <x:v>12</x:v>
      </x:c>
      <x:c r="L678" s="15" t="n">
        <x:v>5</x:v>
      </x:c>
      <x:c r="M678" s="13" t="n">
        <x:f>J678+(K678+L678)/1440</x:f>
        <x:v>46302.41180555556</x:v>
      </x:c>
      <x:c r="N678" s="13" t="n">
        <x:f>VLOOKUP(C678,'MES orders'!$A$8:$H$127,5,FALSE)</x:f>
        <x:v>46304.666666666664</x:v>
      </x:c>
      <x:c r="O678" s="16" t="n">
        <x:f>MAX(0,(M678-N678)*24)</x:f>
        <x:v>0</x:v>
      </x:c>
      <x:c r="P678" s="9" t="str">
        <x:v>No</x:v>
      </x:c>
      <x:c r="Q678" s="15" t="n">
        <x:v>17</x:v>
      </x:c>
      <x:c r="R678" s="13" t="n">
        <x:f>J678+Q678/1440</x:f>
        <x:v>46302.41180555556</x:v>
      </x:c>
      <x:c r="S678" s="2" t="str">
        <x:f>VLOOKUP(C678,'MES orders'!$A$8:$H$127,6,FALSE)</x:f>
        <x:v>High</x:v>
      </x:c>
      <x:c r="T678" s="9" t="str"/>
    </x:row>
    <x:row r="679" ht="22" customHeight="1">
      <x:c r="A679" s="2" t="str">
        <x:v>L00130-020</x:v>
      </x:c>
      <x:c r="B679" s="2" t="str">
        <x:v>L00130</x:v>
      </x:c>
      <x:c r="C679" s="2" t="str">
        <x:v>SO-26026</x:v>
      </x:c>
      <x:c r="D679" s="2" t="str">
        <x:v>S-C-SS</x:v>
      </x:c>
      <x:c r="E679" s="14" t="n">
        <x:v>25</x:v>
      </x:c>
      <x:c r="F679" s="2" t="str">
        <x:v>Deburr &amp; inspect</x:v>
      </x:c>
      <x:c r="G679" s="9" t="str">
        <x:v>DB-01</x:v>
      </x:c>
      <x:c r="H679" s="15" t="n">
        <x:v>67</x:v>
      </x:c>
      <x:c r="I679" s="9" t="str">
        <x:v>P06</x:v>
      </x:c>
      <x:c r="J679" s="11" t="n">
        <x:v>46302.40347222222</x:v>
      </x:c>
      <x:c r="K679" s="15" t="n">
        <x:v>4</x:v>
      </x:c>
      <x:c r="L679" s="15" t="n">
        <x:v>14</x:v>
      </x:c>
      <x:c r="M679" s="13" t="n">
        <x:f>J679+(K679+L679)/1440</x:f>
        <x:v>46302.41597222222</x:v>
      </x:c>
      <x:c r="N679" s="13" t="n">
        <x:f>VLOOKUP(C679,'MES orders'!$A$8:$H$127,5,FALSE)</x:f>
        <x:v>46303.666666666664</x:v>
      </x:c>
      <x:c r="O679" s="16" t="n">
        <x:f>MAX(0,(M679-N679)*24)</x:f>
        <x:v>0</x:v>
      </x:c>
      <x:c r="P679" s="9" t="str">
        <x:v>No</x:v>
      </x:c>
      <x:c r="Q679" s="15" t="n">
        <x:v>18</x:v>
      </x:c>
      <x:c r="R679" s="13" t="n">
        <x:f>J679+Q679/1440</x:f>
        <x:v>46302.41597222222</x:v>
      </x:c>
      <x:c r="S679" s="2" t="str">
        <x:f>VLOOKUP(C679,'MES orders'!$A$8:$H$127,6,FALSE)</x:f>
        <x:v>Normal</x:v>
      </x:c>
      <x:c r="T679" s="9" t="str"/>
    </x:row>
    <x:row r="680" ht="22" customHeight="1">
      <x:c r="A680" s="2" t="str">
        <x:v>L00493-020</x:v>
      </x:c>
      <x:c r="B680" s="2" t="str">
        <x:v>L00493</x:v>
      </x:c>
      <x:c r="C680" s="2" t="str">
        <x:v>SO-26099</x:v>
      </x:c>
      <x:c r="D680" s="2" t="str">
        <x:v>D-S-AL</x:v>
      </x:c>
      <x:c r="E680" s="14" t="n">
        <x:v>15</x:v>
      </x:c>
      <x:c r="F680" s="2" t="str">
        <x:v>Deburr &amp; inspect</x:v>
      </x:c>
      <x:c r="G680" s="9" t="str">
        <x:v>DB-02</x:v>
      </x:c>
      <x:c r="H680" s="15" t="n">
        <x:v>47</x:v>
      </x:c>
      <x:c r="I680" s="9" t="str">
        <x:v>P05</x:v>
      </x:c>
      <x:c r="J680" s="11" t="n">
        <x:v>46302.40694444445</x:v>
      </x:c>
      <x:c r="K680" s="15" t="n">
        <x:v>4</x:v>
      </x:c>
      <x:c r="L680" s="15" t="n">
        <x:v>10</x:v>
      </x:c>
      <x:c r="M680" s="13" t="n">
        <x:f>J680+(K680+L680)/1440</x:f>
        <x:v>46302.41666666667</x:v>
      </x:c>
      <x:c r="N680" s="13" t="n">
        <x:f>VLOOKUP(C680,'MES orders'!$A$8:$H$127,5,FALSE)</x:f>
        <x:v>46304.666666666664</x:v>
      </x:c>
      <x:c r="O680" s="16" t="n">
        <x:f>MAX(0,(M680-N680)*24)</x:f>
        <x:v>0</x:v>
      </x:c>
      <x:c r="P680" s="9" t="str">
        <x:v>No</x:v>
      </x:c>
      <x:c r="Q680" s="15" t="n">
        <x:v>14</x:v>
      </x:c>
      <x:c r="R680" s="13" t="n">
        <x:f>J680+Q680/1440</x:f>
        <x:v>46302.41666666667</x:v>
      </x:c>
      <x:c r="S680" s="2" t="str">
        <x:f>VLOOKUP(C680,'MES orders'!$A$8:$H$127,6,FALSE)</x:f>
        <x:v>High</x:v>
      </x:c>
      <x:c r="T680" s="9" t="str"/>
    </x:row>
    <x:row r="681" ht="22" customHeight="1">
      <x:c r="A681" s="2" t="str">
        <x:v>L00086-040</x:v>
      </x:c>
      <x:c r="B681" s="2" t="str">
        <x:v>L00086</x:v>
      </x:c>
      <x:c r="C681" s="2" t="str">
        <x:v>SO-26018</x:v>
      </x:c>
      <x:c r="D681" s="2" t="str">
        <x:v>R-L-SS</x:v>
      </x:c>
      <x:c r="E681" s="14" t="n">
        <x:v>25</x:v>
      </x:c>
      <x:c r="F681" s="2" t="str">
        <x:v>Mechanical assembly</x:v>
      </x:c>
      <x:c r="G681" s="9" t="str">
        <x:v>AS-01</x:v>
      </x:c>
      <x:c r="H681" s="15" t="n">
        <x:v>57</x:v>
      </x:c>
      <x:c r="I681" s="9" t="str">
        <x:v>P04</x:v>
      </x:c>
      <x:c r="J681" s="11" t="n">
        <x:v>46302.4375</x:v>
      </x:c>
      <x:c r="K681" s="15" t="n">
        <x:v>8</x:v>
      </x:c>
      <x:c r="L681" s="15" t="n">
        <x:v>61</x:v>
      </x:c>
      <x:c r="M681" s="13" t="n">
        <x:f>J681+(K681+L681)/1440</x:f>
        <x:v>46302.48541666667</x:v>
      </x:c>
      <x:c r="N681" s="13" t="n">
        <x:f>VLOOKUP(C681,'MES orders'!$A$8:$H$127,5,FALSE)</x:f>
        <x:v>46303.666666666664</x:v>
      </x:c>
      <x:c r="O681" s="16" t="n">
        <x:f>MAX(0,(M681-N681)*24)</x:f>
        <x:v>0</x:v>
      </x:c>
      <x:c r="P681" s="9" t="str">
        <x:v>No</x:v>
      </x:c>
      <x:c r="Q681" s="15" t="n">
        <x:v>69</x:v>
      </x:c>
      <x:c r="R681" s="13" t="n">
        <x:f>J681+Q681/1440</x:f>
        <x:v>46302.48541666667</x:v>
      </x:c>
      <x:c r="S681" s="2" t="str">
        <x:f>VLOOKUP(C681,'MES orders'!$A$8:$H$127,6,FALSE)</x:f>
        <x:v>Normal</x:v>
      </x:c>
      <x:c r="T681" s="9" t="str"/>
    </x:row>
    <x:row r="682" ht="22" customHeight="1">
      <x:c r="A682" s="2" t="str">
        <x:v>L00087-040</x:v>
      </x:c>
      <x:c r="B682" s="2" t="str">
        <x:v>L00087</x:v>
      </x:c>
      <x:c r="C682" s="2" t="str">
        <x:v>SO-26018</x:v>
      </x:c>
      <x:c r="D682" s="2" t="str">
        <x:v>R-L-SS</x:v>
      </x:c>
      <x:c r="E682" s="14" t="n">
        <x:v>25</x:v>
      </x:c>
      <x:c r="F682" s="2" t="str">
        <x:v>Mechanical assembly</x:v>
      </x:c>
      <x:c r="G682" s="9" t="str">
        <x:v>AS-02</x:v>
      </x:c>
      <x:c r="H682" s="15" t="n">
        <x:v>46</x:v>
      </x:c>
      <x:c r="I682" s="9" t="str">
        <x:v>P05</x:v>
      </x:c>
      <x:c r="J682" s="11" t="n">
        <x:v>46302.4375</x:v>
      </x:c>
      <x:c r="K682" s="15" t="n">
        <x:v>8</x:v>
      </x:c>
      <x:c r="L682" s="15" t="n">
        <x:v>61</x:v>
      </x:c>
      <x:c r="M682" s="13" t="n">
        <x:f>J682+(K682+L682)/1440</x:f>
        <x:v>46302.48541666667</x:v>
      </x:c>
      <x:c r="N682" s="13" t="n">
        <x:f>VLOOKUP(C682,'MES orders'!$A$8:$H$127,5,FALSE)</x:f>
        <x:v>46303.666666666664</x:v>
      </x:c>
      <x:c r="O682" s="16" t="n">
        <x:f>MAX(0,(M682-N682)*24)</x:f>
        <x:v>0</x:v>
      </x:c>
      <x:c r="P682" s="9" t="str">
        <x:v>No</x:v>
      </x:c>
      <x:c r="Q682" s="15" t="n">
        <x:v>69</x:v>
      </x:c>
      <x:c r="R682" s="13" t="n">
        <x:f>J682+Q682/1440</x:f>
        <x:v>46302.48541666667</x:v>
      </x:c>
      <x:c r="S682" s="2" t="str">
        <x:f>VLOOKUP(C682,'MES orders'!$A$8:$H$127,6,FALSE)</x:f>
        <x:v>Normal</x:v>
      </x:c>
      <x:c r="T682" s="9" t="str"/>
    </x:row>
    <x:row r="683" ht="22" customHeight="1">
      <x:c r="A683" s="2" t="str">
        <x:v>L00167-010</x:v>
      </x:c>
      <x:c r="B683" s="2" t="str">
        <x:v>L00167</x:v>
      </x:c>
      <x:c r="C683" s="2" t="str">
        <x:v>SO-26034</x:v>
      </x:c>
      <x:c r="D683" s="2" t="str">
        <x:v>S-S-SS</x:v>
      </x:c>
      <x:c r="E683" s="14" t="n">
        <x:v>10</x:v>
      </x:c>
      <x:c r="F683" s="2" t="str">
        <x:v>CNC machining</x:v>
      </x:c>
      <x:c r="G683" s="9" t="str">
        <x:v>CNC-03</x:v>
      </x:c>
      <x:c r="H683" s="15" t="n">
        <x:v>21</x:v>
      </x:c>
      <x:c r="I683" s="9" t="str">
        <x:v>P03</x:v>
      </x:c>
      <x:c r="J683" s="11" t="n">
        <x:v>46302.4375</x:v>
      </x:c>
      <x:c r="K683" s="15" t="n">
        <x:v>18</x:v>
      </x:c>
      <x:c r="L683" s="15" t="n">
        <x:v>30</x:v>
      </x:c>
      <x:c r="M683" s="13" t="n">
        <x:f>J683+(K683+L683)/1440</x:f>
        <x:v>46302.47083333333</x:v>
      </x:c>
      <x:c r="N683" s="13" t="n">
        <x:f>VLOOKUP(C683,'MES orders'!$A$8:$H$127,5,FALSE)</x:f>
        <x:v>46303.666666666664</x:v>
      </x:c>
      <x:c r="O683" s="16" t="n">
        <x:f>MAX(0,(M683-N683)*24)</x:f>
        <x:v>0</x:v>
      </x:c>
      <x:c r="P683" s="9" t="str">
        <x:v>No</x:v>
      </x:c>
      <x:c r="Q683" s="15" t="n">
        <x:v>18</x:v>
      </x:c>
      <x:c r="R683" s="13" t="n">
        <x:f>J683+Q683/1440</x:f>
        <x:v>46302.45</x:v>
      </x:c>
      <x:c r="S683" s="2" t="str">
        <x:f>VLOOKUP(C683,'MES orders'!$A$8:$H$127,6,FALSE)</x:f>
        <x:v>Normal</x:v>
      </x:c>
      <x:c r="T683" s="9" t="str"/>
    </x:row>
    <x:row r="684" ht="22" customHeight="1">
      <x:c r="A684" s="2" t="str">
        <x:v>L00495-020</x:v>
      </x:c>
      <x:c r="B684" s="2" t="str">
        <x:v>L00495</x:v>
      </x:c>
      <x:c r="C684" s="2" t="str">
        <x:v>SO-26099</x:v>
      </x:c>
      <x:c r="D684" s="2" t="str">
        <x:v>D-S-AL</x:v>
      </x:c>
      <x:c r="E684" s="14" t="n">
        <x:v>15</x:v>
      </x:c>
      <x:c r="F684" s="2" t="str">
        <x:v>Deburr &amp; inspect</x:v>
      </x:c>
      <x:c r="G684" s="9" t="str">
        <x:v>DB-01</x:v>
      </x:c>
      <x:c r="H684" s="15" t="n">
        <x:v>68</x:v>
      </x:c>
      <x:c r="I684" s="9" t="str">
        <x:v>P08</x:v>
      </x:c>
      <x:c r="J684" s="11" t="n">
        <x:v>46302.4375</x:v>
      </x:c>
      <x:c r="K684" s="15" t="n">
        <x:v>4</x:v>
      </x:c>
      <x:c r="L684" s="15" t="n">
        <x:v>10</x:v>
      </x:c>
      <x:c r="M684" s="13" t="n">
        <x:f>J684+(K684+L684)/1440</x:f>
        <x:v>46302.447222222225</x:v>
      </x:c>
      <x:c r="N684" s="13" t="n">
        <x:f>VLOOKUP(C684,'MES orders'!$A$8:$H$127,5,FALSE)</x:f>
        <x:v>46304.666666666664</x:v>
      </x:c>
      <x:c r="O684" s="16" t="n">
        <x:f>MAX(0,(M684-N684)*24)</x:f>
        <x:v>0</x:v>
      </x:c>
      <x:c r="P684" s="9" t="str">
        <x:v>No</x:v>
      </x:c>
      <x:c r="Q684" s="15" t="n">
        <x:v>14</x:v>
      </x:c>
      <x:c r="R684" s="13" t="n">
        <x:f>J684+Q684/1440</x:f>
        <x:v>46302.447222222225</x:v>
      </x:c>
      <x:c r="S684" s="2" t="str">
        <x:f>VLOOKUP(C684,'MES orders'!$A$8:$H$127,6,FALSE)</x:f>
        <x:v>High</x:v>
      </x:c>
      <x:c r="T684" s="9" t="str"/>
    </x:row>
    <x:row r="685" ht="22" customHeight="1">
      <x:c r="A685" s="2" t="str">
        <x:v>L00090-020</x:v>
      </x:c>
      <x:c r="B685" s="2" t="str">
        <x:v>L00090</x:v>
      </x:c>
      <x:c r="C685" s="2" t="str">
        <x:v>SO-26018</x:v>
      </x:c>
      <x:c r="D685" s="2" t="str">
        <x:v>R-L-SS</x:v>
      </x:c>
      <x:c r="E685" s="14" t="n">
        <x:v>25</x:v>
      </x:c>
      <x:c r="F685" s="2" t="str">
        <x:v>Deburr &amp; inspect</x:v>
      </x:c>
      <x:c r="G685" s="9" t="str">
        <x:v>DB-02</x:v>
      </x:c>
      <x:c r="H685" s="15" t="n">
        <x:v>48</x:v>
      </x:c>
      <x:c r="I685" s="9" t="str">
        <x:v>P01</x:v>
      </x:c>
      <x:c r="J685" s="11" t="n">
        <x:v>46302.4375</x:v>
      </x:c>
      <x:c r="K685" s="15" t="n">
        <x:v>4</x:v>
      </x:c>
      <x:c r="L685" s="15" t="n">
        <x:v>24</x:v>
      </x:c>
      <x:c r="M685" s="13" t="n">
        <x:f>J685+(K685+L685)/1440</x:f>
        <x:v>46302.45694444444</x:v>
      </x:c>
      <x:c r="N685" s="13" t="n">
        <x:f>VLOOKUP(C685,'MES orders'!$A$8:$H$127,5,FALSE)</x:f>
        <x:v>46303.666666666664</x:v>
      </x:c>
      <x:c r="O685" s="16" t="n">
        <x:f>MAX(0,(M685-N685)*24)</x:f>
        <x:v>0</x:v>
      </x:c>
      <x:c r="P685" s="9" t="str">
        <x:v>No</x:v>
      </x:c>
      <x:c r="Q685" s="15" t="n">
        <x:v>28</x:v>
      </x:c>
      <x:c r="R685" s="13" t="n">
        <x:f>J685+Q685/1440</x:f>
        <x:v>46302.45694444444</x:v>
      </x:c>
      <x:c r="S685" s="2" t="str">
        <x:f>VLOOKUP(C685,'MES orders'!$A$8:$H$127,6,FALSE)</x:f>
        <x:v>Normal</x:v>
      </x:c>
      <x:c r="T685" s="9" t="str"/>
    </x:row>
    <x:row r="686" ht="22" customHeight="1">
      <x:c r="A686" s="2" t="str">
        <x:v>L00126-050</x:v>
      </x:c>
      <x:c r="B686" s="2" t="str">
        <x:v>L00126</x:v>
      </x:c>
      <x:c r="C686" s="2" t="str">
        <x:v>SO-26026</x:v>
      </x:c>
      <x:c r="D686" s="2" t="str">
        <x:v>S-C-SS</x:v>
      </x:c>
      <x:c r="E686" s="14" t="n">
        <x:v>25</x:v>
      </x:c>
      <x:c r="F686" s="2" t="str">
        <x:v>Sensor installation</x:v>
      </x:c>
      <x:c r="G686" s="9" t="str">
        <x:v>EL-01</x:v>
      </x:c>
      <x:c r="H686" s="15" t="n">
        <x:v>17</x:v>
      </x:c>
      <x:c r="I686" s="9" t="str">
        <x:v>P07</x:v>
      </x:c>
      <x:c r="J686" s="11" t="n">
        <x:v>46302.4375</x:v>
      </x:c>
      <x:c r="K686" s="15" t="n">
        <x:v>8</x:v>
      </x:c>
      <x:c r="L686" s="15" t="n">
        <x:v>24</x:v>
      </x:c>
      <x:c r="M686" s="13" t="n">
        <x:f>J686+(K686+L686)/1440</x:f>
        <x:v>46302.45972222222</x:v>
      </x:c>
      <x:c r="N686" s="13" t="n">
        <x:f>VLOOKUP(C686,'MES orders'!$A$8:$H$127,5,FALSE)</x:f>
        <x:v>46303.666666666664</x:v>
      </x:c>
      <x:c r="O686" s="16" t="n">
        <x:f>MAX(0,(M686-N686)*24)</x:f>
        <x:v>0</x:v>
      </x:c>
      <x:c r="P686" s="9" t="str">
        <x:v>No</x:v>
      </x:c>
      <x:c r="Q686" s="15" t="n">
        <x:v>32</x:v>
      </x:c>
      <x:c r="R686" s="13" t="n">
        <x:f>J686+Q686/1440</x:f>
        <x:v>46302.45972222222</x:v>
      </x:c>
      <x:c r="S686" s="2" t="str">
        <x:f>VLOOKUP(C686,'MES orders'!$A$8:$H$127,6,FALSE)</x:f>
        <x:v>Normal</x:v>
      </x:c>
      <x:c r="T686" s="9" t="str"/>
    </x:row>
    <x:row r="687" ht="22" customHeight="1">
      <x:c r="A687" s="2" t="str">
        <x:v>L00492-050</x:v>
      </x:c>
      <x:c r="B687" s="2" t="str">
        <x:v>L00492</x:v>
      </x:c>
      <x:c r="C687" s="2" t="str">
        <x:v>SO-26099</x:v>
      </x:c>
      <x:c r="D687" s="2" t="str">
        <x:v>D-S-AL</x:v>
      </x:c>
      <x:c r="E687" s="14" t="n">
        <x:v>15</x:v>
      </x:c>
      <x:c r="F687" s="2" t="str">
        <x:v>Final leak / function test</x:v>
      </x:c>
      <x:c r="G687" s="9" t="str">
        <x:v>QA-01</x:v>
      </x:c>
      <x:c r="H687" s="15" t="n">
        <x:v>28</x:v>
      </x:c>
      <x:c r="I687" s="9" t="str">
        <x:v>P12</x:v>
      </x:c>
      <x:c r="J687" s="11" t="n">
        <x:v>46302.4375</x:v>
      </x:c>
      <x:c r="K687" s="15" t="n">
        <x:v>10</x:v>
      </x:c>
      <x:c r="L687" s="15" t="n">
        <x:v>14</x:v>
      </x:c>
      <x:c r="M687" s="13" t="n">
        <x:f>J687+(K687+L687)/1440</x:f>
        <x:v>46302.45416666667</x:v>
      </x:c>
      <x:c r="N687" s="13" t="n">
        <x:f>VLOOKUP(C687,'MES orders'!$A$8:$H$127,5,FALSE)</x:f>
        <x:v>46304.666666666664</x:v>
      </x:c>
      <x:c r="O687" s="16" t="n">
        <x:f>MAX(0,(M687-N687)*24)</x:f>
        <x:v>0</x:v>
      </x:c>
      <x:c r="P687" s="9" t="str">
        <x:v>No</x:v>
      </x:c>
      <x:c r="Q687" s="15" t="n">
        <x:v>24</x:v>
      </x:c>
      <x:c r="R687" s="13" t="n">
        <x:f>J687+Q687/1440</x:f>
        <x:v>46302.45416666667</x:v>
      </x:c>
      <x:c r="S687" s="2" t="str">
        <x:f>VLOOKUP(C687,'MES orders'!$A$8:$H$127,6,FALSE)</x:f>
        <x:v>High</x:v>
      </x:c>
      <x:c r="T687" s="9" t="str"/>
    </x:row>
    <x:row r="688" ht="22" customHeight="1">
      <x:c r="A688" s="2" t="str">
        <x:v>L00129-080</x:v>
      </x:c>
      <x:c r="B688" s="2" t="str">
        <x:v>L00129</x:v>
      </x:c>
      <x:c r="C688" s="2" t="str">
        <x:v>SO-26026</x:v>
      </x:c>
      <x:c r="D688" s="2" t="str">
        <x:v>S-C-SS</x:v>
      </x:c>
      <x:c r="E688" s="14" t="n">
        <x:v>25</x:v>
      </x:c>
      <x:c r="F688" s="2" t="str">
        <x:v>Final leak / function test</x:v>
      </x:c>
      <x:c r="G688" s="9" t="str">
        <x:v>QA-02</x:v>
      </x:c>
      <x:c r="H688" s="15" t="n">
        <x:v>47</x:v>
      </x:c>
      <x:c r="I688" s="9" t="str">
        <x:v>P11</x:v>
      </x:c>
      <x:c r="J688" s="11" t="n">
        <x:v>46302.4375</x:v>
      </x:c>
      <x:c r="K688" s="15" t="n">
        <x:v>10</x:v>
      </x:c>
      <x:c r="L688" s="15" t="n">
        <x:v>18</x:v>
      </x:c>
      <x:c r="M688" s="13" t="n">
        <x:f>J688+(K688+L688)/1440</x:f>
        <x:v>46302.45694444444</x:v>
      </x:c>
      <x:c r="N688" s="13" t="n">
        <x:f>VLOOKUP(C688,'MES orders'!$A$8:$H$127,5,FALSE)</x:f>
        <x:v>46303.666666666664</x:v>
      </x:c>
      <x:c r="O688" s="16" t="n">
        <x:f>MAX(0,(M688-N688)*24)</x:f>
        <x:v>0</x:v>
      </x:c>
      <x:c r="P688" s="9" t="str">
        <x:v>No</x:v>
      </x:c>
      <x:c r="Q688" s="15" t="n">
        <x:v>28</x:v>
      </x:c>
      <x:c r="R688" s="13" t="n">
        <x:f>J688+Q688/1440</x:f>
        <x:v>46302.45694444444</x:v>
      </x:c>
      <x:c r="S688" s="2" t="str">
        <x:f>VLOOKUP(C688,'MES orders'!$A$8:$H$127,6,FALSE)</x:f>
        <x:v>Normal</x:v>
      </x:c>
      <x:c r="T688" s="9" t="str"/>
    </x:row>
    <x:row r="689" ht="22" customHeight="1">
      <x:c r="A689" s="2" t="str">
        <x:v>L00088-030</x:v>
      </x:c>
      <x:c r="B689" s="2" t="str">
        <x:v>L00088</x:v>
      </x:c>
      <x:c r="C689" s="2" t="str">
        <x:v>SO-26018</x:v>
      </x:c>
      <x:c r="D689" s="2" t="str">
        <x:v>R-L-SS</x:v>
      </x:c>
      <x:c r="E689" s="14" t="n">
        <x:v>25</x:v>
      </x:c>
      <x:c r="F689" s="2" t="str">
        <x:v>Wash &amp; dry</x:v>
      </x:c>
      <x:c r="G689" s="9" t="str">
        <x:v>WS-01</x:v>
      </x:c>
      <x:c r="H689" s="15" t="n">
        <x:v>65</x:v>
      </x:c>
      <x:c r="I689" s="9" t="str">
        <x:v>P06</x:v>
      </x:c>
      <x:c r="J689" s="11" t="n">
        <x:v>46302.4375</x:v>
      </x:c>
      <x:c r="K689" s="15" t="n">
        <x:v>12</x:v>
      </x:c>
      <x:c r="L689" s="15" t="n">
        <x:v>12</x:v>
      </x:c>
      <x:c r="M689" s="13" t="n">
        <x:f>J689+(K689+L689)/1440</x:f>
        <x:v>46302.45416666667</x:v>
      </x:c>
      <x:c r="N689" s="13" t="n">
        <x:f>VLOOKUP(C689,'MES orders'!$A$8:$H$127,5,FALSE)</x:f>
        <x:v>46303.666666666664</x:v>
      </x:c>
      <x:c r="O689" s="16" t="n">
        <x:f>MAX(0,(M689-N689)*24)</x:f>
        <x:v>0</x:v>
      </x:c>
      <x:c r="P689" s="9" t="str">
        <x:v>No</x:v>
      </x:c>
      <x:c r="Q689" s="15" t="n">
        <x:v>24</x:v>
      </x:c>
      <x:c r="R689" s="13" t="n">
        <x:f>J689+Q689/1440</x:f>
        <x:v>46302.45416666667</x:v>
      </x:c>
      <x:c r="S689" s="2" t="str">
        <x:f>VLOOKUP(C689,'MES orders'!$A$8:$H$127,6,FALSE)</x:f>
        <x:v>Normal</x:v>
      </x:c>
      <x:c r="T689" s="9" t="str"/>
    </x:row>
    <x:row r="690" ht="22" customHeight="1">
      <x:c r="A690" s="2" t="str">
        <x:v>L00130-030</x:v>
      </x:c>
      <x:c r="B690" s="2" t="str">
        <x:v>L00130</x:v>
      </x:c>
      <x:c r="C690" s="2" t="str">
        <x:v>SO-26026</x:v>
      </x:c>
      <x:c r="D690" s="2" t="str">
        <x:v>S-C-SS</x:v>
      </x:c>
      <x:c r="E690" s="14" t="n">
        <x:v>25</x:v>
      </x:c>
      <x:c r="F690" s="2" t="str">
        <x:v>Wash &amp; dry</x:v>
      </x:c>
      <x:c r="G690" s="9" t="str">
        <x:v>WS-02</x:v>
      </x:c>
      <x:c r="H690" s="15" t="n">
        <x:v>48</x:v>
      </x:c>
      <x:c r="I690" s="9" t="str">
        <x:v>P02</x:v>
      </x:c>
      <x:c r="J690" s="11" t="n">
        <x:v>46302.4375</x:v>
      </x:c>
      <x:c r="K690" s="15" t="n">
        <x:v>12</x:v>
      </x:c>
      <x:c r="L690" s="15" t="n">
        <x:v>7</x:v>
      </x:c>
      <x:c r="M690" s="13" t="n">
        <x:f>J690+(K690+L690)/1440</x:f>
        <x:v>46302.450694444444</x:v>
      </x:c>
      <x:c r="N690" s="13" t="n">
        <x:f>VLOOKUP(C690,'MES orders'!$A$8:$H$127,5,FALSE)</x:f>
        <x:v>46303.666666666664</x:v>
      </x:c>
      <x:c r="O690" s="16" t="n">
        <x:f>MAX(0,(M690-N690)*24)</x:f>
        <x:v>0</x:v>
      </x:c>
      <x:c r="P690" s="9" t="str">
        <x:v>No</x:v>
      </x:c>
      <x:c r="Q690" s="15" t="n">
        <x:v>19</x:v>
      </x:c>
      <x:c r="R690" s="13" t="n">
        <x:f>J690+Q690/1440</x:f>
        <x:v>46302.450694444444</x:v>
      </x:c>
      <x:c r="S690" s="2" t="str">
        <x:f>VLOOKUP(C690,'MES orders'!$A$8:$H$127,6,FALSE)</x:f>
        <x:v>Normal</x:v>
      </x:c>
      <x:c r="T690" s="9" t="str"/>
    </x:row>
    <x:row r="691" ht="22" customHeight="1">
      <x:c r="A691" s="2" t="str">
        <x:v>L00168-010</x:v>
      </x:c>
      <x:c r="B691" s="2" t="str">
        <x:v>L00168</x:v>
      </x:c>
      <x:c r="C691" s="2" t="str">
        <x:v>SO-26034</x:v>
      </x:c>
      <x:c r="D691" s="2" t="str">
        <x:v>S-S-SS</x:v>
      </x:c>
      <x:c r="E691" s="14" t="n">
        <x:v>10</x:v>
      </x:c>
      <x:c r="F691" s="2" t="str">
        <x:v>CNC machining</x:v>
      </x:c>
      <x:c r="G691" s="9" t="str">
        <x:v>CNC-04</x:v>
      </x:c>
      <x:c r="H691" s="15" t="n">
        <x:v>21</x:v>
      </x:c>
      <x:c r="I691" s="9" t="str">
        <x:v>P03</x:v>
      </x:c>
      <x:c r="J691" s="11" t="n">
        <x:v>46302.45</x:v>
      </x:c>
      <x:c r="K691" s="15" t="n">
        <x:v>18</x:v>
      </x:c>
      <x:c r="L691" s="15" t="n">
        <x:v>30</x:v>
      </x:c>
      <x:c r="M691" s="13" t="n">
        <x:f>J691+(K691+L691)/1440</x:f>
        <x:v>46302.48333333333</x:v>
      </x:c>
      <x:c r="N691" s="13" t="n">
        <x:f>VLOOKUP(C691,'MES orders'!$A$8:$H$127,5,FALSE)</x:f>
        <x:v>46303.666666666664</x:v>
      </x:c>
      <x:c r="O691" s="16" t="n">
        <x:f>MAX(0,(M691-N691)*24)</x:f>
        <x:v>0</x:v>
      </x:c>
      <x:c r="P691" s="9" t="str">
        <x:v>No</x:v>
      </x:c>
      <x:c r="Q691" s="15" t="n">
        <x:v>18</x:v>
      </x:c>
      <x:c r="R691" s="13" t="n">
        <x:f>J691+Q691/1440</x:f>
        <x:v>46302.462499999994</x:v>
      </x:c>
      <x:c r="S691" s="2" t="str">
        <x:f>VLOOKUP(C691,'MES orders'!$A$8:$H$127,6,FALSE)</x:f>
        <x:v>Normal</x:v>
      </x:c>
      <x:c r="T691" s="9" t="str"/>
    </x:row>
    <x:row r="692" ht="22" customHeight="1">
      <x:c r="A692" s="2" t="str">
        <x:v>L00130-040</x:v>
      </x:c>
      <x:c r="B692" s="2" t="str">
        <x:v>L00130</x:v>
      </x:c>
      <x:c r="C692" s="2" t="str">
        <x:v>SO-26026</x:v>
      </x:c>
      <x:c r="D692" s="2" t="str">
        <x:v>S-C-SS</x:v>
      </x:c>
      <x:c r="E692" s="14" t="n">
        <x:v>25</x:v>
      </x:c>
      <x:c r="F692" s="2" t="str">
        <x:v>Mechanical preassembly</x:v>
      </x:c>
      <x:c r="G692" s="9" t="str">
        <x:v>AS-03</x:v>
      </x:c>
      <x:c r="H692" s="15" t="n">
        <x:v>35</x:v>
      </x:c>
      <x:c r="I692" s="9" t="str">
        <x:v>P02</x:v>
      </x:c>
      <x:c r="J692" s="11" t="n">
        <x:v>46302.450694444444</x:v>
      </x:c>
      <x:c r="K692" s="15" t="n">
        <x:v>6</x:v>
      </x:c>
      <x:c r="L692" s="15" t="n">
        <x:v>22</x:v>
      </x:c>
      <x:c r="M692" s="13" t="n">
        <x:f>J692+(K692+L692)/1440</x:f>
        <x:v>46302.470138888886</x:v>
      </x:c>
      <x:c r="N692" s="13" t="n">
        <x:f>VLOOKUP(C692,'MES orders'!$A$8:$H$127,5,FALSE)</x:f>
        <x:v>46303.666666666664</x:v>
      </x:c>
      <x:c r="O692" s="16" t="n">
        <x:f>MAX(0,(M692-N692)*24)</x:f>
        <x:v>0</x:v>
      </x:c>
      <x:c r="P692" s="9" t="str">
        <x:v>No</x:v>
      </x:c>
      <x:c r="Q692" s="15" t="n">
        <x:v>28</x:v>
      </x:c>
      <x:c r="R692" s="13" t="n">
        <x:f>J692+Q692/1440</x:f>
        <x:v>46302.470138888886</x:v>
      </x:c>
      <x:c r="S692" s="2" t="str">
        <x:f>VLOOKUP(C692,'MES orders'!$A$8:$H$127,6,FALSE)</x:f>
        <x:v>Normal</x:v>
      </x:c>
      <x:c r="T692" s="9" t="str"/>
    </x:row>
    <x:row r="693" ht="22" customHeight="1">
      <x:c r="A693" s="2" t="str">
        <x:v>L00493-030</x:v>
      </x:c>
      <x:c r="B693" s="2" t="str">
        <x:v>L00493</x:v>
      </x:c>
      <x:c r="C693" s="2" t="str">
        <x:v>SO-26099</x:v>
      </x:c>
      <x:c r="D693" s="2" t="str">
        <x:v>D-S-AL</x:v>
      </x:c>
      <x:c r="E693" s="14" t="n">
        <x:v>15</x:v>
      </x:c>
      <x:c r="F693" s="2" t="str">
        <x:v>Wash &amp; dry</x:v>
      </x:c>
      <x:c r="G693" s="9" t="str">
        <x:v>WS-02</x:v>
      </x:c>
      <x:c r="H693" s="15" t="n">
        <x:v>49</x:v>
      </x:c>
      <x:c r="I693" s="9" t="str">
        <x:v>P08</x:v>
      </x:c>
      <x:c r="J693" s="11" t="n">
        <x:v>46302.450694444444</x:v>
      </x:c>
      <x:c r="K693" s="15" t="n">
        <x:v>12</x:v>
      </x:c>
      <x:c r="L693" s="15" t="n">
        <x:v>5</x:v>
      </x:c>
      <x:c r="M693" s="13" t="n">
        <x:f>J693+(K693+L693)/1440</x:f>
        <x:v>46302.4625</x:v>
      </x:c>
      <x:c r="N693" s="13" t="n">
        <x:f>VLOOKUP(C693,'MES orders'!$A$8:$H$127,5,FALSE)</x:f>
        <x:v>46304.666666666664</x:v>
      </x:c>
      <x:c r="O693" s="16" t="n">
        <x:f>MAX(0,(M693-N693)*24)</x:f>
        <x:v>0</x:v>
      </x:c>
      <x:c r="P693" s="9" t="str">
        <x:v>No</x:v>
      </x:c>
      <x:c r="Q693" s="15" t="n">
        <x:v>17</x:v>
      </x:c>
      <x:c r="R693" s="13" t="n">
        <x:f>J693+Q693/1440</x:f>
        <x:v>46302.4625</x:v>
      </x:c>
      <x:c r="S693" s="2" t="str">
        <x:f>VLOOKUP(C693,'MES orders'!$A$8:$H$127,6,FALSE)</x:f>
        <x:v>High</x:v>
      </x:c>
      <x:c r="T693" s="9" t="str"/>
    </x:row>
    <x:row r="694" ht="22" customHeight="1">
      <x:c r="A694" s="2" t="str">
        <x:v>L00494-040</x:v>
      </x:c>
      <x:c r="B694" s="2" t="str">
        <x:v>L00494</x:v>
      </x:c>
      <x:c r="C694" s="2" t="str">
        <x:v>SO-26099</x:v>
      </x:c>
      <x:c r="D694" s="2" t="str">
        <x:v>D-S-AL</x:v>
      </x:c>
      <x:c r="E694" s="14" t="n">
        <x:v>15</x:v>
      </x:c>
      <x:c r="F694" s="2" t="str">
        <x:v>Mechanical assembly</x:v>
      </x:c>
      <x:c r="G694" s="9" t="str">
        <x:v>AS-05</x:v>
      </x:c>
      <x:c r="H694" s="15" t="n">
        <x:v>18</x:v>
      </x:c>
      <x:c r="I694" s="9" t="str">
        <x:v>P12</x:v>
      </x:c>
      <x:c r="J694" s="11" t="n">
        <x:v>46302.45416666667</x:v>
      </x:c>
      <x:c r="K694" s="15" t="n">
        <x:v>8</x:v>
      </x:c>
      <x:c r="L694" s="15" t="n">
        <x:v>27</x:v>
      </x:c>
      <x:c r="M694" s="13" t="n">
        <x:f>J694+(K694+L694)/1440</x:f>
        <x:v>46302.478472222225</x:v>
      </x:c>
      <x:c r="N694" s="13" t="n">
        <x:f>VLOOKUP(C694,'MES orders'!$A$8:$H$127,5,FALSE)</x:f>
        <x:v>46304.666666666664</x:v>
      </x:c>
      <x:c r="O694" s="16" t="n">
        <x:f>MAX(0,(M694-N694)*24)</x:f>
        <x:v>0</x:v>
      </x:c>
      <x:c r="P694" s="9" t="str">
        <x:v>No</x:v>
      </x:c>
      <x:c r="Q694" s="15" t="n">
        <x:v>35</x:v>
      </x:c>
      <x:c r="R694" s="13" t="n">
        <x:f>J694+Q694/1440</x:f>
        <x:v>46302.478472222225</x:v>
      </x:c>
      <x:c r="S694" s="2" t="str">
        <x:f>VLOOKUP(C694,'MES orders'!$A$8:$H$127,6,FALSE)</x:f>
        <x:v>High</x:v>
      </x:c>
      <x:c r="T694" s="9" t="str"/>
    </x:row>
    <x:row r="695" ht="22" customHeight="1">
      <x:c r="A695" s="2" t="str">
        <x:v>L00089-020</x:v>
      </x:c>
      <x:c r="B695" s="2" t="str">
        <x:v>L00089</x:v>
      </x:c>
      <x:c r="C695" s="2" t="str">
        <x:v>SO-26018</x:v>
      </x:c>
      <x:c r="D695" s="2" t="str">
        <x:v>R-L-SS</x:v>
      </x:c>
      <x:c r="E695" s="14" t="n">
        <x:v>25</x:v>
      </x:c>
      <x:c r="F695" s="2" t="str">
        <x:v>Deburr &amp; inspect</x:v>
      </x:c>
      <x:c r="G695" s="9" t="str">
        <x:v>DB-01</x:v>
      </x:c>
      <x:c r="H695" s="15" t="n">
        <x:v>69</x:v>
      </x:c>
      <x:c r="I695" s="9" t="str">
        <x:v>P06</x:v>
      </x:c>
      <x:c r="J695" s="11" t="n">
        <x:v>46302.45416666667</x:v>
      </x:c>
      <x:c r="K695" s="15" t="n">
        <x:v>4</x:v>
      </x:c>
      <x:c r="L695" s="15" t="n">
        <x:v>24</x:v>
      </x:c>
      <x:c r="M695" s="13" t="n">
        <x:f>J695+(K695+L695)/1440</x:f>
        <x:v>46302.47361111111</x:v>
      </x:c>
      <x:c r="N695" s="13" t="n">
        <x:f>VLOOKUP(C695,'MES orders'!$A$8:$H$127,5,FALSE)</x:f>
        <x:v>46303.666666666664</x:v>
      </x:c>
      <x:c r="O695" s="16" t="n">
        <x:f>MAX(0,(M695-N695)*24)</x:f>
        <x:v>0</x:v>
      </x:c>
      <x:c r="P695" s="9" t="str">
        <x:v>No</x:v>
      </x:c>
      <x:c r="Q695" s="15" t="n">
        <x:v>28</x:v>
      </x:c>
      <x:c r="R695" s="13" t="n">
        <x:f>J695+Q695/1440</x:f>
        <x:v>46302.47361111111</x:v>
      </x:c>
      <x:c r="S695" s="2" t="str">
        <x:f>VLOOKUP(C695,'MES orders'!$A$8:$H$127,6,FALSE)</x:f>
        <x:v>Normal</x:v>
      </x:c>
      <x:c r="T695" s="9" t="str"/>
    </x:row>
    <x:row r="696" ht="22" customHeight="1">
      <x:c r="A696" s="2" t="str">
        <x:v>L00169-010</x:v>
      </x:c>
      <x:c r="B696" s="2" t="str">
        <x:v>L00169</x:v>
      </x:c>
      <x:c r="C696" s="2" t="str">
        <x:v>SO-26034</x:v>
      </x:c>
      <x:c r="D696" s="2" t="str">
        <x:v>S-S-SS</x:v>
      </x:c>
      <x:c r="E696" s="14" t="n">
        <x:v>10</x:v>
      </x:c>
      <x:c r="F696" s="2" t="str">
        <x:v>CNC machining</x:v>
      </x:c>
      <x:c r="G696" s="9" t="str">
        <x:v>CNC-05</x:v>
      </x:c>
      <x:c r="H696" s="15" t="n">
        <x:v>18</x:v>
      </x:c>
      <x:c r="I696" s="9" t="str">
        <x:v>P01</x:v>
      </x:c>
      <x:c r="J696" s="11" t="n">
        <x:v>46302.45694444444</x:v>
      </x:c>
      <x:c r="K696" s="15" t="n">
        <x:v>18</x:v>
      </x:c>
      <x:c r="L696" s="15" t="n">
        <x:v>30</x:v>
      </x:c>
      <x:c r="M696" s="13" t="n">
        <x:f>J696+(K696+L696)/1440</x:f>
        <x:v>46302.490277777775</x:v>
      </x:c>
      <x:c r="N696" s="13" t="n">
        <x:f>VLOOKUP(C696,'MES orders'!$A$8:$H$127,5,FALSE)</x:f>
        <x:v>46303.666666666664</x:v>
      </x:c>
      <x:c r="O696" s="16" t="n">
        <x:f>MAX(0,(M696-N696)*24)</x:f>
        <x:v>0</x:v>
      </x:c>
      <x:c r="P696" s="9" t="str">
        <x:v>No</x:v>
      </x:c>
      <x:c r="Q696" s="15" t="n">
        <x:v>18</x:v>
      </x:c>
      <x:c r="R696" s="13" t="n">
        <x:f>J696+Q696/1440</x:f>
        <x:v>46302.46944444444</x:v>
      </x:c>
      <x:c r="S696" s="2" t="str">
        <x:f>VLOOKUP(C696,'MES orders'!$A$8:$H$127,6,FALSE)</x:f>
        <x:v>Normal</x:v>
      </x:c>
      <x:c r="T696" s="9" t="str"/>
    </x:row>
    <x:row r="697" ht="22" customHeight="1">
      <x:c r="A697" s="2" t="str">
        <x:v>L00495-030</x:v>
      </x:c>
      <x:c r="B697" s="2" t="str">
        <x:v>L00495</x:v>
      </x:c>
      <x:c r="C697" s="2" t="str">
        <x:v>SO-26099</x:v>
      </x:c>
      <x:c r="D697" s="2" t="str">
        <x:v>D-S-AL</x:v>
      </x:c>
      <x:c r="E697" s="14" t="n">
        <x:v>15</x:v>
      </x:c>
      <x:c r="F697" s="2" t="str">
        <x:v>Wash &amp; dry</x:v>
      </x:c>
      <x:c r="G697" s="9" t="str">
        <x:v>WS-01</x:v>
      </x:c>
      <x:c r="H697" s="15" t="n">
        <x:v>66</x:v>
      </x:c>
      <x:c r="I697" s="9" t="str">
        <x:v>P11</x:v>
      </x:c>
      <x:c r="J697" s="11" t="n">
        <x:v>46302.45694444444</x:v>
      </x:c>
      <x:c r="K697" s="15" t="n">
        <x:v>12</x:v>
      </x:c>
      <x:c r="L697" s="15" t="n">
        <x:v>5</x:v>
      </x:c>
      <x:c r="M697" s="13" t="n">
        <x:f>J697+(K697+L697)/1440</x:f>
        <x:v>46302.46875</x:v>
      </x:c>
      <x:c r="N697" s="13" t="n">
        <x:f>VLOOKUP(C697,'MES orders'!$A$8:$H$127,5,FALSE)</x:f>
        <x:v>46304.666666666664</x:v>
      </x:c>
      <x:c r="O697" s="16" t="n">
        <x:f>MAX(0,(M697-N697)*24)</x:f>
        <x:v>0</x:v>
      </x:c>
      <x:c r="P697" s="9" t="str">
        <x:v>No</x:v>
      </x:c>
      <x:c r="Q697" s="15" t="n">
        <x:v>17</x:v>
      </x:c>
      <x:c r="R697" s="13" t="n">
        <x:f>J697+Q697/1440</x:f>
        <x:v>46302.46875</x:v>
      </x:c>
      <x:c r="S697" s="2" t="str">
        <x:f>VLOOKUP(C697,'MES orders'!$A$8:$H$127,6,FALSE)</x:f>
        <x:v>High</x:v>
      </x:c>
      <x:c r="T697" s="9" t="str"/>
    </x:row>
    <x:row r="698" ht="22" customHeight="1">
      <x:c r="A698" s="2" t="str">
        <x:v>L00126-060</x:v>
      </x:c>
      <x:c r="B698" s="2" t="str">
        <x:v>L00126</x:v>
      </x:c>
      <x:c r="C698" s="2" t="str">
        <x:v>SO-26026</x:v>
      </x:c>
      <x:c r="D698" s="2" t="str">
        <x:v>S-C-SS</x:v>
      </x:c>
      <x:c r="E698" s="14" t="n">
        <x:v>25</x:v>
      </x:c>
      <x:c r="F698" s="2" t="str">
        <x:v>Sensor calibration</x:v>
      </x:c>
      <x:c r="G698" s="9" t="str">
        <x:v>CAL-01</x:v>
      </x:c>
      <x:c r="H698" s="15" t="n">
        <x:v>24</x:v>
      </x:c>
      <x:c r="I698" s="9" t="str">
        <x:v>P09</x:v>
      </x:c>
      <x:c r="J698" s="11" t="n">
        <x:v>46302.45972222222</x:v>
      </x:c>
      <x:c r="K698" s="15" t="n">
        <x:v>10</x:v>
      </x:c>
      <x:c r="L698" s="15" t="n">
        <x:v>26</x:v>
      </x:c>
      <x:c r="M698" s="13" t="n">
        <x:f>J698+(K698+L698)/1440</x:f>
        <x:v>46302.48472222222</x:v>
      </x:c>
      <x:c r="N698" s="13" t="n">
        <x:f>VLOOKUP(C698,'MES orders'!$A$8:$H$127,5,FALSE)</x:f>
        <x:v>46303.666666666664</x:v>
      </x:c>
      <x:c r="O698" s="16" t="n">
        <x:f>MAX(0,(M698-N698)*24)</x:f>
        <x:v>0</x:v>
      </x:c>
      <x:c r="P698" s="9" t="str">
        <x:v>No</x:v>
      </x:c>
      <x:c r="Q698" s="15" t="n">
        <x:v>36</x:v>
      </x:c>
      <x:c r="R698" s="13" t="n">
        <x:f>J698+Q698/1440</x:f>
        <x:v>46302.48472222222</x:v>
      </x:c>
      <x:c r="S698" s="2" t="str">
        <x:f>VLOOKUP(C698,'MES orders'!$A$8:$H$127,6,FALSE)</x:f>
        <x:v>Normal</x:v>
      </x:c>
      <x:c r="T698" s="9" t="str"/>
    </x:row>
    <x:row r="699" ht="22" customHeight="1">
      <x:c r="A699" s="2" t="str">
        <x:v>L00011-020</x:v>
      </x:c>
      <x:c r="B699" s="2" t="str">
        <x:v>L00011</x:v>
      </x:c>
      <x:c r="C699" s="2" t="str">
        <x:v>SO-26003</x:v>
      </x:c>
      <x:c r="D699" s="2" t="str">
        <x:v>S-S-AL</x:v>
      </x:c>
      <x:c r="E699" s="14" t="n">
        <x:v>15</x:v>
      </x:c>
      <x:c r="F699" s="2" t="str">
        <x:v>Deburr &amp; inspect</x:v>
      </x:c>
      <x:c r="G699" s="9" t="str">
        <x:v>DB-02</x:v>
      </x:c>
      <x:c r="H699" s="15" t="n">
        <x:v>49</x:v>
      </x:c>
      <x:c r="I699" s="9" t="str">
        <x:v>P07</x:v>
      </x:c>
      <x:c r="J699" s="11" t="n">
        <x:v>46302.45972222222</x:v>
      </x:c>
      <x:c r="K699" s="15" t="n">
        <x:v>4</x:v>
      </x:c>
      <x:c r="L699" s="15" t="n">
        <x:v>10</x:v>
      </x:c>
      <x:c r="M699" s="13" t="n">
        <x:f>J699+(K699+L699)/1440</x:f>
        <x:v>46302.46944444445</x:v>
      </x:c>
      <x:c r="N699" s="13" t="n">
        <x:f>VLOOKUP(C699,'MES orders'!$A$8:$H$127,5,FALSE)</x:f>
        <x:v>46304.666666666664</x:v>
      </x:c>
      <x:c r="O699" s="16" t="n">
        <x:f>MAX(0,(M699-N699)*24)</x:f>
        <x:v>0</x:v>
      </x:c>
      <x:c r="P699" s="9" t="str">
        <x:v>No</x:v>
      </x:c>
      <x:c r="Q699" s="15" t="n">
        <x:v>14</x:v>
      </x:c>
      <x:c r="R699" s="13" t="n">
        <x:f>J699+Q699/1440</x:f>
        <x:v>46302.46944444445</x:v>
      </x:c>
      <x:c r="S699" s="2" t="str">
        <x:f>VLOOKUP(C699,'MES orders'!$A$8:$H$127,6,FALSE)</x:f>
        <x:v>Normal</x:v>
      </x:c>
      <x:c r="T699" s="9" t="str"/>
    </x:row>
    <x:row r="700" ht="22" customHeight="1">
      <x:c r="A700" s="2" t="str">
        <x:v>L00493-040</x:v>
      </x:c>
      <x:c r="B700" s="2" t="str">
        <x:v>L00493</x:v>
      </x:c>
      <x:c r="C700" s="2" t="str">
        <x:v>SO-26099</x:v>
      </x:c>
      <x:c r="D700" s="2" t="str">
        <x:v>D-S-AL</x:v>
      </x:c>
      <x:c r="E700" s="14" t="n">
        <x:v>15</x:v>
      </x:c>
      <x:c r="F700" s="2" t="str">
        <x:v>Mechanical assembly</x:v>
      </x:c>
      <x:c r="G700" s="9" t="str">
        <x:v>AS-04</x:v>
      </x:c>
      <x:c r="H700" s="15" t="n">
        <x:v>21</x:v>
      </x:c>
      <x:c r="I700" s="9" t="str">
        <x:v>P08</x:v>
      </x:c>
      <x:c r="J700" s="11" t="n">
        <x:v>46302.4625</x:v>
      </x:c>
      <x:c r="K700" s="15" t="n">
        <x:v>8</x:v>
      </x:c>
      <x:c r="L700" s="15" t="n">
        <x:v>27</x:v>
      </x:c>
      <x:c r="M700" s="13" t="n">
        <x:f>J700+(K700+L700)/1440</x:f>
        <x:v>46302.486805555556</x:v>
      </x:c>
      <x:c r="N700" s="13" t="n">
        <x:f>VLOOKUP(C700,'MES orders'!$A$8:$H$127,5,FALSE)</x:f>
        <x:v>46304.666666666664</x:v>
      </x:c>
      <x:c r="O700" s="16" t="n">
        <x:f>MAX(0,(M700-N700)*24)</x:f>
        <x:v>0</x:v>
      </x:c>
      <x:c r="P700" s="9" t="str">
        <x:v>No</x:v>
      </x:c>
      <x:c r="Q700" s="15" t="n">
        <x:v>35</x:v>
      </x:c>
      <x:c r="R700" s="13" t="n">
        <x:f>J700+Q700/1440</x:f>
        <x:v>46302.486805555556</x:v>
      </x:c>
      <x:c r="S700" s="2" t="str">
        <x:f>VLOOKUP(C700,'MES orders'!$A$8:$H$127,6,FALSE)</x:f>
        <x:v>High</x:v>
      </x:c>
      <x:c r="T700" s="9" t="str"/>
    </x:row>
    <x:row r="701" ht="22" customHeight="1">
      <x:c r="A701" s="2" t="str">
        <x:v>L00170-010</x:v>
      </x:c>
      <x:c r="B701" s="2" t="str">
        <x:v>L00170</x:v>
      </x:c>
      <x:c r="C701" s="2" t="str">
        <x:v>SO-26034</x:v>
      </x:c>
      <x:c r="D701" s="2" t="str">
        <x:v>S-S-SS</x:v>
      </x:c>
      <x:c r="E701" s="14" t="n">
        <x:v>10</x:v>
      </x:c>
      <x:c r="F701" s="2" t="str">
        <x:v>CNC machining</x:v>
      </x:c>
      <x:c r="G701" s="9" t="str">
        <x:v>CNC-06</x:v>
      </x:c>
      <x:c r="H701" s="15" t="n">
        <x:v>18</x:v>
      </x:c>
      <x:c r="I701" s="9" t="str">
        <x:v>P03</x:v>
      </x:c>
      <x:c r="J701" s="11" t="n">
        <x:v>46302.4625</x:v>
      </x:c>
      <x:c r="K701" s="15" t="n">
        <x:v>18</x:v>
      </x:c>
      <x:c r="L701" s="15" t="n">
        <x:v>30</x:v>
      </x:c>
      <x:c r="M701" s="13" t="n">
        <x:f>J701+(K701+L701)/1440</x:f>
        <x:v>46302.495833333334</x:v>
      </x:c>
      <x:c r="N701" s="13" t="n">
        <x:f>VLOOKUP(C701,'MES orders'!$A$8:$H$127,5,FALSE)</x:f>
        <x:v>46303.666666666664</x:v>
      </x:c>
      <x:c r="O701" s="16" t="n">
        <x:f>MAX(0,(M701-N701)*24)</x:f>
        <x:v>0</x:v>
      </x:c>
      <x:c r="P701" s="9" t="str">
        <x:v>No</x:v>
      </x:c>
      <x:c r="Q701" s="15" t="n">
        <x:v>18</x:v>
      </x:c>
      <x:c r="R701" s="13" t="n">
        <x:f>J701+Q701/1440</x:f>
        <x:v>46302.475</x:v>
      </x:c>
      <x:c r="S701" s="2" t="str">
        <x:f>VLOOKUP(C701,'MES orders'!$A$8:$H$127,6,FALSE)</x:f>
        <x:v>Normal</x:v>
      </x:c>
      <x:c r="T701" s="9" t="str"/>
    </x:row>
    <x:row r="702" ht="22" customHeight="1">
      <x:c r="A702" s="2" t="str">
        <x:v>L00130-050</x:v>
      </x:c>
      <x:c r="B702" s="2" t="str">
        <x:v>L00130</x:v>
      </x:c>
      <x:c r="C702" s="2" t="str">
        <x:v>SO-26026</x:v>
      </x:c>
      <x:c r="D702" s="2" t="str">
        <x:v>S-C-SS</x:v>
      </x:c>
      <x:c r="E702" s="14" t="n">
        <x:v>25</x:v>
      </x:c>
      <x:c r="F702" s="2" t="str">
        <x:v>Sensor installation</x:v>
      </x:c>
      <x:c r="G702" s="9" t="str">
        <x:v>EL-01</x:v>
      </x:c>
      <x:c r="H702" s="15" t="n">
        <x:v>18</x:v>
      </x:c>
      <x:c r="I702" s="9" t="str">
        <x:v>P07</x:v>
      </x:c>
      <x:c r="J702" s="11" t="n">
        <x:v>46302.470138888886</x:v>
      </x:c>
      <x:c r="K702" s="15" t="n">
        <x:v>8</x:v>
      </x:c>
      <x:c r="L702" s="15" t="n">
        <x:v>24</x:v>
      </x:c>
      <x:c r="M702" s="13" t="n">
        <x:f>J702+(K702+L702)/1440</x:f>
        <x:v>46302.49236111111</x:v>
      </x:c>
      <x:c r="N702" s="13" t="n">
        <x:f>VLOOKUP(C702,'MES orders'!$A$8:$H$127,5,FALSE)</x:f>
        <x:v>46303.666666666664</x:v>
      </x:c>
      <x:c r="O702" s="16" t="n">
        <x:f>MAX(0,(M702-N702)*24)</x:f>
        <x:v>0</x:v>
      </x:c>
      <x:c r="P702" s="9" t="str">
        <x:v>No</x:v>
      </x:c>
      <x:c r="Q702" s="15" t="n">
        <x:v>32</x:v>
      </x:c>
      <x:c r="R702" s="13" t="n">
        <x:f>J702+Q702/1440</x:f>
        <x:v>46302.49236111111</x:v>
      </x:c>
      <x:c r="S702" s="2" t="str">
        <x:f>VLOOKUP(C702,'MES orders'!$A$8:$H$127,6,FALSE)</x:f>
        <x:v>Normal</x:v>
      </x:c>
      <x:c r="T702" s="9" t="str"/>
    </x:row>
    <x:row r="703" ht="22" customHeight="1">
      <x:c r="A703" s="2" t="str">
        <x:v>L00167-020</x:v>
      </x:c>
      <x:c r="B703" s="2" t="str">
        <x:v>L00167</x:v>
      </x:c>
      <x:c r="C703" s="2" t="str">
        <x:v>SO-26034</x:v>
      </x:c>
      <x:c r="D703" s="2" t="str">
        <x:v>S-S-SS</x:v>
      </x:c>
      <x:c r="E703" s="14" t="n">
        <x:v>10</x:v>
      </x:c>
      <x:c r="F703" s="2" t="str">
        <x:v>Deburr &amp; inspect</x:v>
      </x:c>
      <x:c r="G703" s="9" t="str">
        <x:v>DB-02</x:v>
      </x:c>
      <x:c r="H703" s="15" t="n">
        <x:v>50</x:v>
      </x:c>
      <x:c r="I703" s="9" t="str">
        <x:v>P01</x:v>
      </x:c>
      <x:c r="J703" s="11" t="n">
        <x:v>46302.47083333333</x:v>
      </x:c>
      <x:c r="K703" s="15" t="n">
        <x:v>4</x:v>
      </x:c>
      <x:c r="L703" s="15" t="n">
        <x:v>7</x:v>
      </x:c>
      <x:c r="M703" s="13" t="n">
        <x:f>J703+(K703+L703)/1440</x:f>
        <x:v>46302.478472222225</x:v>
      </x:c>
      <x:c r="N703" s="13" t="n">
        <x:f>VLOOKUP(C703,'MES orders'!$A$8:$H$127,5,FALSE)</x:f>
        <x:v>46303.666666666664</x:v>
      </x:c>
      <x:c r="O703" s="16" t="n">
        <x:f>MAX(0,(M703-N703)*24)</x:f>
        <x:v>0</x:v>
      </x:c>
      <x:c r="P703" s="9" t="str">
        <x:v>No</x:v>
      </x:c>
      <x:c r="Q703" s="15" t="n">
        <x:v>11</x:v>
      </x:c>
      <x:c r="R703" s="13" t="n">
        <x:f>J703+Q703/1440</x:f>
        <x:v>46302.478472222225</x:v>
      </x:c>
      <x:c r="S703" s="2" t="str">
        <x:f>VLOOKUP(C703,'MES orders'!$A$8:$H$127,6,FALSE)</x:f>
        <x:v>Normal</x:v>
      </x:c>
      <x:c r="T703" s="9" t="str"/>
    </x:row>
    <x:row r="704" ht="22" customHeight="1">
      <x:c r="A704" s="2" t="str">
        <x:v>L00166-020</x:v>
      </x:c>
      <x:c r="B704" s="2" t="str">
        <x:v>L00166</x:v>
      </x:c>
      <x:c r="C704" s="2" t="str">
        <x:v>SO-26034</x:v>
      </x:c>
      <x:c r="D704" s="2" t="str">
        <x:v>S-S-SS</x:v>
      </x:c>
      <x:c r="E704" s="14" t="n">
        <x:v>10</x:v>
      </x:c>
      <x:c r="F704" s="2" t="str">
        <x:v>Deburr &amp; inspect</x:v>
      </x:c>
      <x:c r="G704" s="9" t="str">
        <x:v>DB-01</x:v>
      </x:c>
      <x:c r="H704" s="15" t="n">
        <x:v>70</x:v>
      </x:c>
      <x:c r="I704" s="9" t="str">
        <x:v>P06</x:v>
      </x:c>
      <x:c r="J704" s="11" t="n">
        <x:v>46302.47361111111</x:v>
      </x:c>
      <x:c r="K704" s="15" t="n">
        <x:v>4</x:v>
      </x:c>
      <x:c r="L704" s="15" t="n">
        <x:v>7</x:v>
      </x:c>
      <x:c r="M704" s="13" t="n">
        <x:f>J704+(K704+L704)/1440</x:f>
        <x:v>46302.481250000004</x:v>
      </x:c>
      <x:c r="N704" s="13" t="n">
        <x:f>VLOOKUP(C704,'MES orders'!$A$8:$H$127,5,FALSE)</x:f>
        <x:v>46303.666666666664</x:v>
      </x:c>
      <x:c r="O704" s="16" t="n">
        <x:f>MAX(0,(M704-N704)*24)</x:f>
        <x:v>0</x:v>
      </x:c>
      <x:c r="P704" s="9" t="str">
        <x:v>No</x:v>
      </x:c>
      <x:c r="Q704" s="15" t="n">
        <x:v>11</x:v>
      </x:c>
      <x:c r="R704" s="13" t="n">
        <x:f>J704+Q704/1440</x:f>
        <x:v>46302.481250000004</x:v>
      </x:c>
      <x:c r="S704" s="2" t="str">
        <x:f>VLOOKUP(C704,'MES orders'!$A$8:$H$127,6,FALSE)</x:f>
        <x:v>Normal</x:v>
      </x:c>
      <x:c r="T704" s="9" t="str"/>
    </x:row>
    <x:row r="705" ht="22" customHeight="1">
      <x:c r="A705" s="2" t="str">
        <x:v>L00494-050</x:v>
      </x:c>
      <x:c r="B705" s="2" t="str">
        <x:v>L00494</x:v>
      </x:c>
      <x:c r="C705" s="2" t="str">
        <x:v>SO-26099</x:v>
      </x:c>
      <x:c r="D705" s="2" t="str">
        <x:v>D-S-AL</x:v>
      </x:c>
      <x:c r="E705" s="14" t="n">
        <x:v>15</x:v>
      </x:c>
      <x:c r="F705" s="2" t="str">
        <x:v>Final leak / function test</x:v>
      </x:c>
      <x:c r="G705" s="9" t="str">
        <x:v>QA-02</x:v>
      </x:c>
      <x:c r="H705" s="15" t="n">
        <x:v>48</x:v>
      </x:c>
      <x:c r="I705" s="9" t="str">
        <x:v>P11</x:v>
      </x:c>
      <x:c r="J705" s="11" t="n">
        <x:v>46302.478472222225</x:v>
      </x:c>
      <x:c r="K705" s="15" t="n">
        <x:v>10</x:v>
      </x:c>
      <x:c r="L705" s="15" t="n">
        <x:v>14</x:v>
      </x:c>
      <x:c r="M705" s="13" t="n">
        <x:f>J705+(K705+L705)/1440</x:f>
        <x:v>46302.495138888895</x:v>
      </x:c>
      <x:c r="N705" s="13" t="n">
        <x:f>VLOOKUP(C705,'MES orders'!$A$8:$H$127,5,FALSE)</x:f>
        <x:v>46304.666666666664</x:v>
      </x:c>
      <x:c r="O705" s="16" t="n">
        <x:f>MAX(0,(M705-N705)*24)</x:f>
        <x:v>0</x:v>
      </x:c>
      <x:c r="P705" s="9" t="str">
        <x:v>No</x:v>
      </x:c>
      <x:c r="Q705" s="15" t="n">
        <x:v>24</x:v>
      </x:c>
      <x:c r="R705" s="13" t="n">
        <x:f>J705+Q705/1440</x:f>
        <x:v>46302.495138888895</x:v>
      </x:c>
      <x:c r="S705" s="2" t="str">
        <x:f>VLOOKUP(C705,'MES orders'!$A$8:$H$127,6,FALSE)</x:f>
        <x:v>High</x:v>
      </x:c>
      <x:c r="T705" s="9" t="str"/>
    </x:row>
    <x:row r="706" ht="22" customHeight="1">
      <x:c r="A706" s="2" t="str">
        <x:v>L00167-030</x:v>
      </x:c>
      <x:c r="B706" s="2" t="str">
        <x:v>L00167</x:v>
      </x:c>
      <x:c r="C706" s="2" t="str">
        <x:v>SO-26034</x:v>
      </x:c>
      <x:c r="D706" s="2" t="str">
        <x:v>S-S-SS</x:v>
      </x:c>
      <x:c r="E706" s="14" t="n">
        <x:v>10</x:v>
      </x:c>
      <x:c r="F706" s="2" t="str">
        <x:v>Wash &amp; dry</x:v>
      </x:c>
      <x:c r="G706" s="9" t="str">
        <x:v>WS-02</x:v>
      </x:c>
      <x:c r="H706" s="15" t="n">
        <x:v>50</x:v>
      </x:c>
      <x:c r="I706" s="9" t="str">
        <x:v>P02</x:v>
      </x:c>
      <x:c r="J706" s="11" t="n">
        <x:v>46302.478472222225</x:v>
      </x:c>
      <x:c r="K706" s="15" t="n">
        <x:v>12</x:v>
      </x:c>
      <x:c r="L706" s="15" t="n">
        <x:v>4</x:v>
      </x:c>
      <x:c r="M706" s="13" t="n">
        <x:f>J706+(K706+L706)/1440</x:f>
        <x:v>46302.489583333336</x:v>
      </x:c>
      <x:c r="N706" s="13" t="n">
        <x:f>VLOOKUP(C706,'MES orders'!$A$8:$H$127,5,FALSE)</x:f>
        <x:v>46303.666666666664</x:v>
      </x:c>
      <x:c r="O706" s="16" t="n">
        <x:f>MAX(0,(M706-N706)*24)</x:f>
        <x:v>0</x:v>
      </x:c>
      <x:c r="P706" s="9" t="str">
        <x:v>No</x:v>
      </x:c>
      <x:c r="Q706" s="15" t="n">
        <x:v>16</x:v>
      </x:c>
      <x:c r="R706" s="13" t="n">
        <x:f>J706+Q706/1440</x:f>
        <x:v>46302.489583333336</x:v>
      </x:c>
      <x:c r="S706" s="2" t="str">
        <x:f>VLOOKUP(C706,'MES orders'!$A$8:$H$127,6,FALSE)</x:f>
        <x:v>Normal</x:v>
      </x:c>
      <x:c r="T706" s="9" t="str"/>
    </x:row>
    <x:row r="707" ht="22" customHeight="1">
      <x:c r="A707" s="2" t="str">
        <x:v>L00166-030</x:v>
      </x:c>
      <x:c r="B707" s="2" t="str">
        <x:v>L00166</x:v>
      </x:c>
      <x:c r="C707" s="2" t="str">
        <x:v>SO-26034</x:v>
      </x:c>
      <x:c r="D707" s="2" t="str">
        <x:v>S-S-SS</x:v>
      </x:c>
      <x:c r="E707" s="14" t="n">
        <x:v>10</x:v>
      </x:c>
      <x:c r="F707" s="2" t="str">
        <x:v>Wash &amp; dry</x:v>
      </x:c>
      <x:c r="G707" s="9" t="str">
        <x:v>WS-01</x:v>
      </x:c>
      <x:c r="H707" s="15" t="n">
        <x:v>67</x:v>
      </x:c>
      <x:c r="I707" s="9" t="str">
        <x:v>P01</x:v>
      </x:c>
      <x:c r="J707" s="11" t="n">
        <x:v>46302.48125</x:v>
      </x:c>
      <x:c r="K707" s="15" t="n">
        <x:v>12</x:v>
      </x:c>
      <x:c r="L707" s="15" t="n">
        <x:v>4</x:v>
      </x:c>
      <x:c r="M707" s="13" t="n">
        <x:f>J707+(K707+L707)/1440</x:f>
        <x:v>46302.49236111111</x:v>
      </x:c>
      <x:c r="N707" s="13" t="n">
        <x:f>VLOOKUP(C707,'MES orders'!$A$8:$H$127,5,FALSE)</x:f>
        <x:v>46303.666666666664</x:v>
      </x:c>
      <x:c r="O707" s="16" t="n">
        <x:f>MAX(0,(M707-N707)*24)</x:f>
        <x:v>0</x:v>
      </x:c>
      <x:c r="P707" s="9" t="str">
        <x:v>No</x:v>
      </x:c>
      <x:c r="Q707" s="15" t="n">
        <x:v>16</x:v>
      </x:c>
      <x:c r="R707" s="13" t="n">
        <x:f>J707+Q707/1440</x:f>
        <x:v>46302.49236111111</x:v>
      </x:c>
      <x:c r="S707" s="2" t="str">
        <x:f>VLOOKUP(C707,'MES orders'!$A$8:$H$127,6,FALSE)</x:f>
        <x:v>Normal</x:v>
      </x:c>
      <x:c r="T707" s="9" t="str"/>
    </x:row>
    <x:row r="708" ht="22" customHeight="1">
      <x:c r="A708" s="2" t="str">
        <x:v>L00168-020</x:v>
      </x:c>
      <x:c r="B708" s="2" t="str">
        <x:v>L00168</x:v>
      </x:c>
      <x:c r="C708" s="2" t="str">
        <x:v>SO-26034</x:v>
      </x:c>
      <x:c r="D708" s="2" t="str">
        <x:v>S-S-SS</x:v>
      </x:c>
      <x:c r="E708" s="14" t="n">
        <x:v>10</x:v>
      </x:c>
      <x:c r="F708" s="2" t="str">
        <x:v>Deburr &amp; inspect</x:v>
      </x:c>
      <x:c r="G708" s="9" t="str">
        <x:v>DB-01</x:v>
      </x:c>
      <x:c r="H708" s="15" t="n">
        <x:v>71</x:v>
      </x:c>
      <x:c r="I708" s="9" t="str">
        <x:v>P03</x:v>
      </x:c>
      <x:c r="J708" s="11" t="n">
        <x:v>46302.48333333333</x:v>
      </x:c>
      <x:c r="K708" s="15" t="n">
        <x:v>4</x:v>
      </x:c>
      <x:c r="L708" s="15" t="n">
        <x:v>7</x:v>
      </x:c>
      <x:c r="M708" s="13" t="n">
        <x:f>J708+(K708+L708)/1440</x:f>
        <x:v>46302.49097222222</x:v>
      </x:c>
      <x:c r="N708" s="13" t="n">
        <x:f>VLOOKUP(C708,'MES orders'!$A$8:$H$127,5,FALSE)</x:f>
        <x:v>46303.666666666664</x:v>
      </x:c>
      <x:c r="O708" s="16" t="n">
        <x:f>MAX(0,(M708-N708)*24)</x:f>
        <x:v>0</x:v>
      </x:c>
      <x:c r="P708" s="9" t="str">
        <x:v>No</x:v>
      </x:c>
      <x:c r="Q708" s="15" t="n">
        <x:v>11</x:v>
      </x:c>
      <x:c r="R708" s="13" t="n">
        <x:f>J708+Q708/1440</x:f>
        <x:v>46302.49097222222</x:v>
      </x:c>
      <x:c r="S708" s="2" t="str">
        <x:f>VLOOKUP(C708,'MES orders'!$A$8:$H$127,6,FALSE)</x:f>
        <x:v>Normal</x:v>
      </x:c>
      <x:c r="T708" s="9" t="str"/>
    </x:row>
    <x:row r="709" ht="22" customHeight="1">
      <x:c r="A709" s="2" t="str">
        <x:v>L00086-050</x:v>
      </x:c>
      <x:c r="B709" s="2" t="str">
        <x:v>L00086</x:v>
      </x:c>
      <x:c r="C709" s="2" t="str">
        <x:v>SO-26018</x:v>
      </x:c>
      <x:c r="D709" s="2" t="str">
        <x:v>R-L-SS</x:v>
      </x:c>
      <x:c r="E709" s="14" t="n">
        <x:v>25</x:v>
      </x:c>
      <x:c r="F709" s="2" t="str">
        <x:v>Valve adjustment</x:v>
      </x:c>
      <x:c r="G709" s="9" t="str">
        <x:v>AS-01</x:v>
      </x:c>
      <x:c r="H709" s="15" t="n">
        <x:v>58</x:v>
      </x:c>
      <x:c r="I709" s="9" t="str">
        <x:v>P05</x:v>
      </x:c>
      <x:c r="J709" s="11" t="n">
        <x:v>46302.48541666667</x:v>
      </x:c>
      <x:c r="K709" s="15" t="n">
        <x:v>6</x:v>
      </x:c>
      <x:c r="L709" s="15" t="n">
        <x:v>37</x:v>
      </x:c>
      <x:c r="M709" s="13" t="n">
        <x:f>J709+(K709+L709)/1440</x:f>
        <x:v>46302.515277777784</x:v>
      </x:c>
      <x:c r="N709" s="13" t="n">
        <x:f>VLOOKUP(C709,'MES orders'!$A$8:$H$127,5,FALSE)</x:f>
        <x:v>46303.666666666664</x:v>
      </x:c>
      <x:c r="O709" s="16" t="n">
        <x:f>MAX(0,(M709-N709)*24)</x:f>
        <x:v>0</x:v>
      </x:c>
      <x:c r="P709" s="9" t="str">
        <x:v>No</x:v>
      </x:c>
      <x:c r="Q709" s="15" t="n">
        <x:v>43</x:v>
      </x:c>
      <x:c r="R709" s="13" t="n">
        <x:f>J709+Q709/1440</x:f>
        <x:v>46302.515277777784</x:v>
      </x:c>
      <x:c r="S709" s="2" t="str">
        <x:f>VLOOKUP(C709,'MES orders'!$A$8:$H$127,6,FALSE)</x:f>
        <x:v>Normal</x:v>
      </x:c>
      <x:c r="T709" s="9" t="str"/>
    </x:row>
    <x:row r="710" ht="22" customHeight="1">
      <x:c r="A710" s="2" t="str">
        <x:v>L00087-050</x:v>
      </x:c>
      <x:c r="B710" s="2" t="str">
        <x:v>L00087</x:v>
      </x:c>
      <x:c r="C710" s="2" t="str">
        <x:v>SO-26018</x:v>
      </x:c>
      <x:c r="D710" s="2" t="str">
        <x:v>R-L-SS</x:v>
      </x:c>
      <x:c r="E710" s="14" t="n">
        <x:v>25</x:v>
      </x:c>
      <x:c r="F710" s="2" t="str">
        <x:v>Valve adjustment</x:v>
      </x:c>
      <x:c r="G710" s="9" t="str">
        <x:v>AS-02</x:v>
      </x:c>
      <x:c r="H710" s="15" t="n">
        <x:v>47</x:v>
      </x:c>
      <x:c r="I710" s="9" t="str">
        <x:v>P06</x:v>
      </x:c>
      <x:c r="J710" s="11" t="n">
        <x:v>46302.48541666667</x:v>
      </x:c>
      <x:c r="K710" s="15" t="n">
        <x:v>6</x:v>
      </x:c>
      <x:c r="L710" s="15" t="n">
        <x:v>37</x:v>
      </x:c>
      <x:c r="M710" s="13" t="n">
        <x:f>J710+(K710+L710)/1440</x:f>
        <x:v>46302.515277777784</x:v>
      </x:c>
      <x:c r="N710" s="13" t="n">
        <x:f>VLOOKUP(C710,'MES orders'!$A$8:$H$127,5,FALSE)</x:f>
        <x:v>46303.666666666664</x:v>
      </x:c>
      <x:c r="O710" s="16" t="n">
        <x:f>MAX(0,(M710-N710)*24)</x:f>
        <x:v>0</x:v>
      </x:c>
      <x:c r="P710" s="9" t="str">
        <x:v>No</x:v>
      </x:c>
      <x:c r="Q710" s="15" t="n">
        <x:v>43</x:v>
      </x:c>
      <x:c r="R710" s="13" t="n">
        <x:f>J710+Q710/1440</x:f>
        <x:v>46302.515277777784</x:v>
      </x:c>
      <x:c r="S710" s="2" t="str">
        <x:f>VLOOKUP(C710,'MES orders'!$A$8:$H$127,6,FALSE)</x:f>
        <x:v>Normal</x:v>
      </x:c>
      <x:c r="T710" s="9" t="str"/>
    </x:row>
    <x:row r="711" ht="22" customHeight="1">
      <x:c r="A711" s="2" t="str">
        <x:v>L00088-040</x:v>
      </x:c>
      <x:c r="B711" s="2" t="str">
        <x:v>L00088</x:v>
      </x:c>
      <x:c r="C711" s="2" t="str">
        <x:v>SO-26018</x:v>
      </x:c>
      <x:c r="D711" s="2" t="str">
        <x:v>R-L-SS</x:v>
      </x:c>
      <x:c r="E711" s="14" t="n">
        <x:v>25</x:v>
      </x:c>
      <x:c r="F711" s="2" t="str">
        <x:v>Mechanical assembly</x:v>
      </x:c>
      <x:c r="G711" s="9" t="str">
        <x:v>AS-03</x:v>
      </x:c>
      <x:c r="H711" s="15" t="n">
        <x:v>36</x:v>
      </x:c>
      <x:c r="I711" s="9" t="str">
        <x:v>P04</x:v>
      </x:c>
      <x:c r="J711" s="11" t="n">
        <x:v>46302.48541666667</x:v>
      </x:c>
      <x:c r="K711" s="15" t="n">
        <x:v>8</x:v>
      </x:c>
      <x:c r="L711" s="15" t="n">
        <x:v>61</x:v>
      </x:c>
      <x:c r="M711" s="13" t="n">
        <x:f>J711+(K711+L711)/1440</x:f>
        <x:v>46302.53333333334</x:v>
      </x:c>
      <x:c r="N711" s="13" t="n">
        <x:f>VLOOKUP(C711,'MES orders'!$A$8:$H$127,5,FALSE)</x:f>
        <x:v>46303.666666666664</x:v>
      </x:c>
      <x:c r="O711" s="16" t="n">
        <x:f>MAX(0,(M711-N711)*24)</x:f>
        <x:v>0</x:v>
      </x:c>
      <x:c r="P711" s="9" t="str">
        <x:v>No</x:v>
      </x:c>
      <x:c r="Q711" s="15" t="n">
        <x:v>69</x:v>
      </x:c>
      <x:c r="R711" s="13" t="n">
        <x:f>J711+Q711/1440</x:f>
        <x:v>46302.53333333334</x:v>
      </x:c>
      <x:c r="S711" s="2" t="str">
        <x:f>VLOOKUP(C711,'MES orders'!$A$8:$H$127,6,FALSE)</x:f>
        <x:v>Normal</x:v>
      </x:c>
      <x:c r="T711" s="9" t="str"/>
    </x:row>
    <x:row r="712" ht="22" customHeight="1">
      <x:c r="A712" s="2" t="str">
        <x:v>L00493-050</x:v>
      </x:c>
      <x:c r="B712" s="2" t="str">
        <x:v>L00493</x:v>
      </x:c>
      <x:c r="C712" s="2" t="str">
        <x:v>SO-26099</x:v>
      </x:c>
      <x:c r="D712" s="2" t="str">
        <x:v>D-S-AL</x:v>
      </x:c>
      <x:c r="E712" s="14" t="n">
        <x:v>15</x:v>
      </x:c>
      <x:c r="F712" s="2" t="str">
        <x:v>Final leak / function test</x:v>
      </x:c>
      <x:c r="G712" s="9" t="str">
        <x:v>QA-01</x:v>
      </x:c>
      <x:c r="H712" s="15" t="n">
        <x:v>29</x:v>
      </x:c>
      <x:c r="I712" s="9" t="str">
        <x:v>P12</x:v>
      </x:c>
      <x:c r="J712" s="11" t="n">
        <x:v>46302.486805555556</x:v>
      </x:c>
      <x:c r="K712" s="15" t="n">
        <x:v>10</x:v>
      </x:c>
      <x:c r="L712" s="15" t="n">
        <x:v>14</x:v>
      </x:c>
      <x:c r="M712" s="13" t="n">
        <x:f>J712+(K712+L712)/1440</x:f>
        <x:v>46302.503472222226</x:v>
      </x:c>
      <x:c r="N712" s="13" t="n">
        <x:f>VLOOKUP(C712,'MES orders'!$A$8:$H$127,5,FALSE)</x:f>
        <x:v>46304.666666666664</x:v>
      </x:c>
      <x:c r="O712" s="16" t="n">
        <x:f>MAX(0,(M712-N712)*24)</x:f>
        <x:v>0</x:v>
      </x:c>
      <x:c r="P712" s="9" t="str">
        <x:v>No</x:v>
      </x:c>
      <x:c r="Q712" s="15" t="n">
        <x:v>24</x:v>
      </x:c>
      <x:c r="R712" s="13" t="n">
        <x:f>J712+Q712/1440</x:f>
        <x:v>46302.503472222226</x:v>
      </x:c>
      <x:c r="S712" s="2" t="str">
        <x:f>VLOOKUP(C712,'MES orders'!$A$8:$H$127,6,FALSE)</x:f>
        <x:v>High</x:v>
      </x:c>
      <x:c r="T712" s="9" t="str"/>
    </x:row>
    <x:row r="713" ht="22" customHeight="1">
      <x:c r="A713" s="2" t="str">
        <x:v>L00167-040</x:v>
      </x:c>
      <x:c r="B713" s="2" t="str">
        <x:v>L00167</x:v>
      </x:c>
      <x:c r="C713" s="2" t="str">
        <x:v>SO-26034</x:v>
      </x:c>
      <x:c r="D713" s="2" t="str">
        <x:v>S-S-SS</x:v>
      </x:c>
      <x:c r="E713" s="14" t="n">
        <x:v>10</x:v>
      </x:c>
      <x:c r="F713" s="2" t="str">
        <x:v>Mechanical preassembly</x:v>
      </x:c>
      <x:c r="G713" s="9" t="str">
        <x:v>AS-05</x:v>
      </x:c>
      <x:c r="H713" s="15" t="n">
        <x:v>19</x:v>
      </x:c>
      <x:c r="I713" s="9" t="str">
        <x:v>P02</x:v>
      </x:c>
      <x:c r="J713" s="11" t="n">
        <x:v>46302.489583333336</x:v>
      </x:c>
      <x:c r="K713" s="15" t="n">
        <x:v>6</x:v>
      </x:c>
      <x:c r="L713" s="15" t="n">
        <x:v>11</x:v>
      </x:c>
      <x:c r="M713" s="13" t="n">
        <x:f>J713+(K713+L713)/1440</x:f>
        <x:v>46302.50138888889</x:v>
      </x:c>
      <x:c r="N713" s="13" t="n">
        <x:f>VLOOKUP(C713,'MES orders'!$A$8:$H$127,5,FALSE)</x:f>
        <x:v>46303.666666666664</x:v>
      </x:c>
      <x:c r="O713" s="16" t="n">
        <x:f>MAX(0,(M713-N713)*24)</x:f>
        <x:v>0</x:v>
      </x:c>
      <x:c r="P713" s="9" t="str">
        <x:v>No</x:v>
      </x:c>
      <x:c r="Q713" s="15" t="n">
        <x:v>17</x:v>
      </x:c>
      <x:c r="R713" s="13" t="n">
        <x:f>J713+Q713/1440</x:f>
        <x:v>46302.50138888889</x:v>
      </x:c>
      <x:c r="S713" s="2" t="str">
        <x:f>VLOOKUP(C713,'MES orders'!$A$8:$H$127,6,FALSE)</x:f>
        <x:v>Normal</x:v>
      </x:c>
      <x:c r="T713" s="9" t="str"/>
    </x:row>
    <x:row r="714" ht="22" customHeight="1">
      <x:c r="A714" s="2" t="str">
        <x:v>L00169-020</x:v>
      </x:c>
      <x:c r="B714" s="2" t="str">
        <x:v>L00169</x:v>
      </x:c>
      <x:c r="C714" s="2" t="str">
        <x:v>SO-26034</x:v>
      </x:c>
      <x:c r="D714" s="2" t="str">
        <x:v>S-S-SS</x:v>
      </x:c>
      <x:c r="E714" s="14" t="n">
        <x:v>10</x:v>
      </x:c>
      <x:c r="F714" s="2" t="str">
        <x:v>Deburr &amp; inspect</x:v>
      </x:c>
      <x:c r="G714" s="9" t="str">
        <x:v>DB-02</x:v>
      </x:c>
      <x:c r="H714" s="15" t="n">
        <x:v>51</x:v>
      </x:c>
      <x:c r="I714" s="9" t="str">
        <x:v>P08</x:v>
      </x:c>
      <x:c r="J714" s="11" t="n">
        <x:v>46302.490277777775</x:v>
      </x:c>
      <x:c r="K714" s="15" t="n">
        <x:v>4</x:v>
      </x:c>
      <x:c r="L714" s="15" t="n">
        <x:v>7</x:v>
      </x:c>
      <x:c r="M714" s="13" t="n">
        <x:f>J714+(K714+L714)/1440</x:f>
        <x:v>46302.49791666667</x:v>
      </x:c>
      <x:c r="N714" s="13" t="n">
        <x:f>VLOOKUP(C714,'MES orders'!$A$8:$H$127,5,FALSE)</x:f>
        <x:v>46303.666666666664</x:v>
      </x:c>
      <x:c r="O714" s="16" t="n">
        <x:f>MAX(0,(M714-N714)*24)</x:f>
        <x:v>0</x:v>
      </x:c>
      <x:c r="P714" s="9" t="str">
        <x:v>No</x:v>
      </x:c>
      <x:c r="Q714" s="15" t="n">
        <x:v>11</x:v>
      </x:c>
      <x:c r="R714" s="13" t="n">
        <x:f>J714+Q714/1440</x:f>
        <x:v>46302.49791666667</x:v>
      </x:c>
      <x:c r="S714" s="2" t="str">
        <x:f>VLOOKUP(C714,'MES orders'!$A$8:$H$127,6,FALSE)</x:f>
        <x:v>Normal</x:v>
      </x:c>
      <x:c r="T714" s="9" t="str"/>
    </x:row>
    <x:row r="715" ht="22" customHeight="1">
      <x:c r="A715" s="2" t="str">
        <x:v>L00168-030</x:v>
      </x:c>
      <x:c r="B715" s="2" t="str">
        <x:v>L00168</x:v>
      </x:c>
      <x:c r="C715" s="2" t="str">
        <x:v>SO-26034</x:v>
      </x:c>
      <x:c r="D715" s="2" t="str">
        <x:v>S-S-SS</x:v>
      </x:c>
      <x:c r="E715" s="14" t="n">
        <x:v>10</x:v>
      </x:c>
      <x:c r="F715" s="2" t="str">
        <x:v>Wash &amp; dry</x:v>
      </x:c>
      <x:c r="G715" s="9" t="str">
        <x:v>WS-02</x:v>
      </x:c>
      <x:c r="H715" s="15" t="n">
        <x:v>51</x:v>
      </x:c>
      <x:c r="I715" s="9" t="str">
        <x:v>P03</x:v>
      </x:c>
      <x:c r="J715" s="11" t="n">
        <x:v>46302.49097222222</x:v>
      </x:c>
      <x:c r="K715" s="15" t="n">
        <x:v>12</x:v>
      </x:c>
      <x:c r="L715" s="15" t="n">
        <x:v>4</x:v>
      </x:c>
      <x:c r="M715" s="13" t="n">
        <x:f>J715+(K715+L715)/1440</x:f>
        <x:v>46302.50208333333</x:v>
      </x:c>
      <x:c r="N715" s="13" t="n">
        <x:f>VLOOKUP(C715,'MES orders'!$A$8:$H$127,5,FALSE)</x:f>
        <x:v>46303.666666666664</x:v>
      </x:c>
      <x:c r="O715" s="16" t="n">
        <x:f>MAX(0,(M715-N715)*24)</x:f>
        <x:v>0</x:v>
      </x:c>
      <x:c r="P715" s="9" t="str">
        <x:v>No</x:v>
      </x:c>
      <x:c r="Q715" s="15" t="n">
        <x:v>16</x:v>
      </x:c>
      <x:c r="R715" s="13" t="n">
        <x:f>J715+Q715/1440</x:f>
        <x:v>46302.50208333333</x:v>
      </x:c>
      <x:c r="S715" s="2" t="str">
        <x:f>VLOOKUP(C715,'MES orders'!$A$8:$H$127,6,FALSE)</x:f>
        <x:v>Normal</x:v>
      </x:c>
      <x:c r="T715" s="9" t="str"/>
    </x:row>
    <x:row r="716" ht="22" customHeight="1">
      <x:c r="A716" s="2" t="str">
        <x:v>L00166-040</x:v>
      </x:c>
      <x:c r="B716" s="2" t="str">
        <x:v>L00166</x:v>
      </x:c>
      <x:c r="C716" s="2" t="str">
        <x:v>SO-26034</x:v>
      </x:c>
      <x:c r="D716" s="2" t="str">
        <x:v>S-S-SS</x:v>
      </x:c>
      <x:c r="E716" s="14" t="n">
        <x:v>10</x:v>
      </x:c>
      <x:c r="F716" s="2" t="str">
        <x:v>Mechanical preassembly</x:v>
      </x:c>
      <x:c r="G716" s="9" t="str">
        <x:v>AS-04</x:v>
      </x:c>
      <x:c r="H716" s="15" t="n">
        <x:v>22</x:v>
      </x:c>
      <x:c r="I716" s="9" t="str">
        <x:v>P01</x:v>
      </x:c>
      <x:c r="J716" s="11" t="n">
        <x:v>46302.49236111111</x:v>
      </x:c>
      <x:c r="K716" s="15" t="n">
        <x:v>6</x:v>
      </x:c>
      <x:c r="L716" s="15" t="n">
        <x:v>11</x:v>
      </x:c>
      <x:c r="M716" s="13" t="n">
        <x:f>J716+(K716+L716)/1440</x:f>
        <x:v>46302.504166666666</x:v>
      </x:c>
      <x:c r="N716" s="13" t="n">
        <x:f>VLOOKUP(C716,'MES orders'!$A$8:$H$127,5,FALSE)</x:f>
        <x:v>46303.666666666664</x:v>
      </x:c>
      <x:c r="O716" s="16" t="n">
        <x:f>MAX(0,(M716-N716)*24)</x:f>
        <x:v>0</x:v>
      </x:c>
      <x:c r="P716" s="9" t="str">
        <x:v>No</x:v>
      </x:c>
      <x:c r="Q716" s="15" t="n">
        <x:v>17</x:v>
      </x:c>
      <x:c r="R716" s="13" t="n">
        <x:f>J716+Q716/1440</x:f>
        <x:v>46302.504166666666</x:v>
      </x:c>
      <x:c r="S716" s="2" t="str">
        <x:f>VLOOKUP(C716,'MES orders'!$A$8:$H$127,6,FALSE)</x:f>
        <x:v>Normal</x:v>
      </x:c>
      <x:c r="T716" s="9" t="str"/>
    </x:row>
    <x:row r="717" ht="22" customHeight="1">
      <x:c r="A717" s="2" t="str">
        <x:v>L00130-060</x:v>
      </x:c>
      <x:c r="B717" s="2" t="str">
        <x:v>L00130</x:v>
      </x:c>
      <x:c r="C717" s="2" t="str">
        <x:v>SO-26026</x:v>
      </x:c>
      <x:c r="D717" s="2" t="str">
        <x:v>S-C-SS</x:v>
      </x:c>
      <x:c r="E717" s="14" t="n">
        <x:v>25</x:v>
      </x:c>
      <x:c r="F717" s="2" t="str">
        <x:v>Sensor calibration</x:v>
      </x:c>
      <x:c r="G717" s="9" t="str">
        <x:v>CAL-01</x:v>
      </x:c>
      <x:c r="H717" s="15" t="n">
        <x:v>25</x:v>
      </x:c>
      <x:c r="I717" s="9" t="str">
        <x:v>P09</x:v>
      </x:c>
      <x:c r="J717" s="11" t="n">
        <x:v>46302.49236111111</x:v>
      </x:c>
      <x:c r="K717" s="15" t="n">
        <x:v>10</x:v>
      </x:c>
      <x:c r="L717" s="15" t="n">
        <x:v>26</x:v>
      </x:c>
      <x:c r="M717" s="13" t="n">
        <x:f>J717+(K717+L717)/1440</x:f>
        <x:v>46302.51736111111</x:v>
      </x:c>
      <x:c r="N717" s="13" t="n">
        <x:f>VLOOKUP(C717,'MES orders'!$A$8:$H$127,5,FALSE)</x:f>
        <x:v>46303.666666666664</x:v>
      </x:c>
      <x:c r="O717" s="16" t="n">
        <x:f>MAX(0,(M717-N717)*24)</x:f>
        <x:v>0</x:v>
      </x:c>
      <x:c r="P717" s="9" t="str">
        <x:v>No</x:v>
      </x:c>
      <x:c r="Q717" s="15" t="n">
        <x:v>36</x:v>
      </x:c>
      <x:c r="R717" s="13" t="n">
        <x:f>J717+Q717/1440</x:f>
        <x:v>46302.51736111111</x:v>
      </x:c>
      <x:c r="S717" s="2" t="str">
        <x:f>VLOOKUP(C717,'MES orders'!$A$8:$H$127,6,FALSE)</x:f>
        <x:v>Normal</x:v>
      </x:c>
      <x:c r="T717" s="9" t="str"/>
    </x:row>
    <x:row r="718" ht="22" customHeight="1">
      <x:c r="A718" s="2" t="str">
        <x:v>L00170-020</x:v>
      </x:c>
      <x:c r="B718" s="2" t="str">
        <x:v>L00170</x:v>
      </x:c>
      <x:c r="C718" s="2" t="str">
        <x:v>SO-26034</x:v>
      </x:c>
      <x:c r="D718" s="2" t="str">
        <x:v>S-S-SS</x:v>
      </x:c>
      <x:c r="E718" s="14" t="n">
        <x:v>10</x:v>
      </x:c>
      <x:c r="F718" s="2" t="str">
        <x:v>Deburr &amp; inspect</x:v>
      </x:c>
      <x:c r="G718" s="9" t="str">
        <x:v>DB-01</x:v>
      </x:c>
      <x:c r="H718" s="15" t="n">
        <x:v>72</x:v>
      </x:c>
      <x:c r="I718" s="9" t="str">
        <x:v>P07</x:v>
      </x:c>
      <x:c r="J718" s="11" t="n">
        <x:v>46302.495833333334</x:v>
      </x:c>
      <x:c r="K718" s="15" t="n">
        <x:v>4</x:v>
      </x:c>
      <x:c r="L718" s="15" t="n">
        <x:v>7</x:v>
      </x:c>
      <x:c r="M718" s="13" t="n">
        <x:f>J718+(K718+L718)/1440</x:f>
        <x:v>46302.503472222226</x:v>
      </x:c>
      <x:c r="N718" s="13" t="n">
        <x:f>VLOOKUP(C718,'MES orders'!$A$8:$H$127,5,FALSE)</x:f>
        <x:v>46303.666666666664</x:v>
      </x:c>
      <x:c r="O718" s="16" t="n">
        <x:f>MAX(0,(M718-N718)*24)</x:f>
        <x:v>0</x:v>
      </x:c>
      <x:c r="P718" s="9" t="str">
        <x:v>No</x:v>
      </x:c>
      <x:c r="Q718" s="15" t="n">
        <x:v>11</x:v>
      </x:c>
      <x:c r="R718" s="13" t="n">
        <x:f>J718+Q718/1440</x:f>
        <x:v>46302.503472222226</x:v>
      </x:c>
      <x:c r="S718" s="2" t="str">
        <x:f>VLOOKUP(C718,'MES orders'!$A$8:$H$127,6,FALSE)</x:f>
        <x:v>Normal</x:v>
      </x:c>
      <x:c r="T718" s="9" t="str"/>
    </x:row>
    <x:row r="719" ht="22" customHeight="1">
      <x:c r="A719" s="2" t="str">
        <x:v>L00169-030</x:v>
      </x:c>
      <x:c r="B719" s="2" t="str">
        <x:v>L00169</x:v>
      </x:c>
      <x:c r="C719" s="2" t="str">
        <x:v>SO-26034</x:v>
      </x:c>
      <x:c r="D719" s="2" t="str">
        <x:v>S-S-SS</x:v>
      </x:c>
      <x:c r="E719" s="14" t="n">
        <x:v>10</x:v>
      </x:c>
      <x:c r="F719" s="2" t="str">
        <x:v>Wash &amp; dry</x:v>
      </x:c>
      <x:c r="G719" s="9" t="str">
        <x:v>WS-01</x:v>
      </x:c>
      <x:c r="H719" s="15" t="n">
        <x:v>68</x:v>
      </x:c>
      <x:c r="I719" s="9" t="str">
        <x:v>P11</x:v>
      </x:c>
      <x:c r="J719" s="11" t="n">
        <x:v>46302.49791666667</x:v>
      </x:c>
      <x:c r="K719" s="15" t="n">
        <x:v>12</x:v>
      </x:c>
      <x:c r="L719" s="15" t="n">
        <x:v>4</x:v>
      </x:c>
      <x:c r="M719" s="13" t="n">
        <x:f>J719+(K719+L719)/1440</x:f>
        <x:v>46302.50902777778</x:v>
      </x:c>
      <x:c r="N719" s="13" t="n">
        <x:f>VLOOKUP(C719,'MES orders'!$A$8:$H$127,5,FALSE)</x:f>
        <x:v>46303.666666666664</x:v>
      </x:c>
      <x:c r="O719" s="16" t="n">
        <x:f>MAX(0,(M719-N719)*24)</x:f>
        <x:v>0</x:v>
      </x:c>
      <x:c r="P719" s="9" t="str">
        <x:v>No</x:v>
      </x:c>
      <x:c r="Q719" s="15" t="n">
        <x:v>16</x:v>
      </x:c>
      <x:c r="R719" s="13" t="n">
        <x:f>J719+Q719/1440</x:f>
        <x:v>46302.50902777778</x:v>
      </x:c>
      <x:c r="S719" s="2" t="str">
        <x:f>VLOOKUP(C719,'MES orders'!$A$8:$H$127,6,FALSE)</x:f>
        <x:v>Normal</x:v>
      </x:c>
      <x:c r="T719" s="9" t="str"/>
    </x:row>
    <x:row r="720" ht="22" customHeight="1">
      <x:c r="A720" s="2" t="str">
        <x:v>L00167-050</x:v>
      </x:c>
      <x:c r="B720" s="2" t="str">
        <x:v>L00167</x:v>
      </x:c>
      <x:c r="C720" s="2" t="str">
        <x:v>SO-26034</x:v>
      </x:c>
      <x:c r="D720" s="2" t="str">
        <x:v>S-S-SS</x:v>
      </x:c>
      <x:c r="E720" s="14" t="n">
        <x:v>10</x:v>
      </x:c>
      <x:c r="F720" s="2" t="str">
        <x:v>Sensor installation</x:v>
      </x:c>
      <x:c r="G720" s="9" t="str">
        <x:v>EL-02</x:v>
      </x:c>
      <x:c r="H720" s="15" t="n">
        <x:v>8</x:v>
      </x:c>
      <x:c r="I720" s="9" t="str">
        <x:v>P08</x:v>
      </x:c>
      <x:c r="J720" s="11" t="n">
        <x:v>46302.501388888886</x:v>
      </x:c>
      <x:c r="K720" s="15" t="n">
        <x:v>8</x:v>
      </x:c>
      <x:c r="L720" s="15" t="n">
        <x:v>12</x:v>
      </x:c>
      <x:c r="M720" s="13" t="n">
        <x:f>J720+(K720+L720)/1440</x:f>
        <x:v>46302.51527777778</x:v>
      </x:c>
      <x:c r="N720" s="13" t="n">
        <x:f>VLOOKUP(C720,'MES orders'!$A$8:$H$127,5,FALSE)</x:f>
        <x:v>46303.666666666664</x:v>
      </x:c>
      <x:c r="O720" s="16" t="n">
        <x:f>MAX(0,(M720-N720)*24)</x:f>
        <x:v>0</x:v>
      </x:c>
      <x:c r="P720" s="9" t="str">
        <x:v>No</x:v>
      </x:c>
      <x:c r="Q720" s="15" t="n">
        <x:v>20</x:v>
      </x:c>
      <x:c r="R720" s="13" t="n">
        <x:f>J720+Q720/1440</x:f>
        <x:v>46302.51527777778</x:v>
      </x:c>
      <x:c r="S720" s="2" t="str">
        <x:f>VLOOKUP(C720,'MES orders'!$A$8:$H$127,6,FALSE)</x:f>
        <x:v>Normal</x:v>
      </x:c>
      <x:c r="T720" s="9" t="str"/>
    </x:row>
    <x:row r="721" ht="22" customHeight="1">
      <x:c r="A721" s="2" t="str">
        <x:v>L00206-010</x:v>
      </x:c>
      <x:c r="B721" s="2" t="str">
        <x:v>L00206</x:v>
      </x:c>
      <x:c r="C721" s="2" t="str">
        <x:v>SO-26042</x:v>
      </x:c>
      <x:c r="D721" s="2" t="str">
        <x:v>S-L-SS</x:v>
      </x:c>
      <x:c r="E721" s="14" t="n">
        <x:v>25</x:v>
      </x:c>
      <x:c r="F721" s="2" t="str">
        <x:v>CNC machining</x:v>
      </x:c>
      <x:c r="G721" s="9" t="str">
        <x:v>CNC-03</x:v>
      </x:c>
      <x:c r="H721" s="15" t="n">
        <x:v>22</x:v>
      </x:c>
      <x:c r="I721" s="9" t="str">
        <x:v>P03</x:v>
      </x:c>
      <x:c r="J721" s="11" t="n">
        <x:v>46302.50208333333</x:v>
      </x:c>
      <x:c r="K721" s="15" t="n">
        <x:v>18</x:v>
      </x:c>
      <x:c r="L721" s="15" t="n">
        <x:v>101</x:v>
      </x:c>
      <x:c r="M721" s="13" t="n">
        <x:f>J721+(K721+L721)/1440</x:f>
        <x:v>46302.58472222222</x:v>
      </x:c>
      <x:c r="N721" s="13" t="n">
        <x:f>VLOOKUP(C721,'MES orders'!$A$8:$H$127,5,FALSE)</x:f>
        <x:v>46303.666666666664</x:v>
      </x:c>
      <x:c r="O721" s="16" t="n">
        <x:f>MAX(0,(M721-N721)*24)</x:f>
        <x:v>0</x:v>
      </x:c>
      <x:c r="P721" s="9" t="str">
        <x:v>No</x:v>
      </x:c>
      <x:c r="Q721" s="15" t="n">
        <x:v>18</x:v>
      </x:c>
      <x:c r="R721" s="13" t="n">
        <x:f>J721+Q721/1440</x:f>
        <x:v>46302.51458333333</x:v>
      </x:c>
      <x:c r="S721" s="2" t="str">
        <x:f>VLOOKUP(C721,'MES orders'!$A$8:$H$127,6,FALSE)</x:f>
        <x:v>Normal</x:v>
      </x:c>
      <x:c r="T721" s="9" t="str"/>
    </x:row>
    <x:row r="722" ht="22" customHeight="1">
      <x:c r="A722" s="2" t="str">
        <x:v>L00012-020</x:v>
      </x:c>
      <x:c r="B722" s="2" t="str">
        <x:v>L00012</x:v>
      </x:c>
      <x:c r="C722" s="2" t="str">
        <x:v>SO-26003</x:v>
      </x:c>
      <x:c r="D722" s="2" t="str">
        <x:v>S-S-AL</x:v>
      </x:c>
      <x:c r="E722" s="14" t="n">
        <x:v>15</x:v>
      </x:c>
      <x:c r="F722" s="2" t="str">
        <x:v>Deburr &amp; inspect</x:v>
      </x:c>
      <x:c r="G722" s="9" t="str">
        <x:v>DB-01</x:v>
      </x:c>
      <x:c r="H722" s="15" t="n">
        <x:v>73</x:v>
      </x:c>
      <x:c r="I722" s="9" t="str">
        <x:v>P12</x:v>
      </x:c>
      <x:c r="J722" s="11" t="n">
        <x:v>46302.50347222222</x:v>
      </x:c>
      <x:c r="K722" s="15" t="n">
        <x:v>4</x:v>
      </x:c>
      <x:c r="L722" s="15" t="n">
        <x:v>10</x:v>
      </x:c>
      <x:c r="M722" s="13" t="n">
        <x:f>J722+(K722+L722)/1440</x:f>
        <x:v>46302.513194444444</x:v>
      </x:c>
      <x:c r="N722" s="13" t="n">
        <x:f>VLOOKUP(C722,'MES orders'!$A$8:$H$127,5,FALSE)</x:f>
        <x:v>46304.666666666664</x:v>
      </x:c>
      <x:c r="O722" s="16" t="n">
        <x:f>MAX(0,(M722-N722)*24)</x:f>
        <x:v>0</x:v>
      </x:c>
      <x:c r="P722" s="9" t="str">
        <x:v>No</x:v>
      </x:c>
      <x:c r="Q722" s="15" t="n">
        <x:v>14</x:v>
      </x:c>
      <x:c r="R722" s="13" t="n">
        <x:f>J722+Q722/1440</x:f>
        <x:v>46302.513194444444</x:v>
      </x:c>
      <x:c r="S722" s="2" t="str">
        <x:f>VLOOKUP(C722,'MES orders'!$A$8:$H$127,6,FALSE)</x:f>
        <x:v>Normal</x:v>
      </x:c>
      <x:c r="T722" s="9" t="str"/>
    </x:row>
    <x:row r="723" ht="22" customHeight="1">
      <x:c r="A723" s="2" t="str">
        <x:v>L00170-030</x:v>
      </x:c>
      <x:c r="B723" s="2" t="str">
        <x:v>L00170</x:v>
      </x:c>
      <x:c r="C723" s="2" t="str">
        <x:v>SO-26034</x:v>
      </x:c>
      <x:c r="D723" s="2" t="str">
        <x:v>S-S-SS</x:v>
      </x:c>
      <x:c r="E723" s="14" t="n">
        <x:v>10</x:v>
      </x:c>
      <x:c r="F723" s="2" t="str">
        <x:v>Wash &amp; dry</x:v>
      </x:c>
      <x:c r="G723" s="9" t="str">
        <x:v>WS-02</x:v>
      </x:c>
      <x:c r="H723" s="15" t="n">
        <x:v>52</x:v>
      </x:c>
      <x:c r="I723" s="9" t="str">
        <x:v>P02</x:v>
      </x:c>
      <x:c r="J723" s="11" t="n">
        <x:v>46302.50347222222</x:v>
      </x:c>
      <x:c r="K723" s="15" t="n">
        <x:v>12</x:v>
      </x:c>
      <x:c r="L723" s="15" t="n">
        <x:v>4</x:v>
      </x:c>
      <x:c r="M723" s="13" t="n">
        <x:f>J723+(K723+L723)/1440</x:f>
        <x:v>46302.51458333333</x:v>
      </x:c>
      <x:c r="N723" s="13" t="n">
        <x:f>VLOOKUP(C723,'MES orders'!$A$8:$H$127,5,FALSE)</x:f>
        <x:v>46303.666666666664</x:v>
      </x:c>
      <x:c r="O723" s="16" t="n">
        <x:f>MAX(0,(M723-N723)*24)</x:f>
        <x:v>0</x:v>
      </x:c>
      <x:c r="P723" s="9" t="str">
        <x:v>No</x:v>
      </x:c>
      <x:c r="Q723" s="15" t="n">
        <x:v>16</x:v>
      </x:c>
      <x:c r="R723" s="13" t="n">
        <x:f>J723+Q723/1440</x:f>
        <x:v>46302.51458333333</x:v>
      </x:c>
      <x:c r="S723" s="2" t="str">
        <x:f>VLOOKUP(C723,'MES orders'!$A$8:$H$127,6,FALSE)</x:f>
        <x:v>Normal</x:v>
      </x:c>
      <x:c r="T723" s="9" t="str"/>
    </x:row>
    <x:row r="724" ht="22" customHeight="1">
      <x:c r="A724" s="2" t="str">
        <x:v>L00166-050</x:v>
      </x:c>
      <x:c r="B724" s="2" t="str">
        <x:v>L00166</x:v>
      </x:c>
      <x:c r="C724" s="2" t="str">
        <x:v>SO-26034</x:v>
      </x:c>
      <x:c r="D724" s="2" t="str">
        <x:v>S-S-SS</x:v>
      </x:c>
      <x:c r="E724" s="14" t="n">
        <x:v>10</x:v>
      </x:c>
      <x:c r="F724" s="2" t="str">
        <x:v>Sensor installation</x:v>
      </x:c>
      <x:c r="G724" s="9" t="str">
        <x:v>EL-01</x:v>
      </x:c>
      <x:c r="H724" s="15" t="n">
        <x:v>19</x:v>
      </x:c>
      <x:c r="I724" s="9" t="str">
        <x:v>P07</x:v>
      </x:c>
      <x:c r="J724" s="11" t="n">
        <x:v>46302.504166666666</x:v>
      </x:c>
      <x:c r="K724" s="15" t="n">
        <x:v>8</x:v>
      </x:c>
      <x:c r="L724" s="15" t="n">
        <x:v>12</x:v>
      </x:c>
      <x:c r="M724" s="13" t="n">
        <x:f>J724+(K724+L724)/1440</x:f>
        <x:v>46302.518055555556</x:v>
      </x:c>
      <x:c r="N724" s="13" t="n">
        <x:f>VLOOKUP(C724,'MES orders'!$A$8:$H$127,5,FALSE)</x:f>
        <x:v>46303.666666666664</x:v>
      </x:c>
      <x:c r="O724" s="16" t="n">
        <x:f>MAX(0,(M724-N724)*24)</x:f>
        <x:v>0</x:v>
      </x:c>
      <x:c r="P724" s="9" t="str">
        <x:v>No</x:v>
      </x:c>
      <x:c r="Q724" s="15" t="n">
        <x:v>20</x:v>
      </x:c>
      <x:c r="R724" s="13" t="n">
        <x:f>J724+Q724/1440</x:f>
        <x:v>46302.518055555556</x:v>
      </x:c>
      <x:c r="S724" s="2" t="str">
        <x:f>VLOOKUP(C724,'MES orders'!$A$8:$H$127,6,FALSE)</x:f>
        <x:v>Normal</x:v>
      </x:c>
      <x:c r="T724" s="9" t="str"/>
    </x:row>
    <x:row r="725" ht="22" customHeight="1">
      <x:c r="A725" s="2" t="str">
        <x:v>L00169-040</x:v>
      </x:c>
      <x:c r="B725" s="2" t="str">
        <x:v>L00169</x:v>
      </x:c>
      <x:c r="C725" s="2" t="str">
        <x:v>SO-26034</x:v>
      </x:c>
      <x:c r="D725" s="2" t="str">
        <x:v>S-S-SS</x:v>
      </x:c>
      <x:c r="E725" s="14" t="n">
        <x:v>10</x:v>
      </x:c>
      <x:c r="F725" s="2" t="str">
        <x:v>Mechanical preassembly</x:v>
      </x:c>
      <x:c r="G725" s="9" t="str">
        <x:v>AS-04</x:v>
      </x:c>
      <x:c r="H725" s="15" t="n">
        <x:v>23</x:v>
      </x:c>
      <x:c r="I725" s="9" t="str">
        <x:v>P01</x:v>
      </x:c>
      <x:c r="J725" s="11" t="n">
        <x:v>46302.50902777778</x:v>
      </x:c>
      <x:c r="K725" s="15" t="n">
        <x:v>6</x:v>
      </x:c>
      <x:c r="L725" s="15" t="n">
        <x:v>11</x:v>
      </x:c>
      <x:c r="M725" s="13" t="n">
        <x:f>J725+(K725+L725)/1440</x:f>
        <x:v>46302.520833333336</x:v>
      </x:c>
      <x:c r="N725" s="13" t="n">
        <x:f>VLOOKUP(C725,'MES orders'!$A$8:$H$127,5,FALSE)</x:f>
        <x:v>46303.666666666664</x:v>
      </x:c>
      <x:c r="O725" s="16" t="n">
        <x:f>MAX(0,(M725-N725)*24)</x:f>
        <x:v>0</x:v>
      </x:c>
      <x:c r="P725" s="9" t="str">
        <x:v>No</x:v>
      </x:c>
      <x:c r="Q725" s="15" t="n">
        <x:v>17</x:v>
      </x:c>
      <x:c r="R725" s="13" t="n">
        <x:f>J725+Q725/1440</x:f>
        <x:v>46302.520833333336</x:v>
      </x:c>
      <x:c r="S725" s="2" t="str">
        <x:f>VLOOKUP(C725,'MES orders'!$A$8:$H$127,6,FALSE)</x:f>
        <x:v>Normal</x:v>
      </x:c>
      <x:c r="T725" s="9" t="str"/>
    </x:row>
    <x:row r="726" ht="22" customHeight="1">
      <x:c r="A726" s="2" t="str">
        <x:v>L00207-010</x:v>
      </x:c>
      <x:c r="B726" s="2" t="str">
        <x:v>L00207</x:v>
      </x:c>
      <x:c r="C726" s="2" t="str">
        <x:v>SO-26042</x:v>
      </x:c>
      <x:c r="D726" s="2" t="str">
        <x:v>S-L-SS</x:v>
      </x:c>
      <x:c r="E726" s="14" t="n">
        <x:v>25</x:v>
      </x:c>
      <x:c r="F726" s="2" t="str">
        <x:v>CNC machining</x:v>
      </x:c>
      <x:c r="G726" s="9" t="str">
        <x:v>CNC-04</x:v>
      </x:c>
      <x:c r="H726" s="15" t="n">
        <x:v>22</x:v>
      </x:c>
      <x:c r="I726" s="9" t="str">
        <x:v>P02</x:v>
      </x:c>
      <x:c r="J726" s="11" t="n">
        <x:v>46302.51458333333</x:v>
      </x:c>
      <x:c r="K726" s="15" t="n">
        <x:v>18</x:v>
      </x:c>
      <x:c r="L726" s="15" t="n">
        <x:v>101</x:v>
      </x:c>
      <x:c r="M726" s="13" t="n">
        <x:f>J726+(K726+L726)/1440</x:f>
        <x:v>46302.59722222222</x:v>
      </x:c>
      <x:c r="N726" s="13" t="n">
        <x:f>VLOOKUP(C726,'MES orders'!$A$8:$H$127,5,FALSE)</x:f>
        <x:v>46303.666666666664</x:v>
      </x:c>
      <x:c r="O726" s="16" t="n">
        <x:f>MAX(0,(M726-N726)*24)</x:f>
        <x:v>0</x:v>
      </x:c>
      <x:c r="P726" s="9" t="str">
        <x:v>No</x:v>
      </x:c>
      <x:c r="Q726" s="15" t="n">
        <x:v>18</x:v>
      </x:c>
      <x:c r="R726" s="13" t="n">
        <x:f>J726+Q726/1440</x:f>
        <x:v>46302.52708333333</x:v>
      </x:c>
      <x:c r="S726" s="2" t="str">
        <x:f>VLOOKUP(C726,'MES orders'!$A$8:$H$127,6,FALSE)</x:f>
        <x:v>Normal</x:v>
      </x:c>
      <x:c r="T726" s="9" t="str"/>
    </x:row>
    <x:row r="727" ht="22" customHeight="1">
      <x:c r="A727" s="2" t="str">
        <x:v>L00208-010</x:v>
      </x:c>
      <x:c r="B727" s="2" t="str">
        <x:v>L00208</x:v>
      </x:c>
      <x:c r="C727" s="2" t="str">
        <x:v>SO-26042</x:v>
      </x:c>
      <x:c r="D727" s="2" t="str">
        <x:v>S-L-SS</x:v>
      </x:c>
      <x:c r="E727" s="14" t="n">
        <x:v>25</x:v>
      </x:c>
      <x:c r="F727" s="2" t="str">
        <x:v>CNC machining</x:v>
      </x:c>
      <x:c r="G727" s="9" t="str">
        <x:v>CNC-05</x:v>
      </x:c>
      <x:c r="H727" s="15" t="n">
        <x:v>19</x:v>
      </x:c>
      <x:c r="I727" s="9" t="str">
        <x:v>P03</x:v>
      </x:c>
      <x:c r="J727" s="11" t="n">
        <x:v>46302.51458333333</x:v>
      </x:c>
      <x:c r="K727" s="15" t="n">
        <x:v>18</x:v>
      </x:c>
      <x:c r="L727" s="15" t="n">
        <x:v>101</x:v>
      </x:c>
      <x:c r="M727" s="13" t="n">
        <x:f>J727+(K727+L727)/1440</x:f>
        <x:v>46302.59722222222</x:v>
      </x:c>
      <x:c r="N727" s="13" t="n">
        <x:f>VLOOKUP(C727,'MES orders'!$A$8:$H$127,5,FALSE)</x:f>
        <x:v>46303.666666666664</x:v>
      </x:c>
      <x:c r="O727" s="16" t="n">
        <x:f>MAX(0,(M727-N727)*24)</x:f>
        <x:v>0</x:v>
      </x:c>
      <x:c r="P727" s="9" t="str">
        <x:v>No</x:v>
      </x:c>
      <x:c r="Q727" s="15" t="n">
        <x:v>18</x:v>
      </x:c>
      <x:c r="R727" s="13" t="n">
        <x:f>J727+Q727/1440</x:f>
        <x:v>46302.52708333333</x:v>
      </x:c>
      <x:c r="S727" s="2" t="str">
        <x:f>VLOOKUP(C727,'MES orders'!$A$8:$H$127,6,FALSE)</x:f>
        <x:v>Normal</x:v>
      </x:c>
      <x:c r="T727" s="9" t="str"/>
    </x:row>
    <x:row r="728" ht="22" customHeight="1">
      <x:c r="A728" s="2" t="str">
        <x:v>L00086-060</x:v>
      </x:c>
      <x:c r="B728" s="2" t="str">
        <x:v>L00086</x:v>
      </x:c>
      <x:c r="C728" s="2" t="str">
        <x:v>SO-26018</x:v>
      </x:c>
      <x:c r="D728" s="2" t="str">
        <x:v>R-L-SS</x:v>
      </x:c>
      <x:c r="E728" s="14" t="n">
        <x:v>25</x:v>
      </x:c>
      <x:c r="F728" s="2" t="str">
        <x:v>Final leak / function test</x:v>
      </x:c>
      <x:c r="G728" s="9" t="str">
        <x:v>QA-02</x:v>
      </x:c>
      <x:c r="H728" s="15" t="n">
        <x:v>49</x:v>
      </x:c>
      <x:c r="I728" s="9" t="str">
        <x:v>P11</x:v>
      </x:c>
      <x:c r="J728" s="11" t="n">
        <x:v>46302.51527777778</x:v>
      </x:c>
      <x:c r="K728" s="15" t="n">
        <x:v>10</x:v>
      </x:c>
      <x:c r="L728" s="15" t="n">
        <x:v>30</x:v>
      </x:c>
      <x:c r="M728" s="13" t="n">
        <x:f>J728+(K728+L728)/1440</x:f>
        <x:v>46302.54305555556</x:v>
      </x:c>
      <x:c r="N728" s="13" t="n">
        <x:f>VLOOKUP(C728,'MES orders'!$A$8:$H$127,5,FALSE)</x:f>
        <x:v>46303.666666666664</x:v>
      </x:c>
      <x:c r="O728" s="16" t="n">
        <x:f>MAX(0,(M728-N728)*24)</x:f>
        <x:v>0</x:v>
      </x:c>
      <x:c r="P728" s="9" t="str">
        <x:v>No</x:v>
      </x:c>
      <x:c r="Q728" s="15" t="n">
        <x:v>40</x:v>
      </x:c>
      <x:c r="R728" s="13" t="n">
        <x:f>J728+Q728/1440</x:f>
        <x:v>46302.54305555556</x:v>
      </x:c>
      <x:c r="S728" s="2" t="str">
        <x:f>VLOOKUP(C728,'MES orders'!$A$8:$H$127,6,FALSE)</x:f>
        <x:v>Normal</x:v>
      </x:c>
      <x:c r="T728" s="9" t="str"/>
    </x:row>
    <x:row r="729" ht="22" customHeight="1">
      <x:c r="A729" s="2" t="str">
        <x:v>L00087-060</x:v>
      </x:c>
      <x:c r="B729" s="2" t="str">
        <x:v>L00087</x:v>
      </x:c>
      <x:c r="C729" s="2" t="str">
        <x:v>SO-26018</x:v>
      </x:c>
      <x:c r="D729" s="2" t="str">
        <x:v>R-L-SS</x:v>
      </x:c>
      <x:c r="E729" s="14" t="n">
        <x:v>25</x:v>
      </x:c>
      <x:c r="F729" s="2" t="str">
        <x:v>Final leak / function test</x:v>
      </x:c>
      <x:c r="G729" s="9" t="str">
        <x:v>QA-03</x:v>
      </x:c>
      <x:c r="H729" s="15" t="n">
        <x:v>33</x:v>
      </x:c>
      <x:c r="I729" s="9" t="str">
        <x:v>P12</x:v>
      </x:c>
      <x:c r="J729" s="11" t="n">
        <x:v>46302.51527777778</x:v>
      </x:c>
      <x:c r="K729" s="15" t="n">
        <x:v>10</x:v>
      </x:c>
      <x:c r="L729" s="15" t="n">
        <x:v>30</x:v>
      </x:c>
      <x:c r="M729" s="13" t="n">
        <x:f>J729+(K729+L729)/1440</x:f>
        <x:v>46302.54305555556</x:v>
      </x:c>
      <x:c r="N729" s="13" t="n">
        <x:f>VLOOKUP(C729,'MES orders'!$A$8:$H$127,5,FALSE)</x:f>
        <x:v>46303.666666666664</x:v>
      </x:c>
      <x:c r="O729" s="16" t="n">
        <x:f>MAX(0,(M729-N729)*24)</x:f>
        <x:v>0</x:v>
      </x:c>
      <x:c r="P729" s="9" t="str">
        <x:v>No</x:v>
      </x:c>
      <x:c r="Q729" s="15" t="n">
        <x:v>40</x:v>
      </x:c>
      <x:c r="R729" s="13" t="n">
        <x:f>J729+Q729/1440</x:f>
        <x:v>46302.54305555556</x:v>
      </x:c>
      <x:c r="S729" s="2" t="str">
        <x:f>VLOOKUP(C729,'MES orders'!$A$8:$H$127,6,FALSE)</x:f>
        <x:v>Normal</x:v>
      </x:c>
      <x:c r="T729" s="9" t="str"/>
    </x:row>
    <x:row r="730" ht="22" customHeight="1">
      <x:c r="A730" s="2" t="str">
        <x:v>L00089-030</x:v>
      </x:c>
      <x:c r="B730" s="2" t="str">
        <x:v>L00089</x:v>
      </x:c>
      <x:c r="C730" s="2" t="str">
        <x:v>SO-26018</x:v>
      </x:c>
      <x:c r="D730" s="2" t="str">
        <x:v>R-L-SS</x:v>
      </x:c>
      <x:c r="E730" s="14" t="n">
        <x:v>25</x:v>
      </x:c>
      <x:c r="F730" s="2" t="str">
        <x:v>Wash &amp; dry</x:v>
      </x:c>
      <x:c r="G730" s="9" t="str">
        <x:v>WS-01</x:v>
      </x:c>
      <x:c r="H730" s="15" t="n">
        <x:v>69</x:v>
      </x:c>
      <x:c r="I730" s="9" t="str">
        <x:v>P05</x:v>
      </x:c>
      <x:c r="J730" s="11" t="n">
        <x:v>46302.51527777778</x:v>
      </x:c>
      <x:c r="K730" s="15" t="n">
        <x:v>12</x:v>
      </x:c>
      <x:c r="L730" s="15" t="n">
        <x:v>12</x:v>
      </x:c>
      <x:c r="M730" s="13" t="n">
        <x:f>J730+(K730+L730)/1440</x:f>
        <x:v>46302.53194444445</x:v>
      </x:c>
      <x:c r="N730" s="13" t="n">
        <x:f>VLOOKUP(C730,'MES orders'!$A$8:$H$127,5,FALSE)</x:f>
        <x:v>46303.666666666664</x:v>
      </x:c>
      <x:c r="O730" s="16" t="n">
        <x:f>MAX(0,(M730-N730)*24)</x:f>
        <x:v>0</x:v>
      </x:c>
      <x:c r="P730" s="9" t="str">
        <x:v>No</x:v>
      </x:c>
      <x:c r="Q730" s="15" t="n">
        <x:v>24</x:v>
      </x:c>
      <x:c r="R730" s="13" t="n">
        <x:f>J730+Q730/1440</x:f>
        <x:v>46302.53194444445</x:v>
      </x:c>
      <x:c r="S730" s="2" t="str">
        <x:f>VLOOKUP(C730,'MES orders'!$A$8:$H$127,6,FALSE)</x:f>
        <x:v>Normal</x:v>
      </x:c>
      <x:c r="T730" s="9" t="str"/>
    </x:row>
    <x:row r="731" ht="22" customHeight="1">
      <x:c r="A731" s="2" t="str">
        <x:v>L00090-030</x:v>
      </x:c>
      <x:c r="B731" s="2" t="str">
        <x:v>L00090</x:v>
      </x:c>
      <x:c r="C731" s="2" t="str">
        <x:v>SO-26018</x:v>
      </x:c>
      <x:c r="D731" s="2" t="str">
        <x:v>R-L-SS</x:v>
      </x:c>
      <x:c r="E731" s="14" t="n">
        <x:v>25</x:v>
      </x:c>
      <x:c r="F731" s="2" t="str">
        <x:v>Wash &amp; dry</x:v>
      </x:c>
      <x:c r="G731" s="9" t="str">
        <x:v>WS-02</x:v>
      </x:c>
      <x:c r="H731" s="15" t="n">
        <x:v>53</x:v>
      </x:c>
      <x:c r="I731" s="9" t="str">
        <x:v>P06</x:v>
      </x:c>
      <x:c r="J731" s="11" t="n">
        <x:v>46302.51527777778</x:v>
      </x:c>
      <x:c r="K731" s="15" t="n">
        <x:v>12</x:v>
      </x:c>
      <x:c r="L731" s="15" t="n">
        <x:v>12</x:v>
      </x:c>
      <x:c r="M731" s="13" t="n">
        <x:f>J731+(K731+L731)/1440</x:f>
        <x:v>46302.53194444445</x:v>
      </x:c>
      <x:c r="N731" s="13" t="n">
        <x:f>VLOOKUP(C731,'MES orders'!$A$8:$H$127,5,FALSE)</x:f>
        <x:v>46303.666666666664</x:v>
      </x:c>
      <x:c r="O731" s="16" t="n">
        <x:f>MAX(0,(M731-N731)*24)</x:f>
        <x:v>0</x:v>
      </x:c>
      <x:c r="P731" s="9" t="str">
        <x:v>No</x:v>
      </x:c>
      <x:c r="Q731" s="15" t="n">
        <x:v>24</x:v>
      </x:c>
      <x:c r="R731" s="13" t="n">
        <x:f>J731+Q731/1440</x:f>
        <x:v>46302.53194444445</x:v>
      </x:c>
      <x:c r="S731" s="2" t="str">
        <x:f>VLOOKUP(C731,'MES orders'!$A$8:$H$127,6,FALSE)</x:f>
        <x:v>Normal</x:v>
      </x:c>
      <x:c r="T731" s="9" t="str"/>
    </x:row>
    <x:row r="732" ht="22" customHeight="1">
      <x:c r="A732" s="2" t="str">
        <x:v>L00130-070</x:v>
      </x:c>
      <x:c r="B732" s="2" t="str">
        <x:v>L00130</x:v>
      </x:c>
      <x:c r="C732" s="2" t="str">
        <x:v>SO-26026</x:v>
      </x:c>
      <x:c r="D732" s="2" t="str">
        <x:v>S-C-SS</x:v>
      </x:c>
      <x:c r="E732" s="14" t="n">
        <x:v>25</x:v>
      </x:c>
      <x:c r="F732" s="2" t="str">
        <x:v>Final assembly</x:v>
      </x:c>
      <x:c r="G732" s="9" t="str">
        <x:v>AS-01</x:v>
      </x:c>
      <x:c r="H732" s="15" t="n">
        <x:v>59</x:v>
      </x:c>
      <x:c r="I732" s="9" t="str">
        <x:v>P08</x:v>
      </x:c>
      <x:c r="J732" s="11" t="n">
        <x:v>46302.51736111111</x:v>
      </x:c>
      <x:c r="K732" s="15" t="n">
        <x:v>5</x:v>
      </x:c>
      <x:c r="L732" s="15" t="n">
        <x:v>16</x:v>
      </x:c>
      <x:c r="M732" s="13" t="n">
        <x:f>J732+(K732+L732)/1440</x:f>
        <x:v>46302.53194444444</x:v>
      </x:c>
      <x:c r="N732" s="13" t="n">
        <x:f>VLOOKUP(C732,'MES orders'!$A$8:$H$127,5,FALSE)</x:f>
        <x:v>46303.666666666664</x:v>
      </x:c>
      <x:c r="O732" s="16" t="n">
        <x:f>MAX(0,(M732-N732)*24)</x:f>
        <x:v>0</x:v>
      </x:c>
      <x:c r="P732" s="9" t="str">
        <x:v>No</x:v>
      </x:c>
      <x:c r="Q732" s="15" t="n">
        <x:v>21</x:v>
      </x:c>
      <x:c r="R732" s="13" t="n">
        <x:f>J732+Q732/1440</x:f>
        <x:v>46302.53194444444</x:v>
      </x:c>
      <x:c r="S732" s="2" t="str">
        <x:f>VLOOKUP(C732,'MES orders'!$A$8:$H$127,6,FALSE)</x:f>
        <x:v>Normal</x:v>
      </x:c>
      <x:c r="T732" s="9" t="str"/>
    </x:row>
    <x:row r="733" ht="22" customHeight="1">
      <x:c r="A733" s="2" t="str">
        <x:v>L00166-060</x:v>
      </x:c>
      <x:c r="B733" s="2" t="str">
        <x:v>L00166</x:v>
      </x:c>
      <x:c r="C733" s="2" t="str">
        <x:v>SO-26034</x:v>
      </x:c>
      <x:c r="D733" s="2" t="str">
        <x:v>S-S-SS</x:v>
      </x:c>
      <x:c r="E733" s="14" t="n">
        <x:v>10</x:v>
      </x:c>
      <x:c r="F733" s="2" t="str">
        <x:v>Sensor calibration</x:v>
      </x:c>
      <x:c r="G733" s="9" t="str">
        <x:v>CAL-01</x:v>
      </x:c>
      <x:c r="H733" s="15" t="n">
        <x:v>26</x:v>
      </x:c>
      <x:c r="I733" s="9" t="str">
        <x:v>P09</x:v>
      </x:c>
      <x:c r="J733" s="11" t="n">
        <x:v>46302.518055555556</x:v>
      </x:c>
      <x:c r="K733" s="15" t="n">
        <x:v>10</x:v>
      </x:c>
      <x:c r="L733" s="15" t="n">
        <x:v>13</x:v>
      </x:c>
      <x:c r="M733" s="13" t="n">
        <x:f>J733+(K733+L733)/1440</x:f>
        <x:v>46302.53402777778</x:v>
      </x:c>
      <x:c r="N733" s="13" t="n">
        <x:f>VLOOKUP(C733,'MES orders'!$A$8:$H$127,5,FALSE)</x:f>
        <x:v>46303.666666666664</x:v>
      </x:c>
      <x:c r="O733" s="16" t="n">
        <x:f>MAX(0,(M733-N733)*24)</x:f>
        <x:v>0</x:v>
      </x:c>
      <x:c r="P733" s="9" t="str">
        <x:v>No</x:v>
      </x:c>
      <x:c r="Q733" s="15" t="n">
        <x:v>23</x:v>
      </x:c>
      <x:c r="R733" s="13" t="n">
        <x:f>J733+Q733/1440</x:f>
        <x:v>46302.53402777778</x:v>
      </x:c>
      <x:c r="S733" s="2" t="str">
        <x:f>VLOOKUP(C733,'MES orders'!$A$8:$H$127,6,FALSE)</x:f>
        <x:v>Normal</x:v>
      </x:c>
      <x:c r="T733" s="9" t="str"/>
    </x:row>
    <x:row r="734" ht="22" customHeight="1">
      <x:c r="A734" s="2" t="str">
        <x:v>L00209-010</x:v>
      </x:c>
      <x:c r="B734" s="2" t="str">
        <x:v>L00209</x:v>
      </x:c>
      <x:c r="C734" s="2" t="str">
        <x:v>SO-26042</x:v>
      </x:c>
      <x:c r="D734" s="2" t="str">
        <x:v>S-L-SS</x:v>
      </x:c>
      <x:c r="E734" s="14" t="n">
        <x:v>25</x:v>
      </x:c>
      <x:c r="F734" s="2" t="str">
        <x:v>CNC machining</x:v>
      </x:c>
      <x:c r="G734" s="9" t="str">
        <x:v>CNC-06</x:v>
      </x:c>
      <x:c r="H734" s="15" t="n">
        <x:v>19</x:v>
      </x:c>
      <x:c r="I734" s="9" t="str">
        <x:v>P01</x:v>
      </x:c>
      <x:c r="J734" s="11" t="n">
        <x:v>46302.520833333336</x:v>
      </x:c>
      <x:c r="K734" s="15" t="n">
        <x:v>18</x:v>
      </x:c>
      <x:c r="L734" s="15" t="n">
        <x:v>101</x:v>
      </x:c>
      <x:c r="M734" s="13" t="n">
        <x:f>J734+(K734+L734)/1440</x:f>
        <x:v>46302.603472222225</x:v>
      </x:c>
      <x:c r="N734" s="13" t="n">
        <x:f>VLOOKUP(C734,'MES orders'!$A$8:$H$127,5,FALSE)</x:f>
        <x:v>46303.666666666664</x:v>
      </x:c>
      <x:c r="O734" s="16" t="n">
        <x:f>MAX(0,(M734-N734)*24)</x:f>
        <x:v>0</x:v>
      </x:c>
      <x:c r="P734" s="9" t="str">
        <x:v>No</x:v>
      </x:c>
      <x:c r="Q734" s="15" t="n">
        <x:v>18</x:v>
      </x:c>
      <x:c r="R734" s="13" t="n">
        <x:f>J734+Q734/1440</x:f>
        <x:v>46302.53333333333</x:v>
      </x:c>
      <x:c r="S734" s="2" t="str">
        <x:f>VLOOKUP(C734,'MES orders'!$A$8:$H$127,6,FALSE)</x:f>
        <x:v>Normal</x:v>
      </x:c>
      <x:c r="T734" s="9" t="str"/>
    </x:row>
    <x:row r="735" ht="22" customHeight="1">
      <x:c r="A735" s="2" t="str">
        <x:v>L00169-050</x:v>
      </x:c>
      <x:c r="B735" s="2" t="str">
        <x:v>L00169</x:v>
      </x:c>
      <x:c r="C735" s="2" t="str">
        <x:v>SO-26034</x:v>
      </x:c>
      <x:c r="D735" s="2" t="str">
        <x:v>S-S-SS</x:v>
      </x:c>
      <x:c r="E735" s="14" t="n">
        <x:v>10</x:v>
      </x:c>
      <x:c r="F735" s="2" t="str">
        <x:v>Sensor installation</x:v>
      </x:c>
      <x:c r="G735" s="9" t="str">
        <x:v>EL-01</x:v>
      </x:c>
      <x:c r="H735" s="15" t="n">
        <x:v>20</x:v>
      </x:c>
      <x:c r="I735" s="9" t="str">
        <x:v>P07</x:v>
      </x:c>
      <x:c r="J735" s="11" t="n">
        <x:v>46302.520833333336</x:v>
      </x:c>
      <x:c r="K735" s="15" t="n">
        <x:v>8</x:v>
      </x:c>
      <x:c r="L735" s="15" t="n">
        <x:v>12</x:v>
      </x:c>
      <x:c r="M735" s="13" t="n">
        <x:f>J735+(K735+L735)/1440</x:f>
        <x:v>46302.534722222226</x:v>
      </x:c>
      <x:c r="N735" s="13" t="n">
        <x:f>VLOOKUP(C735,'MES orders'!$A$8:$H$127,5,FALSE)</x:f>
        <x:v>46303.666666666664</x:v>
      </x:c>
      <x:c r="O735" s="16" t="n">
        <x:f>MAX(0,(M735-N735)*24)</x:f>
        <x:v>0</x:v>
      </x:c>
      <x:c r="P735" s="9" t="str">
        <x:v>No</x:v>
      </x:c>
      <x:c r="Q735" s="15" t="n">
        <x:v>20</x:v>
      </x:c>
      <x:c r="R735" s="13" t="n">
        <x:f>J735+Q735/1440</x:f>
        <x:v>46302.534722222226</x:v>
      </x:c>
      <x:c r="S735" s="2" t="str">
        <x:f>VLOOKUP(C735,'MES orders'!$A$8:$H$127,6,FALSE)</x:f>
        <x:v>Normal</x:v>
      </x:c>
      <x:c r="T735" s="9" t="str"/>
    </x:row>
    <x:row r="736" ht="22" customHeight="1">
      <x:c r="A736" s="2" t="str">
        <x:v>L00495-040</x:v>
      </x:c>
      <x:c r="B736" s="2" t="str">
        <x:v>L00495</x:v>
      </x:c>
      <x:c r="C736" s="2" t="str">
        <x:v>SO-26099</x:v>
      </x:c>
      <x:c r="D736" s="2" t="str">
        <x:v>D-S-AL</x:v>
      </x:c>
      <x:c r="E736" s="14" t="n">
        <x:v>15</x:v>
      </x:c>
      <x:c r="F736" s="2" t="str">
        <x:v>Mechanical assembly</x:v>
      </x:c>
      <x:c r="G736" s="9" t="str">
        <x:v>AS-04</x:v>
      </x:c>
      <x:c r="H736" s="15" t="n">
        <x:v>24</x:v>
      </x:c>
      <x:c r="I736" s="9" t="str">
        <x:v>P02</x:v>
      </x:c>
      <x:c r="J736" s="11" t="n">
        <x:v>46302.527083333334</x:v>
      </x:c>
      <x:c r="K736" s="15" t="n">
        <x:v>8</x:v>
      </x:c>
      <x:c r="L736" s="15" t="n">
        <x:v>27</x:v>
      </x:c>
      <x:c r="M736" s="13" t="n">
        <x:f>J736+(K736+L736)/1440</x:f>
        <x:v>46302.55138888889</x:v>
      </x:c>
      <x:c r="N736" s="13" t="n">
        <x:f>VLOOKUP(C736,'MES orders'!$A$8:$H$127,5,FALSE)</x:f>
        <x:v>46304.666666666664</x:v>
      </x:c>
      <x:c r="O736" s="16" t="n">
        <x:f>MAX(0,(M736-N736)*24)</x:f>
        <x:v>0</x:v>
      </x:c>
      <x:c r="P736" s="9" t="str">
        <x:v>No</x:v>
      </x:c>
      <x:c r="Q736" s="15" t="n">
        <x:v>35</x:v>
      </x:c>
      <x:c r="R736" s="13" t="n">
        <x:f>J736+Q736/1440</x:f>
        <x:v>46302.55138888889</x:v>
      </x:c>
      <x:c r="S736" s="2" t="str">
        <x:f>VLOOKUP(C736,'MES orders'!$A$8:$H$127,6,FALSE)</x:f>
        <x:v>High</x:v>
      </x:c>
      <x:c r="T736" s="9" t="str"/>
    </x:row>
    <x:row r="737" ht="22" customHeight="1">
      <x:c r="A737" s="2" t="str">
        <x:v>L00089-040</x:v>
      </x:c>
      <x:c r="B737" s="2" t="str">
        <x:v>L00089</x:v>
      </x:c>
      <x:c r="C737" s="2" t="str">
        <x:v>SO-26018</x:v>
      </x:c>
      <x:c r="D737" s="2" t="str">
        <x:v>R-L-SS</x:v>
      </x:c>
      <x:c r="E737" s="14" t="n">
        <x:v>25</x:v>
      </x:c>
      <x:c r="F737" s="2" t="str">
        <x:v>Mechanical assembly</x:v>
      </x:c>
      <x:c r="G737" s="9" t="str">
        <x:v>AS-02</x:v>
      </x:c>
      <x:c r="H737" s="15" t="n">
        <x:v>48</x:v>
      </x:c>
      <x:c r="I737" s="9" t="str">
        <x:v>P06</x:v>
      </x:c>
      <x:c r="J737" s="11" t="n">
        <x:v>46302.53194444445</x:v>
      </x:c>
      <x:c r="K737" s="15" t="n">
        <x:v>8</x:v>
      </x:c>
      <x:c r="L737" s="15" t="n">
        <x:v>61</x:v>
      </x:c>
      <x:c r="M737" s="13" t="n">
        <x:f>J737+(K737+L737)/1440</x:f>
        <x:v>46302.57986111112</x:v>
      </x:c>
      <x:c r="N737" s="13" t="n">
        <x:f>VLOOKUP(C737,'MES orders'!$A$8:$H$127,5,FALSE)</x:f>
        <x:v>46303.666666666664</x:v>
      </x:c>
      <x:c r="O737" s="16" t="n">
        <x:f>MAX(0,(M737-N737)*24)</x:f>
        <x:v>0</x:v>
      </x:c>
      <x:c r="P737" s="9" t="str">
        <x:v>No</x:v>
      </x:c>
      <x:c r="Q737" s="15" t="n">
        <x:v>69</x:v>
      </x:c>
      <x:c r="R737" s="13" t="n">
        <x:f>J737+Q737/1440</x:f>
        <x:v>46302.57986111112</x:v>
      </x:c>
      <x:c r="S737" s="2" t="str">
        <x:f>VLOOKUP(C737,'MES orders'!$A$8:$H$127,6,FALSE)</x:f>
        <x:v>Normal</x:v>
      </x:c>
      <x:c r="T737" s="9" t="str"/>
    </x:row>
    <x:row r="738" ht="22" customHeight="1">
      <x:c r="A738" s="2" t="str">
        <x:v>L00011-030</x:v>
      </x:c>
      <x:c r="B738" s="2" t="str">
        <x:v>L00011</x:v>
      </x:c>
      <x:c r="C738" s="2" t="str">
        <x:v>SO-26003</x:v>
      </x:c>
      <x:c r="D738" s="2" t="str">
        <x:v>S-S-AL</x:v>
      </x:c>
      <x:c r="E738" s="14" t="n">
        <x:v>15</x:v>
      </x:c>
      <x:c r="F738" s="2" t="str">
        <x:v>Wash &amp; dry</x:v>
      </x:c>
      <x:c r="G738" s="9" t="str">
        <x:v>WS-01</x:v>
      </x:c>
      <x:c r="H738" s="15" t="n">
        <x:v>70</x:v>
      </x:c>
      <x:c r="I738" s="9" t="str">
        <x:v>P03</x:v>
      </x:c>
      <x:c r="J738" s="11" t="n">
        <x:v>46302.53194444445</x:v>
      </x:c>
      <x:c r="K738" s="15" t="n">
        <x:v>12</x:v>
      </x:c>
      <x:c r="L738" s="15" t="n">
        <x:v>5</x:v>
      </x:c>
      <x:c r="M738" s="13" t="n">
        <x:f>J738+(K738+L738)/1440</x:f>
        <x:v>46302.543750000004</x:v>
      </x:c>
      <x:c r="N738" s="13" t="n">
        <x:f>VLOOKUP(C738,'MES orders'!$A$8:$H$127,5,FALSE)</x:f>
        <x:v>46304.666666666664</x:v>
      </x:c>
      <x:c r="O738" s="16" t="n">
        <x:f>MAX(0,(M738-N738)*24)</x:f>
        <x:v>0</x:v>
      </x:c>
      <x:c r="P738" s="9" t="str">
        <x:v>No</x:v>
      </x:c>
      <x:c r="Q738" s="15" t="n">
        <x:v>17</x:v>
      </x:c>
      <x:c r="R738" s="13" t="n">
        <x:f>J738+Q738/1440</x:f>
        <x:v>46302.543750000004</x:v>
      </x:c>
      <x:c r="S738" s="2" t="str">
        <x:f>VLOOKUP(C738,'MES orders'!$A$8:$H$127,6,FALSE)</x:f>
        <x:v>Normal</x:v>
      </x:c>
      <x:c r="T738" s="9" t="str"/>
    </x:row>
    <x:row r="739" ht="22" customHeight="1">
      <x:c r="A739" s="2" t="str">
        <x:v>L00012-030</x:v>
      </x:c>
      <x:c r="B739" s="2" t="str">
        <x:v>L00012</x:v>
      </x:c>
      <x:c r="C739" s="2" t="str">
        <x:v>SO-26003</x:v>
      </x:c>
      <x:c r="D739" s="2" t="str">
        <x:v>S-S-AL</x:v>
      </x:c>
      <x:c r="E739" s="14" t="n">
        <x:v>15</x:v>
      </x:c>
      <x:c r="F739" s="2" t="str">
        <x:v>Wash &amp; dry</x:v>
      </x:c>
      <x:c r="G739" s="9" t="str">
        <x:v>WS-02</x:v>
      </x:c>
      <x:c r="H739" s="15" t="n">
        <x:v>54</x:v>
      </x:c>
      <x:c r="I739" s="9" t="str">
        <x:v>P08</x:v>
      </x:c>
      <x:c r="J739" s="11" t="n">
        <x:v>46302.53194444445</x:v>
      </x:c>
      <x:c r="K739" s="15" t="n">
        <x:v>12</x:v>
      </x:c>
      <x:c r="L739" s="15" t="n">
        <x:v>5</x:v>
      </x:c>
      <x:c r="M739" s="13" t="n">
        <x:f>J739+(K739+L739)/1440</x:f>
        <x:v>46302.543750000004</x:v>
      </x:c>
      <x:c r="N739" s="13" t="n">
        <x:f>VLOOKUP(C739,'MES orders'!$A$8:$H$127,5,FALSE)</x:f>
        <x:v>46304.666666666664</x:v>
      </x:c>
      <x:c r="O739" s="16" t="n">
        <x:f>MAX(0,(M739-N739)*24)</x:f>
        <x:v>0</x:v>
      </x:c>
      <x:c r="P739" s="9" t="str">
        <x:v>No</x:v>
      </x:c>
      <x:c r="Q739" s="15" t="n">
        <x:v>17</x:v>
      </x:c>
      <x:c r="R739" s="13" t="n">
        <x:f>J739+Q739/1440</x:f>
        <x:v>46302.543750000004</x:v>
      </x:c>
      <x:c r="S739" s="2" t="str">
        <x:f>VLOOKUP(C739,'MES orders'!$A$8:$H$127,6,FALSE)</x:f>
        <x:v>Normal</x:v>
      </x:c>
      <x:c r="T739" s="9" t="str"/>
    </x:row>
    <x:row r="740" ht="22" customHeight="1">
      <x:c r="A740" s="2" t="str">
        <x:v>L00088-050</x:v>
      </x:c>
      <x:c r="B740" s="2" t="str">
        <x:v>L00088</x:v>
      </x:c>
      <x:c r="C740" s="2" t="str">
        <x:v>SO-26018</x:v>
      </x:c>
      <x:c r="D740" s="2" t="str">
        <x:v>R-L-SS</x:v>
      </x:c>
      <x:c r="E740" s="14" t="n">
        <x:v>25</x:v>
      </x:c>
      <x:c r="F740" s="2" t="str">
        <x:v>Valve adjustment</x:v>
      </x:c>
      <x:c r="G740" s="9" t="str">
        <x:v>AS-01</x:v>
      </x:c>
      <x:c r="H740" s="15" t="n">
        <x:v>60</x:v>
      </x:c>
      <x:c r="I740" s="9" t="str">
        <x:v>P05</x:v>
      </x:c>
      <x:c r="J740" s="11" t="n">
        <x:v>46302.53333333333</x:v>
      </x:c>
      <x:c r="K740" s="15" t="n">
        <x:v>6</x:v>
      </x:c>
      <x:c r="L740" s="15" t="n">
        <x:v>37</x:v>
      </x:c>
      <x:c r="M740" s="13" t="n">
        <x:f>J740+(K740+L740)/1440</x:f>
        <x:v>46302.56319444445</x:v>
      </x:c>
      <x:c r="N740" s="13" t="n">
        <x:f>VLOOKUP(C740,'MES orders'!$A$8:$H$127,5,FALSE)</x:f>
        <x:v>46303.666666666664</x:v>
      </x:c>
      <x:c r="O740" s="16" t="n">
        <x:f>MAX(0,(M740-N740)*24)</x:f>
        <x:v>0</x:v>
      </x:c>
      <x:c r="P740" s="9" t="str">
        <x:v>No</x:v>
      </x:c>
      <x:c r="Q740" s="15" t="n">
        <x:v>43</x:v>
      </x:c>
      <x:c r="R740" s="13" t="n">
        <x:f>J740+Q740/1440</x:f>
        <x:v>46302.56319444445</x:v>
      </x:c>
      <x:c r="S740" s="2" t="str">
        <x:f>VLOOKUP(C740,'MES orders'!$A$8:$H$127,6,FALSE)</x:f>
        <x:v>Normal</x:v>
      </x:c>
      <x:c r="T740" s="9" t="str"/>
    </x:row>
    <x:row r="741" ht="22" customHeight="1">
      <x:c r="A741" s="2" t="str">
        <x:v>L00090-040</x:v>
      </x:c>
      <x:c r="B741" s="2" t="str">
        <x:v>L00090</x:v>
      </x:c>
      <x:c r="C741" s="2" t="str">
        <x:v>SO-26018</x:v>
      </x:c>
      <x:c r="D741" s="2" t="str">
        <x:v>R-L-SS</x:v>
      </x:c>
      <x:c r="E741" s="14" t="n">
        <x:v>25</x:v>
      </x:c>
      <x:c r="F741" s="2" t="str">
        <x:v>Mechanical assembly</x:v>
      </x:c>
      <x:c r="G741" s="9" t="str">
        <x:v>AS-03</x:v>
      </x:c>
      <x:c r="H741" s="15" t="n">
        <x:v>37</x:v>
      </x:c>
      <x:c r="I741" s="9" t="str">
        <x:v>P04</x:v>
      </x:c>
      <x:c r="J741" s="11" t="n">
        <x:v>46302.53333333333</x:v>
      </x:c>
      <x:c r="K741" s="15" t="n">
        <x:v>8</x:v>
      </x:c>
      <x:c r="L741" s="15" t="n">
        <x:v>61</x:v>
      </x:c>
      <x:c r="M741" s="13" t="n">
        <x:f>J741+(K741+L741)/1440</x:f>
        <x:v>46302.58125</x:v>
      </x:c>
      <x:c r="N741" s="13" t="n">
        <x:f>VLOOKUP(C741,'MES orders'!$A$8:$H$127,5,FALSE)</x:f>
        <x:v>46303.666666666664</x:v>
      </x:c>
      <x:c r="O741" s="16" t="n">
        <x:f>MAX(0,(M741-N741)*24)</x:f>
        <x:v>0</x:v>
      </x:c>
      <x:c r="P741" s="9" t="str">
        <x:v>No</x:v>
      </x:c>
      <x:c r="Q741" s="15" t="n">
        <x:v>69</x:v>
      </x:c>
      <x:c r="R741" s="13" t="n">
        <x:f>J741+Q741/1440</x:f>
        <x:v>46302.58125</x:v>
      </x:c>
      <x:c r="S741" s="2" t="str">
        <x:f>VLOOKUP(C741,'MES orders'!$A$8:$H$127,6,FALSE)</x:f>
        <x:v>Normal</x:v>
      </x:c>
      <x:c r="T741" s="9" t="str"/>
    </x:row>
    <x:row r="742" ht="22" customHeight="1">
      <x:c r="A742" s="2" t="str">
        <x:v>L00167-060</x:v>
      </x:c>
      <x:c r="B742" s="2" t="str">
        <x:v>L00167</x:v>
      </x:c>
      <x:c r="C742" s="2" t="str">
        <x:v>SO-26034</x:v>
      </x:c>
      <x:c r="D742" s="2" t="str">
        <x:v>S-S-SS</x:v>
      </x:c>
      <x:c r="E742" s="14" t="n">
        <x:v>10</x:v>
      </x:c>
      <x:c r="F742" s="2" t="str">
        <x:v>Sensor calibration</x:v>
      </x:c>
      <x:c r="G742" s="9" t="str">
        <x:v>CAL-01</x:v>
      </x:c>
      <x:c r="H742" s="15" t="n">
        <x:v>27</x:v>
      </x:c>
      <x:c r="I742" s="9" t="str">
        <x:v>P09</x:v>
      </x:c>
      <x:c r="J742" s="11" t="n">
        <x:v>46302.53402777778</x:v>
      </x:c>
      <x:c r="K742" s="15" t="n">
        <x:v>10</x:v>
      </x:c>
      <x:c r="L742" s="15" t="n">
        <x:v>13</x:v>
      </x:c>
      <x:c r="M742" s="13" t="n">
        <x:f>J742+(K742+L742)/1440</x:f>
        <x:v>46302.55</x:v>
      </x:c>
      <x:c r="N742" s="13" t="n">
        <x:f>VLOOKUP(C742,'MES orders'!$A$8:$H$127,5,FALSE)</x:f>
        <x:v>46303.666666666664</x:v>
      </x:c>
      <x:c r="O742" s="16" t="n">
        <x:f>MAX(0,(M742-N742)*24)</x:f>
        <x:v>0</x:v>
      </x:c>
      <x:c r="P742" s="9" t="str">
        <x:v>No</x:v>
      </x:c>
      <x:c r="Q742" s="15" t="n">
        <x:v>23</x:v>
      </x:c>
      <x:c r="R742" s="13" t="n">
        <x:f>J742+Q742/1440</x:f>
        <x:v>46302.55</x:v>
      </x:c>
      <x:c r="S742" s="2" t="str">
        <x:f>VLOOKUP(C742,'MES orders'!$A$8:$H$127,6,FALSE)</x:f>
        <x:v>Normal</x:v>
      </x:c>
      <x:c r="T742" s="9" t="str"/>
    </x:row>
    <x:row r="743" ht="22" customHeight="1">
      <x:c r="A743" s="2" t="str">
        <x:v>L00130-080</x:v>
      </x:c>
      <x:c r="B743" s="2" t="str">
        <x:v>L00130</x:v>
      </x:c>
      <x:c r="C743" s="2" t="str">
        <x:v>SO-26026</x:v>
      </x:c>
      <x:c r="D743" s="2" t="str">
        <x:v>S-C-SS</x:v>
      </x:c>
      <x:c r="E743" s="14" t="n">
        <x:v>25</x:v>
      </x:c>
      <x:c r="F743" s="2" t="str">
        <x:v>Final leak / function test</x:v>
      </x:c>
      <x:c r="G743" s="9" t="str">
        <x:v>QA-02</x:v>
      </x:c>
      <x:c r="H743" s="15" t="n">
        <x:v>50</x:v>
      </x:c>
      <x:c r="I743" s="9" t="str">
        <x:v>P11</x:v>
      </x:c>
      <x:c r="J743" s="11" t="n">
        <x:v>46302.54305555556</x:v>
      </x:c>
      <x:c r="K743" s="15" t="n">
        <x:v>10</x:v>
      </x:c>
      <x:c r="L743" s="15" t="n">
        <x:v>18</x:v>
      </x:c>
      <x:c r="M743" s="13" t="n">
        <x:f>J743+(K743+L743)/1440</x:f>
        <x:v>46302.5625</x:v>
      </x:c>
      <x:c r="N743" s="13" t="n">
        <x:f>VLOOKUP(C743,'MES orders'!$A$8:$H$127,5,FALSE)</x:f>
        <x:v>46303.666666666664</x:v>
      </x:c>
      <x:c r="O743" s="16" t="n">
        <x:f>MAX(0,(M743-N743)*24)</x:f>
        <x:v>0</x:v>
      </x:c>
      <x:c r="P743" s="9" t="str">
        <x:v>No</x:v>
      </x:c>
      <x:c r="Q743" s="15" t="n">
        <x:v>28</x:v>
      </x:c>
      <x:c r="R743" s="13" t="n">
        <x:f>J743+Q743/1440</x:f>
        <x:v>46302.5625</x:v>
      </x:c>
      <x:c r="S743" s="2" t="str">
        <x:f>VLOOKUP(C743,'MES orders'!$A$8:$H$127,6,FALSE)</x:f>
        <x:v>Normal</x:v>
      </x:c>
      <x:c r="T743" s="9" t="str"/>
    </x:row>
    <x:row r="744" ht="22" customHeight="1">
      <x:c r="A744" s="2" t="str">
        <x:v>L00011-040</x:v>
      </x:c>
      <x:c r="B744" s="2" t="str">
        <x:v>L00011</x:v>
      </x:c>
      <x:c r="C744" s="2" t="str">
        <x:v>SO-26003</x:v>
      </x:c>
      <x:c r="D744" s="2" t="str">
        <x:v>S-S-AL</x:v>
      </x:c>
      <x:c r="E744" s="14" t="n">
        <x:v>15</x:v>
      </x:c>
      <x:c r="F744" s="2" t="str">
        <x:v>Mechanical preassembly</x:v>
      </x:c>
      <x:c r="G744" s="9" t="str">
        <x:v>AS-05</x:v>
      </x:c>
      <x:c r="H744" s="15" t="n">
        <x:v>20</x:v>
      </x:c>
      <x:c r="I744" s="9" t="str">
        <x:v>P01</x:v>
      </x:c>
      <x:c r="J744" s="11" t="n">
        <x:v>46302.54375</x:v>
      </x:c>
      <x:c r="K744" s="15" t="n">
        <x:v>6</x:v>
      </x:c>
      <x:c r="L744" s="15" t="n">
        <x:v>16</x:v>
      </x:c>
      <x:c r="M744" s="13" t="n">
        <x:f>J744+(K744+L744)/1440</x:f>
        <x:v>46302.559027777774</x:v>
      </x:c>
      <x:c r="N744" s="13" t="n">
        <x:f>VLOOKUP(C744,'MES orders'!$A$8:$H$127,5,FALSE)</x:f>
        <x:v>46304.666666666664</x:v>
      </x:c>
      <x:c r="O744" s="16" t="n">
        <x:f>MAX(0,(M744-N744)*24)</x:f>
        <x:v>0</x:v>
      </x:c>
      <x:c r="P744" s="9" t="str">
        <x:v>No</x:v>
      </x:c>
      <x:c r="Q744" s="15" t="n">
        <x:v>22</x:v>
      </x:c>
      <x:c r="R744" s="13" t="n">
        <x:f>J744+Q744/1440</x:f>
        <x:v>46302.559027777774</x:v>
      </x:c>
      <x:c r="S744" s="2" t="str">
        <x:f>VLOOKUP(C744,'MES orders'!$A$8:$H$127,6,FALSE)</x:f>
        <x:v>Normal</x:v>
      </x:c>
      <x:c r="T744" s="9" t="str"/>
    </x:row>
    <x:row r="745" ht="22" customHeight="1">
      <x:c r="A745" s="2" t="str">
        <x:v>L00012-040</x:v>
      </x:c>
      <x:c r="B745" s="2" t="str">
        <x:v>L00012</x:v>
      </x:c>
      <x:c r="C745" s="2" t="str">
        <x:v>SO-26003</x:v>
      </x:c>
      <x:c r="D745" s="2" t="str">
        <x:v>S-S-AL</x:v>
      </x:c>
      <x:c r="E745" s="14" t="n">
        <x:v>15</x:v>
      </x:c>
      <x:c r="F745" s="2" t="str">
        <x:v>Mechanical preassembly</x:v>
      </x:c>
      <x:c r="G745" s="9" t="str">
        <x:v>AS-06</x:v>
      </x:c>
      <x:c r="H745" s="15" t="n">
        <x:v>6</x:v>
      </x:c>
      <x:c r="I745" s="9" t="str">
        <x:v>P03</x:v>
      </x:c>
      <x:c r="J745" s="11" t="n">
        <x:v>46302.54375</x:v>
      </x:c>
      <x:c r="K745" s="15" t="n">
        <x:v>6</x:v>
      </x:c>
      <x:c r="L745" s="15" t="n">
        <x:v>16</x:v>
      </x:c>
      <x:c r="M745" s="13" t="n">
        <x:f>J745+(K745+L745)/1440</x:f>
        <x:v>46302.559027777774</x:v>
      </x:c>
      <x:c r="N745" s="13" t="n">
        <x:f>VLOOKUP(C745,'MES orders'!$A$8:$H$127,5,FALSE)</x:f>
        <x:v>46304.666666666664</x:v>
      </x:c>
      <x:c r="O745" s="16" t="n">
        <x:f>MAX(0,(M745-N745)*24)</x:f>
        <x:v>0</x:v>
      </x:c>
      <x:c r="P745" s="9" t="str">
        <x:v>No</x:v>
      </x:c>
      <x:c r="Q745" s="15" t="n">
        <x:v>22</x:v>
      </x:c>
      <x:c r="R745" s="13" t="n">
        <x:f>J745+Q745/1440</x:f>
        <x:v>46302.559027777774</x:v>
      </x:c>
      <x:c r="S745" s="2" t="str">
        <x:f>VLOOKUP(C745,'MES orders'!$A$8:$H$127,6,FALSE)</x:f>
        <x:v>Normal</x:v>
      </x:c>
      <x:c r="T745" s="9" t="str"/>
    </x:row>
    <x:row r="746" ht="22" customHeight="1">
      <x:c r="A746" s="2" t="str">
        <x:v>L00169-060</x:v>
      </x:c>
      <x:c r="B746" s="2" t="str">
        <x:v>L00169</x:v>
      </x:c>
      <x:c r="C746" s="2" t="str">
        <x:v>SO-26034</x:v>
      </x:c>
      <x:c r="D746" s="2" t="str">
        <x:v>S-S-SS</x:v>
      </x:c>
      <x:c r="E746" s="14" t="n">
        <x:v>10</x:v>
      </x:c>
      <x:c r="F746" s="2" t="str">
        <x:v>Sensor calibration</x:v>
      </x:c>
      <x:c r="G746" s="9" t="str">
        <x:v>CAL-01</x:v>
      </x:c>
      <x:c r="H746" s="15" t="n">
        <x:v>28</x:v>
      </x:c>
      <x:c r="I746" s="9" t="str">
        <x:v>P09</x:v>
      </x:c>
      <x:c r="J746" s="11" t="n">
        <x:v>46302.55</x:v>
      </x:c>
      <x:c r="K746" s="15" t="n">
        <x:v>10</x:v>
      </x:c>
      <x:c r="L746" s="15" t="n">
        <x:v>13</x:v>
      </x:c>
      <x:c r="M746" s="13" t="n">
        <x:f>J746+(K746+L746)/1440</x:f>
        <x:v>46302.565972222226</x:v>
      </x:c>
      <x:c r="N746" s="13" t="n">
        <x:f>VLOOKUP(C746,'MES orders'!$A$8:$H$127,5,FALSE)</x:f>
        <x:v>46303.666666666664</x:v>
      </x:c>
      <x:c r="O746" s="16" t="n">
        <x:f>MAX(0,(M746-N746)*24)</x:f>
        <x:v>0</x:v>
      </x:c>
      <x:c r="P746" s="9" t="str">
        <x:v>No</x:v>
      </x:c>
      <x:c r="Q746" s="15" t="n">
        <x:v>23</x:v>
      </x:c>
      <x:c r="R746" s="13" t="n">
        <x:f>J746+Q746/1440</x:f>
        <x:v>46302.565972222226</x:v>
      </x:c>
      <x:c r="S746" s="2" t="str">
        <x:f>VLOOKUP(C746,'MES orders'!$A$8:$H$127,6,FALSE)</x:f>
        <x:v>Normal</x:v>
      </x:c>
      <x:c r="T746" s="9" t="str"/>
    </x:row>
    <x:row r="747" ht="22" customHeight="1">
      <x:c r="A747" s="2" t="str">
        <x:v>L00013-010</x:v>
      </x:c>
      <x:c r="B747" s="2" t="str">
        <x:v>L00013</x:v>
      </x:c>
      <x:c r="C747" s="2" t="str">
        <x:v>SO-26003</x:v>
      </x:c>
      <x:c r="D747" s="2" t="str">
        <x:v>S-S-AL</x:v>
      </x:c>
      <x:c r="E747" s="14" t="n">
        <x:v>15</x:v>
      </x:c>
      <x:c r="F747" s="2" t="str">
        <x:v>CNC machining</x:v>
      </x:c>
      <x:c r="G747" s="9" t="str">
        <x:v>CNC-01</x:v>
      </x:c>
      <x:c r="H747" s="15" t="n">
        <x:v>28</x:v>
      </x:c>
      <x:c r="I747" s="9" t="str">
        <x:v>P02</x:v>
      </x:c>
      <x:c r="J747" s="11" t="n">
        <x:v>46302.55138888889</x:v>
      </x:c>
      <x:c r="K747" s="15" t="n">
        <x:v>18</x:v>
      </x:c>
      <x:c r="L747" s="15" t="n">
        <x:v>36</x:v>
      </x:c>
      <x:c r="M747" s="13" t="n">
        <x:f>J747+(K747+L747)/1440</x:f>
        <x:v>46302.58888888889</x:v>
      </x:c>
      <x:c r="N747" s="13" t="n">
        <x:f>VLOOKUP(C747,'MES orders'!$A$8:$H$127,5,FALSE)</x:f>
        <x:v>46304.666666666664</x:v>
      </x:c>
      <x:c r="O747" s="16" t="n">
        <x:f>MAX(0,(M747-N747)*24)</x:f>
        <x:v>0</x:v>
      </x:c>
      <x:c r="P747" s="9" t="str">
        <x:v>No</x:v>
      </x:c>
      <x:c r="Q747" s="15" t="n">
        <x:v>18</x:v>
      </x:c>
      <x:c r="R747" s="13" t="n">
        <x:f>J747+Q747/1440</x:f>
        <x:v>46302.563888888886</x:v>
      </x:c>
      <x:c r="S747" s="2" t="str">
        <x:f>VLOOKUP(C747,'MES orders'!$A$8:$H$127,6,FALSE)</x:f>
        <x:v>Normal</x:v>
      </x:c>
      <x:c r="T747" s="9" t="str"/>
    </x:row>
    <x:row r="748" ht="22" customHeight="1">
      <x:c r="A748" s="2" t="str">
        <x:v>L00495-050</x:v>
      </x:c>
      <x:c r="B748" s="2" t="str">
        <x:v>L00495</x:v>
      </x:c>
      <x:c r="C748" s="2" t="str">
        <x:v>SO-26099</x:v>
      </x:c>
      <x:c r="D748" s="2" t="str">
        <x:v>D-S-AL</x:v>
      </x:c>
      <x:c r="E748" s="14" t="n">
        <x:v>15</x:v>
      </x:c>
      <x:c r="F748" s="2" t="str">
        <x:v>Final leak / function test</x:v>
      </x:c>
      <x:c r="G748" s="9" t="str">
        <x:v>QA-01</x:v>
      </x:c>
      <x:c r="H748" s="15" t="n">
        <x:v>30</x:v>
      </x:c>
      <x:c r="I748" s="9" t="str">
        <x:v>P12</x:v>
      </x:c>
      <x:c r="J748" s="11" t="n">
        <x:v>46302.55138888889</x:v>
      </x:c>
      <x:c r="K748" s="15" t="n">
        <x:v>10</x:v>
      </x:c>
      <x:c r="L748" s="15" t="n">
        <x:v>14</x:v>
      </x:c>
      <x:c r="M748" s="13" t="n">
        <x:f>J748+(K748+L748)/1440</x:f>
        <x:v>46302.56805555556</x:v>
      </x:c>
      <x:c r="N748" s="13" t="n">
        <x:f>VLOOKUP(C748,'MES orders'!$A$8:$H$127,5,FALSE)</x:f>
        <x:v>46304.666666666664</x:v>
      </x:c>
      <x:c r="O748" s="16" t="n">
        <x:f>MAX(0,(M748-N748)*24)</x:f>
        <x:v>0</x:v>
      </x:c>
      <x:c r="P748" s="9" t="str">
        <x:v>No</x:v>
      </x:c>
      <x:c r="Q748" s="15" t="n">
        <x:v>24</x:v>
      </x:c>
      <x:c r="R748" s="13" t="n">
        <x:f>J748+Q748/1440</x:f>
        <x:v>46302.56805555556</x:v>
      </x:c>
      <x:c r="S748" s="2" t="str">
        <x:f>VLOOKUP(C748,'MES orders'!$A$8:$H$127,6,FALSE)</x:f>
        <x:v>High</x:v>
      </x:c>
      <x:c r="T748" s="9" t="str"/>
    </x:row>
    <x:row r="749" ht="22" customHeight="1">
      <x:c r="A749" s="2" t="str">
        <x:v>L00014-010</x:v>
      </x:c>
      <x:c r="B749" s="2" t="str">
        <x:v>L00014</x:v>
      </x:c>
      <x:c r="C749" s="2" t="str">
        <x:v>SO-26003</x:v>
      </x:c>
      <x:c r="D749" s="2" t="str">
        <x:v>S-S-AL</x:v>
      </x:c>
      <x:c r="E749" s="14" t="n">
        <x:v>15</x:v>
      </x:c>
      <x:c r="F749" s="2" t="str">
        <x:v>CNC machining</x:v>
      </x:c>
      <x:c r="G749" s="9" t="str">
        <x:v>CNC-02</x:v>
      </x:c>
      <x:c r="H749" s="15" t="n">
        <x:v>20</x:v>
      </x:c>
      <x:c r="I749" s="9" t="str">
        <x:v>P01</x:v>
      </x:c>
      <x:c r="J749" s="11" t="n">
        <x:v>46302.55902777778</x:v>
      </x:c>
      <x:c r="K749" s="15" t="n">
        <x:v>18</x:v>
      </x:c>
      <x:c r="L749" s="15" t="n">
        <x:v>36</x:v>
      </x:c>
      <x:c r="M749" s="13" t="n">
        <x:f>J749+(K749+L749)/1440</x:f>
        <x:v>46302.59652777778</x:v>
      </x:c>
      <x:c r="N749" s="13" t="n">
        <x:f>VLOOKUP(C749,'MES orders'!$A$8:$H$127,5,FALSE)</x:f>
        <x:v>46304.666666666664</x:v>
      </x:c>
      <x:c r="O749" s="16" t="n">
        <x:f>MAX(0,(M749-N749)*24)</x:f>
        <x:v>0</x:v>
      </x:c>
      <x:c r="P749" s="9" t="str">
        <x:v>No</x:v>
      </x:c>
      <x:c r="Q749" s="15" t="n">
        <x:v>18</x:v>
      </x:c>
      <x:c r="R749" s="13" t="n">
        <x:f>J749+Q749/1440</x:f>
        <x:v>46302.57152777778</x:v>
      </x:c>
      <x:c r="S749" s="2" t="str">
        <x:f>VLOOKUP(C749,'MES orders'!$A$8:$H$127,6,FALSE)</x:f>
        <x:v>Normal</x:v>
      </x:c>
      <x:c r="T749" s="9" t="str"/>
    </x:row>
    <x:row r="750" ht="22" customHeight="1">
      <x:c r="A750" s="2" t="str">
        <x:v>L00011-050</x:v>
      </x:c>
      <x:c r="B750" s="2" t="str">
        <x:v>L00011</x:v>
      </x:c>
      <x:c r="C750" s="2" t="str">
        <x:v>SO-26003</x:v>
      </x:c>
      <x:c r="D750" s="2" t="str">
        <x:v>S-S-AL</x:v>
      </x:c>
      <x:c r="E750" s="14" t="n">
        <x:v>15</x:v>
      </x:c>
      <x:c r="F750" s="2" t="str">
        <x:v>Sensor installation</x:v>
      </x:c>
      <x:c r="G750" s="9" t="str">
        <x:v>EL-01</x:v>
      </x:c>
      <x:c r="H750" s="15" t="n">
        <x:v>21</x:v>
      </x:c>
      <x:c r="I750" s="9" t="str">
        <x:v>P07</x:v>
      </x:c>
      <x:c r="J750" s="11" t="n">
        <x:v>46302.55902777778</x:v>
      </x:c>
      <x:c r="K750" s="15" t="n">
        <x:v>8</x:v>
      </x:c>
      <x:c r="L750" s="15" t="n">
        <x:v>18</x:v>
      </x:c>
      <x:c r="M750" s="13" t="n">
        <x:f>J750+(K750+L750)/1440</x:f>
        <x:v>46302.57708333334</x:v>
      </x:c>
      <x:c r="N750" s="13" t="n">
        <x:f>VLOOKUP(C750,'MES orders'!$A$8:$H$127,5,FALSE)</x:f>
        <x:v>46304.666666666664</x:v>
      </x:c>
      <x:c r="O750" s="16" t="n">
        <x:f>MAX(0,(M750-N750)*24)</x:f>
        <x:v>0</x:v>
      </x:c>
      <x:c r="P750" s="9" t="str">
        <x:v>No</x:v>
      </x:c>
      <x:c r="Q750" s="15" t="n">
        <x:v>26</x:v>
      </x:c>
      <x:c r="R750" s="13" t="n">
        <x:f>J750+Q750/1440</x:f>
        <x:v>46302.57708333334</x:v>
      </x:c>
      <x:c r="S750" s="2" t="str">
        <x:f>VLOOKUP(C750,'MES orders'!$A$8:$H$127,6,FALSE)</x:f>
        <x:v>Normal</x:v>
      </x:c>
      <x:c r="T750" s="9" t="str"/>
    </x:row>
    <x:row r="751" ht="22" customHeight="1">
      <x:c r="A751" s="2" t="str">
        <x:v>L00012-050</x:v>
      </x:c>
      <x:c r="B751" s="2" t="str">
        <x:v>L00012</x:v>
      </x:c>
      <x:c r="C751" s="2" t="str">
        <x:v>SO-26003</x:v>
      </x:c>
      <x:c r="D751" s="2" t="str">
        <x:v>S-S-AL</x:v>
      </x:c>
      <x:c r="E751" s="14" t="n">
        <x:v>15</x:v>
      </x:c>
      <x:c r="F751" s="2" t="str">
        <x:v>Sensor installation</x:v>
      </x:c>
      <x:c r="G751" s="9" t="str">
        <x:v>EL-02</x:v>
      </x:c>
      <x:c r="H751" s="15" t="n">
        <x:v>9</x:v>
      </x:c>
      <x:c r="I751" s="9" t="str">
        <x:v>P08</x:v>
      </x:c>
      <x:c r="J751" s="11" t="n">
        <x:v>46302.55902777778</x:v>
      </x:c>
      <x:c r="K751" s="15" t="n">
        <x:v>8</x:v>
      </x:c>
      <x:c r="L751" s="15" t="n">
        <x:v>18</x:v>
      </x:c>
      <x:c r="M751" s="13" t="n">
        <x:f>J751+(K751+L751)/1440</x:f>
        <x:v>46302.57708333334</x:v>
      </x:c>
      <x:c r="N751" s="13" t="n">
        <x:f>VLOOKUP(C751,'MES orders'!$A$8:$H$127,5,FALSE)</x:f>
        <x:v>46304.666666666664</x:v>
      </x:c>
      <x:c r="O751" s="16" t="n">
        <x:f>MAX(0,(M751-N751)*24)</x:f>
        <x:v>0</x:v>
      </x:c>
      <x:c r="P751" s="9" t="str">
        <x:v>No</x:v>
      </x:c>
      <x:c r="Q751" s="15" t="n">
        <x:v>26</x:v>
      </x:c>
      <x:c r="R751" s="13" t="n">
        <x:f>J751+Q751/1440</x:f>
        <x:v>46302.57708333334</x:v>
      </x:c>
      <x:c r="S751" s="2" t="str">
        <x:f>VLOOKUP(C751,'MES orders'!$A$8:$H$127,6,FALSE)</x:f>
        <x:v>Normal</x:v>
      </x:c>
      <x:c r="T751" s="9" t="str"/>
    </x:row>
    <x:row r="752" ht="22" customHeight="1">
      <x:c r="A752" s="2" t="str">
        <x:v>L00126-070</x:v>
      </x:c>
      <x:c r="B752" s="2" t="str">
        <x:v>L00126</x:v>
      </x:c>
      <x:c r="C752" s="2" t="str">
        <x:v>SO-26026</x:v>
      </x:c>
      <x:c r="D752" s="2" t="str">
        <x:v>S-C-SS</x:v>
      </x:c>
      <x:c r="E752" s="14" t="n">
        <x:v>25</x:v>
      </x:c>
      <x:c r="F752" s="2" t="str">
        <x:v>Final assembly</x:v>
      </x:c>
      <x:c r="G752" s="9" t="str">
        <x:v>AS-01</x:v>
      </x:c>
      <x:c r="H752" s="15" t="n">
        <x:v>61</x:v>
      </x:c>
      <x:c r="I752" s="9" t="str">
        <x:v>P05</x:v>
      </x:c>
      <x:c r="J752" s="11" t="n">
        <x:v>46302.56319444445</x:v>
      </x:c>
      <x:c r="K752" s="15" t="n">
        <x:v>5</x:v>
      </x:c>
      <x:c r="L752" s="15" t="n">
        <x:v>16</x:v>
      </x:c>
      <x:c r="M752" s="13" t="n">
        <x:f>J752+(K752+L752)/1440</x:f>
        <x:v>46302.57777777778</x:v>
      </x:c>
      <x:c r="N752" s="13" t="n">
        <x:f>VLOOKUP(C752,'MES orders'!$A$8:$H$127,5,FALSE)</x:f>
        <x:v>46303.666666666664</x:v>
      </x:c>
      <x:c r="O752" s="16" t="n">
        <x:f>MAX(0,(M752-N752)*24)</x:f>
        <x:v>0</x:v>
      </x:c>
      <x:c r="P752" s="9" t="str">
        <x:v>No</x:v>
      </x:c>
      <x:c r="Q752" s="15" t="n">
        <x:v>21</x:v>
      </x:c>
      <x:c r="R752" s="13" t="n">
        <x:f>J752+Q752/1440</x:f>
        <x:v>46302.57777777778</x:v>
      </x:c>
      <x:c r="S752" s="2" t="str">
        <x:f>VLOOKUP(C752,'MES orders'!$A$8:$H$127,6,FALSE)</x:f>
        <x:v>Normal</x:v>
      </x:c>
      <x:c r="T752" s="9" t="str"/>
    </x:row>
    <x:row r="753" ht="22" customHeight="1">
      <x:c r="A753" s="2" t="str">
        <x:v>L00089-050</x:v>
      </x:c>
      <x:c r="B753" s="2" t="str">
        <x:v>L00089</x:v>
      </x:c>
      <x:c r="C753" s="2" t="str">
        <x:v>SO-26018</x:v>
      </x:c>
      <x:c r="D753" s="2" t="str">
        <x:v>R-L-SS</x:v>
      </x:c>
      <x:c r="E753" s="14" t="n">
        <x:v>25</x:v>
      </x:c>
      <x:c r="F753" s="2" t="str">
        <x:v>Valve adjustment</x:v>
      </x:c>
      <x:c r="G753" s="9" t="str">
        <x:v>AS-01</x:v>
      </x:c>
      <x:c r="H753" s="15" t="n">
        <x:v>62</x:v>
      </x:c>
      <x:c r="I753" s="9" t="str">
        <x:v>P17</x:v>
      </x:c>
      <x:c r="J753" s="11" t="n">
        <x:v>46302.583333333336</x:v>
      </x:c>
      <x:c r="K753" s="15" t="n">
        <x:v>6</x:v>
      </x:c>
      <x:c r="L753" s="15" t="n">
        <x:v>37</x:v>
      </x:c>
      <x:c r="M753" s="13" t="n">
        <x:f>J753+(K753+L753)/1440</x:f>
        <x:v>46302.61319444445</x:v>
      </x:c>
      <x:c r="N753" s="13" t="n">
        <x:f>VLOOKUP(C753,'MES orders'!$A$8:$H$127,5,FALSE)</x:f>
        <x:v>46303.666666666664</x:v>
      </x:c>
      <x:c r="O753" s="16" t="n">
        <x:f>MAX(0,(M753-N753)*24)</x:f>
        <x:v>0</x:v>
      </x:c>
      <x:c r="P753" s="9" t="str">
        <x:v>No</x:v>
      </x:c>
      <x:c r="Q753" s="15" t="n">
        <x:v>43</x:v>
      </x:c>
      <x:c r="R753" s="13" t="n">
        <x:f>J753+Q753/1440</x:f>
        <x:v>46302.61319444445</x:v>
      </x:c>
      <x:c r="S753" s="2" t="str">
        <x:f>VLOOKUP(C753,'MES orders'!$A$8:$H$127,6,FALSE)</x:f>
        <x:v>Normal</x:v>
      </x:c>
      <x:c r="T753" s="9" t="str"/>
    </x:row>
    <x:row r="754" ht="22" customHeight="1">
      <x:c r="A754" s="2" t="str">
        <x:v>L00090-050</x:v>
      </x:c>
      <x:c r="B754" s="2" t="str">
        <x:v>L00090</x:v>
      </x:c>
      <x:c r="C754" s="2" t="str">
        <x:v>SO-26018</x:v>
      </x:c>
      <x:c r="D754" s="2" t="str">
        <x:v>R-L-SS</x:v>
      </x:c>
      <x:c r="E754" s="14" t="n">
        <x:v>25</x:v>
      </x:c>
      <x:c r="F754" s="2" t="str">
        <x:v>Valve adjustment</x:v>
      </x:c>
      <x:c r="G754" s="9" t="str">
        <x:v>AS-02</x:v>
      </x:c>
      <x:c r="H754" s="15" t="n">
        <x:v>49</x:v>
      </x:c>
      <x:c r="I754" s="9" t="str">
        <x:v>P18</x:v>
      </x:c>
      <x:c r="J754" s="11" t="n">
        <x:v>46302.583333333336</x:v>
      </x:c>
      <x:c r="K754" s="15" t="n">
        <x:v>6</x:v>
      </x:c>
      <x:c r="L754" s="15" t="n">
        <x:v>37</x:v>
      </x:c>
      <x:c r="M754" s="13" t="n">
        <x:f>J754+(K754+L754)/1440</x:f>
        <x:v>46302.61319444445</x:v>
      </x:c>
      <x:c r="N754" s="13" t="n">
        <x:f>VLOOKUP(C754,'MES orders'!$A$8:$H$127,5,FALSE)</x:f>
        <x:v>46303.666666666664</x:v>
      </x:c>
      <x:c r="O754" s="16" t="n">
        <x:f>MAX(0,(M754-N754)*24)</x:f>
        <x:v>0</x:v>
      </x:c>
      <x:c r="P754" s="9" t="str">
        <x:v>No</x:v>
      </x:c>
      <x:c r="Q754" s="15" t="n">
        <x:v>43</x:v>
      </x:c>
      <x:c r="R754" s="13" t="n">
        <x:f>J754+Q754/1440</x:f>
        <x:v>46302.61319444445</x:v>
      </x:c>
      <x:c r="S754" s="2" t="str">
        <x:f>VLOOKUP(C754,'MES orders'!$A$8:$H$127,6,FALSE)</x:f>
        <x:v>Normal</x:v>
      </x:c>
      <x:c r="T754" s="9" t="str"/>
    </x:row>
    <x:row r="755" ht="22" customHeight="1">
      <x:c r="A755" s="2" t="str">
        <x:v>L00168-040</x:v>
      </x:c>
      <x:c r="B755" s="2" t="str">
        <x:v>L00168</x:v>
      </x:c>
      <x:c r="C755" s="2" t="str">
        <x:v>SO-26034</x:v>
      </x:c>
      <x:c r="D755" s="2" t="str">
        <x:v>S-S-SS</x:v>
      </x:c>
      <x:c r="E755" s="14" t="n">
        <x:v>10</x:v>
      </x:c>
      <x:c r="F755" s="2" t="str">
        <x:v>Mechanical preassembly</x:v>
      </x:c>
      <x:c r="G755" s="9" t="str">
        <x:v>AS-03</x:v>
      </x:c>
      <x:c r="H755" s="15" t="n">
        <x:v>38</x:v>
      </x:c>
      <x:c r="I755" s="9" t="str">
        <x:v>P16</x:v>
      </x:c>
      <x:c r="J755" s="11" t="n">
        <x:v>46302.583333333336</x:v>
      </x:c>
      <x:c r="K755" s="15" t="n">
        <x:v>6</x:v>
      </x:c>
      <x:c r="L755" s="15" t="n">
        <x:v>11</x:v>
      </x:c>
      <x:c r="M755" s="13" t="n">
        <x:f>J755+(K755+L755)/1440</x:f>
        <x:v>46302.59513888889</x:v>
      </x:c>
      <x:c r="N755" s="13" t="n">
        <x:f>VLOOKUP(C755,'MES orders'!$A$8:$H$127,5,FALSE)</x:f>
        <x:v>46303.666666666664</x:v>
      </x:c>
      <x:c r="O755" s="16" t="n">
        <x:f>MAX(0,(M755-N755)*24)</x:f>
        <x:v>0</x:v>
      </x:c>
      <x:c r="P755" s="9" t="str">
        <x:v>No</x:v>
      </x:c>
      <x:c r="Q755" s="15" t="n">
        <x:v>17</x:v>
      </x:c>
      <x:c r="R755" s="13" t="n">
        <x:f>J755+Q755/1440</x:f>
        <x:v>46302.59513888889</x:v>
      </x:c>
      <x:c r="S755" s="2" t="str">
        <x:f>VLOOKUP(C755,'MES orders'!$A$8:$H$127,6,FALSE)</x:f>
        <x:v>Normal</x:v>
      </x:c>
      <x:c r="T755" s="9" t="str"/>
    </x:row>
    <x:row r="756" ht="22" customHeight="1">
      <x:c r="A756" s="2" t="str">
        <x:v>L00011-060</x:v>
      </x:c>
      <x:c r="B756" s="2" t="str">
        <x:v>L00011</x:v>
      </x:c>
      <x:c r="C756" s="2" t="str">
        <x:v>SO-26003</x:v>
      </x:c>
      <x:c r="D756" s="2" t="str">
        <x:v>S-S-AL</x:v>
      </x:c>
      <x:c r="E756" s="14" t="n">
        <x:v>15</x:v>
      </x:c>
      <x:c r="F756" s="2" t="str">
        <x:v>Sensor calibration</x:v>
      </x:c>
      <x:c r="G756" s="9" t="str">
        <x:v>CAL-01</x:v>
      </x:c>
      <x:c r="H756" s="15" t="n">
        <x:v>29</x:v>
      </x:c>
      <x:c r="I756" s="9" t="str">
        <x:v>P21</x:v>
      </x:c>
      <x:c r="J756" s="11" t="n">
        <x:v>46302.583333333336</x:v>
      </x:c>
      <x:c r="K756" s="15" t="n">
        <x:v>10</x:v>
      </x:c>
      <x:c r="L756" s="15" t="n">
        <x:v>20</x:v>
      </x:c>
      <x:c r="M756" s="13" t="n">
        <x:f>J756+(K756+L756)/1440</x:f>
        <x:v>46302.60416666667</x:v>
      </x:c>
      <x:c r="N756" s="13" t="n">
        <x:f>VLOOKUP(C756,'MES orders'!$A$8:$H$127,5,FALSE)</x:f>
        <x:v>46304.666666666664</x:v>
      </x:c>
      <x:c r="O756" s="16" t="n">
        <x:f>MAX(0,(M756-N756)*24)</x:f>
        <x:v>0</x:v>
      </x:c>
      <x:c r="P756" s="9" t="str">
        <x:v>No</x:v>
      </x:c>
      <x:c r="Q756" s="15" t="n">
        <x:v>30</x:v>
      </x:c>
      <x:c r="R756" s="13" t="n">
        <x:f>J756+Q756/1440</x:f>
        <x:v>46302.60416666667</x:v>
      </x:c>
      <x:c r="S756" s="2" t="str">
        <x:f>VLOOKUP(C756,'MES orders'!$A$8:$H$127,6,FALSE)</x:f>
        <x:v>Normal</x:v>
      </x:c>
      <x:c r="T756" s="9" t="str"/>
    </x:row>
    <x:row r="757" ht="22" customHeight="1">
      <x:c r="A757" s="2" t="str">
        <x:v>L00088-060</x:v>
      </x:c>
      <x:c r="B757" s="2" t="str">
        <x:v>L00088</x:v>
      </x:c>
      <x:c r="C757" s="2" t="str">
        <x:v>SO-26018</x:v>
      </x:c>
      <x:c r="D757" s="2" t="str">
        <x:v>R-L-SS</x:v>
      </x:c>
      <x:c r="E757" s="14" t="n">
        <x:v>25</x:v>
      </x:c>
      <x:c r="F757" s="2" t="str">
        <x:v>Final leak / function test</x:v>
      </x:c>
      <x:c r="G757" s="9" t="str">
        <x:v>QA-02</x:v>
      </x:c>
      <x:c r="H757" s="15" t="n">
        <x:v>51</x:v>
      </x:c>
      <x:c r="I757" s="9" t="str">
        <x:v>P23</x:v>
      </x:c>
      <x:c r="J757" s="11" t="n">
        <x:v>46302.583333333336</x:v>
      </x:c>
      <x:c r="K757" s="15" t="n">
        <x:v>10</x:v>
      </x:c>
      <x:c r="L757" s="15" t="n">
        <x:v>30</x:v>
      </x:c>
      <x:c r="M757" s="13" t="n">
        <x:f>J757+(K757+L757)/1440</x:f>
        <x:v>46302.61111111112</x:v>
      </x:c>
      <x:c r="N757" s="13" t="n">
        <x:f>VLOOKUP(C757,'MES orders'!$A$8:$H$127,5,FALSE)</x:f>
        <x:v>46303.666666666664</x:v>
      </x:c>
      <x:c r="O757" s="16" t="n">
        <x:f>MAX(0,(M757-N757)*24)</x:f>
        <x:v>0</x:v>
      </x:c>
      <x:c r="P757" s="9" t="str">
        <x:v>No</x:v>
      </x:c>
      <x:c r="Q757" s="15" t="n">
        <x:v>40</x:v>
      </x:c>
      <x:c r="R757" s="13" t="n">
        <x:f>J757+Q757/1440</x:f>
        <x:v>46302.61111111112</x:v>
      </x:c>
      <x:c r="S757" s="2" t="str">
        <x:f>VLOOKUP(C757,'MES orders'!$A$8:$H$127,6,FALSE)</x:f>
        <x:v>Normal</x:v>
      </x:c>
      <x:c r="T757" s="9" t="str"/>
    </x:row>
    <x:row r="758" ht="22" customHeight="1">
      <x:c r="A758" s="2" t="str">
        <x:v>L00126-080</x:v>
      </x:c>
      <x:c r="B758" s="2" t="str">
        <x:v>L00126</x:v>
      </x:c>
      <x:c r="C758" s="2" t="str">
        <x:v>SO-26026</x:v>
      </x:c>
      <x:c r="D758" s="2" t="str">
        <x:v>S-C-SS</x:v>
      </x:c>
      <x:c r="E758" s="14" t="n">
        <x:v>25</x:v>
      </x:c>
      <x:c r="F758" s="2" t="str">
        <x:v>Final leak / function test</x:v>
      </x:c>
      <x:c r="G758" s="9" t="str">
        <x:v>QA-03</x:v>
      </x:c>
      <x:c r="H758" s="15" t="n">
        <x:v>34</x:v>
      </x:c>
      <x:c r="I758" s="9" t="str">
        <x:v>P24</x:v>
      </x:c>
      <x:c r="J758" s="11" t="n">
        <x:v>46302.583333333336</x:v>
      </x:c>
      <x:c r="K758" s="15" t="n">
        <x:v>10</x:v>
      </x:c>
      <x:c r="L758" s="15" t="n">
        <x:v>18</x:v>
      </x:c>
      <x:c r="M758" s="13" t="n">
        <x:f>J758+(K758+L758)/1440</x:f>
        <x:v>46302.60277777778</x:v>
      </x:c>
      <x:c r="N758" s="13" t="n">
        <x:f>VLOOKUP(C758,'MES orders'!$A$8:$H$127,5,FALSE)</x:f>
        <x:v>46303.666666666664</x:v>
      </x:c>
      <x:c r="O758" s="16" t="n">
        <x:f>MAX(0,(M758-N758)*24)</x:f>
        <x:v>0</x:v>
      </x:c>
      <x:c r="P758" s="9" t="str">
        <x:v>No</x:v>
      </x:c>
      <x:c r="Q758" s="15" t="n">
        <x:v>28</x:v>
      </x:c>
      <x:c r="R758" s="13" t="n">
        <x:f>J758+Q758/1440</x:f>
        <x:v>46302.60277777778</x:v>
      </x:c>
      <x:c r="S758" s="2" t="str">
        <x:f>VLOOKUP(C758,'MES orders'!$A$8:$H$127,6,FALSE)</x:f>
        <x:v>Normal</x:v>
      </x:c>
      <x:c r="T758" s="9" t="str"/>
    </x:row>
    <x:row r="759" ht="22" customHeight="1">
      <x:c r="A759" s="2" t="str">
        <x:v>L00210-010</x:v>
      </x:c>
      <x:c r="B759" s="2" t="str">
        <x:v>L00210</x:v>
      </x:c>
      <x:c r="C759" s="2" t="str">
        <x:v>SO-26042</x:v>
      </x:c>
      <x:c r="D759" s="2" t="str">
        <x:v>S-L-SS</x:v>
      </x:c>
      <x:c r="E759" s="14" t="n">
        <x:v>25</x:v>
      </x:c>
      <x:c r="F759" s="2" t="str">
        <x:v>CNC machining</x:v>
      </x:c>
      <x:c r="G759" s="9" t="str">
        <x:v>CNC-03</x:v>
      </x:c>
      <x:c r="H759" s="15" t="n">
        <x:v>23</x:v>
      </x:c>
      <x:c r="I759" s="9" t="str">
        <x:v>P13</x:v>
      </x:c>
      <x:c r="J759" s="11" t="n">
        <x:v>46302.58472222222</x:v>
      </x:c>
      <x:c r="K759" s="15" t="n">
        <x:v>18</x:v>
      </x:c>
      <x:c r="L759" s="15" t="n">
        <x:v>101</x:v>
      </x:c>
      <x:c r="M759" s="13" t="n">
        <x:f>J759+(K759+L759)/1440</x:f>
        <x:v>46302.66736111111</x:v>
      </x:c>
      <x:c r="N759" s="13" t="n">
        <x:f>VLOOKUP(C759,'MES orders'!$A$8:$H$127,5,FALSE)</x:f>
        <x:v>46303.666666666664</x:v>
      </x:c>
      <x:c r="O759" s="16" t="n">
        <x:f>MAX(0,(M759-N759)*24)</x:f>
        <x:v>0</x:v>
      </x:c>
      <x:c r="P759" s="9" t="str">
        <x:v>No</x:v>
      </x:c>
      <x:c r="Q759" s="15" t="n">
        <x:v>18</x:v>
      </x:c>
      <x:c r="R759" s="13" t="n">
        <x:f>J759+Q759/1440</x:f>
        <x:v>46302.59722222222</x:v>
      </x:c>
      <x:c r="S759" s="2" t="str">
        <x:f>VLOOKUP(C759,'MES orders'!$A$8:$H$127,6,FALSE)</x:f>
        <x:v>Normal</x:v>
      </x:c>
      <x:c r="T759" s="9" t="str"/>
    </x:row>
    <x:row r="760" ht="22" customHeight="1">
      <x:c r="A760" s="2" t="str">
        <x:v>L00013-020</x:v>
      </x:c>
      <x:c r="B760" s="2" t="str">
        <x:v>L00013</x:v>
      </x:c>
      <x:c r="C760" s="2" t="str">
        <x:v>SO-26003</x:v>
      </x:c>
      <x:c r="D760" s="2" t="str">
        <x:v>S-S-AL</x:v>
      </x:c>
      <x:c r="E760" s="14" t="n">
        <x:v>15</x:v>
      </x:c>
      <x:c r="F760" s="2" t="str">
        <x:v>Deburr &amp; inspect</x:v>
      </x:c>
      <x:c r="G760" s="9" t="str">
        <x:v>DB-01</x:v>
      </x:c>
      <x:c r="H760" s="15" t="n">
        <x:v>74</x:v>
      </x:c>
      <x:c r="I760" s="9" t="str">
        <x:v>P20</x:v>
      </x:c>
      <x:c r="J760" s="11" t="n">
        <x:v>46302.58888888889</x:v>
      </x:c>
      <x:c r="K760" s="15" t="n">
        <x:v>4</x:v>
      </x:c>
      <x:c r="L760" s="15" t="n">
        <x:v>10</x:v>
      </x:c>
      <x:c r="M760" s="13" t="n">
        <x:f>J760+(K760+L760)/1440</x:f>
        <x:v>46302.59861111111</x:v>
      </x:c>
      <x:c r="N760" s="13" t="n">
        <x:f>VLOOKUP(C760,'MES orders'!$A$8:$H$127,5,FALSE)</x:f>
        <x:v>46304.666666666664</x:v>
      </x:c>
      <x:c r="O760" s="16" t="n">
        <x:f>MAX(0,(M760-N760)*24)</x:f>
        <x:v>0</x:v>
      </x:c>
      <x:c r="P760" s="9" t="str">
        <x:v>No</x:v>
      </x:c>
      <x:c r="Q760" s="15" t="n">
        <x:v>14</x:v>
      </x:c>
      <x:c r="R760" s="13" t="n">
        <x:f>J760+Q760/1440</x:f>
        <x:v>46302.59861111111</x:v>
      </x:c>
      <x:c r="S760" s="2" t="str">
        <x:f>VLOOKUP(C760,'MES orders'!$A$8:$H$127,6,FALSE)</x:f>
        <x:v>Normal</x:v>
      </x:c>
      <x:c r="T760" s="9" t="str"/>
    </x:row>
    <x:row r="761" ht="22" customHeight="1">
      <x:c r="A761" s="2" t="str">
        <x:v>L00170-040</x:v>
      </x:c>
      <x:c r="B761" s="2" t="str">
        <x:v>L00170</x:v>
      </x:c>
      <x:c r="C761" s="2" t="str">
        <x:v>SO-26034</x:v>
      </x:c>
      <x:c r="D761" s="2" t="str">
        <x:v>S-S-SS</x:v>
      </x:c>
      <x:c r="E761" s="14" t="n">
        <x:v>10</x:v>
      </x:c>
      <x:c r="F761" s="2" t="str">
        <x:v>Mechanical preassembly</x:v>
      </x:c>
      <x:c r="G761" s="9" t="str">
        <x:v>AS-03</x:v>
      </x:c>
      <x:c r="H761" s="15" t="n">
        <x:v>39</x:v>
      </x:c>
      <x:c r="I761" s="9" t="str">
        <x:v>P16</x:v>
      </x:c>
      <x:c r="J761" s="11" t="n">
        <x:v>46302.595138888886</x:v>
      </x:c>
      <x:c r="K761" s="15" t="n">
        <x:v>6</x:v>
      </x:c>
      <x:c r="L761" s="15" t="n">
        <x:v>11</x:v>
      </x:c>
      <x:c r="M761" s="13" t="n">
        <x:f>J761+(K761+L761)/1440</x:f>
        <x:v>46302.606944444444</x:v>
      </x:c>
      <x:c r="N761" s="13" t="n">
        <x:f>VLOOKUP(C761,'MES orders'!$A$8:$H$127,5,FALSE)</x:f>
        <x:v>46303.666666666664</x:v>
      </x:c>
      <x:c r="O761" s="16" t="n">
        <x:f>MAX(0,(M761-N761)*24)</x:f>
        <x:v>0</x:v>
      </x:c>
      <x:c r="P761" s="9" t="str">
        <x:v>No</x:v>
      </x:c>
      <x:c r="Q761" s="15" t="n">
        <x:v>17</x:v>
      </x:c>
      <x:c r="R761" s="13" t="n">
        <x:f>J761+Q761/1440</x:f>
        <x:v>46302.606944444444</x:v>
      </x:c>
      <x:c r="S761" s="2" t="str">
        <x:f>VLOOKUP(C761,'MES orders'!$A$8:$H$127,6,FALSE)</x:f>
        <x:v>Normal</x:v>
      </x:c>
      <x:c r="T761" s="9" t="str"/>
    </x:row>
    <x:row r="762" ht="22" customHeight="1">
      <x:c r="A762" s="2" t="str">
        <x:v>L00168-050</x:v>
      </x:c>
      <x:c r="B762" s="2" t="str">
        <x:v>L00168</x:v>
      </x:c>
      <x:c r="C762" s="2" t="str">
        <x:v>SO-26034</x:v>
      </x:c>
      <x:c r="D762" s="2" t="str">
        <x:v>S-S-SS</x:v>
      </x:c>
      <x:c r="E762" s="14" t="n">
        <x:v>10</x:v>
      </x:c>
      <x:c r="F762" s="2" t="str">
        <x:v>Sensor installation</x:v>
      </x:c>
      <x:c r="G762" s="9" t="str">
        <x:v>EL-01</x:v>
      </x:c>
      <x:c r="H762" s="15" t="n">
        <x:v>22</x:v>
      </x:c>
      <x:c r="I762" s="9" t="str">
        <x:v>P19</x:v>
      </x:c>
      <x:c r="J762" s="11" t="n">
        <x:v>46302.595138888886</x:v>
      </x:c>
      <x:c r="K762" s="15" t="n">
        <x:v>8</x:v>
      </x:c>
      <x:c r="L762" s="15" t="n">
        <x:v>12</x:v>
      </x:c>
      <x:c r="M762" s="13" t="n">
        <x:f>J762+(K762+L762)/1440</x:f>
        <x:v>46302.60902777778</x:v>
      </x:c>
      <x:c r="N762" s="13" t="n">
        <x:f>VLOOKUP(C762,'MES orders'!$A$8:$H$127,5,FALSE)</x:f>
        <x:v>46303.666666666664</x:v>
      </x:c>
      <x:c r="O762" s="16" t="n">
        <x:f>MAX(0,(M762-N762)*24)</x:f>
        <x:v>0</x:v>
      </x:c>
      <x:c r="P762" s="9" t="str">
        <x:v>No</x:v>
      </x:c>
      <x:c r="Q762" s="15" t="n">
        <x:v>20</x:v>
      </x:c>
      <x:c r="R762" s="13" t="n">
        <x:f>J762+Q762/1440</x:f>
        <x:v>46302.60902777778</x:v>
      </x:c>
      <x:c r="S762" s="2" t="str">
        <x:f>VLOOKUP(C762,'MES orders'!$A$8:$H$127,6,FALSE)</x:f>
        <x:v>Normal</x:v>
      </x:c>
      <x:c r="T762" s="9" t="str"/>
    </x:row>
    <x:row r="763" ht="22" customHeight="1">
      <x:c r="A763" s="2" t="str">
        <x:v>L00286-010</x:v>
      </x:c>
      <x:c r="B763" s="2" t="str">
        <x:v>L00286</x:v>
      </x:c>
      <x:c r="C763" s="2" t="str">
        <x:v>SO-26058</x:v>
      </x:c>
      <x:c r="D763" s="2" t="str">
        <x:v>D-S-SS</x:v>
      </x:c>
      <x:c r="E763" s="14" t="n">
        <x:v>10</x:v>
      </x:c>
      <x:c r="F763" s="2" t="str">
        <x:v>CNC machining</x:v>
      </x:c>
      <x:c r="G763" s="9" t="str">
        <x:v>CNC-04</x:v>
      </x:c>
      <x:c r="H763" s="15" t="n">
        <x:v>23</x:v>
      </x:c>
      <x:c r="I763" s="9" t="str">
        <x:v>P14</x:v>
      </x:c>
      <x:c r="J763" s="11" t="n">
        <x:v>46302.59722222222</x:v>
      </x:c>
      <x:c r="K763" s="15" t="n">
        <x:v>18</x:v>
      </x:c>
      <x:c r="L763" s="15" t="n">
        <x:v>30</x:v>
      </x:c>
      <x:c r="M763" s="13" t="n">
        <x:f>J763+(K763+L763)/1440</x:f>
        <x:v>46302.63055555555</x:v>
      </x:c>
      <x:c r="N763" s="13" t="n">
        <x:f>VLOOKUP(C763,'MES orders'!$A$8:$H$127,5,FALSE)</x:f>
        <x:v>46303.666666666664</x:v>
      </x:c>
      <x:c r="O763" s="16" t="n">
        <x:f>MAX(0,(M763-N763)*24)</x:f>
        <x:v>0</x:v>
      </x:c>
      <x:c r="P763" s="9" t="str">
        <x:v>No</x:v>
      </x:c>
      <x:c r="Q763" s="15" t="n">
        <x:v>18</x:v>
      </x:c>
      <x:c r="R763" s="13" t="n">
        <x:f>J763+Q763/1440</x:f>
        <x:v>46302.609722222216</x:v>
      </x:c>
      <x:c r="S763" s="2" t="str">
        <x:f>VLOOKUP(C763,'MES orders'!$A$8:$H$127,6,FALSE)</x:f>
        <x:v>Normal</x:v>
      </x:c>
      <x:c r="T763" s="9" t="str"/>
    </x:row>
    <x:row r="764" ht="22" customHeight="1">
      <x:c r="A764" s="2" t="str">
        <x:v>L00287-010</x:v>
      </x:c>
      <x:c r="B764" s="2" t="str">
        <x:v>L00287</x:v>
      </x:c>
      <x:c r="C764" s="2" t="str">
        <x:v>SO-26058</x:v>
      </x:c>
      <x:c r="D764" s="2" t="str">
        <x:v>D-S-SS</x:v>
      </x:c>
      <x:c r="E764" s="14" t="n">
        <x:v>10</x:v>
      </x:c>
      <x:c r="F764" s="2" t="str">
        <x:v>CNC machining</x:v>
      </x:c>
      <x:c r="G764" s="9" t="str">
        <x:v>CNC-05</x:v>
      </x:c>
      <x:c r="H764" s="15" t="n">
        <x:v>20</x:v>
      </x:c>
      <x:c r="I764" s="9" t="str">
        <x:v>P15</x:v>
      </x:c>
      <x:c r="J764" s="11" t="n">
        <x:v>46302.59722222222</x:v>
      </x:c>
      <x:c r="K764" s="15" t="n">
        <x:v>18</x:v>
      </x:c>
      <x:c r="L764" s="15" t="n">
        <x:v>30</x:v>
      </x:c>
      <x:c r="M764" s="13" t="n">
        <x:f>J764+(K764+L764)/1440</x:f>
        <x:v>46302.63055555555</x:v>
      </x:c>
      <x:c r="N764" s="13" t="n">
        <x:f>VLOOKUP(C764,'MES orders'!$A$8:$H$127,5,FALSE)</x:f>
        <x:v>46303.666666666664</x:v>
      </x:c>
      <x:c r="O764" s="16" t="n">
        <x:f>MAX(0,(M764-N764)*24)</x:f>
        <x:v>0</x:v>
      </x:c>
      <x:c r="P764" s="9" t="str">
        <x:v>No</x:v>
      </x:c>
      <x:c r="Q764" s="15" t="n">
        <x:v>18</x:v>
      </x:c>
      <x:c r="R764" s="13" t="n">
        <x:f>J764+Q764/1440</x:f>
        <x:v>46302.609722222216</x:v>
      </x:c>
      <x:c r="S764" s="2" t="str">
        <x:f>VLOOKUP(C764,'MES orders'!$A$8:$H$127,6,FALSE)</x:f>
        <x:v>Normal</x:v>
      </x:c>
      <x:c r="T764" s="9" t="str"/>
    </x:row>
    <x:row r="765" ht="22" customHeight="1">
      <x:c r="A765" s="2" t="str">
        <x:v>L00209-020</x:v>
      </x:c>
      <x:c r="B765" s="2" t="str">
        <x:v>L00209</x:v>
      </x:c>
      <x:c r="C765" s="2" t="str">
        <x:v>SO-26042</x:v>
      </x:c>
      <x:c r="D765" s="2" t="str">
        <x:v>S-L-SS</x:v>
      </x:c>
      <x:c r="E765" s="14" t="n">
        <x:v>25</x:v>
      </x:c>
      <x:c r="F765" s="2" t="str">
        <x:v>Deburr &amp; inspect</x:v>
      </x:c>
      <x:c r="G765" s="9" t="str">
        <x:v>DB-02</x:v>
      </x:c>
      <x:c r="H765" s="15" t="n">
        <x:v>52</x:v>
      </x:c>
      <x:c r="I765" s="9" t="str">
        <x:v>P13</x:v>
      </x:c>
      <x:c r="J765" s="11" t="n">
        <x:v>46302.603472222225</x:v>
      </x:c>
      <x:c r="K765" s="15" t="n">
        <x:v>4</x:v>
      </x:c>
      <x:c r="L765" s="15" t="n">
        <x:v>24</x:v>
      </x:c>
      <x:c r="M765" s="13" t="n">
        <x:f>J765+(K765+L765)/1440</x:f>
        <x:v>46302.62291666667</x:v>
      </x:c>
      <x:c r="N765" s="13" t="n">
        <x:f>VLOOKUP(C765,'MES orders'!$A$8:$H$127,5,FALSE)</x:f>
        <x:v>46303.666666666664</x:v>
      </x:c>
      <x:c r="O765" s="16" t="n">
        <x:f>MAX(0,(M765-N765)*24)</x:f>
        <x:v>0</x:v>
      </x:c>
      <x:c r="P765" s="9" t="str">
        <x:v>No</x:v>
      </x:c>
      <x:c r="Q765" s="15" t="n">
        <x:v>28</x:v>
      </x:c>
      <x:c r="R765" s="13" t="n">
        <x:f>J765+Q765/1440</x:f>
        <x:v>46302.62291666667</x:v>
      </x:c>
      <x:c r="S765" s="2" t="str">
        <x:f>VLOOKUP(C765,'MES orders'!$A$8:$H$127,6,FALSE)</x:f>
        <x:v>Normal</x:v>
      </x:c>
      <x:c r="T765" s="9" t="str"/>
    </x:row>
    <x:row r="766" ht="22" customHeight="1">
      <x:c r="A766" s="2" t="str">
        <x:v>L00206-020</x:v>
      </x:c>
      <x:c r="B766" s="2" t="str">
        <x:v>L00206</x:v>
      </x:c>
      <x:c r="C766" s="2" t="str">
        <x:v>SO-26042</x:v>
      </x:c>
      <x:c r="D766" s="2" t="str">
        <x:v>S-L-SS</x:v>
      </x:c>
      <x:c r="E766" s="14" t="n">
        <x:v>25</x:v>
      </x:c>
      <x:c r="F766" s="2" t="str">
        <x:v>Deburr &amp; inspect</x:v>
      </x:c>
      <x:c r="G766" s="9" t="str">
        <x:v>DB-01</x:v>
      </x:c>
      <x:c r="H766" s="15" t="n">
        <x:v>75</x:v>
      </x:c>
      <x:c r="I766" s="9" t="str">
        <x:v>P16</x:v>
      </x:c>
      <x:c r="J766" s="11" t="n">
        <x:v>46302.606944444444</x:v>
      </x:c>
      <x:c r="K766" s="15" t="n">
        <x:v>4</x:v>
      </x:c>
      <x:c r="L766" s="15" t="n">
        <x:v>24</x:v>
      </x:c>
      <x:c r="M766" s="13" t="n">
        <x:f>J766+(K766+L766)/1440</x:f>
        <x:v>46302.626388888886</x:v>
      </x:c>
      <x:c r="N766" s="13" t="n">
        <x:f>VLOOKUP(C766,'MES orders'!$A$8:$H$127,5,FALSE)</x:f>
        <x:v>46303.666666666664</x:v>
      </x:c>
      <x:c r="O766" s="16" t="n">
        <x:f>MAX(0,(M766-N766)*24)</x:f>
        <x:v>0</x:v>
      </x:c>
      <x:c r="P766" s="9" t="str">
        <x:v>No</x:v>
      </x:c>
      <x:c r="Q766" s="15" t="n">
        <x:v>28</x:v>
      </x:c>
      <x:c r="R766" s="13" t="n">
        <x:f>J766+Q766/1440</x:f>
        <x:v>46302.626388888886</x:v>
      </x:c>
      <x:c r="S766" s="2" t="str">
        <x:f>VLOOKUP(C766,'MES orders'!$A$8:$H$127,6,FALSE)</x:f>
        <x:v>Normal</x:v>
      </x:c>
      <x:c r="T766" s="9" t="str"/>
    </x:row>
    <x:row r="767" ht="22" customHeight="1">
      <x:c r="A767" s="2" t="str">
        <x:v>L00170-050</x:v>
      </x:c>
      <x:c r="B767" s="2" t="str">
        <x:v>L00170</x:v>
      </x:c>
      <x:c r="C767" s="2" t="str">
        <x:v>SO-26034</x:v>
      </x:c>
      <x:c r="D767" s="2" t="str">
        <x:v>S-S-SS</x:v>
      </x:c>
      <x:c r="E767" s="14" t="n">
        <x:v>10</x:v>
      </x:c>
      <x:c r="F767" s="2" t="str">
        <x:v>Sensor installation</x:v>
      </x:c>
      <x:c r="G767" s="9" t="str">
        <x:v>EL-02</x:v>
      </x:c>
      <x:c r="H767" s="15" t="n">
        <x:v>10</x:v>
      </x:c>
      <x:c r="I767" s="9" t="str">
        <x:v>P20</x:v>
      </x:c>
      <x:c r="J767" s="11" t="n">
        <x:v>46302.606944444444</x:v>
      </x:c>
      <x:c r="K767" s="15" t="n">
        <x:v>8</x:v>
      </x:c>
      <x:c r="L767" s="15" t="n">
        <x:v>12</x:v>
      </x:c>
      <x:c r="M767" s="13" t="n">
        <x:f>J767+(K767+L767)/1440</x:f>
        <x:v>46302.620833333334</x:v>
      </x:c>
      <x:c r="N767" s="13" t="n">
        <x:f>VLOOKUP(C767,'MES orders'!$A$8:$H$127,5,FALSE)</x:f>
        <x:v>46303.666666666664</x:v>
      </x:c>
      <x:c r="O767" s="16" t="n">
        <x:f>MAX(0,(M767-N767)*24)</x:f>
        <x:v>0</x:v>
      </x:c>
      <x:c r="P767" s="9" t="str">
        <x:v>No</x:v>
      </x:c>
      <x:c r="Q767" s="15" t="n">
        <x:v>20</x:v>
      </x:c>
      <x:c r="R767" s="13" t="n">
        <x:f>J767+Q767/1440</x:f>
        <x:v>46302.620833333334</x:v>
      </x:c>
      <x:c r="S767" s="2" t="str">
        <x:f>VLOOKUP(C767,'MES orders'!$A$8:$H$127,6,FALSE)</x:f>
        <x:v>Normal</x:v>
      </x:c>
      <x:c r="T767" s="9" t="str"/>
    </x:row>
    <x:row r="768" ht="22" customHeight="1">
      <x:c r="A768" s="2" t="str">
        <x:v>L00168-060</x:v>
      </x:c>
      <x:c r="B768" s="2" t="str">
        <x:v>L00168</x:v>
      </x:c>
      <x:c r="C768" s="2" t="str">
        <x:v>SO-26034</x:v>
      </x:c>
      <x:c r="D768" s="2" t="str">
        <x:v>S-S-SS</x:v>
      </x:c>
      <x:c r="E768" s="14" t="n">
        <x:v>10</x:v>
      </x:c>
      <x:c r="F768" s="2" t="str">
        <x:v>Sensor calibration</x:v>
      </x:c>
      <x:c r="G768" s="9" t="str">
        <x:v>CAL-01</x:v>
      </x:c>
      <x:c r="H768" s="15" t="n">
        <x:v>30</x:v>
      </x:c>
      <x:c r="I768" s="9" t="str">
        <x:v>P21</x:v>
      </x:c>
      <x:c r="J768" s="11" t="n">
        <x:v>46302.60902777778</x:v>
      </x:c>
      <x:c r="K768" s="15" t="n">
        <x:v>10</x:v>
      </x:c>
      <x:c r="L768" s="15" t="n">
        <x:v>13</x:v>
      </x:c>
      <x:c r="M768" s="13" t="n">
        <x:f>J768+(K768+L768)/1440</x:f>
        <x:v>46302.625</x:v>
      </x:c>
      <x:c r="N768" s="13" t="n">
        <x:f>VLOOKUP(C768,'MES orders'!$A$8:$H$127,5,FALSE)</x:f>
        <x:v>46303.666666666664</x:v>
      </x:c>
      <x:c r="O768" s="16" t="n">
        <x:f>MAX(0,(M768-N768)*24)</x:f>
        <x:v>0</x:v>
      </x:c>
      <x:c r="P768" s="9" t="str">
        <x:v>No</x:v>
      </x:c>
      <x:c r="Q768" s="15" t="n">
        <x:v>23</x:v>
      </x:c>
      <x:c r="R768" s="13" t="n">
        <x:f>J768+Q768/1440</x:f>
        <x:v>46302.625</x:v>
      </x:c>
      <x:c r="S768" s="2" t="str">
        <x:f>VLOOKUP(C768,'MES orders'!$A$8:$H$127,6,FALSE)</x:f>
        <x:v>Normal</x:v>
      </x:c>
      <x:c r="T768" s="9" t="str"/>
    </x:row>
    <x:row r="769" ht="22" customHeight="1">
      <x:c r="A769" s="2" t="str">
        <x:v>L00013-030</x:v>
      </x:c>
      <x:c r="B769" s="2" t="str">
        <x:v>L00013</x:v>
      </x:c>
      <x:c r="C769" s="2" t="str">
        <x:v>SO-26003</x:v>
      </x:c>
      <x:c r="D769" s="2" t="str">
        <x:v>S-S-AL</x:v>
      </x:c>
      <x:c r="E769" s="14" t="n">
        <x:v>15</x:v>
      </x:c>
      <x:c r="F769" s="2" t="str">
        <x:v>Wash &amp; dry</x:v>
      </x:c>
      <x:c r="G769" s="9" t="str">
        <x:v>WS-01</x:v>
      </x:c>
      <x:c r="H769" s="15" t="n">
        <x:v>71</x:v>
      </x:c>
      <x:c r="I769" s="9" t="str">
        <x:v>P19</x:v>
      </x:c>
      <x:c r="J769" s="11" t="n">
        <x:v>46302.60902777778</x:v>
      </x:c>
      <x:c r="K769" s="15" t="n">
        <x:v>12</x:v>
      </x:c>
      <x:c r="L769" s="15" t="n">
        <x:v>5</x:v>
      </x:c>
      <x:c r="M769" s="13" t="n">
        <x:f>J769+(K769+L769)/1440</x:f>
        <x:v>46302.620833333334</x:v>
      </x:c>
      <x:c r="N769" s="13" t="n">
        <x:f>VLOOKUP(C769,'MES orders'!$A$8:$H$127,5,FALSE)</x:f>
        <x:v>46304.666666666664</x:v>
      </x:c>
      <x:c r="O769" s="16" t="n">
        <x:f>MAX(0,(M769-N769)*24)</x:f>
        <x:v>0</x:v>
      </x:c>
      <x:c r="P769" s="9" t="str">
        <x:v>No</x:v>
      </x:c>
      <x:c r="Q769" s="15" t="n">
        <x:v>17</x:v>
      </x:c>
      <x:c r="R769" s="13" t="n">
        <x:f>J769+Q769/1440</x:f>
        <x:v>46302.620833333334</x:v>
      </x:c>
      <x:c r="S769" s="2" t="str">
        <x:f>VLOOKUP(C769,'MES orders'!$A$8:$H$127,6,FALSE)</x:f>
        <x:v>Normal</x:v>
      </x:c>
      <x:c r="T769" s="9" t="str"/>
    </x:row>
    <x:row r="770" ht="22" customHeight="1">
      <x:c r="A770" s="2" t="str">
        <x:v>L00015-010</x:v>
      </x:c>
      <x:c r="B770" s="2" t="str">
        <x:v>L00015</x:v>
      </x:c>
      <x:c r="C770" s="2" t="str">
        <x:v>SO-26003</x:v>
      </x:c>
      <x:c r="D770" s="2" t="str">
        <x:v>S-S-AL</x:v>
      </x:c>
      <x:c r="E770" s="14" t="n">
        <x:v>15</x:v>
      </x:c>
      <x:c r="F770" s="2" t="str">
        <x:v>CNC machining</x:v>
      </x:c>
      <x:c r="G770" s="9" t="str">
        <x:v>CNC-01</x:v>
      </x:c>
      <x:c r="H770" s="15" t="n">
        <x:v>29</x:v>
      </x:c>
      <x:c r="I770" s="9" t="str">
        <x:v>P15</x:v>
      </x:c>
      <x:c r="J770" s="11" t="n">
        <x:v>46302.60972222222</x:v>
      </x:c>
      <x:c r="K770" s="15" t="n">
        <x:v>18</x:v>
      </x:c>
      <x:c r="L770" s="15" t="n">
        <x:v>36</x:v>
      </x:c>
      <x:c r="M770" s="13" t="n">
        <x:f>J770+(K770+L770)/1440</x:f>
        <x:v>46302.64722222222</x:v>
      </x:c>
      <x:c r="N770" s="13" t="n">
        <x:f>VLOOKUP(C770,'MES orders'!$A$8:$H$127,5,FALSE)</x:f>
        <x:v>46304.666666666664</x:v>
      </x:c>
      <x:c r="O770" s="16" t="n">
        <x:f>MAX(0,(M770-N770)*24)</x:f>
        <x:v>0</x:v>
      </x:c>
      <x:c r="P770" s="9" t="str">
        <x:v>No</x:v>
      </x:c>
      <x:c r="Q770" s="15" t="n">
        <x:v>18</x:v>
      </x:c>
      <x:c r="R770" s="13" t="n">
        <x:f>J770+Q770/1440</x:f>
        <x:v>46302.62222222222</x:v>
      </x:c>
      <x:c r="S770" s="2" t="str">
        <x:f>VLOOKUP(C770,'MES orders'!$A$8:$H$127,6,FALSE)</x:f>
        <x:v>Normal</x:v>
      </x:c>
      <x:c r="T770" s="9" t="str"/>
    </x:row>
    <x:row r="771" ht="22" customHeight="1">
      <x:c r="A771" s="2" t="str">
        <x:v>L00288-010</x:v>
      </x:c>
      <x:c r="B771" s="2" t="str">
        <x:v>L00288</x:v>
      </x:c>
      <x:c r="C771" s="2" t="str">
        <x:v>SO-26058</x:v>
      </x:c>
      <x:c r="D771" s="2" t="str">
        <x:v>D-S-SS</x:v>
      </x:c>
      <x:c r="E771" s="14" t="n">
        <x:v>10</x:v>
      </x:c>
      <x:c r="F771" s="2" t="str">
        <x:v>CNC machining</x:v>
      </x:c>
      <x:c r="G771" s="9" t="str">
        <x:v>CNC-06</x:v>
      </x:c>
      <x:c r="H771" s="15" t="n">
        <x:v>20</x:v>
      </x:c>
      <x:c r="I771" s="9" t="str">
        <x:v>P14</x:v>
      </x:c>
      <x:c r="J771" s="11" t="n">
        <x:v>46302.60972222222</x:v>
      </x:c>
      <x:c r="K771" s="15" t="n">
        <x:v>18</x:v>
      </x:c>
      <x:c r="L771" s="15" t="n">
        <x:v>30</x:v>
      </x:c>
      <x:c r="M771" s="13" t="n">
        <x:f>J771+(K771+L771)/1440</x:f>
        <x:v>46302.643055555556</x:v>
      </x:c>
      <x:c r="N771" s="13" t="n">
        <x:f>VLOOKUP(C771,'MES orders'!$A$8:$H$127,5,FALSE)</x:f>
        <x:v>46303.666666666664</x:v>
      </x:c>
      <x:c r="O771" s="16" t="n">
        <x:f>MAX(0,(M771-N771)*24)</x:f>
        <x:v>0</x:v>
      </x:c>
      <x:c r="P771" s="9" t="str">
        <x:v>No</x:v>
      </x:c>
      <x:c r="Q771" s="15" t="n">
        <x:v>18</x:v>
      </x:c>
      <x:c r="R771" s="13" t="n">
        <x:f>J771+Q771/1440</x:f>
        <x:v>46302.62222222222</x:v>
      </x:c>
      <x:c r="S771" s="2" t="str">
        <x:f>VLOOKUP(C771,'MES orders'!$A$8:$H$127,6,FALSE)</x:f>
        <x:v>Normal</x:v>
      </x:c>
      <x:c r="T771" s="9" t="str"/>
    </x:row>
    <x:row r="772" ht="22" customHeight="1">
      <x:c r="A772" s="2" t="str">
        <x:v>L00166-070</x:v>
      </x:c>
      <x:c r="B772" s="2" t="str">
        <x:v>L00166</x:v>
      </x:c>
      <x:c r="C772" s="2" t="str">
        <x:v>SO-26034</x:v>
      </x:c>
      <x:c r="D772" s="2" t="str">
        <x:v>S-S-SS</x:v>
      </x:c>
      <x:c r="E772" s="14" t="n">
        <x:v>10</x:v>
      </x:c>
      <x:c r="F772" s="2" t="str">
        <x:v>Final assembly</x:v>
      </x:c>
      <x:c r="G772" s="9" t="str">
        <x:v>AS-01</x:v>
      </x:c>
      <x:c r="H772" s="15" t="n">
        <x:v>63</x:v>
      </x:c>
      <x:c r="I772" s="9" t="str">
        <x:v>P17</x:v>
      </x:c>
      <x:c r="J772" s="11" t="n">
        <x:v>46302.61319444444</x:v>
      </x:c>
      <x:c r="K772" s="15" t="n">
        <x:v>5</x:v>
      </x:c>
      <x:c r="L772" s="15" t="n">
        <x:v>8</x:v>
      </x:c>
      <x:c r="M772" s="13" t="n">
        <x:f>J772+(K772+L772)/1440</x:f>
        <x:v>46302.62222222222</x:v>
      </x:c>
      <x:c r="N772" s="13" t="n">
        <x:f>VLOOKUP(C772,'MES orders'!$A$8:$H$127,5,FALSE)</x:f>
        <x:v>46303.666666666664</x:v>
      </x:c>
      <x:c r="O772" s="16" t="n">
        <x:f>MAX(0,(M772-N772)*24)</x:f>
        <x:v>0</x:v>
      </x:c>
      <x:c r="P772" s="9" t="str">
        <x:v>No</x:v>
      </x:c>
      <x:c r="Q772" s="15" t="n">
        <x:v>13</x:v>
      </x:c>
      <x:c r="R772" s="13" t="n">
        <x:f>J772+Q772/1440</x:f>
        <x:v>46302.62222222222</x:v>
      </x:c>
      <x:c r="S772" s="2" t="str">
        <x:f>VLOOKUP(C772,'MES orders'!$A$8:$H$127,6,FALSE)</x:f>
        <x:v>Normal</x:v>
      </x:c>
      <x:c r="T772" s="9" t="str"/>
    </x:row>
    <x:row r="773" ht="22" customHeight="1">
      <x:c r="A773" s="2" t="str">
        <x:v>L00167-070</x:v>
      </x:c>
      <x:c r="B773" s="2" t="str">
        <x:v>L00167</x:v>
      </x:c>
      <x:c r="C773" s="2" t="str">
        <x:v>SO-26034</x:v>
      </x:c>
      <x:c r="D773" s="2" t="str">
        <x:v>S-S-SS</x:v>
      </x:c>
      <x:c r="E773" s="14" t="n">
        <x:v>10</x:v>
      </x:c>
      <x:c r="F773" s="2" t="str">
        <x:v>Final assembly</x:v>
      </x:c>
      <x:c r="G773" s="9" t="str">
        <x:v>AS-02</x:v>
      </x:c>
      <x:c r="H773" s="15" t="n">
        <x:v>50</x:v>
      </x:c>
      <x:c r="I773" s="9" t="str">
        <x:v>P18</x:v>
      </x:c>
      <x:c r="J773" s="11" t="n">
        <x:v>46302.61319444444</x:v>
      </x:c>
      <x:c r="K773" s="15" t="n">
        <x:v>5</x:v>
      </x:c>
      <x:c r="L773" s="15" t="n">
        <x:v>8</x:v>
      </x:c>
      <x:c r="M773" s="13" t="n">
        <x:f>J773+(K773+L773)/1440</x:f>
        <x:v>46302.62222222222</x:v>
      </x:c>
      <x:c r="N773" s="13" t="n">
        <x:f>VLOOKUP(C773,'MES orders'!$A$8:$H$127,5,FALSE)</x:f>
        <x:v>46303.666666666664</x:v>
      </x:c>
      <x:c r="O773" s="16" t="n">
        <x:f>MAX(0,(M773-N773)*24)</x:f>
        <x:v>0</x:v>
      </x:c>
      <x:c r="P773" s="9" t="str">
        <x:v>No</x:v>
      </x:c>
      <x:c r="Q773" s="15" t="n">
        <x:v>13</x:v>
      </x:c>
      <x:c r="R773" s="13" t="n">
        <x:f>J773+Q773/1440</x:f>
        <x:v>46302.62222222222</x:v>
      </x:c>
      <x:c r="S773" s="2" t="str">
        <x:f>VLOOKUP(C773,'MES orders'!$A$8:$H$127,6,FALSE)</x:f>
        <x:v>Normal</x:v>
      </x:c>
      <x:c r="T773" s="9" t="str"/>
    </x:row>
    <x:row r="774" ht="22" customHeight="1">
      <x:c r="A774" s="2" t="str">
        <x:v>L00089-060</x:v>
      </x:c>
      <x:c r="B774" s="2" t="str">
        <x:v>L00089</x:v>
      </x:c>
      <x:c r="C774" s="2" t="str">
        <x:v>SO-26018</x:v>
      </x:c>
      <x:c r="D774" s="2" t="str">
        <x:v>R-L-SS</x:v>
      </x:c>
      <x:c r="E774" s="14" t="n">
        <x:v>25</x:v>
      </x:c>
      <x:c r="F774" s="2" t="str">
        <x:v>Final leak / function test</x:v>
      </x:c>
      <x:c r="G774" s="9" t="str">
        <x:v>QA-02</x:v>
      </x:c>
      <x:c r="H774" s="15" t="n">
        <x:v>52</x:v>
      </x:c>
      <x:c r="I774" s="9" t="str">
        <x:v>P23</x:v>
      </x:c>
      <x:c r="J774" s="11" t="n">
        <x:v>46302.61319444444</x:v>
      </x:c>
      <x:c r="K774" s="15" t="n">
        <x:v>10</x:v>
      </x:c>
      <x:c r="L774" s="15" t="n">
        <x:v>30</x:v>
      </x:c>
      <x:c r="M774" s="13" t="n">
        <x:f>J774+(K774+L774)/1440</x:f>
        <x:v>46302.64097222222</x:v>
      </x:c>
      <x:c r="N774" s="13" t="n">
        <x:f>VLOOKUP(C774,'MES orders'!$A$8:$H$127,5,FALSE)</x:f>
        <x:v>46303.666666666664</x:v>
      </x:c>
      <x:c r="O774" s="16" t="n">
        <x:f>MAX(0,(M774-N774)*24)</x:f>
        <x:v>0</x:v>
      </x:c>
      <x:c r="P774" s="9" t="str">
        <x:v>No</x:v>
      </x:c>
      <x:c r="Q774" s="15" t="n">
        <x:v>40</x:v>
      </x:c>
      <x:c r="R774" s="13" t="n">
        <x:f>J774+Q774/1440</x:f>
        <x:v>46302.64097222222</x:v>
      </x:c>
      <x:c r="S774" s="2" t="str">
        <x:f>VLOOKUP(C774,'MES orders'!$A$8:$H$127,6,FALSE)</x:f>
        <x:v>Normal</x:v>
      </x:c>
      <x:c r="T774" s="9" t="str"/>
    </x:row>
    <x:row r="775" ht="22" customHeight="1">
      <x:c r="A775" s="2" t="str">
        <x:v>L00090-060</x:v>
      </x:c>
      <x:c r="B775" s="2" t="str">
        <x:v>L00090</x:v>
      </x:c>
      <x:c r="C775" s="2" t="str">
        <x:v>SO-26018</x:v>
      </x:c>
      <x:c r="D775" s="2" t="str">
        <x:v>R-L-SS</x:v>
      </x:c>
      <x:c r="E775" s="14" t="n">
        <x:v>25</x:v>
      </x:c>
      <x:c r="F775" s="2" t="str">
        <x:v>Final leak / function test</x:v>
      </x:c>
      <x:c r="G775" s="9" t="str">
        <x:v>QA-03</x:v>
      </x:c>
      <x:c r="H775" s="15" t="n">
        <x:v>35</x:v>
      </x:c>
      <x:c r="I775" s="9" t="str">
        <x:v>P24</x:v>
      </x:c>
      <x:c r="J775" s="11" t="n">
        <x:v>46302.61319444444</x:v>
      </x:c>
      <x:c r="K775" s="15" t="n">
        <x:v>10</x:v>
      </x:c>
      <x:c r="L775" s="15" t="n">
        <x:v>30</x:v>
      </x:c>
      <x:c r="M775" s="13" t="n">
        <x:f>J775+(K775+L775)/1440</x:f>
        <x:v>46302.64097222222</x:v>
      </x:c>
      <x:c r="N775" s="13" t="n">
        <x:f>VLOOKUP(C775,'MES orders'!$A$8:$H$127,5,FALSE)</x:f>
        <x:v>46303.666666666664</x:v>
      </x:c>
      <x:c r="O775" s="16" t="n">
        <x:f>MAX(0,(M775-N775)*24)</x:f>
        <x:v>0</x:v>
      </x:c>
      <x:c r="P775" s="9" t="str">
        <x:v>No</x:v>
      </x:c>
      <x:c r="Q775" s="15" t="n">
        <x:v>40</x:v>
      </x:c>
      <x:c r="R775" s="13" t="n">
        <x:f>J775+Q775/1440</x:f>
        <x:v>46302.64097222222</x:v>
      </x:c>
      <x:c r="S775" s="2" t="str">
        <x:f>VLOOKUP(C775,'MES orders'!$A$8:$H$127,6,FALSE)</x:f>
        <x:v>Normal</x:v>
      </x:c>
      <x:c r="T775" s="9" t="str"/>
    </x:row>
    <x:row r="776" ht="22" customHeight="1">
      <x:c r="A776" s="2" t="str">
        <x:v>L00011-070</x:v>
      </x:c>
      <x:c r="B776" s="2" t="str">
        <x:v>L00011</x:v>
      </x:c>
      <x:c r="C776" s="2" t="str">
        <x:v>SO-26003</x:v>
      </x:c>
      <x:c r="D776" s="2" t="str">
        <x:v>S-S-AL</x:v>
      </x:c>
      <x:c r="E776" s="14" t="n">
        <x:v>15</x:v>
      </x:c>
      <x:c r="F776" s="2" t="str">
        <x:v>Final assembly</x:v>
      </x:c>
      <x:c r="G776" s="9" t="str">
        <x:v>AS-03</x:v>
      </x:c>
      <x:c r="H776" s="15" t="n">
        <x:v>40</x:v>
      </x:c>
      <x:c r="I776" s="9" t="str">
        <x:v>P20</x:v>
      </x:c>
      <x:c r="J776" s="11" t="n">
        <x:v>46302.620833333334</x:v>
      </x:c>
      <x:c r="K776" s="15" t="n">
        <x:v>5</x:v>
      </x:c>
      <x:c r="L776" s="15" t="n">
        <x:v>12</x:v>
      </x:c>
      <x:c r="M776" s="13" t="n">
        <x:f>J776+(K776+L776)/1440</x:f>
        <x:v>46302.63263888889</x:v>
      </x:c>
      <x:c r="N776" s="13" t="n">
        <x:f>VLOOKUP(C776,'MES orders'!$A$8:$H$127,5,FALSE)</x:f>
        <x:v>46304.666666666664</x:v>
      </x:c>
      <x:c r="O776" s="16" t="n">
        <x:f>MAX(0,(M776-N776)*24)</x:f>
        <x:v>0</x:v>
      </x:c>
      <x:c r="P776" s="9" t="str">
        <x:v>No</x:v>
      </x:c>
      <x:c r="Q776" s="15" t="n">
        <x:v>17</x:v>
      </x:c>
      <x:c r="R776" s="13" t="n">
        <x:f>J776+Q776/1440</x:f>
        <x:v>46302.63263888889</x:v>
      </x:c>
      <x:c r="S776" s="2" t="str">
        <x:f>VLOOKUP(C776,'MES orders'!$A$8:$H$127,6,FALSE)</x:f>
        <x:v>Normal</x:v>
      </x:c>
      <x:c r="T776" s="9" t="str"/>
    </x:row>
    <x:row r="777" ht="22" customHeight="1">
      <x:c r="A777" s="2" t="str">
        <x:v>L00013-040</x:v>
      </x:c>
      <x:c r="B777" s="2" t="str">
        <x:v>L00013</x:v>
      </x:c>
      <x:c r="C777" s="2" t="str">
        <x:v>SO-26003</x:v>
      </x:c>
      <x:c r="D777" s="2" t="str">
        <x:v>S-S-AL</x:v>
      </x:c>
      <x:c r="E777" s="14" t="n">
        <x:v>15</x:v>
      </x:c>
      <x:c r="F777" s="2" t="str">
        <x:v>Mechanical preassembly</x:v>
      </x:c>
      <x:c r="G777" s="9" t="str">
        <x:v>AS-04</x:v>
      </x:c>
      <x:c r="H777" s="15" t="n">
        <x:v>25</x:v>
      </x:c>
      <x:c r="I777" s="9" t="str">
        <x:v>P19</x:v>
      </x:c>
      <x:c r="J777" s="11" t="n">
        <x:v>46302.620833333334</x:v>
      </x:c>
      <x:c r="K777" s="15" t="n">
        <x:v>6</x:v>
      </x:c>
      <x:c r="L777" s="15" t="n">
        <x:v>16</x:v>
      </x:c>
      <x:c r="M777" s="13" t="n">
        <x:f>J777+(K777+L777)/1440</x:f>
        <x:v>46302.63611111111</x:v>
      </x:c>
      <x:c r="N777" s="13" t="n">
        <x:f>VLOOKUP(C777,'MES orders'!$A$8:$H$127,5,FALSE)</x:f>
        <x:v>46304.666666666664</x:v>
      </x:c>
      <x:c r="O777" s="16" t="n">
        <x:f>MAX(0,(M777-N777)*24)</x:f>
        <x:v>0</x:v>
      </x:c>
      <x:c r="P777" s="9" t="str">
        <x:v>No</x:v>
      </x:c>
      <x:c r="Q777" s="15" t="n">
        <x:v>22</x:v>
      </x:c>
      <x:c r="R777" s="13" t="n">
        <x:f>J777+Q777/1440</x:f>
        <x:v>46302.63611111111</x:v>
      </x:c>
      <x:c r="S777" s="2" t="str">
        <x:f>VLOOKUP(C777,'MES orders'!$A$8:$H$127,6,FALSE)</x:f>
        <x:v>Normal</x:v>
      </x:c>
      <x:c r="T777" s="9" t="str"/>
    </x:row>
    <x:row r="778" ht="22" customHeight="1">
      <x:c r="A778" s="2" t="str">
        <x:v>L00169-070</x:v>
      </x:c>
      <x:c r="B778" s="2" t="str">
        <x:v>L00169</x:v>
      </x:c>
      <x:c r="C778" s="2" t="str">
        <x:v>SO-26034</x:v>
      </x:c>
      <x:c r="D778" s="2" t="str">
        <x:v>S-S-SS</x:v>
      </x:c>
      <x:c r="E778" s="14" t="n">
        <x:v>10</x:v>
      </x:c>
      <x:c r="F778" s="2" t="str">
        <x:v>Final assembly</x:v>
      </x:c>
      <x:c r="G778" s="9" t="str">
        <x:v>AS-02</x:v>
      </x:c>
      <x:c r="H778" s="15" t="n">
        <x:v>51</x:v>
      </x:c>
      <x:c r="I778" s="9" t="str">
        <x:v>P18</x:v>
      </x:c>
      <x:c r="J778" s="11" t="n">
        <x:v>46302.62222222222</x:v>
      </x:c>
      <x:c r="K778" s="15" t="n">
        <x:v>5</x:v>
      </x:c>
      <x:c r="L778" s="15" t="n">
        <x:v>8</x:v>
      </x:c>
      <x:c r="M778" s="13" t="n">
        <x:f>J778+(K778+L778)/1440</x:f>
        <x:v>46302.63125</x:v>
      </x:c>
      <x:c r="N778" s="13" t="n">
        <x:f>VLOOKUP(C778,'MES orders'!$A$8:$H$127,5,FALSE)</x:f>
        <x:v>46303.666666666664</x:v>
      </x:c>
      <x:c r="O778" s="16" t="n">
        <x:f>MAX(0,(M778-N778)*24)</x:f>
        <x:v>0</x:v>
      </x:c>
      <x:c r="P778" s="9" t="str">
        <x:v>No</x:v>
      </x:c>
      <x:c r="Q778" s="15" t="n">
        <x:v>13</x:v>
      </x:c>
      <x:c r="R778" s="13" t="n">
        <x:f>J778+Q778/1440</x:f>
        <x:v>46302.63125</x:v>
      </x:c>
      <x:c r="S778" s="2" t="str">
        <x:f>VLOOKUP(C778,'MES orders'!$A$8:$H$127,6,FALSE)</x:f>
        <x:v>Normal</x:v>
      </x:c>
      <x:c r="T778" s="9" t="str"/>
    </x:row>
    <x:row r="779" ht="22" customHeight="1">
      <x:c r="A779" s="2" t="str">
        <x:v>L00168-070</x:v>
      </x:c>
      <x:c r="B779" s="2" t="str">
        <x:v>L00168</x:v>
      </x:c>
      <x:c r="C779" s="2" t="str">
        <x:v>SO-26034</x:v>
      </x:c>
      <x:c r="D779" s="2" t="str">
        <x:v>S-S-SS</x:v>
      </x:c>
      <x:c r="E779" s="14" t="n">
        <x:v>10</x:v>
      </x:c>
      <x:c r="F779" s="2" t="str">
        <x:v>Final assembly</x:v>
      </x:c>
      <x:c r="G779" s="9" t="str">
        <x:v>AS-01</x:v>
      </x:c>
      <x:c r="H779" s="15" t="n">
        <x:v>64</x:v>
      </x:c>
      <x:c r="I779" s="9" t="str">
        <x:v>P17</x:v>
      </x:c>
      <x:c r="J779" s="11" t="n">
        <x:v>46302.625</x:v>
      </x:c>
      <x:c r="K779" s="15" t="n">
        <x:v>5</x:v>
      </x:c>
      <x:c r="L779" s="15" t="n">
        <x:v>8</x:v>
      </x:c>
      <x:c r="M779" s="13" t="n">
        <x:f>J779+(K779+L779)/1440</x:f>
        <x:v>46302.63402777778</x:v>
      </x:c>
      <x:c r="N779" s="13" t="n">
        <x:f>VLOOKUP(C779,'MES orders'!$A$8:$H$127,5,FALSE)</x:f>
        <x:v>46303.666666666664</x:v>
      </x:c>
      <x:c r="O779" s="16" t="n">
        <x:f>MAX(0,(M779-N779)*24)</x:f>
        <x:v>0</x:v>
      </x:c>
      <x:c r="P779" s="9" t="str">
        <x:v>No</x:v>
      </x:c>
      <x:c r="Q779" s="15" t="n">
        <x:v>13</x:v>
      </x:c>
      <x:c r="R779" s="13" t="n">
        <x:f>J779+Q779/1440</x:f>
        <x:v>46302.63402777778</x:v>
      </x:c>
      <x:c r="S779" s="2" t="str">
        <x:f>VLOOKUP(C779,'MES orders'!$A$8:$H$127,6,FALSE)</x:f>
        <x:v>Normal</x:v>
      </x:c>
      <x:c r="T779" s="9" t="str"/>
    </x:row>
    <x:row r="780" ht="22" customHeight="1">
      <x:c r="A780" s="2" t="str">
        <x:v>L00170-060</x:v>
      </x:c>
      <x:c r="B780" s="2" t="str">
        <x:v>L00170</x:v>
      </x:c>
      <x:c r="C780" s="2" t="str">
        <x:v>SO-26034</x:v>
      </x:c>
      <x:c r="D780" s="2" t="str">
        <x:v>S-S-SS</x:v>
      </x:c>
      <x:c r="E780" s="14" t="n">
        <x:v>10</x:v>
      </x:c>
      <x:c r="F780" s="2" t="str">
        <x:v>Sensor calibration</x:v>
      </x:c>
      <x:c r="G780" s="9" t="str">
        <x:v>CAL-01</x:v>
      </x:c>
      <x:c r="H780" s="15" t="n">
        <x:v>31</x:v>
      </x:c>
      <x:c r="I780" s="9" t="str">
        <x:v>P21</x:v>
      </x:c>
      <x:c r="J780" s="11" t="n">
        <x:v>46302.625</x:v>
      </x:c>
      <x:c r="K780" s="15" t="n">
        <x:v>10</x:v>
      </x:c>
      <x:c r="L780" s="15" t="n">
        <x:v>13</x:v>
      </x:c>
      <x:c r="M780" s="13" t="n">
        <x:f>J780+(K780+L780)/1440</x:f>
        <x:v>46302.64097222222</x:v>
      </x:c>
      <x:c r="N780" s="13" t="n">
        <x:f>VLOOKUP(C780,'MES orders'!$A$8:$H$127,5,FALSE)</x:f>
        <x:v>46303.666666666664</x:v>
      </x:c>
      <x:c r="O780" s="16" t="n">
        <x:f>MAX(0,(M780-N780)*24)</x:f>
        <x:v>0</x:v>
      </x:c>
      <x:c r="P780" s="9" t="str">
        <x:v>No</x:v>
      </x:c>
      <x:c r="Q780" s="15" t="n">
        <x:v>23</x:v>
      </x:c>
      <x:c r="R780" s="13" t="n">
        <x:f>J780+Q780/1440</x:f>
        <x:v>46302.64097222222</x:v>
      </x:c>
      <x:c r="S780" s="2" t="str">
        <x:f>VLOOKUP(C780,'MES orders'!$A$8:$H$127,6,FALSE)</x:f>
        <x:v>Normal</x:v>
      </x:c>
      <x:c r="T780" s="9" t="str"/>
    </x:row>
    <x:row r="781" ht="22" customHeight="1">
      <x:c r="A781" s="2" t="str">
        <x:v>L00206-030</x:v>
      </x:c>
      <x:c r="B781" s="2" t="str">
        <x:v>L00206</x:v>
      </x:c>
      <x:c r="C781" s="2" t="str">
        <x:v>SO-26042</x:v>
      </x:c>
      <x:c r="D781" s="2" t="str">
        <x:v>S-L-SS</x:v>
      </x:c>
      <x:c r="E781" s="14" t="n">
        <x:v>25</x:v>
      </x:c>
      <x:c r="F781" s="2" t="str">
        <x:v>Wash &amp; dry</x:v>
      </x:c>
      <x:c r="G781" s="9" t="str">
        <x:v>WS-01</x:v>
      </x:c>
      <x:c r="H781" s="15" t="n">
        <x:v>72</x:v>
      </x:c>
      <x:c r="I781" s="9" t="str">
        <x:v>P16</x:v>
      </x:c>
      <x:c r="J781" s="11" t="n">
        <x:v>46302.626388888886</x:v>
      </x:c>
      <x:c r="K781" s="15" t="n">
        <x:v>12</x:v>
      </x:c>
      <x:c r="L781" s="15" t="n">
        <x:v>12</x:v>
      </x:c>
      <x:c r="M781" s="13" t="n">
        <x:f>J781+(K781+L781)/1440</x:f>
        <x:v>46302.643055555556</x:v>
      </x:c>
      <x:c r="N781" s="13" t="n">
        <x:f>VLOOKUP(C781,'MES orders'!$A$8:$H$127,5,FALSE)</x:f>
        <x:v>46303.666666666664</x:v>
      </x:c>
      <x:c r="O781" s="16" t="n">
        <x:f>MAX(0,(M781-N781)*24)</x:f>
        <x:v>0</x:v>
      </x:c>
      <x:c r="P781" s="9" t="str">
        <x:v>No</x:v>
      </x:c>
      <x:c r="Q781" s="15" t="n">
        <x:v>24</x:v>
      </x:c>
      <x:c r="R781" s="13" t="n">
        <x:f>J781+Q781/1440</x:f>
        <x:v>46302.643055555556</x:v>
      </x:c>
      <x:c r="S781" s="2" t="str">
        <x:f>VLOOKUP(C781,'MES orders'!$A$8:$H$127,6,FALSE)</x:f>
        <x:v>Normal</x:v>
      </x:c>
      <x:c r="T781" s="9" t="str"/>
    </x:row>
    <x:row r="782" ht="22" customHeight="1">
      <x:c r="A782" s="2" t="str">
        <x:v>L00289-010</x:v>
      </x:c>
      <x:c r="B782" s="2" t="str">
        <x:v>L00289</x:v>
      </x:c>
      <x:c r="C782" s="2" t="str">
        <x:v>SO-26058</x:v>
      </x:c>
      <x:c r="D782" s="2" t="str">
        <x:v>D-S-SS</x:v>
      </x:c>
      <x:c r="E782" s="14" t="n">
        <x:v>10</x:v>
      </x:c>
      <x:c r="F782" s="2" t="str">
        <x:v>CNC machining</x:v>
      </x:c>
      <x:c r="G782" s="9" t="str">
        <x:v>CNC-04</x:v>
      </x:c>
      <x:c r="H782" s="15" t="n">
        <x:v>24</x:v>
      </x:c>
      <x:c r="I782" s="9" t="str">
        <x:v>P14</x:v>
      </x:c>
      <x:c r="J782" s="11" t="n">
        <x:v>46302.63055555556</x:v>
      </x:c>
      <x:c r="K782" s="15" t="n">
        <x:v>18</x:v>
      </x:c>
      <x:c r="L782" s="15" t="n">
        <x:v>30</x:v>
      </x:c>
      <x:c r="M782" s="13" t="n">
        <x:f>J782+(K782+L782)/1440</x:f>
        <x:v>46302.66388888889</x:v>
      </x:c>
      <x:c r="N782" s="13" t="n">
        <x:f>VLOOKUP(C782,'MES orders'!$A$8:$H$127,5,FALSE)</x:f>
        <x:v>46303.666666666664</x:v>
      </x:c>
      <x:c r="O782" s="16" t="n">
        <x:f>MAX(0,(M782-N782)*24)</x:f>
        <x:v>0</x:v>
      </x:c>
      <x:c r="P782" s="9" t="str">
        <x:v>No</x:v>
      </x:c>
      <x:c r="Q782" s="15" t="n">
        <x:v>18</x:v>
      </x:c>
      <x:c r="R782" s="13" t="n">
        <x:f>J782+Q782/1440</x:f>
        <x:v>46302.643055555556</x:v>
      </x:c>
      <x:c r="S782" s="2" t="str">
        <x:f>VLOOKUP(C782,'MES orders'!$A$8:$H$127,6,FALSE)</x:f>
        <x:v>Normal</x:v>
      </x:c>
      <x:c r="T782" s="9" t="str"/>
    </x:row>
    <x:row r="783" ht="22" customHeight="1">
      <x:c r="A783" s="2" t="str">
        <x:v>L00290-010</x:v>
      </x:c>
      <x:c r="B783" s="2" t="str">
        <x:v>L00290</x:v>
      </x:c>
      <x:c r="C783" s="2" t="str">
        <x:v>SO-26058</x:v>
      </x:c>
      <x:c r="D783" s="2" t="str">
        <x:v>D-S-SS</x:v>
      </x:c>
      <x:c r="E783" s="14" t="n">
        <x:v>10</x:v>
      </x:c>
      <x:c r="F783" s="2" t="str">
        <x:v>CNC machining</x:v>
      </x:c>
      <x:c r="G783" s="9" t="str">
        <x:v>CNC-05</x:v>
      </x:c>
      <x:c r="H783" s="15" t="n">
        <x:v>21</x:v>
      </x:c>
      <x:c r="I783" s="9" t="str">
        <x:v>P15</x:v>
      </x:c>
      <x:c r="J783" s="11" t="n">
        <x:v>46302.63055555556</x:v>
      </x:c>
      <x:c r="K783" s="15" t="n">
        <x:v>18</x:v>
      </x:c>
      <x:c r="L783" s="15" t="n">
        <x:v>30</x:v>
      </x:c>
      <x:c r="M783" s="13" t="n">
        <x:f>J783+(K783+L783)/1440</x:f>
        <x:v>46302.66388888889</x:v>
      </x:c>
      <x:c r="N783" s="13" t="n">
        <x:f>VLOOKUP(C783,'MES orders'!$A$8:$H$127,5,FALSE)</x:f>
        <x:v>46303.666666666664</x:v>
      </x:c>
      <x:c r="O783" s="16" t="n">
        <x:f>MAX(0,(M783-N783)*24)</x:f>
        <x:v>0</x:v>
      </x:c>
      <x:c r="P783" s="9" t="str">
        <x:v>No</x:v>
      </x:c>
      <x:c r="Q783" s="15" t="n">
        <x:v>18</x:v>
      </x:c>
      <x:c r="R783" s="13" t="n">
        <x:f>J783+Q783/1440</x:f>
        <x:v>46302.643055555556</x:v>
      </x:c>
      <x:c r="S783" s="2" t="str">
        <x:f>VLOOKUP(C783,'MES orders'!$A$8:$H$127,6,FALSE)</x:f>
        <x:v>Normal</x:v>
      </x:c>
      <x:c r="T783" s="9" t="str"/>
    </x:row>
    <x:row r="784" ht="22" customHeight="1">
      <x:c r="A784" s="2" t="str">
        <x:v>L00287-020</x:v>
      </x:c>
      <x:c r="B784" s="2" t="str">
        <x:v>L00287</x:v>
      </x:c>
      <x:c r="C784" s="2" t="str">
        <x:v>SO-26058</x:v>
      </x:c>
      <x:c r="D784" s="2" t="str">
        <x:v>D-S-SS</x:v>
      </x:c>
      <x:c r="E784" s="14" t="n">
        <x:v>10</x:v>
      </x:c>
      <x:c r="F784" s="2" t="str">
        <x:v>Deburr &amp; inspect</x:v>
      </x:c>
      <x:c r="G784" s="9" t="str">
        <x:v>DB-02</x:v>
      </x:c>
      <x:c r="H784" s="15" t="n">
        <x:v>53</x:v>
      </x:c>
      <x:c r="I784" s="9" t="str">
        <x:v>P13</x:v>
      </x:c>
      <x:c r="J784" s="11" t="n">
        <x:v>46302.63055555556</x:v>
      </x:c>
      <x:c r="K784" s="15" t="n">
        <x:v>4</x:v>
      </x:c>
      <x:c r="L784" s="15" t="n">
        <x:v>7</x:v>
      </x:c>
      <x:c r="M784" s="13" t="n">
        <x:f>J784+(K784+L784)/1440</x:f>
        <x:v>46302.63819444445</x:v>
      </x:c>
      <x:c r="N784" s="13" t="n">
        <x:f>VLOOKUP(C784,'MES orders'!$A$8:$H$127,5,FALSE)</x:f>
        <x:v>46303.666666666664</x:v>
      </x:c>
      <x:c r="O784" s="16" t="n">
        <x:f>MAX(0,(M784-N784)*24)</x:f>
        <x:v>0</x:v>
      </x:c>
      <x:c r="P784" s="9" t="str">
        <x:v>No</x:v>
      </x:c>
      <x:c r="Q784" s="15" t="n">
        <x:v>11</x:v>
      </x:c>
      <x:c r="R784" s="13" t="n">
        <x:f>J784+Q784/1440</x:f>
        <x:v>46302.63819444445</x:v>
      </x:c>
      <x:c r="S784" s="2" t="str">
        <x:f>VLOOKUP(C784,'MES orders'!$A$8:$H$127,6,FALSE)</x:f>
        <x:v>Normal</x:v>
      </x:c>
      <x:c r="T784" s="9" t="str"/>
    </x:row>
    <x:row r="785" ht="22" customHeight="1">
      <x:c r="A785" s="2" t="str">
        <x:v>L00207-020</x:v>
      </x:c>
      <x:c r="B785" s="2" t="str">
        <x:v>L00207</x:v>
      </x:c>
      <x:c r="C785" s="2" t="str">
        <x:v>SO-26042</x:v>
      </x:c>
      <x:c r="D785" s="2" t="str">
        <x:v>S-L-SS</x:v>
      </x:c>
      <x:c r="E785" s="14" t="n">
        <x:v>25</x:v>
      </x:c>
      <x:c r="F785" s="2" t="str">
        <x:v>Deburr &amp; inspect</x:v>
      </x:c>
      <x:c r="G785" s="9" t="str">
        <x:v>DB-01</x:v>
      </x:c>
      <x:c r="H785" s="15" t="n">
        <x:v>76</x:v>
      </x:c>
      <x:c r="I785" s="9" t="str">
        <x:v>P18</x:v>
      </x:c>
      <x:c r="J785" s="11" t="n">
        <x:v>46302.63125</x:v>
      </x:c>
      <x:c r="K785" s="15" t="n">
        <x:v>4</x:v>
      </x:c>
      <x:c r="L785" s="15" t="n">
        <x:v>24</x:v>
      </x:c>
      <x:c r="M785" s="13" t="n">
        <x:f>J785+(K785+L785)/1440</x:f>
        <x:v>46302.65069444444</x:v>
      </x:c>
      <x:c r="N785" s="13" t="n">
        <x:f>VLOOKUP(C785,'MES orders'!$A$8:$H$127,5,FALSE)</x:f>
        <x:v>46303.666666666664</x:v>
      </x:c>
      <x:c r="O785" s="16" t="n">
        <x:f>MAX(0,(M785-N785)*24)</x:f>
        <x:v>0</x:v>
      </x:c>
      <x:c r="P785" s="9" t="str">
        <x:v>No</x:v>
      </x:c>
      <x:c r="Q785" s="15" t="n">
        <x:v>28</x:v>
      </x:c>
      <x:c r="R785" s="13" t="n">
        <x:f>J785+Q785/1440</x:f>
        <x:v>46302.65069444444</x:v>
      </x:c>
      <x:c r="S785" s="2" t="str">
        <x:f>VLOOKUP(C785,'MES orders'!$A$8:$H$127,6,FALSE)</x:f>
        <x:v>Normal</x:v>
      </x:c>
      <x:c r="T785" s="9" t="str"/>
    </x:row>
    <x:row r="786" ht="22" customHeight="1">
      <x:c r="A786" s="2" t="str">
        <x:v>L00013-050</x:v>
      </x:c>
      <x:c r="B786" s="2" t="str">
        <x:v>L00013</x:v>
      </x:c>
      <x:c r="C786" s="2" t="str">
        <x:v>SO-26003</x:v>
      </x:c>
      <x:c r="D786" s="2" t="str">
        <x:v>S-S-AL</x:v>
      </x:c>
      <x:c r="E786" s="14" t="n">
        <x:v>15</x:v>
      </x:c>
      <x:c r="F786" s="2" t="str">
        <x:v>Sensor installation</x:v>
      </x:c>
      <x:c r="G786" s="9" t="str">
        <x:v>EL-01</x:v>
      </x:c>
      <x:c r="H786" s="15" t="n">
        <x:v>23</x:v>
      </x:c>
      <x:c r="I786" s="9" t="str">
        <x:v>P19</x:v>
      </x:c>
      <x:c r="J786" s="11" t="n">
        <x:v>46302.63611111111</x:v>
      </x:c>
      <x:c r="K786" s="15" t="n">
        <x:v>8</x:v>
      </x:c>
      <x:c r="L786" s="15" t="n">
        <x:v>18</x:v>
      </x:c>
      <x:c r="M786" s="13" t="n">
        <x:f>J786+(K786+L786)/1440</x:f>
        <x:v>46302.65416666667</x:v>
      </x:c>
      <x:c r="N786" s="13" t="n">
        <x:f>VLOOKUP(C786,'MES orders'!$A$8:$H$127,5,FALSE)</x:f>
        <x:v>46304.666666666664</x:v>
      </x:c>
      <x:c r="O786" s="16" t="n">
        <x:f>MAX(0,(M786-N786)*24)</x:f>
        <x:v>0</x:v>
      </x:c>
      <x:c r="P786" s="9" t="str">
        <x:v>No</x:v>
      </x:c>
      <x:c r="Q786" s="15" t="n">
        <x:v>26</x:v>
      </x:c>
      <x:c r="R786" s="13" t="n">
        <x:f>J786+Q786/1440</x:f>
        <x:v>46302.65416666667</x:v>
      </x:c>
      <x:c r="S786" s="2" t="str">
        <x:f>VLOOKUP(C786,'MES orders'!$A$8:$H$127,6,FALSE)</x:f>
        <x:v>Normal</x:v>
      </x:c>
      <x:c r="T786" s="9" t="str"/>
    </x:row>
    <x:row r="787" ht="22" customHeight="1">
      <x:c r="A787" s="2" t="str">
        <x:v>L00287-030</x:v>
      </x:c>
      <x:c r="B787" s="2" t="str">
        <x:v>L00287</x:v>
      </x:c>
      <x:c r="C787" s="2" t="str">
        <x:v>SO-26058</x:v>
      </x:c>
      <x:c r="D787" s="2" t="str">
        <x:v>D-S-SS</x:v>
      </x:c>
      <x:c r="E787" s="14" t="n">
        <x:v>10</x:v>
      </x:c>
      <x:c r="F787" s="2" t="str">
        <x:v>Wash &amp; dry</x:v>
      </x:c>
      <x:c r="G787" s="9" t="str">
        <x:v>WS-02</x:v>
      </x:c>
      <x:c r="H787" s="15" t="n">
        <x:v>55</x:v>
      </x:c>
      <x:c r="I787" s="9" t="str">
        <x:v>P13</x:v>
      </x:c>
      <x:c r="J787" s="11" t="n">
        <x:v>46302.638194444444</x:v>
      </x:c>
      <x:c r="K787" s="15" t="n">
        <x:v>12</x:v>
      </x:c>
      <x:c r="L787" s="15" t="n">
        <x:v>4</x:v>
      </x:c>
      <x:c r="M787" s="13" t="n">
        <x:f>J787+(K787+L787)/1440</x:f>
        <x:v>46302.649305555555</x:v>
      </x:c>
      <x:c r="N787" s="13" t="n">
        <x:f>VLOOKUP(C787,'MES orders'!$A$8:$H$127,5,FALSE)</x:f>
        <x:v>46303.666666666664</x:v>
      </x:c>
      <x:c r="O787" s="16" t="n">
        <x:f>MAX(0,(M787-N787)*24)</x:f>
        <x:v>0</x:v>
      </x:c>
      <x:c r="P787" s="9" t="str">
        <x:v>No</x:v>
      </x:c>
      <x:c r="Q787" s="15" t="n">
        <x:v>16</x:v>
      </x:c>
      <x:c r="R787" s="13" t="n">
        <x:f>J787+Q787/1440</x:f>
        <x:v>46302.649305555555</x:v>
      </x:c>
      <x:c r="S787" s="2" t="str">
        <x:f>VLOOKUP(C787,'MES orders'!$A$8:$H$127,6,FALSE)</x:f>
        <x:v>Normal</x:v>
      </x:c>
      <x:c r="T787" s="9" t="str"/>
    </x:row>
    <x:row r="788" ht="22" customHeight="1">
      <x:c r="A788" s="2" t="str">
        <x:v>L00170-070</x:v>
      </x:c>
      <x:c r="B788" s="2" t="str">
        <x:v>L00170</x:v>
      </x:c>
      <x:c r="C788" s="2" t="str">
        <x:v>SO-26034</x:v>
      </x:c>
      <x:c r="D788" s="2" t="str">
        <x:v>S-S-SS</x:v>
      </x:c>
      <x:c r="E788" s="14" t="n">
        <x:v>10</x:v>
      </x:c>
      <x:c r="F788" s="2" t="str">
        <x:v>Final assembly</x:v>
      </x:c>
      <x:c r="G788" s="9" t="str">
        <x:v>AS-01</x:v>
      </x:c>
      <x:c r="H788" s="15" t="n">
        <x:v>65</x:v>
      </x:c>
      <x:c r="I788" s="9" t="str">
        <x:v>P17</x:v>
      </x:c>
      <x:c r="J788" s="11" t="n">
        <x:v>46302.64097222222</x:v>
      </x:c>
      <x:c r="K788" s="15" t="n">
        <x:v>5</x:v>
      </x:c>
      <x:c r="L788" s="15" t="n">
        <x:v>8</x:v>
      </x:c>
      <x:c r="M788" s="13" t="n">
        <x:f>J788+(K788+L788)/1440</x:f>
        <x:v>46302.65</x:v>
      </x:c>
      <x:c r="N788" s="13" t="n">
        <x:f>VLOOKUP(C788,'MES orders'!$A$8:$H$127,5,FALSE)</x:f>
        <x:v>46303.666666666664</x:v>
      </x:c>
      <x:c r="O788" s="16" t="n">
        <x:f>MAX(0,(M788-N788)*24)</x:f>
        <x:v>0</x:v>
      </x:c>
      <x:c r="P788" s="9" t="str">
        <x:v>No</x:v>
      </x:c>
      <x:c r="Q788" s="15" t="n">
        <x:v>13</x:v>
      </x:c>
      <x:c r="R788" s="13" t="n">
        <x:f>J788+Q788/1440</x:f>
        <x:v>46302.65</x:v>
      </x:c>
      <x:c r="S788" s="2" t="str">
        <x:f>VLOOKUP(C788,'MES orders'!$A$8:$H$127,6,FALSE)</x:f>
        <x:v>Normal</x:v>
      </x:c>
      <x:c r="T788" s="9" t="str"/>
    </x:row>
    <x:row r="789" ht="22" customHeight="1">
      <x:c r="A789" s="2" t="str">
        <x:v>L00012-060</x:v>
      </x:c>
      <x:c r="B789" s="2" t="str">
        <x:v>L00012</x:v>
      </x:c>
      <x:c r="C789" s="2" t="str">
        <x:v>SO-26003</x:v>
      </x:c>
      <x:c r="D789" s="2" t="str">
        <x:v>S-S-AL</x:v>
      </x:c>
      <x:c r="E789" s="14" t="n">
        <x:v>15</x:v>
      </x:c>
      <x:c r="F789" s="2" t="str">
        <x:v>Sensor calibration</x:v>
      </x:c>
      <x:c r="G789" s="9" t="str">
        <x:v>CAL-01</x:v>
      </x:c>
      <x:c r="H789" s="15" t="n">
        <x:v>32</x:v>
      </x:c>
      <x:c r="I789" s="9" t="str">
        <x:v>P21</x:v>
      </x:c>
      <x:c r="J789" s="11" t="n">
        <x:v>46302.64097222222</x:v>
      </x:c>
      <x:c r="K789" s="15" t="n">
        <x:v>10</x:v>
      </x:c>
      <x:c r="L789" s="15" t="n">
        <x:v>20</x:v>
      </x:c>
      <x:c r="M789" s="13" t="n">
        <x:f>J789+(K789+L789)/1440</x:f>
        <x:v>46302.66180555556</x:v>
      </x:c>
      <x:c r="N789" s="13" t="n">
        <x:f>VLOOKUP(C789,'MES orders'!$A$8:$H$127,5,FALSE)</x:f>
        <x:v>46304.666666666664</x:v>
      </x:c>
      <x:c r="O789" s="16" t="n">
        <x:f>MAX(0,(M789-N789)*24)</x:f>
        <x:v>0</x:v>
      </x:c>
      <x:c r="P789" s="9" t="str">
        <x:v>No</x:v>
      </x:c>
      <x:c r="Q789" s="15" t="n">
        <x:v>30</x:v>
      </x:c>
      <x:c r="R789" s="13" t="n">
        <x:f>J789+Q789/1440</x:f>
        <x:v>46302.66180555556</x:v>
      </x:c>
      <x:c r="S789" s="2" t="str">
        <x:f>VLOOKUP(C789,'MES orders'!$A$8:$H$127,6,FALSE)</x:f>
        <x:v>Normal</x:v>
      </x:c>
      <x:c r="T789" s="9" t="str"/>
    </x:row>
    <x:row r="790" ht="22" customHeight="1">
      <x:c r="A790" s="2" t="str">
        <x:v>L00166-080</x:v>
      </x:c>
      <x:c r="B790" s="2" t="str">
        <x:v>L00166</x:v>
      </x:c>
      <x:c r="C790" s="2" t="str">
        <x:v>SO-26034</x:v>
      </x:c>
      <x:c r="D790" s="2" t="str">
        <x:v>S-S-SS</x:v>
      </x:c>
      <x:c r="E790" s="14" t="n">
        <x:v>10</x:v>
      </x:c>
      <x:c r="F790" s="2" t="str">
        <x:v>Final leak / function test</x:v>
      </x:c>
      <x:c r="G790" s="9" t="str">
        <x:v>QA-02</x:v>
      </x:c>
      <x:c r="H790" s="15" t="n">
        <x:v>53</x:v>
      </x:c>
      <x:c r="I790" s="9" t="str">
        <x:v>P23</x:v>
      </x:c>
      <x:c r="J790" s="11" t="n">
        <x:v>46302.64097222222</x:v>
      </x:c>
      <x:c r="K790" s="15" t="n">
        <x:v>10</x:v>
      </x:c>
      <x:c r="L790" s="15" t="n">
        <x:v>9</x:v>
      </x:c>
      <x:c r="M790" s="13" t="n">
        <x:f>J790+(K790+L790)/1440</x:f>
        <x:v>46302.65416666667</x:v>
      </x:c>
      <x:c r="N790" s="13" t="n">
        <x:f>VLOOKUP(C790,'MES orders'!$A$8:$H$127,5,FALSE)</x:f>
        <x:v>46303.666666666664</x:v>
      </x:c>
      <x:c r="O790" s="16" t="n">
        <x:f>MAX(0,(M790-N790)*24)</x:f>
        <x:v>0</x:v>
      </x:c>
      <x:c r="P790" s="9" t="str">
        <x:v>No</x:v>
      </x:c>
      <x:c r="Q790" s="15" t="n">
        <x:v>19</x:v>
      </x:c>
      <x:c r="R790" s="13" t="n">
        <x:f>J790+Q790/1440</x:f>
        <x:v>46302.65416666667</x:v>
      </x:c>
      <x:c r="S790" s="2" t="str">
        <x:f>VLOOKUP(C790,'MES orders'!$A$8:$H$127,6,FALSE)</x:f>
        <x:v>Normal</x:v>
      </x:c>
      <x:c r="T790" s="9" t="str"/>
    </x:row>
    <x:row r="791" ht="22" customHeight="1">
      <x:c r="A791" s="2" t="str">
        <x:v>L00167-080</x:v>
      </x:c>
      <x:c r="B791" s="2" t="str">
        <x:v>L00167</x:v>
      </x:c>
      <x:c r="C791" s="2" t="str">
        <x:v>SO-26034</x:v>
      </x:c>
      <x:c r="D791" s="2" t="str">
        <x:v>S-S-SS</x:v>
      </x:c>
      <x:c r="E791" s="14" t="n">
        <x:v>10</x:v>
      </x:c>
      <x:c r="F791" s="2" t="str">
        <x:v>Final leak / function test</x:v>
      </x:c>
      <x:c r="G791" s="9" t="str">
        <x:v>QA-03</x:v>
      </x:c>
      <x:c r="H791" s="15" t="n">
        <x:v>36</x:v>
      </x:c>
      <x:c r="I791" s="9" t="str">
        <x:v>P24</x:v>
      </x:c>
      <x:c r="J791" s="11" t="n">
        <x:v>46302.64097222222</x:v>
      </x:c>
      <x:c r="K791" s="15" t="n">
        <x:v>10</x:v>
      </x:c>
      <x:c r="L791" s="15" t="n">
        <x:v>9</x:v>
      </x:c>
      <x:c r="M791" s="13" t="n">
        <x:f>J791+(K791+L791)/1440</x:f>
        <x:v>46302.65416666667</x:v>
      </x:c>
      <x:c r="N791" s="13" t="n">
        <x:f>VLOOKUP(C791,'MES orders'!$A$8:$H$127,5,FALSE)</x:f>
        <x:v>46303.666666666664</x:v>
      </x:c>
      <x:c r="O791" s="16" t="n">
        <x:f>MAX(0,(M791-N791)*24)</x:f>
        <x:v>0</x:v>
      </x:c>
      <x:c r="P791" s="9" t="str">
        <x:v>No</x:v>
      </x:c>
      <x:c r="Q791" s="15" t="n">
        <x:v>19</x:v>
      </x:c>
      <x:c r="R791" s="13" t="n">
        <x:f>J791+Q791/1440</x:f>
        <x:v>46302.65416666667</x:v>
      </x:c>
      <x:c r="S791" s="2" t="str">
        <x:f>VLOOKUP(C791,'MES orders'!$A$8:$H$127,6,FALSE)</x:f>
        <x:v>Normal</x:v>
      </x:c>
      <x:c r="T791" s="9" t="str"/>
    </x:row>
    <x:row r="792" ht="22" customHeight="1">
      <x:c r="A792" s="2" t="str">
        <x:v>L00206-040</x:v>
      </x:c>
      <x:c r="B792" s="2" t="str">
        <x:v>L00206</x:v>
      </x:c>
      <x:c r="C792" s="2" t="str">
        <x:v>SO-26042</x:v>
      </x:c>
      <x:c r="D792" s="2" t="str">
        <x:v>S-L-SS</x:v>
      </x:c>
      <x:c r="E792" s="14" t="n">
        <x:v>25</x:v>
      </x:c>
      <x:c r="F792" s="2" t="str">
        <x:v>Mechanical preassembly</x:v>
      </x:c>
      <x:c r="G792" s="9" t="str">
        <x:v>AS-02</x:v>
      </x:c>
      <x:c r="H792" s="15" t="n">
        <x:v>52</x:v>
      </x:c>
      <x:c r="I792" s="9" t="str">
        <x:v>P16</x:v>
      </x:c>
      <x:c r="J792" s="11" t="n">
        <x:v>46302.643055555556</x:v>
      </x:c>
      <x:c r="K792" s="15" t="n">
        <x:v>6</x:v>
      </x:c>
      <x:c r="L792" s="15" t="n">
        <x:v>37</x:v>
      </x:c>
      <x:c r="M792" s="13" t="n">
        <x:f>J792+(K792+L792)/1440</x:f>
        <x:v>46302.67291666667</x:v>
      </x:c>
      <x:c r="N792" s="13" t="n">
        <x:f>VLOOKUP(C792,'MES orders'!$A$8:$H$127,5,FALSE)</x:f>
        <x:v>46303.666666666664</x:v>
      </x:c>
      <x:c r="O792" s="16" t="n">
        <x:f>MAX(0,(M792-N792)*24)</x:f>
        <x:v>0</x:v>
      </x:c>
      <x:c r="P792" s="9" t="str">
        <x:v>No</x:v>
      </x:c>
      <x:c r="Q792" s="15" t="n">
        <x:v>43</x:v>
      </x:c>
      <x:c r="R792" s="13" t="n">
        <x:f>J792+Q792/1440</x:f>
        <x:v>46302.67291666667</x:v>
      </x:c>
      <x:c r="S792" s="2" t="str">
        <x:f>VLOOKUP(C792,'MES orders'!$A$8:$H$127,6,FALSE)</x:f>
        <x:v>Normal</x:v>
      </x:c>
      <x:c r="T792" s="9" t="str"/>
    </x:row>
    <x:row r="793" ht="22" customHeight="1">
      <x:c r="A793" s="2" t="str">
        <x:v>L00326-010</x:v>
      </x:c>
      <x:c r="B793" s="2" t="str">
        <x:v>L00326</x:v>
      </x:c>
      <x:c r="C793" s="2" t="str">
        <x:v>SO-26066</x:v>
      </x:c>
      <x:c r="D793" s="2" t="str">
        <x:v>D-L-SS</x:v>
      </x:c>
      <x:c r="E793" s="14" t="n">
        <x:v>15</x:v>
      </x:c>
      <x:c r="F793" s="2" t="str">
        <x:v>CNC machining</x:v>
      </x:c>
      <x:c r="G793" s="9" t="str">
        <x:v>CNC-06</x:v>
      </x:c>
      <x:c r="H793" s="15" t="n">
        <x:v>21</x:v>
      </x:c>
      <x:c r="I793" s="9" t="str">
        <x:v>P15</x:v>
      </x:c>
      <x:c r="J793" s="11" t="n">
        <x:v>46302.643055555556</x:v>
      </x:c>
      <x:c r="K793" s="15" t="n">
        <x:v>18</x:v>
      </x:c>
      <x:c r="L793" s="15" t="n">
        <x:v>61</x:v>
      </x:c>
      <x:c r="M793" s="13" t="n">
        <x:f>J793+(K793+L793)/1440</x:f>
        <x:v>46302.697916666664</x:v>
      </x:c>
      <x:c r="N793" s="13" t="n">
        <x:f>VLOOKUP(C793,'MES orders'!$A$8:$H$127,5,FALSE)</x:f>
        <x:v>46303.666666666664</x:v>
      </x:c>
      <x:c r="O793" s="16" t="n">
        <x:f>MAX(0,(M793-N793)*24)</x:f>
        <x:v>0</x:v>
      </x:c>
      <x:c r="P793" s="9" t="str">
        <x:v>No</x:v>
      </x:c>
      <x:c r="Q793" s="15" t="n">
        <x:v>18</x:v>
      </x:c>
      <x:c r="R793" s="13" t="n">
        <x:f>J793+Q793/1440</x:f>
        <x:v>46302.65555555555</x:v>
      </x:c>
      <x:c r="S793" s="2" t="str">
        <x:f>VLOOKUP(C793,'MES orders'!$A$8:$H$127,6,FALSE)</x:f>
        <x:v>Normal</x:v>
      </x:c>
      <x:c r="T793" s="9" t="str"/>
    </x:row>
    <x:row r="794" ht="22" customHeight="1">
      <x:c r="A794" s="2" t="str">
        <x:v>L00288-020</x:v>
      </x:c>
      <x:c r="B794" s="2" t="str">
        <x:v>L00288</x:v>
      </x:c>
      <x:c r="C794" s="2" t="str">
        <x:v>SO-26058</x:v>
      </x:c>
      <x:c r="D794" s="2" t="str">
        <x:v>D-S-SS</x:v>
      </x:c>
      <x:c r="E794" s="14" t="n">
        <x:v>10</x:v>
      </x:c>
      <x:c r="F794" s="2" t="str">
        <x:v>Deburr &amp; inspect</x:v>
      </x:c>
      <x:c r="G794" s="9" t="str">
        <x:v>DB-02</x:v>
      </x:c>
      <x:c r="H794" s="15" t="n">
        <x:v>54</x:v>
      </x:c>
      <x:c r="I794" s="9" t="str">
        <x:v>P14</x:v>
      </x:c>
      <x:c r="J794" s="11" t="n">
        <x:v>46302.643055555556</x:v>
      </x:c>
      <x:c r="K794" s="15" t="n">
        <x:v>4</x:v>
      </x:c>
      <x:c r="L794" s="15" t="n">
        <x:v>7</x:v>
      </x:c>
      <x:c r="M794" s="13" t="n">
        <x:f>J794+(K794+L794)/1440</x:f>
        <x:v>46302.65069444445</x:v>
      </x:c>
      <x:c r="N794" s="13" t="n">
        <x:f>VLOOKUP(C794,'MES orders'!$A$8:$H$127,5,FALSE)</x:f>
        <x:v>46303.666666666664</x:v>
      </x:c>
      <x:c r="O794" s="16" t="n">
        <x:f>MAX(0,(M794-N794)*24)</x:f>
        <x:v>0</x:v>
      </x:c>
      <x:c r="P794" s="9" t="str">
        <x:v>No</x:v>
      </x:c>
      <x:c r="Q794" s="15" t="n">
        <x:v>11</x:v>
      </x:c>
      <x:c r="R794" s="13" t="n">
        <x:f>J794+Q794/1440</x:f>
        <x:v>46302.65069444445</x:v>
      </x:c>
      <x:c r="S794" s="2" t="str">
        <x:f>VLOOKUP(C794,'MES orders'!$A$8:$H$127,6,FALSE)</x:f>
        <x:v>Normal</x:v>
      </x:c>
      <x:c r="T794" s="9" t="str"/>
    </x:row>
    <x:row r="795" ht="22" customHeight="1">
      <x:c r="A795" s="2" t="str">
        <x:v>L00287-040</x:v>
      </x:c>
      <x:c r="B795" s="2" t="str">
        <x:v>L00287</x:v>
      </x:c>
      <x:c r="C795" s="2" t="str">
        <x:v>SO-26058</x:v>
      </x:c>
      <x:c r="D795" s="2" t="str">
        <x:v>D-S-SS</x:v>
      </x:c>
      <x:c r="E795" s="14" t="n">
        <x:v>10</x:v>
      </x:c>
      <x:c r="F795" s="2" t="str">
        <x:v>Mechanical assembly</x:v>
      </x:c>
      <x:c r="G795" s="9" t="str">
        <x:v>AS-03</x:v>
      </x:c>
      <x:c r="H795" s="15" t="n">
        <x:v>41</x:v>
      </x:c>
      <x:c r="I795" s="9" t="str">
        <x:v>P13</x:v>
      </x:c>
      <x:c r="J795" s="11" t="n">
        <x:v>46302.649305555555</x:v>
      </x:c>
      <x:c r="K795" s="15" t="n">
        <x:v>8</x:v>
      </x:c>
      <x:c r="L795" s="15" t="n">
        <x:v>18</x:v>
      </x:c>
      <x:c r="M795" s="13" t="n">
        <x:f>J795+(K795+L795)/1440</x:f>
        <x:v>46302.66736111111</x:v>
      </x:c>
      <x:c r="N795" s="13" t="n">
        <x:f>VLOOKUP(C795,'MES orders'!$A$8:$H$127,5,FALSE)</x:f>
        <x:v>46303.666666666664</x:v>
      </x:c>
      <x:c r="O795" s="16" t="n">
        <x:f>MAX(0,(M795-N795)*24)</x:f>
        <x:v>0</x:v>
      </x:c>
      <x:c r="P795" s="9" t="str">
        <x:v>No</x:v>
      </x:c>
      <x:c r="Q795" s="15" t="n">
        <x:v>26</x:v>
      </x:c>
      <x:c r="R795" s="13" t="n">
        <x:f>J795+Q795/1440</x:f>
        <x:v>46302.66736111111</x:v>
      </x:c>
      <x:c r="S795" s="2" t="str">
        <x:f>VLOOKUP(C795,'MES orders'!$A$8:$H$127,6,FALSE)</x:f>
        <x:v>Normal</x:v>
      </x:c>
      <x:c r="T795" s="9" t="str"/>
    </x:row>
    <x:row r="796" ht="22" customHeight="1">
      <x:c r="A796" s="2" t="str">
        <x:v>L00208-020</x:v>
      </x:c>
      <x:c r="B796" s="2" t="str">
        <x:v>L00208</x:v>
      </x:c>
      <x:c r="C796" s="2" t="str">
        <x:v>SO-26042</x:v>
      </x:c>
      <x:c r="D796" s="2" t="str">
        <x:v>S-L-SS</x:v>
      </x:c>
      <x:c r="E796" s="14" t="n">
        <x:v>25</x:v>
      </x:c>
      <x:c r="F796" s="2" t="str">
        <x:v>Deburr &amp; inspect</x:v>
      </x:c>
      <x:c r="G796" s="9" t="str">
        <x:v>DB-01</x:v>
      </x:c>
      <x:c r="H796" s="15" t="n">
        <x:v>77</x:v>
      </x:c>
      <x:c r="I796" s="9" t="str">
        <x:v>P18</x:v>
      </x:c>
      <x:c r="J796" s="11" t="n">
        <x:v>46302.65069444444</x:v>
      </x:c>
      <x:c r="K796" s="15" t="n">
        <x:v>4</x:v>
      </x:c>
      <x:c r="L796" s="15" t="n">
        <x:v>24</x:v>
      </x:c>
      <x:c r="M796" s="13" t="n">
        <x:f>J796+(K796+L796)/1440</x:f>
        <x:v>46302.67013888888</x:v>
      </x:c>
      <x:c r="N796" s="13" t="n">
        <x:f>VLOOKUP(C796,'MES orders'!$A$8:$H$127,5,FALSE)</x:f>
        <x:v>46303.666666666664</x:v>
      </x:c>
      <x:c r="O796" s="16" t="n">
        <x:f>MAX(0,(M796-N796)*24)</x:f>
        <x:v>0</x:v>
      </x:c>
      <x:c r="P796" s="9" t="str">
        <x:v>No</x:v>
      </x:c>
      <x:c r="Q796" s="15" t="n">
        <x:v>28</x:v>
      </x:c>
      <x:c r="R796" s="13" t="n">
        <x:f>J796+Q796/1440</x:f>
        <x:v>46302.67013888888</x:v>
      </x:c>
      <x:c r="S796" s="2" t="str">
        <x:f>VLOOKUP(C796,'MES orders'!$A$8:$H$127,6,FALSE)</x:f>
        <x:v>Normal</x:v>
      </x:c>
      <x:c r="T796" s="9" t="str"/>
    </x:row>
    <x:row r="797" ht="22" customHeight="1">
      <x:c r="A797" s="2" t="str">
        <x:v>L00014-020</x:v>
      </x:c>
      <x:c r="B797" s="2" t="str">
        <x:v>L00014</x:v>
      </x:c>
      <x:c r="C797" s="2" t="str">
        <x:v>SO-26003</x:v>
      </x:c>
      <x:c r="D797" s="2" t="str">
        <x:v>S-S-AL</x:v>
      </x:c>
      <x:c r="E797" s="14" t="n">
        <x:v>15</x:v>
      </x:c>
      <x:c r="F797" s="2" t="str">
        <x:v>Deburr &amp; inspect</x:v>
      </x:c>
      <x:c r="G797" s="9" t="str">
        <x:v>DB-02</x:v>
      </x:c>
      <x:c r="H797" s="15" t="n">
        <x:v>55</x:v>
      </x:c>
      <x:c r="I797" s="9" t="str">
        <x:v>P20</x:v>
      </x:c>
      <x:c r="J797" s="11" t="n">
        <x:v>46302.65069444444</x:v>
      </x:c>
      <x:c r="K797" s="15" t="n">
        <x:v>4</x:v>
      </x:c>
      <x:c r="L797" s="15" t="n">
        <x:v>10</x:v>
      </x:c>
      <x:c r="M797" s="13" t="n">
        <x:f>J797+(K797+L797)/1440</x:f>
        <x:v>46302.660416666666</x:v>
      </x:c>
      <x:c r="N797" s="13" t="n">
        <x:f>VLOOKUP(C797,'MES orders'!$A$8:$H$127,5,FALSE)</x:f>
        <x:v>46304.666666666664</x:v>
      </x:c>
      <x:c r="O797" s="16" t="n">
        <x:f>MAX(0,(M797-N797)*24)</x:f>
        <x:v>0</x:v>
      </x:c>
      <x:c r="P797" s="9" t="str">
        <x:v>No</x:v>
      </x:c>
      <x:c r="Q797" s="15" t="n">
        <x:v>14</x:v>
      </x:c>
      <x:c r="R797" s="13" t="n">
        <x:f>J797+Q797/1440</x:f>
        <x:v>46302.660416666666</x:v>
      </x:c>
      <x:c r="S797" s="2" t="str">
        <x:f>VLOOKUP(C797,'MES orders'!$A$8:$H$127,6,FALSE)</x:f>
        <x:v>Normal</x:v>
      </x:c>
      <x:c r="T797" s="9" t="str"/>
    </x:row>
    <x:row r="798" ht="22" customHeight="1">
      <x:c r="A798" s="2" t="str">
        <x:v>L00207-030</x:v>
      </x:c>
      <x:c r="B798" s="2" t="str">
        <x:v>L00207</x:v>
      </x:c>
      <x:c r="C798" s="2" t="str">
        <x:v>SO-26042</x:v>
      </x:c>
      <x:c r="D798" s="2" t="str">
        <x:v>S-L-SS</x:v>
      </x:c>
      <x:c r="E798" s="14" t="n">
        <x:v>25</x:v>
      </x:c>
      <x:c r="F798" s="2" t="str">
        <x:v>Wash &amp; dry</x:v>
      </x:c>
      <x:c r="G798" s="9" t="str">
        <x:v>WS-01</x:v>
      </x:c>
      <x:c r="H798" s="15" t="n">
        <x:v>73</x:v>
      </x:c>
      <x:c r="I798" s="9" t="str">
        <x:v>P17</x:v>
      </x:c>
      <x:c r="J798" s="11" t="n">
        <x:v>46302.65069444444</x:v>
      </x:c>
      <x:c r="K798" s="15" t="n">
        <x:v>12</x:v>
      </x:c>
      <x:c r="L798" s="15" t="n">
        <x:v>12</x:v>
      </x:c>
      <x:c r="M798" s="13" t="n">
        <x:f>J798+(K798+L798)/1440</x:f>
        <x:v>46302.66736111111</x:v>
      </x:c>
      <x:c r="N798" s="13" t="n">
        <x:f>VLOOKUP(C798,'MES orders'!$A$8:$H$127,5,FALSE)</x:f>
        <x:v>46303.666666666664</x:v>
      </x:c>
      <x:c r="O798" s="16" t="n">
        <x:f>MAX(0,(M798-N798)*24)</x:f>
        <x:v>0</x:v>
      </x:c>
      <x:c r="P798" s="9" t="str">
        <x:v>No</x:v>
      </x:c>
      <x:c r="Q798" s="15" t="n">
        <x:v>24</x:v>
      </x:c>
      <x:c r="R798" s="13" t="n">
        <x:f>J798+Q798/1440</x:f>
        <x:v>46302.66736111111</x:v>
      </x:c>
      <x:c r="S798" s="2" t="str">
        <x:f>VLOOKUP(C798,'MES orders'!$A$8:$H$127,6,FALSE)</x:f>
        <x:v>Normal</x:v>
      </x:c>
      <x:c r="T798" s="9" t="str"/>
    </x:row>
    <x:row r="799" ht="22" customHeight="1">
      <x:c r="A799" s="2" t="str">
        <x:v>L00288-030</x:v>
      </x:c>
      <x:c r="B799" s="2" t="str">
        <x:v>L00288</x:v>
      </x:c>
      <x:c r="C799" s="2" t="str">
        <x:v>SO-26058</x:v>
      </x:c>
      <x:c r="D799" s="2" t="str">
        <x:v>D-S-SS</x:v>
      </x:c>
      <x:c r="E799" s="14" t="n">
        <x:v>10</x:v>
      </x:c>
      <x:c r="F799" s="2" t="str">
        <x:v>Wash &amp; dry</x:v>
      </x:c>
      <x:c r="G799" s="9" t="str">
        <x:v>WS-02</x:v>
      </x:c>
      <x:c r="H799" s="15" t="n">
        <x:v>56</x:v>
      </x:c>
      <x:c r="I799" s="9" t="str">
        <x:v>P14</x:v>
      </x:c>
      <x:c r="J799" s="11" t="n">
        <x:v>46302.65069444444</x:v>
      </x:c>
      <x:c r="K799" s="15" t="n">
        <x:v>12</x:v>
      </x:c>
      <x:c r="L799" s="15" t="n">
        <x:v>4</x:v>
      </x:c>
      <x:c r="M799" s="13" t="n">
        <x:f>J799+(K799+L799)/1440</x:f>
        <x:v>46302.66180555555</x:v>
      </x:c>
      <x:c r="N799" s="13" t="n">
        <x:f>VLOOKUP(C799,'MES orders'!$A$8:$H$127,5,FALSE)</x:f>
        <x:v>46303.666666666664</x:v>
      </x:c>
      <x:c r="O799" s="16" t="n">
        <x:f>MAX(0,(M799-N799)*24)</x:f>
        <x:v>0</x:v>
      </x:c>
      <x:c r="P799" s="9" t="str">
        <x:v>No</x:v>
      </x:c>
      <x:c r="Q799" s="15" t="n">
        <x:v>16</x:v>
      </x:c>
      <x:c r="R799" s="13" t="n">
        <x:f>J799+Q799/1440</x:f>
        <x:v>46302.66180555555</x:v>
      </x:c>
      <x:c r="S799" s="2" t="str">
        <x:f>VLOOKUP(C799,'MES orders'!$A$8:$H$127,6,FALSE)</x:f>
        <x:v>Normal</x:v>
      </x:c>
      <x:c r="T799" s="9" t="str"/>
    </x:row>
    <x:row r="800" ht="22" customHeight="1">
      <x:c r="A800" s="2" t="str">
        <x:v>L00168-080</x:v>
      </x:c>
      <x:c r="B800" s="2" t="str">
        <x:v>L00168</x:v>
      </x:c>
      <x:c r="C800" s="2" t="str">
        <x:v>SO-26034</x:v>
      </x:c>
      <x:c r="D800" s="2" t="str">
        <x:v>S-S-SS</x:v>
      </x:c>
      <x:c r="E800" s="14" t="n">
        <x:v>10</x:v>
      </x:c>
      <x:c r="F800" s="2" t="str">
        <x:v>Final leak / function test</x:v>
      </x:c>
      <x:c r="G800" s="9" t="str">
        <x:v>QA-02</x:v>
      </x:c>
      <x:c r="H800" s="15" t="n">
        <x:v>54</x:v>
      </x:c>
      <x:c r="I800" s="9" t="str">
        <x:v>P23</x:v>
      </x:c>
      <x:c r="J800" s="11" t="n">
        <x:v>46302.65416666667</x:v>
      </x:c>
      <x:c r="K800" s="15" t="n">
        <x:v>10</x:v>
      </x:c>
      <x:c r="L800" s="15" t="n">
        <x:v>9</x:v>
      </x:c>
      <x:c r="M800" s="13" t="n">
        <x:f>J800+(K800+L800)/1440</x:f>
        <x:v>46302.66736111111</x:v>
      </x:c>
      <x:c r="N800" s="13" t="n">
        <x:f>VLOOKUP(C800,'MES orders'!$A$8:$H$127,5,FALSE)</x:f>
        <x:v>46303.666666666664</x:v>
      </x:c>
      <x:c r="O800" s="16" t="n">
        <x:f>MAX(0,(M800-N800)*24)</x:f>
        <x:v>0</x:v>
      </x:c>
      <x:c r="P800" s="9" t="str">
        <x:v>No</x:v>
      </x:c>
      <x:c r="Q800" s="15" t="n">
        <x:v>19</x:v>
      </x:c>
      <x:c r="R800" s="13" t="n">
        <x:f>J800+Q800/1440</x:f>
        <x:v>46302.66736111111</x:v>
      </x:c>
      <x:c r="S800" s="2" t="str">
        <x:f>VLOOKUP(C800,'MES orders'!$A$8:$H$127,6,FALSE)</x:f>
        <x:v>Normal</x:v>
      </x:c>
      <x:c r="T800" s="9" t="str"/>
    </x:row>
    <x:row r="801" ht="22" customHeight="1">
      <x:c r="A801" s="2" t="str">
        <x:v>L00169-080</x:v>
      </x:c>
      <x:c r="B801" s="2" t="str">
        <x:v>L00169</x:v>
      </x:c>
      <x:c r="C801" s="2" t="str">
        <x:v>SO-26034</x:v>
      </x:c>
      <x:c r="D801" s="2" t="str">
        <x:v>S-S-SS</x:v>
      </x:c>
      <x:c r="E801" s="14" t="n">
        <x:v>10</x:v>
      </x:c>
      <x:c r="F801" s="2" t="str">
        <x:v>Final leak / function test</x:v>
      </x:c>
      <x:c r="G801" s="9" t="str">
        <x:v>QA-03</x:v>
      </x:c>
      <x:c r="H801" s="15" t="n">
        <x:v>37</x:v>
      </x:c>
      <x:c r="I801" s="9" t="str">
        <x:v>P24</x:v>
      </x:c>
      <x:c r="J801" s="11" t="n">
        <x:v>46302.65416666667</x:v>
      </x:c>
      <x:c r="K801" s="15" t="n">
        <x:v>10</x:v>
      </x:c>
      <x:c r="L801" s="15" t="n">
        <x:v>9</x:v>
      </x:c>
      <x:c r="M801" s="13" t="n">
        <x:f>J801+(K801+L801)/1440</x:f>
        <x:v>46302.66736111111</x:v>
      </x:c>
      <x:c r="N801" s="13" t="n">
        <x:f>VLOOKUP(C801,'MES orders'!$A$8:$H$127,5,FALSE)</x:f>
        <x:v>46303.666666666664</x:v>
      </x:c>
      <x:c r="O801" s="16" t="n">
        <x:f>MAX(0,(M801-N801)*24)</x:f>
        <x:v>0</x:v>
      </x:c>
      <x:c r="P801" s="9" t="str">
        <x:v>No</x:v>
      </x:c>
      <x:c r="Q801" s="15" t="n">
        <x:v>19</x:v>
      </x:c>
      <x:c r="R801" s="13" t="n">
        <x:f>J801+Q801/1440</x:f>
        <x:v>46302.66736111111</x:v>
      </x:c>
      <x:c r="S801" s="2" t="str">
        <x:f>VLOOKUP(C801,'MES orders'!$A$8:$H$127,6,FALSE)</x:f>
        <x:v>Normal</x:v>
      </x:c>
      <x:c r="T801" s="9" t="str"/>
    </x:row>
    <x:row r="802" ht="22" customHeight="1">
      <x:c r="A802" s="2" t="str">
        <x:v>L00015-020</x:v>
      </x:c>
      <x:c r="B802" s="2" t="str">
        <x:v>L00015</x:v>
      </x:c>
      <x:c r="C802" s="2" t="str">
        <x:v>SO-26003</x:v>
      </x:c>
      <x:c r="D802" s="2" t="str">
        <x:v>S-S-AL</x:v>
      </x:c>
      <x:c r="E802" s="14" t="n">
        <x:v>15</x:v>
      </x:c>
      <x:c r="F802" s="2" t="str">
        <x:v>Deburr &amp; inspect</x:v>
      </x:c>
      <x:c r="G802" s="9" t="str">
        <x:v>DB-02</x:v>
      </x:c>
      <x:c r="H802" s="15" t="n">
        <x:v>56</x:v>
      </x:c>
      <x:c r="I802" s="9" t="str">
        <x:v>P19</x:v>
      </x:c>
      <x:c r="J802" s="11" t="n">
        <x:v>46302.660416666666</x:v>
      </x:c>
      <x:c r="K802" s="15" t="n">
        <x:v>4</x:v>
      </x:c>
      <x:c r="L802" s="15" t="n">
        <x:v>10</x:v>
      </x:c>
      <x:c r="M802" s="13" t="n">
        <x:f>J802+(K802+L802)/1440</x:f>
        <x:v>46302.67013888889</x:v>
      </x:c>
      <x:c r="N802" s="13" t="n">
        <x:f>VLOOKUP(C802,'MES orders'!$A$8:$H$127,5,FALSE)</x:f>
        <x:v>46304.666666666664</x:v>
      </x:c>
      <x:c r="O802" s="16" t="n">
        <x:f>MAX(0,(M802-N802)*24)</x:f>
        <x:v>0</x:v>
      </x:c>
      <x:c r="P802" s="9" t="str">
        <x:v>No</x:v>
      </x:c>
      <x:c r="Q802" s="15" t="n">
        <x:v>14</x:v>
      </x:c>
      <x:c r="R802" s="13" t="n">
        <x:f>J802+Q802/1440</x:f>
        <x:v>46302.67013888889</x:v>
      </x:c>
      <x:c r="S802" s="2" t="str">
        <x:f>VLOOKUP(C802,'MES orders'!$A$8:$H$127,6,FALSE)</x:f>
        <x:v>Normal</x:v>
      </x:c>
      <x:c r="T802" s="9" t="str"/>
    </x:row>
    <x:row r="803" ht="22" customHeight="1">
      <x:c r="A803" s="2" t="str">
        <x:v>L00288-040</x:v>
      </x:c>
      <x:c r="B803" s="2" t="str">
        <x:v>L00288</x:v>
      </x:c>
      <x:c r="C803" s="2" t="str">
        <x:v>SO-26058</x:v>
      </x:c>
      <x:c r="D803" s="2" t="str">
        <x:v>D-S-SS</x:v>
      </x:c>
      <x:c r="E803" s="14" t="n">
        <x:v>10</x:v>
      </x:c>
      <x:c r="F803" s="2" t="str">
        <x:v>Mechanical assembly</x:v>
      </x:c>
      <x:c r="G803" s="9" t="str">
        <x:v>AS-04</x:v>
      </x:c>
      <x:c r="H803" s="15" t="n">
        <x:v>26</x:v>
      </x:c>
      <x:c r="I803" s="9" t="str">
        <x:v>P14</x:v>
      </x:c>
      <x:c r="J803" s="11" t="n">
        <x:v>46302.66180555556</x:v>
      </x:c>
      <x:c r="K803" s="15" t="n">
        <x:v>8</x:v>
      </x:c>
      <x:c r="L803" s="15" t="n">
        <x:v>18</x:v>
      </x:c>
      <x:c r="M803" s="13" t="n">
        <x:f>J803+(K803+L803)/1440</x:f>
        <x:v>46302.679861111115</x:v>
      </x:c>
      <x:c r="N803" s="13" t="n">
        <x:f>VLOOKUP(C803,'MES orders'!$A$8:$H$127,5,FALSE)</x:f>
        <x:v>46303.666666666664</x:v>
      </x:c>
      <x:c r="O803" s="16" t="n">
        <x:f>MAX(0,(M803-N803)*24)</x:f>
        <x:v>0</x:v>
      </x:c>
      <x:c r="P803" s="9" t="str">
        <x:v>No</x:v>
      </x:c>
      <x:c r="Q803" s="15" t="n">
        <x:v>26</x:v>
      </x:c>
      <x:c r="R803" s="13" t="n">
        <x:f>J803+Q803/1440</x:f>
        <x:v>46302.679861111115</x:v>
      </x:c>
      <x:c r="S803" s="2" t="str">
        <x:f>VLOOKUP(C803,'MES orders'!$A$8:$H$127,6,FALSE)</x:f>
        <x:v>Normal</x:v>
      </x:c>
      <x:c r="T803" s="9" t="str"/>
    </x:row>
    <x:row r="804" ht="22" customHeight="1">
      <x:c r="A804" s="2" t="str">
        <x:v>L00012-070</x:v>
      </x:c>
      <x:c r="B804" s="2" t="str">
        <x:v>L00012</x:v>
      </x:c>
      <x:c r="C804" s="2" t="str">
        <x:v>SO-26003</x:v>
      </x:c>
      <x:c r="D804" s="2" t="str">
        <x:v>S-S-AL</x:v>
      </x:c>
      <x:c r="E804" s="14" t="n">
        <x:v>15</x:v>
      </x:c>
      <x:c r="F804" s="2" t="str">
        <x:v>Final assembly</x:v>
      </x:c>
      <x:c r="G804" s="9" t="str">
        <x:v>AS-05</x:v>
      </x:c>
      <x:c r="H804" s="15" t="n">
        <x:v>21</x:v>
      </x:c>
      <x:c r="I804" s="9" t="str">
        <x:v>P20</x:v>
      </x:c>
      <x:c r="J804" s="11" t="n">
        <x:v>46302.66180555556</x:v>
      </x:c>
      <x:c r="K804" s="15" t="n">
        <x:v>5</x:v>
      </x:c>
      <x:c r="L804" s="15" t="n">
        <x:v>12</x:v>
      </x:c>
      <x:c r="M804" s="13" t="n">
        <x:f>J804+(K804+L804)/1440</x:f>
        <x:v>46302.67361111112</x:v>
      </x:c>
      <x:c r="N804" s="13" t="n">
        <x:f>VLOOKUP(C804,'MES orders'!$A$8:$H$127,5,FALSE)</x:f>
        <x:v>46304.666666666664</x:v>
      </x:c>
      <x:c r="O804" s="16" t="n">
        <x:f>MAX(0,(M804-N804)*24)</x:f>
        <x:v>0</x:v>
      </x:c>
      <x:c r="P804" s="9" t="str">
        <x:v>No</x:v>
      </x:c>
      <x:c r="Q804" s="15" t="n">
        <x:v>17</x:v>
      </x:c>
      <x:c r="R804" s="13" t="n">
        <x:f>J804+Q804/1440</x:f>
        <x:v>46302.67361111112</x:v>
      </x:c>
      <x:c r="S804" s="2" t="str">
        <x:f>VLOOKUP(C804,'MES orders'!$A$8:$H$127,6,FALSE)</x:f>
        <x:v>Normal</x:v>
      </x:c>
      <x:c r="T804" s="9" t="str"/>
    </x:row>
    <x:row r="805" ht="22" customHeight="1">
      <x:c r="A805" s="2" t="str">
        <x:v>L00013-060</x:v>
      </x:c>
      <x:c r="B805" s="2" t="str">
        <x:v>L00013</x:v>
      </x:c>
      <x:c r="C805" s="2" t="str">
        <x:v>SO-26003</x:v>
      </x:c>
      <x:c r="D805" s="2" t="str">
        <x:v>S-S-AL</x:v>
      </x:c>
      <x:c r="E805" s="14" t="n">
        <x:v>15</x:v>
      </x:c>
      <x:c r="F805" s="2" t="str">
        <x:v>Sensor calibration</x:v>
      </x:c>
      <x:c r="G805" s="9" t="str">
        <x:v>CAL-01</x:v>
      </x:c>
      <x:c r="H805" s="15" t="n">
        <x:v>33</x:v>
      </x:c>
      <x:c r="I805" s="9" t="str">
        <x:v>P21</x:v>
      </x:c>
      <x:c r="J805" s="11" t="n">
        <x:v>46302.66180555556</x:v>
      </x:c>
      <x:c r="K805" s="15" t="n">
        <x:v>10</x:v>
      </x:c>
      <x:c r="L805" s="15" t="n">
        <x:v>20</x:v>
      </x:c>
      <x:c r="M805" s="13" t="n">
        <x:f>J805+(K805+L805)/1440</x:f>
        <x:v>46302.682638888895</x:v>
      </x:c>
      <x:c r="N805" s="13" t="n">
        <x:f>VLOOKUP(C805,'MES orders'!$A$8:$H$127,5,FALSE)</x:f>
        <x:v>46304.666666666664</x:v>
      </x:c>
      <x:c r="O805" s="16" t="n">
        <x:f>MAX(0,(M805-N805)*24)</x:f>
        <x:v>0</x:v>
      </x:c>
      <x:c r="P805" s="9" t="str">
        <x:v>No</x:v>
      </x:c>
      <x:c r="Q805" s="15" t="n">
        <x:v>30</x:v>
      </x:c>
      <x:c r="R805" s="13" t="n">
        <x:f>J805+Q805/1440</x:f>
        <x:v>46302.682638888895</x:v>
      </x:c>
      <x:c r="S805" s="2" t="str">
        <x:f>VLOOKUP(C805,'MES orders'!$A$8:$H$127,6,FALSE)</x:f>
        <x:v>Normal</x:v>
      </x:c>
      <x:c r="T805" s="9" t="str"/>
    </x:row>
    <x:row r="806" ht="22" customHeight="1">
      <x:c r="A806" s="2" t="str">
        <x:v>L00327-010</x:v>
      </x:c>
      <x:c r="B806" s="2" t="str">
        <x:v>L00327</x:v>
      </x:c>
      <x:c r="C806" s="2" t="str">
        <x:v>SO-26066</x:v>
      </x:c>
      <x:c r="D806" s="2" t="str">
        <x:v>D-L-SS</x:v>
      </x:c>
      <x:c r="E806" s="14" t="n">
        <x:v>15</x:v>
      </x:c>
      <x:c r="F806" s="2" t="str">
        <x:v>CNC machining</x:v>
      </x:c>
      <x:c r="G806" s="9" t="str">
        <x:v>CNC-04</x:v>
      </x:c>
      <x:c r="H806" s="15" t="n">
        <x:v>25</x:v>
      </x:c>
      <x:c r="I806" s="9" t="str">
        <x:v>P15</x:v>
      </x:c>
      <x:c r="J806" s="11" t="n">
        <x:v>46302.66388888889</x:v>
      </x:c>
      <x:c r="K806" s="15" t="n">
        <x:v>18</x:v>
      </x:c>
      <x:c r="L806" s="15" t="n">
        <x:v>61</x:v>
      </x:c>
      <x:c r="M806" s="13" t="n">
        <x:f>J806+(K806+L806)/1440</x:f>
        <x:v>46302.71875</x:v>
      </x:c>
      <x:c r="N806" s="13" t="n">
        <x:f>VLOOKUP(C806,'MES orders'!$A$8:$H$127,5,FALSE)</x:f>
        <x:v>46303.666666666664</x:v>
      </x:c>
      <x:c r="O806" s="16" t="n">
        <x:f>MAX(0,(M806-N806)*24)</x:f>
        <x:v>0</x:v>
      </x:c>
      <x:c r="P806" s="9" t="str">
        <x:v>No</x:v>
      </x:c>
      <x:c r="Q806" s="15" t="n">
        <x:v>18</x:v>
      </x:c>
      <x:c r="R806" s="13" t="n">
        <x:f>J806+Q806/1440</x:f>
        <x:v>46302.67638888889</x:v>
      </x:c>
      <x:c r="S806" s="2" t="str">
        <x:f>VLOOKUP(C806,'MES orders'!$A$8:$H$127,6,FALSE)</x:f>
        <x:v>Normal</x:v>
      </x:c>
      <x:c r="T806" s="9" t="str"/>
    </x:row>
    <x:row r="807" ht="22" customHeight="1">
      <x:c r="A807" s="2" t="str">
        <x:v>L00207-040</x:v>
      </x:c>
      <x:c r="B807" s="2" t="str">
        <x:v>L00207</x:v>
      </x:c>
      <x:c r="C807" s="2" t="str">
        <x:v>SO-26042</x:v>
      </x:c>
      <x:c r="D807" s="2" t="str">
        <x:v>S-L-SS</x:v>
      </x:c>
      <x:c r="E807" s="14" t="n">
        <x:v>25</x:v>
      </x:c>
      <x:c r="F807" s="2" t="str">
        <x:v>Mechanical preassembly</x:v>
      </x:c>
      <x:c r="G807" s="9" t="str">
        <x:v>AS-01</x:v>
      </x:c>
      <x:c r="H807" s="15" t="n">
        <x:v>66</x:v>
      </x:c>
      <x:c r="I807" s="9" t="str">
        <x:v>P17</x:v>
      </x:c>
      <x:c r="J807" s="11" t="n">
        <x:v>46302.66736111111</x:v>
      </x:c>
      <x:c r="K807" s="15" t="n">
        <x:v>6</x:v>
      </x:c>
      <x:c r="L807" s="15" t="n">
        <x:v>37</x:v>
      </x:c>
      <x:c r="M807" s="13" t="n">
        <x:f>J807+(K807+L807)/1440</x:f>
        <x:v>46302.697222222225</x:v>
      </x:c>
      <x:c r="N807" s="13" t="n">
        <x:f>VLOOKUP(C807,'MES orders'!$A$8:$H$127,5,FALSE)</x:f>
        <x:v>46303.666666666664</x:v>
      </x:c>
      <x:c r="O807" s="16" t="n">
        <x:f>MAX(0,(M807-N807)*24)</x:f>
        <x:v>0</x:v>
      </x:c>
      <x:c r="P807" s="9" t="str">
        <x:v>No</x:v>
      </x:c>
      <x:c r="Q807" s="15" t="n">
        <x:v>43</x:v>
      </x:c>
      <x:c r="R807" s="13" t="n">
        <x:f>J807+Q807/1440</x:f>
        <x:v>46302.697222222225</x:v>
      </x:c>
      <x:c r="S807" s="2" t="str">
        <x:f>VLOOKUP(C807,'MES orders'!$A$8:$H$127,6,FALSE)</x:f>
        <x:v>Normal</x:v>
      </x:c>
      <x:c r="T807" s="9" t="str"/>
    </x:row>
    <x:row r="808" ht="22" customHeight="1">
      <x:c r="A808" s="2" t="str">
        <x:v>L00328-010</x:v>
      </x:c>
      <x:c r="B808" s="2" t="str">
        <x:v>L00328</x:v>
      </x:c>
      <x:c r="C808" s="2" t="str">
        <x:v>SO-26066</x:v>
      </x:c>
      <x:c r="D808" s="2" t="str">
        <x:v>D-L-SS</x:v>
      </x:c>
      <x:c r="E808" s="14" t="n">
        <x:v>15</x:v>
      </x:c>
      <x:c r="F808" s="2" t="str">
        <x:v>CNC machining</x:v>
      </x:c>
      <x:c r="G808" s="9" t="str">
        <x:v>CNC-03</x:v>
      </x:c>
      <x:c r="H808" s="15" t="n">
        <x:v>24</x:v>
      </x:c>
      <x:c r="I808" s="9" t="str">
        <x:v>P13</x:v>
      </x:c>
      <x:c r="J808" s="11" t="n">
        <x:v>46302.66736111111</x:v>
      </x:c>
      <x:c r="K808" s="15" t="n">
        <x:v>18</x:v>
      </x:c>
      <x:c r="L808" s="15" t="n">
        <x:v>61</x:v>
      </x:c>
      <x:c r="M808" s="13" t="n">
        <x:f>J808+(K808+L808)/1440</x:f>
        <x:v>46302.72222222222</x:v>
      </x:c>
      <x:c r="N808" s="13" t="n">
        <x:f>VLOOKUP(C808,'MES orders'!$A$8:$H$127,5,FALSE)</x:f>
        <x:v>46303.666666666664</x:v>
      </x:c>
      <x:c r="O808" s="16" t="n">
        <x:f>MAX(0,(M808-N808)*24)</x:f>
        <x:v>0</x:v>
      </x:c>
      <x:c r="P808" s="9" t="str">
        <x:v>No</x:v>
      </x:c>
      <x:c r="Q808" s="15" t="n">
        <x:v>18</x:v>
      </x:c>
      <x:c r="R808" s="13" t="n">
        <x:f>J808+Q808/1440</x:f>
        <x:v>46302.67986111111</x:v>
      </x:c>
      <x:c r="S808" s="2" t="str">
        <x:f>VLOOKUP(C808,'MES orders'!$A$8:$H$127,6,FALSE)</x:f>
        <x:v>Normal</x:v>
      </x:c>
      <x:c r="T808" s="9" t="str"/>
    </x:row>
    <x:row r="809" ht="22" customHeight="1">
      <x:c r="A809" s="2" t="str">
        <x:v>L00287-050</x:v>
      </x:c>
      <x:c r="B809" s="2" t="str">
        <x:v>L00287</x:v>
      </x:c>
      <x:c r="C809" s="2" t="str">
        <x:v>SO-26058</x:v>
      </x:c>
      <x:c r="D809" s="2" t="str">
        <x:v>D-S-SS</x:v>
      </x:c>
      <x:c r="E809" s="14" t="n">
        <x:v>10</x:v>
      </x:c>
      <x:c r="F809" s="2" t="str">
        <x:v>Final leak / function test</x:v>
      </x:c>
      <x:c r="G809" s="9" t="str">
        <x:v>QA-01</x:v>
      </x:c>
      <x:c r="H809" s="15" t="n">
        <x:v>31</x:v>
      </x:c>
      <x:c r="I809" s="9" t="str">
        <x:v>P24</x:v>
      </x:c>
      <x:c r="J809" s="11" t="n">
        <x:v>46302.66736111111</x:v>
      </x:c>
      <x:c r="K809" s="15" t="n">
        <x:v>10</x:v>
      </x:c>
      <x:c r="L809" s="15" t="n">
        <x:v>9</x:v>
      </x:c>
      <x:c r="M809" s="13" t="n">
        <x:f>J809+(K809+L809)/1440</x:f>
        <x:v>46302.680555555555</x:v>
      </x:c>
      <x:c r="N809" s="13" t="n">
        <x:f>VLOOKUP(C809,'MES orders'!$A$8:$H$127,5,FALSE)</x:f>
        <x:v>46303.666666666664</x:v>
      </x:c>
      <x:c r="O809" s="16" t="n">
        <x:f>MAX(0,(M809-N809)*24)</x:f>
        <x:v>0</x:v>
      </x:c>
      <x:c r="P809" s="9" t="str">
        <x:v>No</x:v>
      </x:c>
      <x:c r="Q809" s="15" t="n">
        <x:v>19</x:v>
      </x:c>
      <x:c r="R809" s="13" t="n">
        <x:f>J809+Q809/1440</x:f>
        <x:v>46302.680555555555</x:v>
      </x:c>
      <x:c r="S809" s="2" t="str">
        <x:f>VLOOKUP(C809,'MES orders'!$A$8:$H$127,6,FALSE)</x:f>
        <x:v>Normal</x:v>
      </x:c>
      <x:c r="T809" s="9" t="str"/>
    </x:row>
    <x:row r="810" ht="22" customHeight="1">
      <x:c r="A810" s="2" t="str">
        <x:v>L00170-080</x:v>
      </x:c>
      <x:c r="B810" s="2" t="str">
        <x:v>L00170</x:v>
      </x:c>
      <x:c r="C810" s="2" t="str">
        <x:v>SO-26034</x:v>
      </x:c>
      <x:c r="D810" s="2" t="str">
        <x:v>S-S-SS</x:v>
      </x:c>
      <x:c r="E810" s="14" t="n">
        <x:v>10</x:v>
      </x:c>
      <x:c r="F810" s="2" t="str">
        <x:v>Final leak / function test</x:v>
      </x:c>
      <x:c r="G810" s="9" t="str">
        <x:v>QA-02</x:v>
      </x:c>
      <x:c r="H810" s="15" t="n">
        <x:v>55</x:v>
      </x:c>
      <x:c r="I810" s="9" t="str">
        <x:v>P23</x:v>
      </x:c>
      <x:c r="J810" s="11" t="n">
        <x:v>46302.66736111111</x:v>
      </x:c>
      <x:c r="K810" s="15" t="n">
        <x:v>10</x:v>
      </x:c>
      <x:c r="L810" s="15" t="n">
        <x:v>9</x:v>
      </x:c>
      <x:c r="M810" s="13" t="n">
        <x:f>J810+(K810+L810)/1440</x:f>
        <x:v>46302.680555555555</x:v>
      </x:c>
      <x:c r="N810" s="13" t="n">
        <x:f>VLOOKUP(C810,'MES orders'!$A$8:$H$127,5,FALSE)</x:f>
        <x:v>46303.666666666664</x:v>
      </x:c>
      <x:c r="O810" s="16" t="n">
        <x:f>MAX(0,(M810-N810)*24)</x:f>
        <x:v>0</x:v>
      </x:c>
      <x:c r="P810" s="9" t="str">
        <x:v>No</x:v>
      </x:c>
      <x:c r="Q810" s="15" t="n">
        <x:v>19</x:v>
      </x:c>
      <x:c r="R810" s="13" t="n">
        <x:f>J810+Q810/1440</x:f>
        <x:v>46302.680555555555</x:v>
      </x:c>
      <x:c r="S810" s="2" t="str">
        <x:f>VLOOKUP(C810,'MES orders'!$A$8:$H$127,6,FALSE)</x:f>
        <x:v>Normal</x:v>
      </x:c>
      <x:c r="T810" s="9" t="str"/>
    </x:row>
    <x:row r="811" ht="22" customHeight="1">
      <x:c r="A811" s="2" t="str">
        <x:v>L00208-030</x:v>
      </x:c>
      <x:c r="B811" s="2" t="str">
        <x:v>L00208</x:v>
      </x:c>
      <x:c r="C811" s="2" t="str">
        <x:v>SO-26042</x:v>
      </x:c>
      <x:c r="D811" s="2" t="str">
        <x:v>S-L-SS</x:v>
      </x:c>
      <x:c r="E811" s="14" t="n">
        <x:v>25</x:v>
      </x:c>
      <x:c r="F811" s="2" t="str">
        <x:v>Wash &amp; dry</x:v>
      </x:c>
      <x:c r="G811" s="9" t="str">
        <x:v>WS-01</x:v>
      </x:c>
      <x:c r="H811" s="15" t="n">
        <x:v>74</x:v>
      </x:c>
      <x:c r="I811" s="9" t="str">
        <x:v>P18</x:v>
      </x:c>
      <x:c r="J811" s="11" t="n">
        <x:v>46302.67013888889</x:v>
      </x:c>
      <x:c r="K811" s="15" t="n">
        <x:v>12</x:v>
      </x:c>
      <x:c r="L811" s="15" t="n">
        <x:v>12</x:v>
      </x:c>
      <x:c r="M811" s="13" t="n">
        <x:f>J811+(K811+L811)/1440</x:f>
        <x:v>46302.68680555556</x:v>
      </x:c>
      <x:c r="N811" s="13" t="n">
        <x:f>VLOOKUP(C811,'MES orders'!$A$8:$H$127,5,FALSE)</x:f>
        <x:v>46303.666666666664</x:v>
      </x:c>
      <x:c r="O811" s="16" t="n">
        <x:f>MAX(0,(M811-N811)*24)</x:f>
        <x:v>0</x:v>
      </x:c>
      <x:c r="P811" s="9" t="str">
        <x:v>No</x:v>
      </x:c>
      <x:c r="Q811" s="15" t="n">
        <x:v>24</x:v>
      </x:c>
      <x:c r="R811" s="13" t="n">
        <x:f>J811+Q811/1440</x:f>
        <x:v>46302.68680555556</x:v>
      </x:c>
      <x:c r="S811" s="2" t="str">
        <x:f>VLOOKUP(C811,'MES orders'!$A$8:$H$127,6,FALSE)</x:f>
        <x:v>Normal</x:v>
      </x:c>
      <x:c r="T811" s="9" t="str"/>
    </x:row>
    <x:row r="812" ht="22" customHeight="1">
      <x:c r="A812" s="2" t="str">
        <x:v>L00286-020</x:v>
      </x:c>
      <x:c r="B812" s="2" t="str">
        <x:v>L00286</x:v>
      </x:c>
      <x:c r="C812" s="2" t="str">
        <x:v>SO-26058</x:v>
      </x:c>
      <x:c r="D812" s="2" t="str">
        <x:v>D-S-SS</x:v>
      </x:c>
      <x:c r="E812" s="14" t="n">
        <x:v>10</x:v>
      </x:c>
      <x:c r="F812" s="2" t="str">
        <x:v>Deburr &amp; inspect</x:v>
      </x:c>
      <x:c r="G812" s="9" t="str">
        <x:v>DB-01</x:v>
      </x:c>
      <x:c r="H812" s="15" t="n">
        <x:v>78</x:v>
      </x:c>
      <x:c r="I812" s="9" t="str">
        <x:v>P16</x:v>
      </x:c>
      <x:c r="J812" s="11" t="n">
        <x:v>46302.67291666667</x:v>
      </x:c>
      <x:c r="K812" s="15" t="n">
        <x:v>4</x:v>
      </x:c>
      <x:c r="L812" s="15" t="n">
        <x:v>7</x:v>
      </x:c>
      <x:c r="M812" s="13" t="n">
        <x:f>J812+(K812+L812)/1440</x:f>
        <x:v>46302.68055555556</x:v>
      </x:c>
      <x:c r="N812" s="13" t="n">
        <x:f>VLOOKUP(C812,'MES orders'!$A$8:$H$127,5,FALSE)</x:f>
        <x:v>46303.666666666664</x:v>
      </x:c>
      <x:c r="O812" s="16" t="n">
        <x:f>MAX(0,(M812-N812)*24)</x:f>
        <x:v>0</x:v>
      </x:c>
      <x:c r="P812" s="9" t="str">
        <x:v>No</x:v>
      </x:c>
      <x:c r="Q812" s="15" t="n">
        <x:v>11</x:v>
      </x:c>
      <x:c r="R812" s="13" t="n">
        <x:f>J812+Q812/1440</x:f>
        <x:v>46302.68055555556</x:v>
      </x:c>
      <x:c r="S812" s="2" t="str">
        <x:f>VLOOKUP(C812,'MES orders'!$A$8:$H$127,6,FALSE)</x:f>
        <x:v>Normal</x:v>
      </x:c>
      <x:c r="T812" s="9" t="str"/>
    </x:row>
    <x:row r="813" ht="22" customHeight="1">
      <x:c r="A813" s="2" t="str">
        <x:v>L00206-050</x:v>
      </x:c>
      <x:c r="B813" s="2" t="str">
        <x:v>L00206</x:v>
      </x:c>
      <x:c r="C813" s="2" t="str">
        <x:v>SO-26042</x:v>
      </x:c>
      <x:c r="D813" s="2" t="str">
        <x:v>S-L-SS</x:v>
      </x:c>
      <x:c r="E813" s="14" t="n">
        <x:v>25</x:v>
      </x:c>
      <x:c r="F813" s="2" t="str">
        <x:v>Sensor installation</x:v>
      </x:c>
      <x:c r="G813" s="9" t="str">
        <x:v>EL-01</x:v>
      </x:c>
      <x:c r="H813" s="15" t="n">
        <x:v>24</x:v>
      </x:c>
      <x:c r="I813" s="9" t="str">
        <x:v>P19</x:v>
      </x:c>
      <x:c r="J813" s="11" t="n">
        <x:v>46302.67291666667</x:v>
      </x:c>
      <x:c r="K813" s="15" t="n">
        <x:v>8</x:v>
      </x:c>
      <x:c r="L813" s="15" t="n">
        <x:v>40</x:v>
      </x:c>
      <x:c r="M813" s="13" t="n">
        <x:f>J813+(K813+L813)/1440</x:f>
        <x:v>46302.70625</x:v>
      </x:c>
      <x:c r="N813" s="13" t="n">
        <x:f>VLOOKUP(C813,'MES orders'!$A$8:$H$127,5,FALSE)</x:f>
        <x:v>46303.666666666664</x:v>
      </x:c>
      <x:c r="O813" s="16" t="n">
        <x:f>MAX(0,(M813-N813)*24)</x:f>
        <x:v>0</x:v>
      </x:c>
      <x:c r="P813" s="9" t="str">
        <x:v>No</x:v>
      </x:c>
      <x:c r="Q813" s="15" t="n">
        <x:v>48</x:v>
      </x:c>
      <x:c r="R813" s="13" t="n">
        <x:f>J813+Q813/1440</x:f>
        <x:v>46302.70625</x:v>
      </x:c>
      <x:c r="S813" s="2" t="str">
        <x:f>VLOOKUP(C813,'MES orders'!$A$8:$H$127,6,FALSE)</x:f>
        <x:v>Normal</x:v>
      </x:c>
      <x:c r="T813" s="9" t="str"/>
    </x:row>
    <x:row r="814" ht="22" customHeight="1">
      <x:c r="A814" s="2" t="str">
        <x:v>L00329-010</x:v>
      </x:c>
      <x:c r="B814" s="2" t="str">
        <x:v>L00329</x:v>
      </x:c>
      <x:c r="C814" s="2" t="str">
        <x:v>SO-26066</x:v>
      </x:c>
      <x:c r="D814" s="2" t="str">
        <x:v>D-L-SS</x:v>
      </x:c>
      <x:c r="E814" s="14" t="n">
        <x:v>15</x:v>
      </x:c>
      <x:c r="F814" s="2" t="str">
        <x:v>CNC machining</x:v>
      </x:c>
      <x:c r="G814" s="9" t="str">
        <x:v>CNC-05</x:v>
      </x:c>
      <x:c r="H814" s="15" t="n">
        <x:v>22</x:v>
      </x:c>
      <x:c r="I814" s="9" t="str">
        <x:v>P15</x:v>
      </x:c>
      <x:c r="J814" s="11" t="n">
        <x:v>46302.67638888889</x:v>
      </x:c>
      <x:c r="K814" s="15" t="n">
        <x:v>18</x:v>
      </x:c>
      <x:c r="L814" s="15" t="n">
        <x:v>61</x:v>
      </x:c>
      <x:c r="M814" s="13" t="n">
        <x:f>J814+(K814+L814)/1440</x:f>
        <x:v>46302.73125</x:v>
      </x:c>
      <x:c r="N814" s="13" t="n">
        <x:f>VLOOKUP(C814,'MES orders'!$A$8:$H$127,5,FALSE)</x:f>
        <x:v>46303.666666666664</x:v>
      </x:c>
      <x:c r="O814" s="16" t="n">
        <x:f>MAX(0,(M814-N814)*24)</x:f>
        <x:v>0</x:v>
      </x:c>
      <x:c r="P814" s="9" t="str">
        <x:v>No</x:v>
      </x:c>
      <x:c r="Q814" s="15" t="n">
        <x:v>18</x:v>
      </x:c>
      <x:c r="R814" s="13" t="n">
        <x:f>J814+Q814/1440</x:f>
        <x:v>46302.688888888886</x:v>
      </x:c>
      <x:c r="S814" s="2" t="str">
        <x:f>VLOOKUP(C814,'MES orders'!$A$8:$H$127,6,FALSE)</x:f>
        <x:v>Normal</x:v>
      </x:c>
      <x:c r="T814" s="9" t="str"/>
    </x:row>
    <x:row r="815" ht="22" customHeight="1">
      <x:c r="A815" s="2" t="str">
        <x:v>L00092-010</x:v>
      </x:c>
      <x:c r="B815" s="2" t="str">
        <x:v>L00092</x:v>
      </x:c>
      <x:c r="C815" s="2" t="str">
        <x:v>SO-26019</x:v>
      </x:c>
      <x:c r="D815" s="2" t="str">
        <x:v>D-C-AL</x:v>
      </x:c>
      <x:c r="E815" s="14" t="n">
        <x:v>5</x:v>
      </x:c>
      <x:c r="F815" s="2" t="str">
        <x:v>CNC machining</x:v>
      </x:c>
      <x:c r="G815" s="9" t="str">
        <x:v>CNC-01</x:v>
      </x:c>
      <x:c r="H815" s="15" t="n">
        <x:v>30</x:v>
      </x:c>
      <x:c r="I815" s="9" t="str">
        <x:v>P14</x:v>
      </x:c>
      <x:c r="J815" s="11" t="n">
        <x:v>46302.67986111111</x:v>
      </x:c>
      <x:c r="K815" s="15" t="n">
        <x:v>18</x:v>
      </x:c>
      <x:c r="L815" s="15" t="n">
        <x:v>10</x:v>
      </x:c>
      <x:c r="M815" s="13" t="n">
        <x:f>J815+(K815+L815)/1440</x:f>
        <x:v>46302.69930555555</x:v>
      </x:c>
      <x:c r="N815" s="13" t="n">
        <x:f>VLOOKUP(C815,'MES orders'!$A$8:$H$127,5,FALSE)</x:f>
        <x:v>46304.666666666664</x:v>
      </x:c>
      <x:c r="O815" s="16" t="n">
        <x:f>MAX(0,(M815-N815)*24)</x:f>
        <x:v>0</x:v>
      </x:c>
      <x:c r="P815" s="9" t="str">
        <x:v>No</x:v>
      </x:c>
      <x:c r="Q815" s="15" t="n">
        <x:v>18</x:v>
      </x:c>
      <x:c r="R815" s="13" t="n">
        <x:f>J815+Q815/1440</x:f>
        <x:v>46302.692361111105</x:v>
      </x:c>
      <x:c r="S815" s="2" t="str">
        <x:f>VLOOKUP(C815,'MES orders'!$A$8:$H$127,6,FALSE)</x:f>
        <x:v>Normal</x:v>
      </x:c>
      <x:c r="T815" s="9" t="str"/>
    </x:row>
    <x:row r="816" ht="22" customHeight="1">
      <x:c r="A816" s="2" t="str">
        <x:v>L00014-030</x:v>
      </x:c>
      <x:c r="B816" s="2" t="str">
        <x:v>L00014</x:v>
      </x:c>
      <x:c r="C816" s="2" t="str">
        <x:v>SO-26003</x:v>
      </x:c>
      <x:c r="D816" s="2" t="str">
        <x:v>S-S-AL</x:v>
      </x:c>
      <x:c r="E816" s="14" t="n">
        <x:v>15</x:v>
      </x:c>
      <x:c r="F816" s="2" t="str">
        <x:v>Wash &amp; dry</x:v>
      </x:c>
      <x:c r="G816" s="9" t="str">
        <x:v>WS-02</x:v>
      </x:c>
      <x:c r="H816" s="15" t="n">
        <x:v>57</x:v>
      </x:c>
      <x:c r="I816" s="9" t="str">
        <x:v>P13</x:v>
      </x:c>
      <x:c r="J816" s="11" t="n">
        <x:v>46302.67986111111</x:v>
      </x:c>
      <x:c r="K816" s="15" t="n">
        <x:v>12</x:v>
      </x:c>
      <x:c r="L816" s="15" t="n">
        <x:v>5</x:v>
      </x:c>
      <x:c r="M816" s="13" t="n">
        <x:f>J816+(K816+L816)/1440</x:f>
        <x:v>46302.691666666666</x:v>
      </x:c>
      <x:c r="N816" s="13" t="n">
        <x:f>VLOOKUP(C816,'MES orders'!$A$8:$H$127,5,FALSE)</x:f>
        <x:v>46304.666666666664</x:v>
      </x:c>
      <x:c r="O816" s="16" t="n">
        <x:f>MAX(0,(M816-N816)*24)</x:f>
        <x:v>0</x:v>
      </x:c>
      <x:c r="P816" s="9" t="str">
        <x:v>No</x:v>
      </x:c>
      <x:c r="Q816" s="15" t="n">
        <x:v>17</x:v>
      </x:c>
      <x:c r="R816" s="13" t="n">
        <x:f>J816+Q816/1440</x:f>
        <x:v>46302.691666666666</x:v>
      </x:c>
      <x:c r="S816" s="2" t="str">
        <x:f>VLOOKUP(C816,'MES orders'!$A$8:$H$127,6,FALSE)</x:f>
        <x:v>Normal</x:v>
      </x:c>
      <x:c r="T816" s="9" t="str"/>
    </x:row>
    <x:row r="817" ht="22" customHeight="1">
      <x:c r="A817" s="2" t="str">
        <x:v>L00288-050</x:v>
      </x:c>
      <x:c r="B817" s="2" t="str">
        <x:v>L00288</x:v>
      </x:c>
      <x:c r="C817" s="2" t="str">
        <x:v>SO-26058</x:v>
      </x:c>
      <x:c r="D817" s="2" t="str">
        <x:v>D-S-SS</x:v>
      </x:c>
      <x:c r="E817" s="14" t="n">
        <x:v>10</x:v>
      </x:c>
      <x:c r="F817" s="2" t="str">
        <x:v>Final leak / function test</x:v>
      </x:c>
      <x:c r="G817" s="9" t="str">
        <x:v>QA-01</x:v>
      </x:c>
      <x:c r="H817" s="15" t="n">
        <x:v>32</x:v>
      </x:c>
      <x:c r="I817" s="9" t="str">
        <x:v>P23</x:v>
      </x:c>
      <x:c r="J817" s="11" t="n">
        <x:v>46302.680555555555</x:v>
      </x:c>
      <x:c r="K817" s="15" t="n">
        <x:v>10</x:v>
      </x:c>
      <x:c r="L817" s="15" t="n">
        <x:v>9</x:v>
      </x:c>
      <x:c r="M817" s="13" t="n">
        <x:f>J817+(K817+L817)/1440</x:f>
        <x:v>46302.69375</x:v>
      </x:c>
      <x:c r="N817" s="13" t="n">
        <x:f>VLOOKUP(C817,'MES orders'!$A$8:$H$127,5,FALSE)</x:f>
        <x:v>46303.666666666664</x:v>
      </x:c>
      <x:c r="O817" s="16" t="n">
        <x:f>MAX(0,(M817-N817)*24)</x:f>
        <x:v>0</x:v>
      </x:c>
      <x:c r="P817" s="9" t="str">
        <x:v>No</x:v>
      </x:c>
      <x:c r="Q817" s="15" t="n">
        <x:v>19</x:v>
      </x:c>
      <x:c r="R817" s="13" t="n">
        <x:f>J817+Q817/1440</x:f>
        <x:v>46302.69375</x:v>
      </x:c>
      <x:c r="S817" s="2" t="str">
        <x:f>VLOOKUP(C817,'MES orders'!$A$8:$H$127,6,FALSE)</x:f>
        <x:v>Normal</x:v>
      </x:c>
      <x:c r="T817" s="9" t="str"/>
    </x:row>
    <x:row r="818" ht="22" customHeight="1">
      <x:c r="A818" s="2" t="str">
        <x:v>L00011-080</x:v>
      </x:c>
      <x:c r="B818" s="2" t="str">
        <x:v>L00011</x:v>
      </x:c>
      <x:c r="C818" s="2" t="str">
        <x:v>SO-26003</x:v>
      </x:c>
      <x:c r="D818" s="2" t="str">
        <x:v>S-S-AL</x:v>
      </x:c>
      <x:c r="E818" s="14" t="n">
        <x:v>15</x:v>
      </x:c>
      <x:c r="F818" s="2" t="str">
        <x:v>Final leak / function test</x:v>
      </x:c>
      <x:c r="G818" s="9" t="str">
        <x:v>QA-02</x:v>
      </x:c>
      <x:c r="H818" s="15" t="n">
        <x:v>56</x:v>
      </x:c>
      <x:c r="I818" s="9" t="str">
        <x:v>P24</x:v>
      </x:c>
      <x:c r="J818" s="11" t="n">
        <x:v>46302.680555555555</x:v>
      </x:c>
      <x:c r="K818" s="15" t="n">
        <x:v>10</x:v>
      </x:c>
      <x:c r="L818" s="15" t="n">
        <x:v>14</x:v>
      </x:c>
      <x:c r="M818" s="13" t="n">
        <x:f>J818+(K818+L818)/1440</x:f>
        <x:v>46302.697222222225</x:v>
      </x:c>
      <x:c r="N818" s="13" t="n">
        <x:f>VLOOKUP(C818,'MES orders'!$A$8:$H$127,5,FALSE)</x:f>
        <x:v>46304.666666666664</x:v>
      </x:c>
      <x:c r="O818" s="16" t="n">
        <x:f>MAX(0,(M818-N818)*24)</x:f>
        <x:v>0</x:v>
      </x:c>
      <x:c r="P818" s="9" t="str">
        <x:v>No</x:v>
      </x:c>
      <x:c r="Q818" s="15" t="n">
        <x:v>24</x:v>
      </x:c>
      <x:c r="R818" s="13" t="n">
        <x:f>J818+Q818/1440</x:f>
        <x:v>46302.697222222225</x:v>
      </x:c>
      <x:c r="S818" s="2" t="str">
        <x:f>VLOOKUP(C818,'MES orders'!$A$8:$H$127,6,FALSE)</x:f>
        <x:v>Normal</x:v>
      </x:c>
      <x:c r="T818" s="9" t="str"/>
    </x:row>
    <x:row r="819" ht="22" customHeight="1">
      <x:c r="A819" s="2" t="str">
        <x:v>L00013-070</x:v>
      </x:c>
      <x:c r="B819" s="2" t="str">
        <x:v>L00013</x:v>
      </x:c>
      <x:c r="C819" s="2" t="str">
        <x:v>SO-26003</x:v>
      </x:c>
      <x:c r="D819" s="2" t="str">
        <x:v>S-S-AL</x:v>
      </x:c>
      <x:c r="E819" s="14" t="n">
        <x:v>15</x:v>
      </x:c>
      <x:c r="F819" s="2" t="str">
        <x:v>Final assembly</x:v>
      </x:c>
      <x:c r="G819" s="9" t="str">
        <x:v>AS-03</x:v>
      </x:c>
      <x:c r="H819" s="15" t="n">
        <x:v>42</x:v>
      </x:c>
      <x:c r="I819" s="9" t="str">
        <x:v>P20</x:v>
      </x:c>
      <x:c r="J819" s="11" t="n">
        <x:v>46302.68263888889</x:v>
      </x:c>
      <x:c r="K819" s="15" t="n">
        <x:v>5</x:v>
      </x:c>
      <x:c r="L819" s="15" t="n">
        <x:v>12</x:v>
      </x:c>
      <x:c r="M819" s="13" t="n">
        <x:f>J819+(K819+L819)/1440</x:f>
        <x:v>46302.694444444445</x:v>
      </x:c>
      <x:c r="N819" s="13" t="n">
        <x:f>VLOOKUP(C819,'MES orders'!$A$8:$H$127,5,FALSE)</x:f>
        <x:v>46304.666666666664</x:v>
      </x:c>
      <x:c r="O819" s="16" t="n">
        <x:f>MAX(0,(M819-N819)*24)</x:f>
        <x:v>0</x:v>
      </x:c>
      <x:c r="P819" s="9" t="str">
        <x:v>No</x:v>
      </x:c>
      <x:c r="Q819" s="15" t="n">
        <x:v>17</x:v>
      </x:c>
      <x:c r="R819" s="13" t="n">
        <x:f>J819+Q819/1440</x:f>
        <x:v>46302.694444444445</x:v>
      </x:c>
      <x:c r="S819" s="2" t="str">
        <x:f>VLOOKUP(C819,'MES orders'!$A$8:$H$127,6,FALSE)</x:f>
        <x:v>Normal</x:v>
      </x:c>
      <x:c r="T819" s="9" t="str"/>
    </x:row>
    <x:row r="820" ht="22" customHeight="1">
      <x:c r="A820" s="2" t="str">
        <x:v>L00208-040</x:v>
      </x:c>
      <x:c r="B820" s="2" t="str">
        <x:v>L00208</x:v>
      </x:c>
      <x:c r="C820" s="2" t="str">
        <x:v>SO-26042</x:v>
      </x:c>
      <x:c r="D820" s="2" t="str">
        <x:v>S-L-SS</x:v>
      </x:c>
      <x:c r="E820" s="14" t="n">
        <x:v>25</x:v>
      </x:c>
      <x:c r="F820" s="2" t="str">
        <x:v>Mechanical preassembly</x:v>
      </x:c>
      <x:c r="G820" s="9" t="str">
        <x:v>AS-02</x:v>
      </x:c>
      <x:c r="H820" s="15" t="n">
        <x:v>53</x:v>
      </x:c>
      <x:c r="I820" s="9" t="str">
        <x:v>P16</x:v>
      </x:c>
      <x:c r="J820" s="11" t="n">
        <x:v>46302.68680555555</x:v>
      </x:c>
      <x:c r="K820" s="15" t="n">
        <x:v>6</x:v>
      </x:c>
      <x:c r="L820" s="15" t="n">
        <x:v>37</x:v>
      </x:c>
      <x:c r="M820" s="13" t="n">
        <x:f>J820+(K820+L820)/1440</x:f>
        <x:v>46302.71666666667</x:v>
      </x:c>
      <x:c r="N820" s="13" t="n">
        <x:f>VLOOKUP(C820,'MES orders'!$A$8:$H$127,5,FALSE)</x:f>
        <x:v>46303.666666666664</x:v>
      </x:c>
      <x:c r="O820" s="16" t="n">
        <x:f>MAX(0,(M820-N820)*24)</x:f>
        <x:v>0</x:v>
      </x:c>
      <x:c r="P820" s="9" t="str">
        <x:v>No</x:v>
      </x:c>
      <x:c r="Q820" s="15" t="n">
        <x:v>43</x:v>
      </x:c>
      <x:c r="R820" s="13" t="n">
        <x:f>J820+Q820/1440</x:f>
        <x:v>46302.71666666667</x:v>
      </x:c>
      <x:c r="S820" s="2" t="str">
        <x:f>VLOOKUP(C820,'MES orders'!$A$8:$H$127,6,FALSE)</x:f>
        <x:v>Normal</x:v>
      </x:c>
      <x:c r="T820" s="9" t="str"/>
    </x:row>
    <x:row r="821" ht="22" customHeight="1">
      <x:c r="A821" s="2" t="str">
        <x:v>L00209-030</x:v>
      </x:c>
      <x:c r="B821" s="2" t="str">
        <x:v>L00209</x:v>
      </x:c>
      <x:c r="C821" s="2" t="str">
        <x:v>SO-26042</x:v>
      </x:c>
      <x:c r="D821" s="2" t="str">
        <x:v>S-L-SS</x:v>
      </x:c>
      <x:c r="E821" s="14" t="n">
        <x:v>25</x:v>
      </x:c>
      <x:c r="F821" s="2" t="str">
        <x:v>Wash &amp; dry</x:v>
      </x:c>
      <x:c r="G821" s="9" t="str">
        <x:v>WS-01</x:v>
      </x:c>
      <x:c r="H821" s="15" t="n">
        <x:v>75</x:v>
      </x:c>
      <x:c r="I821" s="9" t="str">
        <x:v>P18</x:v>
      </x:c>
      <x:c r="J821" s="11" t="n">
        <x:v>46302.68680555555</x:v>
      </x:c>
      <x:c r="K821" s="15" t="n">
        <x:v>12</x:v>
      </x:c>
      <x:c r="L821" s="15" t="n">
        <x:v>12</x:v>
      </x:c>
      <x:c r="M821" s="13" t="n">
        <x:f>J821+(K821+L821)/1440</x:f>
        <x:v>46302.70347222222</x:v>
      </x:c>
      <x:c r="N821" s="13" t="n">
        <x:f>VLOOKUP(C821,'MES orders'!$A$8:$H$127,5,FALSE)</x:f>
        <x:v>46303.666666666664</x:v>
      </x:c>
      <x:c r="O821" s="16" t="n">
        <x:f>MAX(0,(M821-N821)*24)</x:f>
        <x:v>0</x:v>
      </x:c>
      <x:c r="P821" s="9" t="str">
        <x:v>No</x:v>
      </x:c>
      <x:c r="Q821" s="15" t="n">
        <x:v>24</x:v>
      </x:c>
      <x:c r="R821" s="13" t="n">
        <x:f>J821+Q821/1440</x:f>
        <x:v>46302.70347222222</x:v>
      </x:c>
      <x:c r="S821" s="2" t="str">
        <x:f>VLOOKUP(C821,'MES orders'!$A$8:$H$127,6,FALSE)</x:f>
        <x:v>Normal</x:v>
      </x:c>
      <x:c r="T821" s="9" t="str"/>
    </x:row>
    <x:row r="822" ht="22" customHeight="1">
      <x:c r="A822" s="2" t="str">
        <x:v>L00014-040</x:v>
      </x:c>
      <x:c r="B822" s="2" t="str">
        <x:v>L00014</x:v>
      </x:c>
      <x:c r="C822" s="2" t="str">
        <x:v>SO-26003</x:v>
      </x:c>
      <x:c r="D822" s="2" t="str">
        <x:v>S-S-AL</x:v>
      </x:c>
      <x:c r="E822" s="14" t="n">
        <x:v>15</x:v>
      </x:c>
      <x:c r="F822" s="2" t="str">
        <x:v>Mechanical preassembly</x:v>
      </x:c>
      <x:c r="G822" s="9" t="str">
        <x:v>AS-04</x:v>
      </x:c>
      <x:c r="H822" s="15" t="n">
        <x:v>27</x:v>
      </x:c>
      <x:c r="I822" s="9" t="str">
        <x:v>P15</x:v>
      </x:c>
      <x:c r="J822" s="11" t="n">
        <x:v>46302.691666666666</x:v>
      </x:c>
      <x:c r="K822" s="15" t="n">
        <x:v>6</x:v>
      </x:c>
      <x:c r="L822" s="15" t="n">
        <x:v>16</x:v>
      </x:c>
      <x:c r="M822" s="13" t="n">
        <x:f>J822+(K822+L822)/1440</x:f>
        <x:v>46302.70694444444</x:v>
      </x:c>
      <x:c r="N822" s="13" t="n">
        <x:f>VLOOKUP(C822,'MES orders'!$A$8:$H$127,5,FALSE)</x:f>
        <x:v>46304.666666666664</x:v>
      </x:c>
      <x:c r="O822" s="16" t="n">
        <x:f>MAX(0,(M822-N822)*24)</x:f>
        <x:v>0</x:v>
      </x:c>
      <x:c r="P822" s="9" t="str">
        <x:v>No</x:v>
      </x:c>
      <x:c r="Q822" s="15" t="n">
        <x:v>22</x:v>
      </x:c>
      <x:c r="R822" s="13" t="n">
        <x:f>J822+Q822/1440</x:f>
        <x:v>46302.70694444444</x:v>
      </x:c>
      <x:c r="S822" s="2" t="str">
        <x:f>VLOOKUP(C822,'MES orders'!$A$8:$H$127,6,FALSE)</x:f>
        <x:v>Normal</x:v>
      </x:c>
      <x:c r="T822" s="9" t="str"/>
    </x:row>
    <x:row r="823" ht="22" customHeight="1">
      <x:c r="A823" s="2" t="str">
        <x:v>L00012-080</x:v>
      </x:c>
      <x:c r="B823" s="2" t="str">
        <x:v>L00012</x:v>
      </x:c>
      <x:c r="C823" s="2" t="str">
        <x:v>SO-26003</x:v>
      </x:c>
      <x:c r="D823" s="2" t="str">
        <x:v>S-S-AL</x:v>
      </x:c>
      <x:c r="E823" s="14" t="n">
        <x:v>15</x:v>
      </x:c>
      <x:c r="F823" s="2" t="str">
        <x:v>Final leak / function test</x:v>
      </x:c>
      <x:c r="G823" s="9" t="str">
        <x:v>QA-03</x:v>
      </x:c>
      <x:c r="H823" s="15" t="n">
        <x:v>38</x:v>
      </x:c>
      <x:c r="I823" s="9" t="str">
        <x:v>P23</x:v>
      </x:c>
      <x:c r="J823" s="11" t="n">
        <x:v>46302.69375</x:v>
      </x:c>
      <x:c r="K823" s="15" t="n">
        <x:v>10</x:v>
      </x:c>
      <x:c r="L823" s="15" t="n">
        <x:v>14</x:v>
      </x:c>
      <x:c r="M823" s="13" t="n">
        <x:f>J823+(K823+L823)/1440</x:f>
        <x:v>46302.71041666667</x:v>
      </x:c>
      <x:c r="N823" s="13" t="n">
        <x:f>VLOOKUP(C823,'MES orders'!$A$8:$H$127,5,FALSE)</x:f>
        <x:v>46304.666666666664</x:v>
      </x:c>
      <x:c r="O823" s="16" t="n">
        <x:f>MAX(0,(M823-N823)*24)</x:f>
        <x:v>0</x:v>
      </x:c>
      <x:c r="P823" s="9" t="str">
        <x:v>No</x:v>
      </x:c>
      <x:c r="Q823" s="15" t="n">
        <x:v>24</x:v>
      </x:c>
      <x:c r="R823" s="13" t="n">
        <x:f>J823+Q823/1440</x:f>
        <x:v>46302.71041666667</x:v>
      </x:c>
      <x:c r="S823" s="2" t="str">
        <x:f>VLOOKUP(C823,'MES orders'!$A$8:$H$127,6,FALSE)</x:f>
        <x:v>Normal</x:v>
      </x:c>
      <x:c r="T823" s="9" t="str"/>
    </x:row>
    <x:row r="824" ht="22" customHeight="1">
      <x:c r="A824" s="2" t="str">
        <x:v>L00207-050</x:v>
      </x:c>
      <x:c r="B824" s="2" t="str">
        <x:v>L00207</x:v>
      </x:c>
      <x:c r="C824" s="2" t="str">
        <x:v>SO-26042</x:v>
      </x:c>
      <x:c r="D824" s="2" t="str">
        <x:v>S-L-SS</x:v>
      </x:c>
      <x:c r="E824" s="14" t="n">
        <x:v>25</x:v>
      </x:c>
      <x:c r="F824" s="2" t="str">
        <x:v>Sensor installation</x:v>
      </x:c>
      <x:c r="G824" s="9" t="str">
        <x:v>EL-02</x:v>
      </x:c>
      <x:c r="H824" s="15" t="n">
        <x:v>11</x:v>
      </x:c>
      <x:c r="I824" s="9" t="str">
        <x:v>P20</x:v>
      </x:c>
      <x:c r="J824" s="11" t="n">
        <x:v>46302.697222222225</x:v>
      </x:c>
      <x:c r="K824" s="15" t="n">
        <x:v>8</x:v>
      </x:c>
      <x:c r="L824" s="15" t="n">
        <x:v>40</x:v>
      </x:c>
      <x:c r="M824" s="13" t="n">
        <x:f>J824+(K824+L824)/1440</x:f>
        <x:v>46302.73055555556</x:v>
      </x:c>
      <x:c r="N824" s="13" t="n">
        <x:f>VLOOKUP(C824,'MES orders'!$A$8:$H$127,5,FALSE)</x:f>
        <x:v>46303.666666666664</x:v>
      </x:c>
      <x:c r="O824" s="16" t="n">
        <x:f>MAX(0,(M824-N824)*24)</x:f>
        <x:v>0</x:v>
      </x:c>
      <x:c r="P824" s="9" t="str">
        <x:v>No</x:v>
      </x:c>
      <x:c r="Q824" s="15" t="n">
        <x:v>48</x:v>
      </x:c>
      <x:c r="R824" s="13" t="n">
        <x:f>J824+Q824/1440</x:f>
        <x:v>46302.73055555556</x:v>
      </x:c>
      <x:c r="S824" s="2" t="str">
        <x:f>VLOOKUP(C824,'MES orders'!$A$8:$H$127,6,FALSE)</x:f>
        <x:v>Normal</x:v>
      </x:c>
      <x:c r="T824" s="9" t="str"/>
    </x:row>
    <x:row r="825" ht="22" customHeight="1">
      <x:c r="A825" s="2" t="str">
        <x:v>L00013-080</x:v>
      </x:c>
      <x:c r="B825" s="2" t="str">
        <x:v>L00013</x:v>
      </x:c>
      <x:c r="C825" s="2" t="str">
        <x:v>SO-26003</x:v>
      </x:c>
      <x:c r="D825" s="2" t="str">
        <x:v>S-S-AL</x:v>
      </x:c>
      <x:c r="E825" s="14" t="n">
        <x:v>15</x:v>
      </x:c>
      <x:c r="F825" s="2" t="str">
        <x:v>Final leak / function test</x:v>
      </x:c>
      <x:c r="G825" s="9" t="str">
        <x:v>QA-02</x:v>
      </x:c>
      <x:c r="H825" s="15" t="n">
        <x:v>57</x:v>
      </x:c>
      <x:c r="I825" s="9" t="str">
        <x:v>P24</x:v>
      </x:c>
      <x:c r="J825" s="11" t="n">
        <x:v>46302.697222222225</x:v>
      </x:c>
      <x:c r="K825" s="15" t="n">
        <x:v>10</x:v>
      </x:c>
      <x:c r="L825" s="15" t="n">
        <x:v>14</x:v>
      </x:c>
      <x:c r="M825" s="13" t="n">
        <x:f>J825+(K825+L825)/1440</x:f>
        <x:v>46302.713888888895</x:v>
      </x:c>
      <x:c r="N825" s="13" t="n">
        <x:f>VLOOKUP(C825,'MES orders'!$A$8:$H$127,5,FALSE)</x:f>
        <x:v>46304.666666666664</x:v>
      </x:c>
      <x:c r="O825" s="16" t="n">
        <x:f>MAX(0,(M825-N825)*24)</x:f>
        <x:v>0</x:v>
      </x:c>
      <x:c r="P825" s="9" t="str">
        <x:v>No</x:v>
      </x:c>
      <x:c r="Q825" s="15" t="n">
        <x:v>24</x:v>
      </x:c>
      <x:c r="R825" s="13" t="n">
        <x:f>J825+Q825/1440</x:f>
        <x:v>46302.713888888895</x:v>
      </x:c>
      <x:c r="S825" s="2" t="str">
        <x:f>VLOOKUP(C825,'MES orders'!$A$8:$H$127,6,FALSE)</x:f>
        <x:v>Normal</x:v>
      </x:c>
      <x:c r="T825" s="9" t="str"/>
    </x:row>
    <x:row r="826" ht="22" customHeight="1">
      <x:c r="A826" s="2" t="str">
        <x:v>L00330-010</x:v>
      </x:c>
      <x:c r="B826" s="2" t="str">
        <x:v>L00330</x:v>
      </x:c>
      <x:c r="C826" s="2" t="str">
        <x:v>SO-26066</x:v>
      </x:c>
      <x:c r="D826" s="2" t="str">
        <x:v>D-L-SS</x:v>
      </x:c>
      <x:c r="E826" s="14" t="n">
        <x:v>15</x:v>
      </x:c>
      <x:c r="F826" s="2" t="str">
        <x:v>CNC machining</x:v>
      </x:c>
      <x:c r="G826" s="9" t="str">
        <x:v>CNC-06</x:v>
      </x:c>
      <x:c r="H826" s="15" t="n">
        <x:v>22</x:v>
      </x:c>
      <x:c r="I826" s="9" t="str">
        <x:v>P14</x:v>
      </x:c>
      <x:c r="J826" s="11" t="n">
        <x:v>46302.697916666664</x:v>
      </x:c>
      <x:c r="K826" s="15" t="n">
        <x:v>18</x:v>
      </x:c>
      <x:c r="L826" s="15" t="n">
        <x:v>61</x:v>
      </x:c>
      <x:c r="M826" s="13" t="n">
        <x:f>J826+(K826+L826)/1440</x:f>
        <x:v>46302.75277777777</x:v>
      </x:c>
      <x:c r="N826" s="13" t="n">
        <x:f>VLOOKUP(C826,'MES orders'!$A$8:$H$127,5,FALSE)</x:f>
        <x:v>46303.666666666664</x:v>
      </x:c>
      <x:c r="O826" s="16" t="n">
        <x:f>MAX(0,(M826-N826)*24)</x:f>
        <x:v>0</x:v>
      </x:c>
      <x:c r="P826" s="9" t="str">
        <x:v>No</x:v>
      </x:c>
      <x:c r="Q826" s="15" t="n">
        <x:v>18</x:v>
      </x:c>
      <x:c r="R826" s="13" t="n">
        <x:f>J826+Q826/1440</x:f>
        <x:v>46302.71041666666</x:v>
      </x:c>
      <x:c r="S826" s="2" t="str">
        <x:f>VLOOKUP(C826,'MES orders'!$A$8:$H$127,6,FALSE)</x:f>
        <x:v>Normal</x:v>
      </x:c>
      <x:c r="T826" s="9" t="str"/>
    </x:row>
    <x:row r="827" ht="22" customHeight="1">
      <x:c r="A827" s="2" t="str">
        <x:v>L00326-020</x:v>
      </x:c>
      <x:c r="B827" s="2" t="str">
        <x:v>L00326</x:v>
      </x:c>
      <x:c r="C827" s="2" t="str">
        <x:v>SO-26066</x:v>
      </x:c>
      <x:c r="D827" s="2" t="str">
        <x:v>D-L-SS</x:v>
      </x:c>
      <x:c r="E827" s="14" t="n">
        <x:v>15</x:v>
      </x:c>
      <x:c r="F827" s="2" t="str">
        <x:v>Deburr &amp; inspect</x:v>
      </x:c>
      <x:c r="G827" s="9" t="str">
        <x:v>DB-02</x:v>
      </x:c>
      <x:c r="H827" s="15" t="n">
        <x:v>57</x:v>
      </x:c>
      <x:c r="I827" s="9" t="str">
        <x:v>P13</x:v>
      </x:c>
      <x:c r="J827" s="11" t="n">
        <x:v>46302.697916666664</x:v>
      </x:c>
      <x:c r="K827" s="15" t="n">
        <x:v>4</x:v>
      </x:c>
      <x:c r="L827" s="15" t="n">
        <x:v>14</x:v>
      </x:c>
      <x:c r="M827" s="13" t="n">
        <x:f>J827+(K827+L827)/1440</x:f>
        <x:v>46302.71041666666</x:v>
      </x:c>
      <x:c r="N827" s="13" t="n">
        <x:f>VLOOKUP(C827,'MES orders'!$A$8:$H$127,5,FALSE)</x:f>
        <x:v>46303.666666666664</x:v>
      </x:c>
      <x:c r="O827" s="16" t="n">
        <x:f>MAX(0,(M827-N827)*24)</x:f>
        <x:v>0</x:v>
      </x:c>
      <x:c r="P827" s="9" t="str">
        <x:v>No</x:v>
      </x:c>
      <x:c r="Q827" s="15" t="n">
        <x:v>18</x:v>
      </x:c>
      <x:c r="R827" s="13" t="n">
        <x:f>J827+Q827/1440</x:f>
        <x:v>46302.71041666666</x:v>
      </x:c>
      <x:c r="S827" s="2" t="str">
        <x:f>VLOOKUP(C827,'MES orders'!$A$8:$H$127,6,FALSE)</x:f>
        <x:v>Normal</x:v>
      </x:c>
      <x:c r="T827" s="9" t="str"/>
    </x:row>
    <x:row r="828" ht="22" customHeight="1">
      <x:c r="A828" s="2" t="str">
        <x:v>L00209-040</x:v>
      </x:c>
      <x:c r="B828" s="2" t="str">
        <x:v>L00209</x:v>
      </x:c>
      <x:c r="C828" s="2" t="str">
        <x:v>SO-26042</x:v>
      </x:c>
      <x:c r="D828" s="2" t="str">
        <x:v>S-L-SS</x:v>
      </x:c>
      <x:c r="E828" s="14" t="n">
        <x:v>25</x:v>
      </x:c>
      <x:c r="F828" s="2" t="str">
        <x:v>Mechanical preassembly</x:v>
      </x:c>
      <x:c r="G828" s="9" t="str">
        <x:v>AS-01</x:v>
      </x:c>
      <x:c r="H828" s="15" t="n">
        <x:v>67</x:v>
      </x:c>
      <x:c r="I828" s="9" t="str">
        <x:v>P17</x:v>
      </x:c>
      <x:c r="J828" s="11" t="n">
        <x:v>46302.70347222222</x:v>
      </x:c>
      <x:c r="K828" s="15" t="n">
        <x:v>6</x:v>
      </x:c>
      <x:c r="L828" s="15" t="n">
        <x:v>37</x:v>
      </x:c>
      <x:c r="M828" s="13" t="n">
        <x:f>J828+(K828+L828)/1440</x:f>
        <x:v>46302.73333333334</x:v>
      </x:c>
      <x:c r="N828" s="13" t="n">
        <x:f>VLOOKUP(C828,'MES orders'!$A$8:$H$127,5,FALSE)</x:f>
        <x:v>46303.666666666664</x:v>
      </x:c>
      <x:c r="O828" s="16" t="n">
        <x:f>MAX(0,(M828-N828)*24)</x:f>
        <x:v>0</x:v>
      </x:c>
      <x:c r="P828" s="9" t="str">
        <x:v>No</x:v>
      </x:c>
      <x:c r="Q828" s="15" t="n">
        <x:v>43</x:v>
      </x:c>
      <x:c r="R828" s="13" t="n">
        <x:f>J828+Q828/1440</x:f>
        <x:v>46302.73333333334</x:v>
      </x:c>
      <x:c r="S828" s="2" t="str">
        <x:f>VLOOKUP(C828,'MES orders'!$A$8:$H$127,6,FALSE)</x:f>
        <x:v>Normal</x:v>
      </x:c>
      <x:c r="T828" s="9" t="str"/>
    </x:row>
    <x:row r="829" ht="22" customHeight="1">
      <x:c r="A829" s="2" t="str">
        <x:v>L00210-020</x:v>
      </x:c>
      <x:c r="B829" s="2" t="str">
        <x:v>L00210</x:v>
      </x:c>
      <x:c r="C829" s="2" t="str">
        <x:v>SO-26042</x:v>
      </x:c>
      <x:c r="D829" s="2" t="str">
        <x:v>S-L-SS</x:v>
      </x:c>
      <x:c r="E829" s="14" t="n">
        <x:v>25</x:v>
      </x:c>
      <x:c r="F829" s="2" t="str">
        <x:v>Deburr &amp; inspect</x:v>
      </x:c>
      <x:c r="G829" s="9" t="str">
        <x:v>DB-01</x:v>
      </x:c>
      <x:c r="H829" s="15" t="n">
        <x:v>79</x:v>
      </x:c>
      <x:c r="I829" s="9" t="str">
        <x:v>P18</x:v>
      </x:c>
      <x:c r="J829" s="11" t="n">
        <x:v>46302.70347222222</x:v>
      </x:c>
      <x:c r="K829" s="15" t="n">
        <x:v>4</x:v>
      </x:c>
      <x:c r="L829" s="15" t="n">
        <x:v>24</x:v>
      </x:c>
      <x:c r="M829" s="13" t="n">
        <x:f>J829+(K829+L829)/1440</x:f>
        <x:v>46302.722916666666</x:v>
      </x:c>
      <x:c r="N829" s="13" t="n">
        <x:f>VLOOKUP(C829,'MES orders'!$A$8:$H$127,5,FALSE)</x:f>
        <x:v>46303.666666666664</x:v>
      </x:c>
      <x:c r="O829" s="16" t="n">
        <x:f>MAX(0,(M829-N829)*24)</x:f>
        <x:v>0</x:v>
      </x:c>
      <x:c r="P829" s="9" t="str">
        <x:v>No</x:v>
      </x:c>
      <x:c r="Q829" s="15" t="n">
        <x:v>28</x:v>
      </x:c>
      <x:c r="R829" s="13" t="n">
        <x:f>J829+Q829/1440</x:f>
        <x:v>46302.722916666666</x:v>
      </x:c>
      <x:c r="S829" s="2" t="str">
        <x:f>VLOOKUP(C829,'MES orders'!$A$8:$H$127,6,FALSE)</x:f>
        <x:v>Normal</x:v>
      </x:c>
      <x:c r="T829" s="9" t="str"/>
    </x:row>
    <x:row r="830" ht="22" customHeight="1">
      <x:c r="A830" s="2" t="str">
        <x:v>L00206-060</x:v>
      </x:c>
      <x:c r="B830" s="2" t="str">
        <x:v>L00206</x:v>
      </x:c>
      <x:c r="C830" s="2" t="str">
        <x:v>SO-26042</x:v>
      </x:c>
      <x:c r="D830" s="2" t="str">
        <x:v>S-L-SS</x:v>
      </x:c>
      <x:c r="E830" s="14" t="n">
        <x:v>25</x:v>
      </x:c>
      <x:c r="F830" s="2" t="str">
        <x:v>Sensor calibration</x:v>
      </x:c>
      <x:c r="G830" s="9" t="str">
        <x:v>CAL-01</x:v>
      </x:c>
      <x:c r="H830" s="15" t="n">
        <x:v>34</x:v>
      </x:c>
      <x:c r="I830" s="9" t="str">
        <x:v>P21</x:v>
      </x:c>
      <x:c r="J830" s="11" t="n">
        <x:v>46302.70625</x:v>
      </x:c>
      <x:c r="K830" s="15" t="n">
        <x:v>10</x:v>
      </x:c>
      <x:c r="L830" s="15" t="n">
        <x:v>44</x:v>
      </x:c>
      <x:c r="M830" s="13" t="n">
        <x:f>J830+(K830+L830)/1440</x:f>
        <x:v>46302.74375</x:v>
      </x:c>
      <x:c r="N830" s="13" t="n">
        <x:f>VLOOKUP(C830,'MES orders'!$A$8:$H$127,5,FALSE)</x:f>
        <x:v>46303.666666666664</x:v>
      </x:c>
      <x:c r="O830" s="16" t="n">
        <x:f>MAX(0,(M830-N830)*24)</x:f>
        <x:v>0</x:v>
      </x:c>
      <x:c r="P830" s="9" t="str">
        <x:v>No</x:v>
      </x:c>
      <x:c r="Q830" s="15" t="n">
        <x:v>54</x:v>
      </x:c>
      <x:c r="R830" s="13" t="n">
        <x:f>J830+Q830/1440</x:f>
        <x:v>46302.74375</x:v>
      </x:c>
      <x:c r="S830" s="2" t="str">
        <x:f>VLOOKUP(C830,'MES orders'!$A$8:$H$127,6,FALSE)</x:f>
        <x:v>Normal</x:v>
      </x:c>
      <x:c r="T830" s="9" t="str"/>
    </x:row>
    <x:row r="831" ht="22" customHeight="1">
      <x:c r="A831" s="2" t="str">
        <x:v>L00015-030</x:v>
      </x:c>
      <x:c r="B831" s="2" t="str">
        <x:v>L00015</x:v>
      </x:c>
      <x:c r="C831" s="2" t="str">
        <x:v>SO-26003</x:v>
      </x:c>
      <x:c r="D831" s="2" t="str">
        <x:v>S-S-AL</x:v>
      </x:c>
      <x:c r="E831" s="14" t="n">
        <x:v>15</x:v>
      </x:c>
      <x:c r="F831" s="2" t="str">
        <x:v>Wash &amp; dry</x:v>
      </x:c>
      <x:c r="G831" s="9" t="str">
        <x:v>WS-01</x:v>
      </x:c>
      <x:c r="H831" s="15" t="n">
        <x:v>76</x:v>
      </x:c>
      <x:c r="I831" s="9" t="str">
        <x:v>P15</x:v>
      </x:c>
      <x:c r="J831" s="11" t="n">
        <x:v>46302.70694444444</x:v>
      </x:c>
      <x:c r="K831" s="15" t="n">
        <x:v>12</x:v>
      </x:c>
      <x:c r="L831" s="15" t="n">
        <x:v>5</x:v>
      </x:c>
      <x:c r="M831" s="13" t="n">
        <x:f>J831+(K831+L831)/1440</x:f>
        <x:v>46302.71875</x:v>
      </x:c>
      <x:c r="N831" s="13" t="n">
        <x:f>VLOOKUP(C831,'MES orders'!$A$8:$H$127,5,FALSE)</x:f>
        <x:v>46304.666666666664</x:v>
      </x:c>
      <x:c r="O831" s="16" t="n">
        <x:f>MAX(0,(M831-N831)*24)</x:f>
        <x:v>0</x:v>
      </x:c>
      <x:c r="P831" s="9" t="str">
        <x:v>No</x:v>
      </x:c>
      <x:c r="Q831" s="15" t="n">
        <x:v>17</x:v>
      </x:c>
      <x:c r="R831" s="13" t="n">
        <x:f>J831+Q831/1440</x:f>
        <x:v>46302.71875</x:v>
      </x:c>
      <x:c r="S831" s="2" t="str">
        <x:f>VLOOKUP(C831,'MES orders'!$A$8:$H$127,6,FALSE)</x:f>
        <x:v>Normal</x:v>
      </x:c>
      <x:c r="T831" s="9" t="str"/>
    </x:row>
    <x:row r="832" ht="22" customHeight="1">
      <x:c r="A832" s="2" t="str">
        <x:v>L00208-050</x:v>
      </x:c>
      <x:c r="B832" s="2" t="str">
        <x:v>L00208</x:v>
      </x:c>
      <x:c r="C832" s="2" t="str">
        <x:v>SO-26042</x:v>
      </x:c>
      <x:c r="D832" s="2" t="str">
        <x:v>S-L-SS</x:v>
      </x:c>
      <x:c r="E832" s="14" t="n">
        <x:v>25</x:v>
      </x:c>
      <x:c r="F832" s="2" t="str">
        <x:v>Sensor installation</x:v>
      </x:c>
      <x:c r="G832" s="9" t="str">
        <x:v>EL-01</x:v>
      </x:c>
      <x:c r="H832" s="15" t="n">
        <x:v>25</x:v>
      </x:c>
      <x:c r="I832" s="9" t="str">
        <x:v>P19</x:v>
      </x:c>
      <x:c r="J832" s="11" t="n">
        <x:v>46302.71666666667</x:v>
      </x:c>
      <x:c r="K832" s="15" t="n">
        <x:v>8</x:v>
      </x:c>
      <x:c r="L832" s="15" t="n">
        <x:v>40</x:v>
      </x:c>
      <x:c r="M832" s="13" t="n">
        <x:f>J832+(K832+L832)/1440</x:f>
        <x:v>46302.75</x:v>
      </x:c>
      <x:c r="N832" s="13" t="n">
        <x:f>VLOOKUP(C832,'MES orders'!$A$8:$H$127,5,FALSE)</x:f>
        <x:v>46303.666666666664</x:v>
      </x:c>
      <x:c r="O832" s="16" t="n">
        <x:f>MAX(0,(M832-N832)*24)</x:f>
        <x:v>0</x:v>
      </x:c>
      <x:c r="P832" s="9" t="str">
        <x:v>No</x:v>
      </x:c>
      <x:c r="Q832" s="15" t="n">
        <x:v>48</x:v>
      </x:c>
      <x:c r="R832" s="13" t="n">
        <x:f>J832+Q832/1440</x:f>
        <x:v>46302.75</x:v>
      </x:c>
      <x:c r="S832" s="2" t="str">
        <x:f>VLOOKUP(C832,'MES orders'!$A$8:$H$127,6,FALSE)</x:f>
        <x:v>Normal</x:v>
      </x:c>
      <x:c r="T832" s="9" t="str"/>
    </x:row>
    <x:row r="833" ht="22" customHeight="1">
      <x:c r="A833" s="2" t="str">
        <x:v>L00015-040</x:v>
      </x:c>
      <x:c r="B833" s="2" t="str">
        <x:v>L00015</x:v>
      </x:c>
      <x:c r="C833" s="2" t="str">
        <x:v>SO-26003</x:v>
      </x:c>
      <x:c r="D833" s="2" t="str">
        <x:v>S-S-AL</x:v>
      </x:c>
      <x:c r="E833" s="14" t="n">
        <x:v>15</x:v>
      </x:c>
      <x:c r="F833" s="2" t="str">
        <x:v>Mechanical preassembly</x:v>
      </x:c>
      <x:c r="G833" s="9" t="str">
        <x:v>AS-02</x:v>
      </x:c>
      <x:c r="H833" s="15" t="n">
        <x:v>54</x:v>
      </x:c>
      <x:c r="I833" s="9" t="str">
        <x:v>P23</x:v>
      </x:c>
      <x:c r="J833" s="11" t="n">
        <x:v>46302.71875</x:v>
      </x:c>
      <x:c r="K833" s="15" t="n">
        <x:v>6</x:v>
      </x:c>
      <x:c r="L833" s="15" t="n">
        <x:v>16</x:v>
      </x:c>
      <x:c r="M833" s="13" t="n">
        <x:f>J833+(K833+L833)/1440</x:f>
        <x:v>46302.73402777778</x:v>
      </x:c>
      <x:c r="N833" s="13" t="n">
        <x:f>VLOOKUP(C833,'MES orders'!$A$8:$H$127,5,FALSE)</x:f>
        <x:v>46304.666666666664</x:v>
      </x:c>
      <x:c r="O833" s="16" t="n">
        <x:f>MAX(0,(M833-N833)*24)</x:f>
        <x:v>0</x:v>
      </x:c>
      <x:c r="P833" s="9" t="str">
        <x:v>No</x:v>
      </x:c>
      <x:c r="Q833" s="15" t="n">
        <x:v>22</x:v>
      </x:c>
      <x:c r="R833" s="13" t="n">
        <x:f>J833+Q833/1440</x:f>
        <x:v>46302.73402777778</x:v>
      </x:c>
      <x:c r="S833" s="2" t="str">
        <x:f>VLOOKUP(C833,'MES orders'!$A$8:$H$127,6,FALSE)</x:f>
        <x:v>Normal</x:v>
      </x:c>
      <x:c r="T833" s="9" t="str"/>
    </x:row>
    <x:row r="834" ht="22" customHeight="1">
      <x:c r="A834" s="2" t="str">
        <x:v>L00366-010</x:v>
      </x:c>
      <x:c r="B834" s="2" t="str">
        <x:v>L00366</x:v>
      </x:c>
      <x:c r="C834" s="2" t="str">
        <x:v>SO-26074</x:v>
      </x:c>
      <x:c r="D834" s="2" t="str">
        <x:v>R-C-SS</x:v>
      </x:c>
      <x:c r="E834" s="14" t="n">
        <x:v>10</x:v>
      </x:c>
      <x:c r="F834" s="2" t="str">
        <x:v>CNC machining</x:v>
      </x:c>
      <x:c r="G834" s="9" t="str">
        <x:v>CNC-04</x:v>
      </x:c>
      <x:c r="H834" s="15" t="n">
        <x:v>26</x:v>
      </x:c>
      <x:c r="I834" s="9" t="str">
        <x:v>P14</x:v>
      </x:c>
      <x:c r="J834" s="11" t="n">
        <x:v>46302.71875</x:v>
      </x:c>
      <x:c r="K834" s="15" t="n">
        <x:v>18</x:v>
      </x:c>
      <x:c r="L834" s="15" t="n">
        <x:v>24</x:v>
      </x:c>
      <x:c r="M834" s="13" t="n">
        <x:f>J834+(K834+L834)/1440</x:f>
        <x:v>46302.74791666667</x:v>
      </x:c>
      <x:c r="N834" s="13" t="n">
        <x:f>VLOOKUP(C834,'MES orders'!$A$8:$H$127,5,FALSE)</x:f>
        <x:v>46303.666666666664</x:v>
      </x:c>
      <x:c r="O834" s="16" t="n">
        <x:f>MAX(0,(M834-N834)*24)</x:f>
        <x:v>0</x:v>
      </x:c>
      <x:c r="P834" s="9" t="str">
        <x:v>No</x:v>
      </x:c>
      <x:c r="Q834" s="15" t="n">
        <x:v>18</x:v>
      </x:c>
      <x:c r="R834" s="13" t="n">
        <x:f>J834+Q834/1440</x:f>
        <x:v>46302.73125</x:v>
      </x:c>
      <x:c r="S834" s="2" t="str">
        <x:f>VLOOKUP(C834,'MES orders'!$A$8:$H$127,6,FALSE)</x:f>
        <x:v>Normal</x:v>
      </x:c>
      <x:c r="T834" s="9" t="str"/>
    </x:row>
    <x:row r="835" ht="22" customHeight="1">
      <x:c r="A835" s="2" t="str">
        <x:v>L00327-020</x:v>
      </x:c>
      <x:c r="B835" s="2" t="str">
        <x:v>L00327</x:v>
      </x:c>
      <x:c r="C835" s="2" t="str">
        <x:v>SO-26066</x:v>
      </x:c>
      <x:c r="D835" s="2" t="str">
        <x:v>D-L-SS</x:v>
      </x:c>
      <x:c r="E835" s="14" t="n">
        <x:v>15</x:v>
      </x:c>
      <x:c r="F835" s="2" t="str">
        <x:v>Deburr &amp; inspect</x:v>
      </x:c>
      <x:c r="G835" s="9" t="str">
        <x:v>DB-02</x:v>
      </x:c>
      <x:c r="H835" s="15" t="n">
        <x:v>58</x:v>
      </x:c>
      <x:c r="I835" s="9" t="str">
        <x:v>P13</x:v>
      </x:c>
      <x:c r="J835" s="11" t="n">
        <x:v>46302.71875</x:v>
      </x:c>
      <x:c r="K835" s="15" t="n">
        <x:v>4</x:v>
      </x:c>
      <x:c r="L835" s="15" t="n">
        <x:v>14</x:v>
      </x:c>
      <x:c r="M835" s="13" t="n">
        <x:f>J835+(K835+L835)/1440</x:f>
        <x:v>46302.73125</x:v>
      </x:c>
      <x:c r="N835" s="13" t="n">
        <x:f>VLOOKUP(C835,'MES orders'!$A$8:$H$127,5,FALSE)</x:f>
        <x:v>46303.666666666664</x:v>
      </x:c>
      <x:c r="O835" s="16" t="n">
        <x:f>MAX(0,(M835-N835)*24)</x:f>
        <x:v>0</x:v>
      </x:c>
      <x:c r="P835" s="9" t="str">
        <x:v>No</x:v>
      </x:c>
      <x:c r="Q835" s="15" t="n">
        <x:v>18</x:v>
      </x:c>
      <x:c r="R835" s="13" t="n">
        <x:f>J835+Q835/1440</x:f>
        <x:v>46302.73125</x:v>
      </x:c>
      <x:c r="S835" s="2" t="str">
        <x:f>VLOOKUP(C835,'MES orders'!$A$8:$H$127,6,FALSE)</x:f>
        <x:v>Normal</x:v>
      </x:c>
      <x:c r="T835" s="9" t="str"/>
    </x:row>
    <x:row r="836" ht="22" customHeight="1">
      <x:c r="A836" s="2" t="str">
        <x:v>L00367-010</x:v>
      </x:c>
      <x:c r="B836" s="2" t="str">
        <x:v>L00367</x:v>
      </x:c>
      <x:c r="C836" s="2" t="str">
        <x:v>SO-26074</x:v>
      </x:c>
      <x:c r="D836" s="2" t="str">
        <x:v>R-C-SS</x:v>
      </x:c>
      <x:c r="E836" s="14" t="n">
        <x:v>10</x:v>
      </x:c>
      <x:c r="F836" s="2" t="str">
        <x:v>CNC machining</x:v>
      </x:c>
      <x:c r="G836" s="9" t="str">
        <x:v>CNC-03</x:v>
      </x:c>
      <x:c r="H836" s="15" t="n">
        <x:v>25</x:v>
      </x:c>
      <x:c r="I836" s="9" t="str">
        <x:v>P15</x:v>
      </x:c>
      <x:c r="J836" s="11" t="n">
        <x:v>46302.72222222222</x:v>
      </x:c>
      <x:c r="K836" s="15" t="n">
        <x:v>18</x:v>
      </x:c>
      <x:c r="L836" s="15" t="n">
        <x:v>24</x:v>
      </x:c>
      <x:c r="M836" s="13" t="n">
        <x:f>J836+(K836+L836)/1440</x:f>
        <x:v>46302.751388888886</x:v>
      </x:c>
      <x:c r="N836" s="13" t="n">
        <x:f>VLOOKUP(C836,'MES orders'!$A$8:$H$127,5,FALSE)</x:f>
        <x:v>46303.666666666664</x:v>
      </x:c>
      <x:c r="O836" s="16" t="n">
        <x:f>MAX(0,(M836-N836)*24)</x:f>
        <x:v>0</x:v>
      </x:c>
      <x:c r="P836" s="9" t="str">
        <x:v>No</x:v>
      </x:c>
      <x:c r="Q836" s="15" t="n">
        <x:v>18</x:v>
      </x:c>
      <x:c r="R836" s="13" t="n">
        <x:f>J836+Q836/1440</x:f>
        <x:v>46302.734722222216</x:v>
      </x:c>
      <x:c r="S836" s="2" t="str">
        <x:f>VLOOKUP(C836,'MES orders'!$A$8:$H$127,6,FALSE)</x:f>
        <x:v>Normal</x:v>
      </x:c>
      <x:c r="T836" s="9" t="str"/>
    </x:row>
    <x:row r="837" ht="22" customHeight="1">
      <x:c r="A837" s="2" t="str">
        <x:v>L00210-030</x:v>
      </x:c>
      <x:c r="B837" s="2" t="str">
        <x:v>L00210</x:v>
      </x:c>
      <x:c r="C837" s="2" t="str">
        <x:v>SO-26042</x:v>
      </x:c>
      <x:c r="D837" s="2" t="str">
        <x:v>S-L-SS</x:v>
      </x:c>
      <x:c r="E837" s="14" t="n">
        <x:v>25</x:v>
      </x:c>
      <x:c r="F837" s="2" t="str">
        <x:v>Wash &amp; dry</x:v>
      </x:c>
      <x:c r="G837" s="9" t="str">
        <x:v>WS-01</x:v>
      </x:c>
      <x:c r="H837" s="15" t="n">
        <x:v>77</x:v>
      </x:c>
      <x:c r="I837" s="9" t="str">
        <x:v>P16</x:v>
      </x:c>
      <x:c r="J837" s="11" t="n">
        <x:v>46302.722916666666</x:v>
      </x:c>
      <x:c r="K837" s="15" t="n">
        <x:v>12</x:v>
      </x:c>
      <x:c r="L837" s="15" t="n">
        <x:v>12</x:v>
      </x:c>
      <x:c r="M837" s="13" t="n">
        <x:f>J837+(K837+L837)/1440</x:f>
        <x:v>46302.739583333336</x:v>
      </x:c>
      <x:c r="N837" s="13" t="n">
        <x:f>VLOOKUP(C837,'MES orders'!$A$8:$H$127,5,FALSE)</x:f>
        <x:v>46303.666666666664</x:v>
      </x:c>
      <x:c r="O837" s="16" t="n">
        <x:f>MAX(0,(M837-N837)*24)</x:f>
        <x:v>0</x:v>
      </x:c>
      <x:c r="P837" s="9" t="str">
        <x:v>No</x:v>
      </x:c>
      <x:c r="Q837" s="15" t="n">
        <x:v>24</x:v>
      </x:c>
      <x:c r="R837" s="13" t="n">
        <x:f>J837+Q837/1440</x:f>
        <x:v>46302.739583333336</x:v>
      </x:c>
      <x:c r="S837" s="2" t="str">
        <x:f>VLOOKUP(C837,'MES orders'!$A$8:$H$127,6,FALSE)</x:f>
        <x:v>Normal</x:v>
      </x:c>
      <x:c r="T837" s="9" t="str"/>
    </x:row>
    <x:row r="838" ht="22" customHeight="1">
      <x:c r="A838" s="2" t="str">
        <x:v>L00286-030</x:v>
      </x:c>
      <x:c r="B838" s="2" t="str">
        <x:v>L00286</x:v>
      </x:c>
      <x:c r="C838" s="2" t="str">
        <x:v>SO-26058</x:v>
      </x:c>
      <x:c r="D838" s="2" t="str">
        <x:v>D-S-SS</x:v>
      </x:c>
      <x:c r="E838" s="14" t="n">
        <x:v>10</x:v>
      </x:c>
      <x:c r="F838" s="2" t="str">
        <x:v>Wash &amp; dry</x:v>
      </x:c>
      <x:c r="G838" s="9" t="str">
        <x:v>WS-02</x:v>
      </x:c>
      <x:c r="H838" s="15" t="n">
        <x:v>58</x:v>
      </x:c>
      <x:c r="I838" s="9" t="str">
        <x:v>P18</x:v>
      </x:c>
      <x:c r="J838" s="11" t="n">
        <x:v>46302.722916666666</x:v>
      </x:c>
      <x:c r="K838" s="15" t="n">
        <x:v>12</x:v>
      </x:c>
      <x:c r="L838" s="15" t="n">
        <x:v>4</x:v>
      </x:c>
      <x:c r="M838" s="13" t="n">
        <x:f>J838+(K838+L838)/1440</x:f>
        <x:v>46302.73402777778</x:v>
      </x:c>
      <x:c r="N838" s="13" t="n">
        <x:f>VLOOKUP(C838,'MES orders'!$A$8:$H$127,5,FALSE)</x:f>
        <x:v>46303.666666666664</x:v>
      </x:c>
      <x:c r="O838" s="16" t="n">
        <x:f>MAX(0,(M838-N838)*24)</x:f>
        <x:v>0</x:v>
      </x:c>
      <x:c r="P838" s="9" t="str">
        <x:v>No</x:v>
      </x:c>
      <x:c r="Q838" s="15" t="n">
        <x:v>16</x:v>
      </x:c>
      <x:c r="R838" s="13" t="n">
        <x:f>J838+Q838/1440</x:f>
        <x:v>46302.73402777778</x:v>
      </x:c>
      <x:c r="S838" s="2" t="str">
        <x:f>VLOOKUP(C838,'MES orders'!$A$8:$H$127,6,FALSE)</x:f>
        <x:v>Normal</x:v>
      </x:c>
      <x:c r="T838" s="9" t="str"/>
    </x:row>
    <x:row r="839" ht="22" customHeight="1">
      <x:c r="A839" s="2" t="str">
        <x:v>L00014-050</x:v>
      </x:c>
      <x:c r="B839" s="2" t="str">
        <x:v>L00014</x:v>
      </x:c>
      <x:c r="C839" s="2" t="str">
        <x:v>SO-26003</x:v>
      </x:c>
      <x:c r="D839" s="2" t="str">
        <x:v>S-S-AL</x:v>
      </x:c>
      <x:c r="E839" s="14" t="n">
        <x:v>15</x:v>
      </x:c>
      <x:c r="F839" s="2" t="str">
        <x:v>Sensor installation</x:v>
      </x:c>
      <x:c r="G839" s="9" t="str">
        <x:v>EL-02</x:v>
      </x:c>
      <x:c r="H839" s="15" t="n">
        <x:v>12</x:v>
      </x:c>
      <x:c r="I839" s="9" t="str">
        <x:v>P20</x:v>
      </x:c>
      <x:c r="J839" s="11" t="n">
        <x:v>46302.73055555556</x:v>
      </x:c>
      <x:c r="K839" s="15" t="n">
        <x:v>8</x:v>
      </x:c>
      <x:c r="L839" s="15" t="n">
        <x:v>18</x:v>
      </x:c>
      <x:c r="M839" s="13" t="n">
        <x:f>J839+(K839+L839)/1440</x:f>
        <x:v>46302.748611111114</x:v>
      </x:c>
      <x:c r="N839" s="13" t="n">
        <x:f>VLOOKUP(C839,'MES orders'!$A$8:$H$127,5,FALSE)</x:f>
        <x:v>46304.666666666664</x:v>
      </x:c>
      <x:c r="O839" s="16" t="n">
        <x:f>MAX(0,(M839-N839)*24)</x:f>
        <x:v>0</x:v>
      </x:c>
      <x:c r="P839" s="9" t="str">
        <x:v>No</x:v>
      </x:c>
      <x:c r="Q839" s="15" t="n">
        <x:v>26</x:v>
      </x:c>
      <x:c r="R839" s="13" t="n">
        <x:f>J839+Q839/1440</x:f>
        <x:v>46302.748611111114</x:v>
      </x:c>
      <x:c r="S839" s="2" t="str">
        <x:f>VLOOKUP(C839,'MES orders'!$A$8:$H$127,6,FALSE)</x:f>
        <x:v>Normal</x:v>
      </x:c>
      <x:c r="T839" s="9" t="str"/>
    </x:row>
    <x:row r="840" ht="22" customHeight="1">
      <x:c r="A840" s="2" t="str">
        <x:v>L00368-010</x:v>
      </x:c>
      <x:c r="B840" s="2" t="str">
        <x:v>L00368</x:v>
      </x:c>
      <x:c r="C840" s="2" t="str">
        <x:v>SO-26074</x:v>
      </x:c>
      <x:c r="D840" s="2" t="str">
        <x:v>R-C-SS</x:v>
      </x:c>
      <x:c r="E840" s="14" t="n">
        <x:v>10</x:v>
      </x:c>
      <x:c r="F840" s="2" t="str">
        <x:v>CNC machining</x:v>
      </x:c>
      <x:c r="G840" s="9" t="str">
        <x:v>CNC-05</x:v>
      </x:c>
      <x:c r="H840" s="15" t="n">
        <x:v>23</x:v>
      </x:c>
      <x:c r="I840" s="9" t="str">
        <x:v>P14</x:v>
      </x:c>
      <x:c r="J840" s="11" t="n">
        <x:v>46302.73125</x:v>
      </x:c>
      <x:c r="K840" s="15" t="n">
        <x:v>18</x:v>
      </x:c>
      <x:c r="L840" s="15" t="n">
        <x:v>24</x:v>
      </x:c>
      <x:c r="M840" s="13" t="n">
        <x:f>J840+(K840+L840)/1440</x:f>
        <x:v>46302.760416666664</x:v>
      </x:c>
      <x:c r="N840" s="13" t="n">
        <x:f>VLOOKUP(C840,'MES orders'!$A$8:$H$127,5,FALSE)</x:f>
        <x:v>46303.666666666664</x:v>
      </x:c>
      <x:c r="O840" s="16" t="n">
        <x:f>MAX(0,(M840-N840)*24)</x:f>
        <x:v>0</x:v>
      </x:c>
      <x:c r="P840" s="9" t="str">
        <x:v>No</x:v>
      </x:c>
      <x:c r="Q840" s="15" t="n">
        <x:v>18</x:v>
      </x:c>
      <x:c r="R840" s="13" t="n">
        <x:f>J840+Q840/1440</x:f>
        <x:v>46302.743749999994</x:v>
      </x:c>
      <x:c r="S840" s="2" t="str">
        <x:f>VLOOKUP(C840,'MES orders'!$A$8:$H$127,6,FALSE)</x:f>
        <x:v>Normal</x:v>
      </x:c>
      <x:c r="T840" s="9" t="str"/>
    </x:row>
    <x:row r="841" ht="22" customHeight="1">
      <x:c r="A841" s="2" t="str">
        <x:v>L00289-020</x:v>
      </x:c>
      <x:c r="B841" s="2" t="str">
        <x:v>L00289</x:v>
      </x:c>
      <x:c r="C841" s="2" t="str">
        <x:v>SO-26058</x:v>
      </x:c>
      <x:c r="D841" s="2" t="str">
        <x:v>D-S-SS</x:v>
      </x:c>
      <x:c r="E841" s="14" t="n">
        <x:v>10</x:v>
      </x:c>
      <x:c r="F841" s="2" t="str">
        <x:v>Deburr &amp; inspect</x:v>
      </x:c>
      <x:c r="G841" s="9" t="str">
        <x:v>DB-01</x:v>
      </x:c>
      <x:c r="H841" s="15" t="n">
        <x:v>80</x:v>
      </x:c>
      <x:c r="I841" s="9" t="str">
        <x:v>P17</x:v>
      </x:c>
      <x:c r="J841" s="11" t="n">
        <x:v>46302.73333333333</x:v>
      </x:c>
      <x:c r="K841" s="15" t="n">
        <x:v>4</x:v>
      </x:c>
      <x:c r="L841" s="15" t="n">
        <x:v>7</x:v>
      </x:c>
      <x:c r="M841" s="13" t="n">
        <x:f>J841+(K841+L841)/1440</x:f>
        <x:v>46302.74097222222</x:v>
      </x:c>
      <x:c r="N841" s="13" t="n">
        <x:f>VLOOKUP(C841,'MES orders'!$A$8:$H$127,5,FALSE)</x:f>
        <x:v>46303.666666666664</x:v>
      </x:c>
      <x:c r="O841" s="16" t="n">
        <x:f>MAX(0,(M841-N841)*24)</x:f>
        <x:v>0</x:v>
      </x:c>
      <x:c r="P841" s="9" t="str">
        <x:v>No</x:v>
      </x:c>
      <x:c r="Q841" s="15" t="n">
        <x:v>11</x:v>
      </x:c>
      <x:c r="R841" s="13" t="n">
        <x:f>J841+Q841/1440</x:f>
        <x:v>46302.74097222222</x:v>
      </x:c>
      <x:c r="S841" s="2" t="str">
        <x:f>VLOOKUP(C841,'MES orders'!$A$8:$H$127,6,FALSE)</x:f>
        <x:v>Normal</x:v>
      </x:c>
      <x:c r="T841" s="9" t="str"/>
    </x:row>
    <x:row r="842" ht="22" customHeight="1">
      <x:c r="A842" s="2" t="str">
        <x:v>L00290-020</x:v>
      </x:c>
      <x:c r="B842" s="2" t="str">
        <x:v>L00290</x:v>
      </x:c>
      <x:c r="C842" s="2" t="str">
        <x:v>SO-26058</x:v>
      </x:c>
      <x:c r="D842" s="2" t="str">
        <x:v>D-S-SS</x:v>
      </x:c>
      <x:c r="E842" s="14" t="n">
        <x:v>10</x:v>
      </x:c>
      <x:c r="F842" s="2" t="str">
        <x:v>Deburr &amp; inspect</x:v>
      </x:c>
      <x:c r="G842" s="9" t="str">
        <x:v>DB-02</x:v>
      </x:c>
      <x:c r="H842" s="15" t="n">
        <x:v>59</x:v>
      </x:c>
      <x:c r="I842" s="9" t="str">
        <x:v>P18</x:v>
      </x:c>
      <x:c r="J842" s="11" t="n">
        <x:v>46302.73402777778</x:v>
      </x:c>
      <x:c r="K842" s="15" t="n">
        <x:v>4</x:v>
      </x:c>
      <x:c r="L842" s="15" t="n">
        <x:v>7</x:v>
      </x:c>
      <x:c r="M842" s="13" t="n">
        <x:f>J842+(K842+L842)/1440</x:f>
        <x:v>46302.74166666667</x:v>
      </x:c>
      <x:c r="N842" s="13" t="n">
        <x:f>VLOOKUP(C842,'MES orders'!$A$8:$H$127,5,FALSE)</x:f>
        <x:v>46303.666666666664</x:v>
      </x:c>
      <x:c r="O842" s="16" t="n">
        <x:f>MAX(0,(M842-N842)*24)</x:f>
        <x:v>0</x:v>
      </x:c>
      <x:c r="P842" s="9" t="str">
        <x:v>No</x:v>
      </x:c>
      <x:c r="Q842" s="15" t="n">
        <x:v>11</x:v>
      </x:c>
      <x:c r="R842" s="13" t="n">
        <x:f>J842+Q842/1440</x:f>
        <x:v>46302.74166666667</x:v>
      </x:c>
      <x:c r="S842" s="2" t="str">
        <x:f>VLOOKUP(C842,'MES orders'!$A$8:$H$127,6,FALSE)</x:f>
        <x:v>Normal</x:v>
      </x:c>
      <x:c r="T842" s="9" t="str"/>
    </x:row>
    <x:row r="843" ht="22" customHeight="1">
      <x:c r="A843" s="2" t="str">
        <x:v>L00326-030</x:v>
      </x:c>
      <x:c r="B843" s="2" t="str">
        <x:v>L00326</x:v>
      </x:c>
      <x:c r="C843" s="2" t="str">
        <x:v>SO-26066</x:v>
      </x:c>
      <x:c r="D843" s="2" t="str">
        <x:v>D-L-SS</x:v>
      </x:c>
      <x:c r="E843" s="14" t="n">
        <x:v>15</x:v>
      </x:c>
      <x:c r="F843" s="2" t="str">
        <x:v>Wash &amp; dry</x:v>
      </x:c>
      <x:c r="G843" s="9" t="str">
        <x:v>WS-02</x:v>
      </x:c>
      <x:c r="H843" s="15" t="n">
        <x:v>59</x:v>
      </x:c>
      <x:c r="I843" s="9" t="str">
        <x:v>P13</x:v>
      </x:c>
      <x:c r="J843" s="11" t="n">
        <x:v>46302.73402777778</x:v>
      </x:c>
      <x:c r="K843" s="15" t="n">
        <x:v>12</x:v>
      </x:c>
      <x:c r="L843" s="15" t="n">
        <x:v>7</x:v>
      </x:c>
      <x:c r="M843" s="13" t="n">
        <x:f>J843+(K843+L843)/1440</x:f>
        <x:v>46302.74722222222</x:v>
      </x:c>
      <x:c r="N843" s="13" t="n">
        <x:f>VLOOKUP(C843,'MES orders'!$A$8:$H$127,5,FALSE)</x:f>
        <x:v>46303.666666666664</x:v>
      </x:c>
      <x:c r="O843" s="16" t="n">
        <x:f>MAX(0,(M843-N843)*24)</x:f>
        <x:v>0</x:v>
      </x:c>
      <x:c r="P843" s="9" t="str">
        <x:v>No</x:v>
      </x:c>
      <x:c r="Q843" s="15" t="n">
        <x:v>19</x:v>
      </x:c>
      <x:c r="R843" s="13" t="n">
        <x:f>J843+Q843/1440</x:f>
        <x:v>46302.74722222222</x:v>
      </x:c>
      <x:c r="S843" s="2" t="str">
        <x:f>VLOOKUP(C843,'MES orders'!$A$8:$H$127,6,FALSE)</x:f>
        <x:v>Normal</x:v>
      </x:c>
      <x:c r="T843" s="9" t="str"/>
    </x:row>
    <x:row r="844" ht="22" customHeight="1">
      <x:c r="A844" s="2" t="str">
        <x:v>L00093-010</x:v>
      </x:c>
      <x:c r="B844" s="2" t="str">
        <x:v>L00093</x:v>
      </x:c>
      <x:c r="C844" s="2" t="str">
        <x:v>SO-26019</x:v>
      </x:c>
      <x:c r="D844" s="2" t="str">
        <x:v>D-C-AL</x:v>
      </x:c>
      <x:c r="E844" s="14" t="n">
        <x:v>5</x:v>
      </x:c>
      <x:c r="F844" s="2" t="str">
        <x:v>CNC machining</x:v>
      </x:c>
      <x:c r="G844" s="9" t="str">
        <x:v>CNC-01</x:v>
      </x:c>
      <x:c r="H844" s="15" t="n">
        <x:v>31</x:v>
      </x:c>
      <x:c r="I844" s="9" t="str">
        <x:v>P15</x:v>
      </x:c>
      <x:c r="J844" s="11" t="n">
        <x:v>46302.73472222222</x:v>
      </x:c>
      <x:c r="K844" s="15" t="n">
        <x:v>18</x:v>
      </x:c>
      <x:c r="L844" s="15" t="n">
        <x:v>10</x:v>
      </x:c>
      <x:c r="M844" s="13" t="n">
        <x:f>J844+(K844+L844)/1440</x:f>
        <x:v>46302.754166666666</x:v>
      </x:c>
      <x:c r="N844" s="13" t="n">
        <x:f>VLOOKUP(C844,'MES orders'!$A$8:$H$127,5,FALSE)</x:f>
        <x:v>46304.666666666664</x:v>
      </x:c>
      <x:c r="O844" s="16" t="n">
        <x:f>MAX(0,(M844-N844)*24)</x:f>
        <x:v>0</x:v>
      </x:c>
      <x:c r="P844" s="9" t="str">
        <x:v>No</x:v>
      </x:c>
      <x:c r="Q844" s="15" t="n">
        <x:v>18</x:v>
      </x:c>
      <x:c r="R844" s="13" t="n">
        <x:f>J844+Q844/1440</x:f>
        <x:v>46302.74722222222</x:v>
      </x:c>
      <x:c r="S844" s="2" t="str">
        <x:f>VLOOKUP(C844,'MES orders'!$A$8:$H$127,6,FALSE)</x:f>
        <x:v>Normal</x:v>
      </x:c>
      <x:c r="T844" s="9" t="str"/>
    </x:row>
    <x:row r="845" ht="22" customHeight="1">
      <x:c r="A845" s="2" t="str">
        <x:v>L00092-020</x:v>
      </x:c>
      <x:c r="B845" s="2" t="str">
        <x:v>L00092</x:v>
      </x:c>
      <x:c r="C845" s="2" t="str">
        <x:v>SO-26019</x:v>
      </x:c>
      <x:c r="D845" s="2" t="str">
        <x:v>D-C-AL</x:v>
      </x:c>
      <x:c r="E845" s="14" t="n">
        <x:v>5</x:v>
      </x:c>
      <x:c r="F845" s="2" t="str">
        <x:v>Deburr &amp; inspect</x:v>
      </x:c>
      <x:c r="G845" s="9" t="str">
        <x:v>DB-01</x:v>
      </x:c>
      <x:c r="H845" s="15" t="n">
        <x:v>81</x:v>
      </x:c>
      <x:c r="I845" s="9" t="str">
        <x:v>P16</x:v>
      </x:c>
      <x:c r="J845" s="11" t="n">
        <x:v>46302.74097222222</x:v>
      </x:c>
      <x:c r="K845" s="15" t="n">
        <x:v>4</x:v>
      </x:c>
      <x:c r="L845" s="15" t="n">
        <x:v>3</x:v>
      </x:c>
      <x:c r="M845" s="13" t="n">
        <x:f>J845+(K845+L845)/1440</x:f>
        <x:v>46302.745833333334</x:v>
      </x:c>
      <x:c r="N845" s="13" t="n">
        <x:f>VLOOKUP(C845,'MES orders'!$A$8:$H$127,5,FALSE)</x:f>
        <x:v>46304.666666666664</x:v>
      </x:c>
      <x:c r="O845" s="16" t="n">
        <x:f>MAX(0,(M845-N845)*24)</x:f>
        <x:v>0</x:v>
      </x:c>
      <x:c r="P845" s="9" t="str">
        <x:v>No</x:v>
      </x:c>
      <x:c r="Q845" s="15" t="n">
        <x:v>7</x:v>
      </x:c>
      <x:c r="R845" s="13" t="n">
        <x:f>J845+Q845/1440</x:f>
        <x:v>46302.745833333334</x:v>
      </x:c>
      <x:c r="S845" s="2" t="str">
        <x:f>VLOOKUP(C845,'MES orders'!$A$8:$H$127,6,FALSE)</x:f>
        <x:v>Normal</x:v>
      </x:c>
      <x:c r="T845" s="9" t="str"/>
    </x:row>
    <x:row r="846" ht="22" customHeight="1">
      <x:c r="A846" s="2" t="str">
        <x:v>L00206-070</x:v>
      </x:c>
      <x:c r="B846" s="2" t="str">
        <x:v>L00206</x:v>
      </x:c>
      <x:c r="C846" s="2" t="str">
        <x:v>SO-26042</x:v>
      </x:c>
      <x:c r="D846" s="2" t="str">
        <x:v>S-L-SS</x:v>
      </x:c>
      <x:c r="E846" s="14" t="n">
        <x:v>25</x:v>
      </x:c>
      <x:c r="F846" s="2" t="str">
        <x:v>Final assembly</x:v>
      </x:c>
      <x:c r="G846" s="9" t="str">
        <x:v>AS-01</x:v>
      </x:c>
      <x:c r="H846" s="15" t="n">
        <x:v>68</x:v>
      </x:c>
      <x:c r="I846" s="9" t="str">
        <x:v>P17</x:v>
      </x:c>
      <x:c r="J846" s="11" t="n">
        <x:v>46302.770833333336</x:v>
      </x:c>
      <x:c r="K846" s="15" t="n">
        <x:v>5</x:v>
      </x:c>
      <x:c r="L846" s="15" t="n">
        <x:v>27</x:v>
      </x:c>
      <x:c r="M846" s="13" t="n">
        <x:f>J846+(K846+L846)/1440</x:f>
        <x:v>46302.79305555556</x:v>
      </x:c>
      <x:c r="N846" s="13" t="n">
        <x:f>VLOOKUP(C846,'MES orders'!$A$8:$H$127,5,FALSE)</x:f>
        <x:v>46303.666666666664</x:v>
      </x:c>
      <x:c r="O846" s="16" t="n">
        <x:f>MAX(0,(M846-N846)*24)</x:f>
        <x:v>0</x:v>
      </x:c>
      <x:c r="P846" s="9" t="str">
        <x:v>No</x:v>
      </x:c>
      <x:c r="Q846" s="15" t="n">
        <x:v>32</x:v>
      </x:c>
      <x:c r="R846" s="13" t="n">
        <x:f>J846+Q846/1440</x:f>
        <x:v>46302.79305555556</x:v>
      </x:c>
      <x:c r="S846" s="2" t="str">
        <x:f>VLOOKUP(C846,'MES orders'!$A$8:$H$127,6,FALSE)</x:f>
        <x:v>Normal</x:v>
      </x:c>
      <x:c r="T846" s="9" t="str"/>
    </x:row>
    <x:row r="847" ht="22" customHeight="1">
      <x:c r="A847" s="2" t="str">
        <x:v>L00210-040</x:v>
      </x:c>
      <x:c r="B847" s="2" t="str">
        <x:v>L00210</x:v>
      </x:c>
      <x:c r="C847" s="2" t="str">
        <x:v>SO-26042</x:v>
      </x:c>
      <x:c r="D847" s="2" t="str">
        <x:v>S-L-SS</x:v>
      </x:c>
      <x:c r="E847" s="14" t="n">
        <x:v>25</x:v>
      </x:c>
      <x:c r="F847" s="2" t="str">
        <x:v>Mechanical preassembly</x:v>
      </x:c>
      <x:c r="G847" s="9" t="str">
        <x:v>AS-02</x:v>
      </x:c>
      <x:c r="H847" s="15" t="n">
        <x:v>55</x:v>
      </x:c>
      <x:c r="I847" s="9" t="str">
        <x:v>P16</x:v>
      </x:c>
      <x:c r="J847" s="11" t="n">
        <x:v>46302.770833333336</x:v>
      </x:c>
      <x:c r="K847" s="15" t="n">
        <x:v>6</x:v>
      </x:c>
      <x:c r="L847" s="15" t="n">
        <x:v>37</x:v>
      </x:c>
      <x:c r="M847" s="13" t="n">
        <x:f>J847+(K847+L847)/1440</x:f>
        <x:v>46302.80069444445</x:v>
      </x:c>
      <x:c r="N847" s="13" t="n">
        <x:f>VLOOKUP(C847,'MES orders'!$A$8:$H$127,5,FALSE)</x:f>
        <x:v>46303.666666666664</x:v>
      </x:c>
      <x:c r="O847" s="16" t="n">
        <x:f>MAX(0,(M847-N847)*24)</x:f>
        <x:v>0</x:v>
      </x:c>
      <x:c r="P847" s="9" t="str">
        <x:v>No</x:v>
      </x:c>
      <x:c r="Q847" s="15" t="n">
        <x:v>43</x:v>
      </x:c>
      <x:c r="R847" s="13" t="n">
        <x:f>J847+Q847/1440</x:f>
        <x:v>46302.80069444445</x:v>
      </x:c>
      <x:c r="S847" s="2" t="str">
        <x:f>VLOOKUP(C847,'MES orders'!$A$8:$H$127,6,FALSE)</x:f>
        <x:v>Normal</x:v>
      </x:c>
      <x:c r="T847" s="9" t="str"/>
    </x:row>
    <x:row r="848" ht="22" customHeight="1">
      <x:c r="A848" s="2" t="str">
        <x:v>L00286-040</x:v>
      </x:c>
      <x:c r="B848" s="2" t="str">
        <x:v>L00286</x:v>
      </x:c>
      <x:c r="C848" s="2" t="str">
        <x:v>SO-26058</x:v>
      </x:c>
      <x:c r="D848" s="2" t="str">
        <x:v>D-S-SS</x:v>
      </x:c>
      <x:c r="E848" s="14" t="n">
        <x:v>10</x:v>
      </x:c>
      <x:c r="F848" s="2" t="str">
        <x:v>Mechanical assembly</x:v>
      </x:c>
      <x:c r="G848" s="9" t="str">
        <x:v>AS-03</x:v>
      </x:c>
      <x:c r="H848" s="15" t="n">
        <x:v>43</x:v>
      </x:c>
      <x:c r="I848" s="9" t="str">
        <x:v>P18</x:v>
      </x:c>
      <x:c r="J848" s="11" t="n">
        <x:v>46302.770833333336</x:v>
      </x:c>
      <x:c r="K848" s="15" t="n">
        <x:v>8</x:v>
      </x:c>
      <x:c r="L848" s="15" t="n">
        <x:v>18</x:v>
      </x:c>
      <x:c r="M848" s="13" t="n">
        <x:f>J848+(K848+L848)/1440</x:f>
        <x:v>46302.78888888889</x:v>
      </x:c>
      <x:c r="N848" s="13" t="n">
        <x:f>VLOOKUP(C848,'MES orders'!$A$8:$H$127,5,FALSE)</x:f>
        <x:v>46303.666666666664</x:v>
      </x:c>
      <x:c r="O848" s="16" t="n">
        <x:f>MAX(0,(M848-N848)*24)</x:f>
        <x:v>0</x:v>
      </x:c>
      <x:c r="P848" s="9" t="str">
        <x:v>No</x:v>
      </x:c>
      <x:c r="Q848" s="15" t="n">
        <x:v>26</x:v>
      </x:c>
      <x:c r="R848" s="13" t="n">
        <x:f>J848+Q848/1440</x:f>
        <x:v>46302.78888888889</x:v>
      </x:c>
      <x:c r="S848" s="2" t="str">
        <x:f>VLOOKUP(C848,'MES orders'!$A$8:$H$127,6,FALSE)</x:f>
        <x:v>Normal</x:v>
      </x:c>
      <x:c r="T848" s="9" t="str"/>
    </x:row>
    <x:row r="849" ht="22" customHeight="1">
      <x:c r="A849" s="2" t="str">
        <x:v>L00207-060</x:v>
      </x:c>
      <x:c r="B849" s="2" t="str">
        <x:v>L00207</x:v>
      </x:c>
      <x:c r="C849" s="2" t="str">
        <x:v>SO-26042</x:v>
      </x:c>
      <x:c r="D849" s="2" t="str">
        <x:v>S-L-SS</x:v>
      </x:c>
      <x:c r="E849" s="14" t="n">
        <x:v>25</x:v>
      </x:c>
      <x:c r="F849" s="2" t="str">
        <x:v>Sensor calibration</x:v>
      </x:c>
      <x:c r="G849" s="9" t="str">
        <x:v>CAL-01</x:v>
      </x:c>
      <x:c r="H849" s="15" t="n">
        <x:v>35</x:v>
      </x:c>
      <x:c r="I849" s="9" t="str">
        <x:v>P21</x:v>
      </x:c>
      <x:c r="J849" s="11" t="n">
        <x:v>46302.770833333336</x:v>
      </x:c>
      <x:c r="K849" s="15" t="n">
        <x:v>10</x:v>
      </x:c>
      <x:c r="L849" s="15" t="n">
        <x:v>44</x:v>
      </x:c>
      <x:c r="M849" s="13" t="n">
        <x:f>J849+(K849+L849)/1440</x:f>
        <x:v>46302.808333333334</x:v>
      </x:c>
      <x:c r="N849" s="13" t="n">
        <x:f>VLOOKUP(C849,'MES orders'!$A$8:$H$127,5,FALSE)</x:f>
        <x:v>46303.666666666664</x:v>
      </x:c>
      <x:c r="O849" s="16" t="n">
        <x:f>MAX(0,(M849-N849)*24)</x:f>
        <x:v>0</x:v>
      </x:c>
      <x:c r="P849" s="9" t="str">
        <x:v>No</x:v>
      </x:c>
      <x:c r="Q849" s="15" t="n">
        <x:v>54</x:v>
      </x:c>
      <x:c r="R849" s="13" t="n">
        <x:f>J849+Q849/1440</x:f>
        <x:v>46302.808333333334</x:v>
      </x:c>
      <x:c r="S849" s="2" t="str">
        <x:f>VLOOKUP(C849,'MES orders'!$A$8:$H$127,6,FALSE)</x:f>
        <x:v>Normal</x:v>
      </x:c>
      <x:c r="T849" s="9" t="str"/>
    </x:row>
    <x:row r="850" ht="22" customHeight="1">
      <x:c r="A850" s="2" t="str">
        <x:v>L00369-010</x:v>
      </x:c>
      <x:c r="B850" s="2" t="str">
        <x:v>L00369</x:v>
      </x:c>
      <x:c r="C850" s="2" t="str">
        <x:v>SO-26074</x:v>
      </x:c>
      <x:c r="D850" s="2" t="str">
        <x:v>R-C-SS</x:v>
      </x:c>
      <x:c r="E850" s="14" t="n">
        <x:v>10</x:v>
      </x:c>
      <x:c r="F850" s="2" t="str">
        <x:v>CNC machining</x:v>
      </x:c>
      <x:c r="G850" s="9" t="str">
        <x:v>CNC-03</x:v>
      </x:c>
      <x:c r="H850" s="15" t="n">
        <x:v>26</x:v>
      </x:c>
      <x:c r="I850" s="9" t="str">
        <x:v>P15</x:v>
      </x:c>
      <x:c r="J850" s="11" t="n">
        <x:v>46302.770833333336</x:v>
      </x:c>
      <x:c r="K850" s="15" t="n">
        <x:v>18</x:v>
      </x:c>
      <x:c r="L850" s="15" t="n">
        <x:v>24</x:v>
      </x:c>
      <x:c r="M850" s="13" t="n">
        <x:f>J850+(K850+L850)/1440</x:f>
        <x:v>46302.8</x:v>
      </x:c>
      <x:c r="N850" s="13" t="n">
        <x:f>VLOOKUP(C850,'MES orders'!$A$8:$H$127,5,FALSE)</x:f>
        <x:v>46303.666666666664</x:v>
      </x:c>
      <x:c r="O850" s="16" t="n">
        <x:f>MAX(0,(M850-N850)*24)</x:f>
        <x:v>0</x:v>
      </x:c>
      <x:c r="P850" s="9" t="str">
        <x:v>No</x:v>
      </x:c>
      <x:c r="Q850" s="15" t="n">
        <x:v>18</x:v>
      </x:c>
      <x:c r="R850" s="13" t="n">
        <x:f>J850+Q850/1440</x:f>
        <x:v>46302.78333333333</x:v>
      </x:c>
      <x:c r="S850" s="2" t="str">
        <x:f>VLOOKUP(C850,'MES orders'!$A$8:$H$127,6,FALSE)</x:f>
        <x:v>Normal</x:v>
      </x:c>
      <x:c r="T850" s="9" t="str"/>
    </x:row>
    <x:row r="851" ht="22" customHeight="1">
      <x:c r="A851" s="2" t="str">
        <x:v>L00329-020</x:v>
      </x:c>
      <x:c r="B851" s="2" t="str">
        <x:v>L00329</x:v>
      </x:c>
      <x:c r="C851" s="2" t="str">
        <x:v>SO-26066</x:v>
      </x:c>
      <x:c r="D851" s="2" t="str">
        <x:v>D-L-SS</x:v>
      </x:c>
      <x:c r="E851" s="14" t="n">
        <x:v>15</x:v>
      </x:c>
      <x:c r="F851" s="2" t="str">
        <x:v>Deburr &amp; inspect</x:v>
      </x:c>
      <x:c r="G851" s="9" t="str">
        <x:v>DB-01</x:v>
      </x:c>
      <x:c r="H851" s="15" t="n">
        <x:v>82</x:v>
      </x:c>
      <x:c r="I851" s="9" t="str">
        <x:v>P13</x:v>
      </x:c>
      <x:c r="J851" s="11" t="n">
        <x:v>46302.770833333336</x:v>
      </x:c>
      <x:c r="K851" s="15" t="n">
        <x:v>4</x:v>
      </x:c>
      <x:c r="L851" s="15" t="n">
        <x:v>14</x:v>
      </x:c>
      <x:c r="M851" s="13" t="n">
        <x:f>J851+(K851+L851)/1440</x:f>
        <x:v>46302.78333333333</x:v>
      </x:c>
      <x:c r="N851" s="13" t="n">
        <x:f>VLOOKUP(C851,'MES orders'!$A$8:$H$127,5,FALSE)</x:f>
        <x:v>46303.666666666664</x:v>
      </x:c>
      <x:c r="O851" s="16" t="n">
        <x:f>MAX(0,(M851-N851)*24)</x:f>
        <x:v>0</x:v>
      </x:c>
      <x:c r="P851" s="9" t="str">
        <x:v>No</x:v>
      </x:c>
      <x:c r="Q851" s="15" t="n">
        <x:v>18</x:v>
      </x:c>
      <x:c r="R851" s="13" t="n">
        <x:f>J851+Q851/1440</x:f>
        <x:v>46302.78333333333</x:v>
      </x:c>
      <x:c r="S851" s="2" t="str">
        <x:f>VLOOKUP(C851,'MES orders'!$A$8:$H$127,6,FALSE)</x:f>
        <x:v>Normal</x:v>
      </x:c>
      <x:c r="T851" s="9" t="str"/>
    </x:row>
    <x:row r="852" ht="22" customHeight="1">
      <x:c r="A852" s="2" t="str">
        <x:v>L00330-020</x:v>
      </x:c>
      <x:c r="B852" s="2" t="str">
        <x:v>L00330</x:v>
      </x:c>
      <x:c r="C852" s="2" t="str">
        <x:v>SO-26066</x:v>
      </x:c>
      <x:c r="D852" s="2" t="str">
        <x:v>D-L-SS</x:v>
      </x:c>
      <x:c r="E852" s="14" t="n">
        <x:v>15</x:v>
      </x:c>
      <x:c r="F852" s="2" t="str">
        <x:v>Deburr &amp; inspect</x:v>
      </x:c>
      <x:c r="G852" s="9" t="str">
        <x:v>DB-02</x:v>
      </x:c>
      <x:c r="H852" s="15" t="n">
        <x:v>60</x:v>
      </x:c>
      <x:c r="I852" s="9" t="str">
        <x:v>P14</x:v>
      </x:c>
      <x:c r="J852" s="11" t="n">
        <x:v>46302.770833333336</x:v>
      </x:c>
      <x:c r="K852" s="15" t="n">
        <x:v>4</x:v>
      </x:c>
      <x:c r="L852" s="15" t="n">
        <x:v>14</x:v>
      </x:c>
      <x:c r="M852" s="13" t="n">
        <x:f>J852+(K852+L852)/1440</x:f>
        <x:v>46302.78333333333</x:v>
      </x:c>
      <x:c r="N852" s="13" t="n">
        <x:f>VLOOKUP(C852,'MES orders'!$A$8:$H$127,5,FALSE)</x:f>
        <x:v>46303.666666666664</x:v>
      </x:c>
      <x:c r="O852" s="16" t="n">
        <x:f>MAX(0,(M852-N852)*24)</x:f>
        <x:v>0</x:v>
      </x:c>
      <x:c r="P852" s="9" t="str">
        <x:v>No</x:v>
      </x:c>
      <x:c r="Q852" s="15" t="n">
        <x:v>18</x:v>
      </x:c>
      <x:c r="R852" s="13" t="n">
        <x:f>J852+Q852/1440</x:f>
        <x:v>46302.78333333333</x:v>
      </x:c>
      <x:c r="S852" s="2" t="str">
        <x:f>VLOOKUP(C852,'MES orders'!$A$8:$H$127,6,FALSE)</x:f>
        <x:v>Normal</x:v>
      </x:c>
      <x:c r="T852" s="9" t="str"/>
    </x:row>
    <x:row r="853" ht="22" customHeight="1">
      <x:c r="A853" s="2" t="str">
        <x:v>L00209-050</x:v>
      </x:c>
      <x:c r="B853" s="2" t="str">
        <x:v>L00209</x:v>
      </x:c>
      <x:c r="C853" s="2" t="str">
        <x:v>SO-26042</x:v>
      </x:c>
      <x:c r="D853" s="2" t="str">
        <x:v>S-L-SS</x:v>
      </x:c>
      <x:c r="E853" s="14" t="n">
        <x:v>25</x:v>
      </x:c>
      <x:c r="F853" s="2" t="str">
        <x:v>Sensor installation</x:v>
      </x:c>
      <x:c r="G853" s="9" t="str">
        <x:v>EL-01</x:v>
      </x:c>
      <x:c r="H853" s="15" t="n">
        <x:v>26</x:v>
      </x:c>
      <x:c r="I853" s="9" t="str">
        <x:v>P19</x:v>
      </x:c>
      <x:c r="J853" s="11" t="n">
        <x:v>46302.770833333336</x:v>
      </x:c>
      <x:c r="K853" s="15" t="n">
        <x:v>8</x:v>
      </x:c>
      <x:c r="L853" s="15" t="n">
        <x:v>40</x:v>
      </x:c>
      <x:c r="M853" s="13" t="n">
        <x:f>J853+(K853+L853)/1440</x:f>
        <x:v>46302.80416666667</x:v>
      </x:c>
      <x:c r="N853" s="13" t="n">
        <x:f>VLOOKUP(C853,'MES orders'!$A$8:$H$127,5,FALSE)</x:f>
        <x:v>46303.666666666664</x:v>
      </x:c>
      <x:c r="O853" s="16" t="n">
        <x:f>MAX(0,(M853-N853)*24)</x:f>
        <x:v>0</x:v>
      </x:c>
      <x:c r="P853" s="9" t="str">
        <x:v>No</x:v>
      </x:c>
      <x:c r="Q853" s="15" t="n">
        <x:v>48</x:v>
      </x:c>
      <x:c r="R853" s="13" t="n">
        <x:f>J853+Q853/1440</x:f>
        <x:v>46302.80416666667</x:v>
      </x:c>
      <x:c r="S853" s="2" t="str">
        <x:f>VLOOKUP(C853,'MES orders'!$A$8:$H$127,6,FALSE)</x:f>
        <x:v>Normal</x:v>
      </x:c>
      <x:c r="T853" s="9" t="str"/>
    </x:row>
    <x:row r="854" ht="22" customHeight="1">
      <x:c r="A854" s="2" t="str">
        <x:v>L00015-050</x:v>
      </x:c>
      <x:c r="B854" s="2" t="str">
        <x:v>L00015</x:v>
      </x:c>
      <x:c r="C854" s="2" t="str">
        <x:v>SO-26003</x:v>
      </x:c>
      <x:c r="D854" s="2" t="str">
        <x:v>S-S-AL</x:v>
      </x:c>
      <x:c r="E854" s="14" t="n">
        <x:v>15</x:v>
      </x:c>
      <x:c r="F854" s="2" t="str">
        <x:v>Sensor installation</x:v>
      </x:c>
      <x:c r="G854" s="9" t="str">
        <x:v>EL-02</x:v>
      </x:c>
      <x:c r="H854" s="15" t="n">
        <x:v>13</x:v>
      </x:c>
      <x:c r="I854" s="9" t="str">
        <x:v>P20</x:v>
      </x:c>
      <x:c r="J854" s="11" t="n">
        <x:v>46302.770833333336</x:v>
      </x:c>
      <x:c r="K854" s="15" t="n">
        <x:v>8</x:v>
      </x:c>
      <x:c r="L854" s="15" t="n">
        <x:v>18</x:v>
      </x:c>
      <x:c r="M854" s="13" t="n">
        <x:f>J854+(K854+L854)/1440</x:f>
        <x:v>46302.78888888889</x:v>
      </x:c>
      <x:c r="N854" s="13" t="n">
        <x:f>VLOOKUP(C854,'MES orders'!$A$8:$H$127,5,FALSE)</x:f>
        <x:v>46304.666666666664</x:v>
      </x:c>
      <x:c r="O854" s="16" t="n">
        <x:f>MAX(0,(M854-N854)*24)</x:f>
        <x:v>0</x:v>
      </x:c>
      <x:c r="P854" s="9" t="str">
        <x:v>No</x:v>
      </x:c>
      <x:c r="Q854" s="15" t="n">
        <x:v>26</x:v>
      </x:c>
      <x:c r="R854" s="13" t="n">
        <x:f>J854+Q854/1440</x:f>
        <x:v>46302.78888888889</x:v>
      </x:c>
      <x:c r="S854" s="2" t="str">
        <x:f>VLOOKUP(C854,'MES orders'!$A$8:$H$127,6,FALSE)</x:f>
        <x:v>Normal</x:v>
      </x:c>
      <x:c r="T854" s="9" t="str"/>
    </x:row>
    <x:row r="855" ht="22" customHeight="1">
      <x:c r="A855" s="2" t="str">
        <x:v>L00092-030</x:v>
      </x:c>
      <x:c r="B855" s="2" t="str">
        <x:v>L00092</x:v>
      </x:c>
      <x:c r="C855" s="2" t="str">
        <x:v>SO-26019</x:v>
      </x:c>
      <x:c r="D855" s="2" t="str">
        <x:v>D-C-AL</x:v>
      </x:c>
      <x:c r="E855" s="14" t="n">
        <x:v>5</x:v>
      </x:c>
      <x:c r="F855" s="2" t="str">
        <x:v>Wash &amp; dry</x:v>
      </x:c>
      <x:c r="G855" s="9" t="str">
        <x:v>WS-01</x:v>
      </x:c>
      <x:c r="H855" s="15" t="n">
        <x:v>78</x:v>
      </x:c>
      <x:c r="I855" s="9" t="str">
        <x:v>P23</x:v>
      </x:c>
      <x:c r="J855" s="11" t="n">
        <x:v>46302.770833333336</x:v>
      </x:c>
      <x:c r="K855" s="15" t="n">
        <x:v>12</x:v>
      </x:c>
      <x:c r="L855" s="15" t="n">
        <x:v>1</x:v>
      </x:c>
      <x:c r="M855" s="13" t="n">
        <x:f>J855+(K855+L855)/1440</x:f>
        <x:v>46302.779861111114</x:v>
      </x:c>
      <x:c r="N855" s="13" t="n">
        <x:f>VLOOKUP(C855,'MES orders'!$A$8:$H$127,5,FALSE)</x:f>
        <x:v>46304.666666666664</x:v>
      </x:c>
      <x:c r="O855" s="16" t="n">
        <x:f>MAX(0,(M855-N855)*24)</x:f>
        <x:v>0</x:v>
      </x:c>
      <x:c r="P855" s="9" t="str">
        <x:v>No</x:v>
      </x:c>
      <x:c r="Q855" s="15" t="n">
        <x:v>13</x:v>
      </x:c>
      <x:c r="R855" s="13" t="n">
        <x:f>J855+Q855/1440</x:f>
        <x:v>46302.779861111114</x:v>
      </x:c>
      <x:c r="S855" s="2" t="str">
        <x:f>VLOOKUP(C855,'MES orders'!$A$8:$H$127,6,FALSE)</x:f>
        <x:v>Normal</x:v>
      </x:c>
      <x:c r="T855" s="9" t="str"/>
    </x:row>
    <x:row r="856" ht="22" customHeight="1">
      <x:c r="A856" s="2" t="str">
        <x:v>L00092-040</x:v>
      </x:c>
      <x:c r="B856" s="2" t="str">
        <x:v>L00092</x:v>
      </x:c>
      <x:c r="C856" s="2" t="str">
        <x:v>SO-26019</x:v>
      </x:c>
      <x:c r="D856" s="2" t="str">
        <x:v>D-C-AL</x:v>
      </x:c>
      <x:c r="E856" s="14" t="n">
        <x:v>5</x:v>
      </x:c>
      <x:c r="F856" s="2" t="str">
        <x:v>Mechanical assembly</x:v>
      </x:c>
      <x:c r="G856" s="9" t="str">
        <x:v>AS-04</x:v>
      </x:c>
      <x:c r="H856" s="15" t="n">
        <x:v>28</x:v>
      </x:c>
      <x:c r="I856" s="9" t="str">
        <x:v>P23</x:v>
      </x:c>
      <x:c r="J856" s="11" t="n">
        <x:v>46302.779861111114</x:v>
      </x:c>
      <x:c r="K856" s="15" t="n">
        <x:v>8</x:v>
      </x:c>
      <x:c r="L856" s="15" t="n">
        <x:v>7</x:v>
      </x:c>
      <x:c r="M856" s="13" t="n">
        <x:f>J856+(K856+L856)/1440</x:f>
        <x:v>46302.79027777778</x:v>
      </x:c>
      <x:c r="N856" s="13" t="n">
        <x:f>VLOOKUP(C856,'MES orders'!$A$8:$H$127,5,FALSE)</x:f>
        <x:v>46304.666666666664</x:v>
      </x:c>
      <x:c r="O856" s="16" t="n">
        <x:f>MAX(0,(M856-N856)*24)</x:f>
        <x:v>0</x:v>
      </x:c>
      <x:c r="P856" s="9" t="str">
        <x:v>No</x:v>
      </x:c>
      <x:c r="Q856" s="15" t="n">
        <x:v>15</x:v>
      </x:c>
      <x:c r="R856" s="13" t="n">
        <x:f>J856+Q856/1440</x:f>
        <x:v>46302.79027777778</x:v>
      </x:c>
      <x:c r="S856" s="2" t="str">
        <x:f>VLOOKUP(C856,'MES orders'!$A$8:$H$127,6,FALSE)</x:f>
        <x:v>Normal</x:v>
      </x:c>
      <x:c r="T856" s="9" t="str"/>
    </x:row>
    <x:row r="857" ht="22" customHeight="1">
      <x:c r="A857" s="2" t="str">
        <x:v>L00370-010</x:v>
      </x:c>
      <x:c r="B857" s="2" t="str">
        <x:v>L00370</x:v>
      </x:c>
      <x:c r="C857" s="2" t="str">
        <x:v>SO-26074</x:v>
      </x:c>
      <x:c r="D857" s="2" t="str">
        <x:v>R-C-SS</x:v>
      </x:c>
      <x:c r="E857" s="14" t="n">
        <x:v>10</x:v>
      </x:c>
      <x:c r="F857" s="2" t="str">
        <x:v>CNC machining</x:v>
      </x:c>
      <x:c r="G857" s="9" t="str">
        <x:v>CNC-04</x:v>
      </x:c>
      <x:c r="H857" s="15" t="n">
        <x:v>27</x:v>
      </x:c>
      <x:c r="I857" s="9" t="str">
        <x:v>P15</x:v>
      </x:c>
      <x:c r="J857" s="11" t="n">
        <x:v>46302.78333333333</x:v>
      </x:c>
      <x:c r="K857" s="15" t="n">
        <x:v>18</x:v>
      </x:c>
      <x:c r="L857" s="15" t="n">
        <x:v>24</x:v>
      </x:c>
      <x:c r="M857" s="13" t="n">
        <x:f>J857+(K857+L857)/1440</x:f>
        <x:v>46302.8125</x:v>
      </x:c>
      <x:c r="N857" s="13" t="n">
        <x:f>VLOOKUP(C857,'MES orders'!$A$8:$H$127,5,FALSE)</x:f>
        <x:v>46303.666666666664</x:v>
      </x:c>
      <x:c r="O857" s="16" t="n">
        <x:f>MAX(0,(M857-N857)*24)</x:f>
        <x:v>0</x:v>
      </x:c>
      <x:c r="P857" s="9" t="str">
        <x:v>No</x:v>
      </x:c>
      <x:c r="Q857" s="15" t="n">
        <x:v>18</x:v>
      </x:c>
      <x:c r="R857" s="13" t="n">
        <x:f>J857+Q857/1440</x:f>
        <x:v>46302.79583333333</x:v>
      </x:c>
      <x:c r="S857" s="2" t="str">
        <x:f>VLOOKUP(C857,'MES orders'!$A$8:$H$127,6,FALSE)</x:f>
        <x:v>Normal</x:v>
      </x:c>
      <x:c r="T857" s="9" t="str"/>
    </x:row>
    <x:row r="858" ht="22" customHeight="1">
      <x:c r="A858" s="2" t="str">
        <x:v>L00366-020</x:v>
      </x:c>
      <x:c r="B858" s="2" t="str">
        <x:v>L00366</x:v>
      </x:c>
      <x:c r="C858" s="2" t="str">
        <x:v>SO-26074</x:v>
      </x:c>
      <x:c r="D858" s="2" t="str">
        <x:v>R-C-SS</x:v>
      </x:c>
      <x:c r="E858" s="14" t="n">
        <x:v>10</x:v>
      </x:c>
      <x:c r="F858" s="2" t="str">
        <x:v>Deburr &amp; inspect</x:v>
      </x:c>
      <x:c r="G858" s="9" t="str">
        <x:v>DB-01</x:v>
      </x:c>
      <x:c r="H858" s="15" t="n">
        <x:v>83</x:v>
      </x:c>
      <x:c r="I858" s="9" t="str">
        <x:v>P13</x:v>
      </x:c>
      <x:c r="J858" s="11" t="n">
        <x:v>46302.78333333333</x:v>
      </x:c>
      <x:c r="K858" s="15" t="n">
        <x:v>4</x:v>
      </x:c>
      <x:c r="L858" s="15" t="n">
        <x:v>6</x:v>
      </x:c>
      <x:c r="M858" s="13" t="n">
        <x:f>J858+(K858+L858)/1440</x:f>
        <x:v>46302.79027777778</x:v>
      </x:c>
      <x:c r="N858" s="13" t="n">
        <x:f>VLOOKUP(C858,'MES orders'!$A$8:$H$127,5,FALSE)</x:f>
        <x:v>46303.666666666664</x:v>
      </x:c>
      <x:c r="O858" s="16" t="n">
        <x:f>MAX(0,(M858-N858)*24)</x:f>
        <x:v>0</x:v>
      </x:c>
      <x:c r="P858" s="9" t="str">
        <x:v>No</x:v>
      </x:c>
      <x:c r="Q858" s="15" t="n">
        <x:v>10</x:v>
      </x:c>
      <x:c r="R858" s="13" t="n">
        <x:f>J858+Q858/1440</x:f>
        <x:v>46302.79027777778</x:v>
      </x:c>
      <x:c r="S858" s="2" t="str">
        <x:f>VLOOKUP(C858,'MES orders'!$A$8:$H$127,6,FALSE)</x:f>
        <x:v>Normal</x:v>
      </x:c>
      <x:c r="T858" s="9" t="str"/>
    </x:row>
    <x:row r="859" ht="22" customHeight="1">
      <x:c r="A859" s="2" t="str">
        <x:v>L00367-020</x:v>
      </x:c>
      <x:c r="B859" s="2" t="str">
        <x:v>L00367</x:v>
      </x:c>
      <x:c r="C859" s="2" t="str">
        <x:v>SO-26074</x:v>
      </x:c>
      <x:c r="D859" s="2" t="str">
        <x:v>R-C-SS</x:v>
      </x:c>
      <x:c r="E859" s="14" t="n">
        <x:v>10</x:v>
      </x:c>
      <x:c r="F859" s="2" t="str">
        <x:v>Deburr &amp; inspect</x:v>
      </x:c>
      <x:c r="G859" s="9" t="str">
        <x:v>DB-02</x:v>
      </x:c>
      <x:c r="H859" s="15" t="n">
        <x:v>61</x:v>
      </x:c>
      <x:c r="I859" s="9" t="str">
        <x:v>P14</x:v>
      </x:c>
      <x:c r="J859" s="11" t="n">
        <x:v>46302.78333333333</x:v>
      </x:c>
      <x:c r="K859" s="15" t="n">
        <x:v>4</x:v>
      </x:c>
      <x:c r="L859" s="15" t="n">
        <x:v>6</x:v>
      </x:c>
      <x:c r="M859" s="13" t="n">
        <x:f>J859+(K859+L859)/1440</x:f>
        <x:v>46302.79027777778</x:v>
      </x:c>
      <x:c r="N859" s="13" t="n">
        <x:f>VLOOKUP(C859,'MES orders'!$A$8:$H$127,5,FALSE)</x:f>
        <x:v>46303.666666666664</x:v>
      </x:c>
      <x:c r="O859" s="16" t="n">
        <x:f>MAX(0,(M859-N859)*24)</x:f>
        <x:v>0</x:v>
      </x:c>
      <x:c r="P859" s="9" t="str">
        <x:v>No</x:v>
      </x:c>
      <x:c r="Q859" s="15" t="n">
        <x:v>10</x:v>
      </x:c>
      <x:c r="R859" s="13" t="n">
        <x:f>J859+Q859/1440</x:f>
        <x:v>46302.79027777778</x:v>
      </x:c>
      <x:c r="S859" s="2" t="str">
        <x:f>VLOOKUP(C859,'MES orders'!$A$8:$H$127,6,FALSE)</x:f>
        <x:v>Normal</x:v>
      </x:c>
      <x:c r="T859" s="9" t="str"/>
    </x:row>
    <x:row r="860" ht="22" customHeight="1">
      <x:c r="A860" s="2" t="str">
        <x:v>L00286-050</x:v>
      </x:c>
      <x:c r="B860" s="2" t="str">
        <x:v>L00286</x:v>
      </x:c>
      <x:c r="C860" s="2" t="str">
        <x:v>SO-26058</x:v>
      </x:c>
      <x:c r="D860" s="2" t="str">
        <x:v>D-S-SS</x:v>
      </x:c>
      <x:c r="E860" s="14" t="n">
        <x:v>10</x:v>
      </x:c>
      <x:c r="F860" s="2" t="str">
        <x:v>Final leak / function test</x:v>
      </x:c>
      <x:c r="G860" s="9" t="str">
        <x:v>QA-01</x:v>
      </x:c>
      <x:c r="H860" s="15" t="n">
        <x:v>33</x:v>
      </x:c>
      <x:c r="I860" s="9" t="str">
        <x:v>P24</x:v>
      </x:c>
      <x:c r="J860" s="11" t="n">
        <x:v>46302.78888888889</x:v>
      </x:c>
      <x:c r="K860" s="15" t="n">
        <x:v>10</x:v>
      </x:c>
      <x:c r="L860" s="15" t="n">
        <x:v>9</x:v>
      </x:c>
      <x:c r="M860" s="13" t="n">
        <x:f>J860+(K860+L860)/1440</x:f>
        <x:v>46302.802083333336</x:v>
      </x:c>
      <x:c r="N860" s="13" t="n">
        <x:f>VLOOKUP(C860,'MES orders'!$A$8:$H$127,5,FALSE)</x:f>
        <x:v>46303.666666666664</x:v>
      </x:c>
      <x:c r="O860" s="16" t="n">
        <x:f>MAX(0,(M860-N860)*24)</x:f>
        <x:v>0</x:v>
      </x:c>
      <x:c r="P860" s="9" t="str">
        <x:v>No</x:v>
      </x:c>
      <x:c r="Q860" s="15" t="n">
        <x:v>19</x:v>
      </x:c>
      <x:c r="R860" s="13" t="n">
        <x:f>J860+Q860/1440</x:f>
        <x:v>46302.802083333336</x:v>
      </x:c>
      <x:c r="S860" s="2" t="str">
        <x:f>VLOOKUP(C860,'MES orders'!$A$8:$H$127,6,FALSE)</x:f>
        <x:v>Normal</x:v>
      </x:c>
      <x:c r="T860" s="9" t="str"/>
    </x:row>
    <x:row r="861" ht="22" customHeight="1">
      <x:c r="A861" s="2" t="str">
        <x:v>L00289-030</x:v>
      </x:c>
      <x:c r="B861" s="2" t="str">
        <x:v>L00289</x:v>
      </x:c>
      <x:c r="C861" s="2" t="str">
        <x:v>SO-26058</x:v>
      </x:c>
      <x:c r="D861" s="2" t="str">
        <x:v>D-S-SS</x:v>
      </x:c>
      <x:c r="E861" s="14" t="n">
        <x:v>10</x:v>
      </x:c>
      <x:c r="F861" s="2" t="str">
        <x:v>Wash &amp; dry</x:v>
      </x:c>
      <x:c r="G861" s="9" t="str">
        <x:v>WS-01</x:v>
      </x:c>
      <x:c r="H861" s="15" t="n">
        <x:v>79</x:v>
      </x:c>
      <x:c r="I861" s="9" t="str">
        <x:v>P18</x:v>
      </x:c>
      <x:c r="J861" s="11" t="n">
        <x:v>46302.78888888889</x:v>
      </x:c>
      <x:c r="K861" s="15" t="n">
        <x:v>12</x:v>
      </x:c>
      <x:c r="L861" s="15" t="n">
        <x:v>4</x:v>
      </x:c>
      <x:c r="M861" s="13" t="n">
        <x:f>J861+(K861+L861)/1440</x:f>
        <x:v>46302.8</x:v>
      </x:c>
      <x:c r="N861" s="13" t="n">
        <x:f>VLOOKUP(C861,'MES orders'!$A$8:$H$127,5,FALSE)</x:f>
        <x:v>46303.666666666664</x:v>
      </x:c>
      <x:c r="O861" s="16" t="n">
        <x:f>MAX(0,(M861-N861)*24)</x:f>
        <x:v>0</x:v>
      </x:c>
      <x:c r="P861" s="9" t="str">
        <x:v>No</x:v>
      </x:c>
      <x:c r="Q861" s="15" t="n">
        <x:v>16</x:v>
      </x:c>
      <x:c r="R861" s="13" t="n">
        <x:f>J861+Q861/1440</x:f>
        <x:v>46302.8</x:v>
      </x:c>
      <x:c r="S861" s="2" t="str">
        <x:f>VLOOKUP(C861,'MES orders'!$A$8:$H$127,6,FALSE)</x:f>
        <x:v>Normal</x:v>
      </x:c>
      <x:c r="T861" s="9" t="str"/>
    </x:row>
    <x:row r="862" ht="22" customHeight="1">
      <x:c r="A862" s="2" t="str">
        <x:v>L00406-010</x:v>
      </x:c>
      <x:c r="B862" s="2" t="str">
        <x:v>L00406</x:v>
      </x:c>
      <x:c r="C862" s="2" t="str">
        <x:v>SO-26082</x:v>
      </x:c>
      <x:c r="D862" s="2" t="str">
        <x:v>R-S-SS</x:v>
      </x:c>
      <x:c r="E862" s="14" t="n">
        <x:v>10</x:v>
      </x:c>
      <x:c r="F862" s="2" t="str">
        <x:v>CNC machining</x:v>
      </x:c>
      <x:c r="G862" s="9" t="str">
        <x:v>CNC-05</x:v>
      </x:c>
      <x:c r="H862" s="15" t="n">
        <x:v>24</x:v>
      </x:c>
      <x:c r="I862" s="9" t="str">
        <x:v>P14</x:v>
      </x:c>
      <x:c r="J862" s="11" t="n">
        <x:v>46302.79027777778</x:v>
      </x:c>
      <x:c r="K862" s="15" t="n">
        <x:v>18</x:v>
      </x:c>
      <x:c r="L862" s="15" t="n">
        <x:v>30</x:v>
      </x:c>
      <x:c r="M862" s="13" t="n">
        <x:f>J862+(K862+L862)/1440</x:f>
        <x:v>46302.82361111111</x:v>
      </x:c>
      <x:c r="N862" s="13" t="n">
        <x:f>VLOOKUP(C862,'MES orders'!$A$8:$H$127,5,FALSE)</x:f>
        <x:v>46303.666666666664</x:v>
      </x:c>
      <x:c r="O862" s="16" t="n">
        <x:f>MAX(0,(M862-N862)*24)</x:f>
        <x:v>0</x:v>
      </x:c>
      <x:c r="P862" s="9" t="str">
        <x:v>No</x:v>
      </x:c>
      <x:c r="Q862" s="15" t="n">
        <x:v>18</x:v>
      </x:c>
      <x:c r="R862" s="13" t="n">
        <x:f>J862+Q862/1440</x:f>
        <x:v>46302.802777777775</x:v>
      </x:c>
      <x:c r="S862" s="2" t="str">
        <x:f>VLOOKUP(C862,'MES orders'!$A$8:$H$127,6,FALSE)</x:f>
        <x:v>Normal</x:v>
      </x:c>
      <x:c r="T862" s="9" t="str"/>
    </x:row>
    <x:row r="863" ht="22" customHeight="1">
      <x:c r="A863" s="2" t="str">
        <x:v>L00368-020</x:v>
      </x:c>
      <x:c r="B863" s="2" t="str">
        <x:v>L00368</x:v>
      </x:c>
      <x:c r="C863" s="2" t="str">
        <x:v>SO-26074</x:v>
      </x:c>
      <x:c r="D863" s="2" t="str">
        <x:v>R-C-SS</x:v>
      </x:c>
      <x:c r="E863" s="14" t="n">
        <x:v>10</x:v>
      </x:c>
      <x:c r="F863" s="2" t="str">
        <x:v>Deburr &amp; inspect</x:v>
      </x:c>
      <x:c r="G863" s="9" t="str">
        <x:v>DB-01</x:v>
      </x:c>
      <x:c r="H863" s="15" t="n">
        <x:v>84</x:v>
      </x:c>
      <x:c r="I863" s="9" t="str">
        <x:v>P13</x:v>
      </x:c>
      <x:c r="J863" s="11" t="n">
        <x:v>46302.79027777778</x:v>
      </x:c>
      <x:c r="K863" s="15" t="n">
        <x:v>4</x:v>
      </x:c>
      <x:c r="L863" s="15" t="n">
        <x:v>6</x:v>
      </x:c>
      <x:c r="M863" s="13" t="n">
        <x:f>J863+(K863+L863)/1440</x:f>
        <x:v>46302.79722222222</x:v>
      </x:c>
      <x:c r="N863" s="13" t="n">
        <x:f>VLOOKUP(C863,'MES orders'!$A$8:$H$127,5,FALSE)</x:f>
        <x:v>46303.666666666664</x:v>
      </x:c>
      <x:c r="O863" s="16" t="n">
        <x:f>MAX(0,(M863-N863)*24)</x:f>
        <x:v>0</x:v>
      </x:c>
      <x:c r="P863" s="9" t="str">
        <x:v>No</x:v>
      </x:c>
      <x:c r="Q863" s="15" t="n">
        <x:v>10</x:v>
      </x:c>
      <x:c r="R863" s="13" t="n">
        <x:f>J863+Q863/1440</x:f>
        <x:v>46302.79722222222</x:v>
      </x:c>
      <x:c r="S863" s="2" t="str">
        <x:f>VLOOKUP(C863,'MES orders'!$A$8:$H$127,6,FALSE)</x:f>
        <x:v>Normal</x:v>
      </x:c>
      <x:c r="T863" s="9" t="str"/>
    </x:row>
    <x:row r="864" ht="22" customHeight="1">
      <x:c r="A864" s="2" t="str">
        <x:v>L00093-020</x:v>
      </x:c>
      <x:c r="B864" s="2" t="str">
        <x:v>L00093</x:v>
      </x:c>
      <x:c r="C864" s="2" t="str">
        <x:v>SO-26019</x:v>
      </x:c>
      <x:c r="D864" s="2" t="str">
        <x:v>D-C-AL</x:v>
      </x:c>
      <x:c r="E864" s="14" t="n">
        <x:v>5</x:v>
      </x:c>
      <x:c r="F864" s="2" t="str">
        <x:v>Deburr &amp; inspect</x:v>
      </x:c>
      <x:c r="G864" s="9" t="str">
        <x:v>DB-02</x:v>
      </x:c>
      <x:c r="H864" s="15" t="n">
        <x:v>62</x:v>
      </x:c>
      <x:c r="I864" s="9" t="str">
        <x:v>P20</x:v>
      </x:c>
      <x:c r="J864" s="11" t="n">
        <x:v>46302.79027777778</x:v>
      </x:c>
      <x:c r="K864" s="15" t="n">
        <x:v>4</x:v>
      </x:c>
      <x:c r="L864" s="15" t="n">
        <x:v>3</x:v>
      </x:c>
      <x:c r="M864" s="13" t="n">
        <x:f>J864+(K864+L864)/1440</x:f>
        <x:v>46302.79513888889</x:v>
      </x:c>
      <x:c r="N864" s="13" t="n">
        <x:f>VLOOKUP(C864,'MES orders'!$A$8:$H$127,5,FALSE)</x:f>
        <x:v>46304.666666666664</x:v>
      </x:c>
      <x:c r="O864" s="16" t="n">
        <x:f>MAX(0,(M864-N864)*24)</x:f>
        <x:v>0</x:v>
      </x:c>
      <x:c r="P864" s="9" t="str">
        <x:v>No</x:v>
      </x:c>
      <x:c r="Q864" s="15" t="n">
        <x:v>7</x:v>
      </x:c>
      <x:c r="R864" s="13" t="n">
        <x:f>J864+Q864/1440</x:f>
        <x:v>46302.79513888889</x:v>
      </x:c>
      <x:c r="S864" s="2" t="str">
        <x:f>VLOOKUP(C864,'MES orders'!$A$8:$H$127,6,FALSE)</x:f>
        <x:v>Normal</x:v>
      </x:c>
      <x:c r="T864" s="9" t="str"/>
    </x:row>
    <x:row r="865" ht="22" customHeight="1">
      <x:c r="A865" s="2" t="str">
        <x:v>L00206-080</x:v>
      </x:c>
      <x:c r="B865" s="2" t="str">
        <x:v>L00206</x:v>
      </x:c>
      <x:c r="C865" s="2" t="str">
        <x:v>SO-26042</x:v>
      </x:c>
      <x:c r="D865" s="2" t="str">
        <x:v>S-L-SS</x:v>
      </x:c>
      <x:c r="E865" s="14" t="n">
        <x:v>25</x:v>
      </x:c>
      <x:c r="F865" s="2" t="str">
        <x:v>Final leak / function test</x:v>
      </x:c>
      <x:c r="G865" s="9" t="str">
        <x:v>QA-02</x:v>
      </x:c>
      <x:c r="H865" s="15" t="n">
        <x:v>58</x:v>
      </x:c>
      <x:c r="I865" s="9" t="str">
        <x:v>P23</x:v>
      </x:c>
      <x:c r="J865" s="11" t="n">
        <x:v>46302.79305555556</x:v>
      </x:c>
      <x:c r="K865" s="15" t="n">
        <x:v>10</x:v>
      </x:c>
      <x:c r="L865" s="15" t="n">
        <x:v>30</x:v>
      </x:c>
      <x:c r="M865" s="13" t="n">
        <x:f>J865+(K865+L865)/1440</x:f>
        <x:v>46302.82083333334</x:v>
      </x:c>
      <x:c r="N865" s="13" t="n">
        <x:f>VLOOKUP(C865,'MES orders'!$A$8:$H$127,5,FALSE)</x:f>
        <x:v>46303.666666666664</x:v>
      </x:c>
      <x:c r="O865" s="16" t="n">
        <x:f>MAX(0,(M865-N865)*24)</x:f>
        <x:v>0</x:v>
      </x:c>
      <x:c r="P865" s="9" t="str">
        <x:v>No</x:v>
      </x:c>
      <x:c r="Q865" s="15" t="n">
        <x:v>40</x:v>
      </x:c>
      <x:c r="R865" s="13" t="n">
        <x:f>J865+Q865/1440</x:f>
        <x:v>46302.82083333334</x:v>
      </x:c>
      <x:c r="S865" s="2" t="str">
        <x:f>VLOOKUP(C865,'MES orders'!$A$8:$H$127,6,FALSE)</x:f>
        <x:v>Normal</x:v>
      </x:c>
      <x:c r="T865" s="9" t="str"/>
    </x:row>
    <x:row r="866" ht="22" customHeight="1">
      <x:c r="A866" s="2" t="str">
        <x:v>L00290-030</x:v>
      </x:c>
      <x:c r="B866" s="2" t="str">
        <x:v>L00290</x:v>
      </x:c>
      <x:c r="C866" s="2" t="str">
        <x:v>SO-26058</x:v>
      </x:c>
      <x:c r="D866" s="2" t="str">
        <x:v>D-S-SS</x:v>
      </x:c>
      <x:c r="E866" s="14" t="n">
        <x:v>10</x:v>
      </x:c>
      <x:c r="F866" s="2" t="str">
        <x:v>Wash &amp; dry</x:v>
      </x:c>
      <x:c r="G866" s="9" t="str">
        <x:v>WS-02</x:v>
      </x:c>
      <x:c r="H866" s="15" t="n">
        <x:v>60</x:v>
      </x:c>
      <x:c r="I866" s="9" t="str">
        <x:v>P17</x:v>
      </x:c>
      <x:c r="J866" s="11" t="n">
        <x:v>46302.79305555556</x:v>
      </x:c>
      <x:c r="K866" s="15" t="n">
        <x:v>12</x:v>
      </x:c>
      <x:c r="L866" s="15" t="n">
        <x:v>4</x:v>
      </x:c>
      <x:c r="M866" s="13" t="n">
        <x:f>J866+(K866+L866)/1440</x:f>
        <x:v>46302.80416666667</x:v>
      </x:c>
      <x:c r="N866" s="13" t="n">
        <x:f>VLOOKUP(C866,'MES orders'!$A$8:$H$127,5,FALSE)</x:f>
        <x:v>46303.666666666664</x:v>
      </x:c>
      <x:c r="O866" s="16" t="n">
        <x:f>MAX(0,(M866-N866)*24)</x:f>
        <x:v>0</x:v>
      </x:c>
      <x:c r="P866" s="9" t="str">
        <x:v>No</x:v>
      </x:c>
      <x:c r="Q866" s="15" t="n">
        <x:v>16</x:v>
      </x:c>
      <x:c r="R866" s="13" t="n">
        <x:f>J866+Q866/1440</x:f>
        <x:v>46302.80416666667</x:v>
      </x:c>
      <x:c r="S866" s="2" t="str">
        <x:f>VLOOKUP(C866,'MES orders'!$A$8:$H$127,6,FALSE)</x:f>
        <x:v>Normal</x:v>
      </x:c>
      <x:c r="T866" s="9" t="str"/>
    </x:row>
    <x:row r="867" ht="22" customHeight="1">
      <x:c r="A867" s="2" t="str">
        <x:v>L00289-040</x:v>
      </x:c>
      <x:c r="B867" s="2" t="str">
        <x:v>L00289</x:v>
      </x:c>
      <x:c r="C867" s="2" t="str">
        <x:v>SO-26058</x:v>
      </x:c>
      <x:c r="D867" s="2" t="str">
        <x:v>D-S-SS</x:v>
      </x:c>
      <x:c r="E867" s="14" t="n">
        <x:v>10</x:v>
      </x:c>
      <x:c r="F867" s="2" t="str">
        <x:v>Mechanical assembly</x:v>
      </x:c>
      <x:c r="G867" s="9" t="str">
        <x:v>AS-03</x:v>
      </x:c>
      <x:c r="H867" s="15" t="n">
        <x:v>44</x:v>
      </x:c>
      <x:c r="I867" s="9" t="str">
        <x:v>P18</x:v>
      </x:c>
      <x:c r="J867" s="11" t="n">
        <x:v>46302.8</x:v>
      </x:c>
      <x:c r="K867" s="15" t="n">
        <x:v>8</x:v>
      </x:c>
      <x:c r="L867" s="15" t="n">
        <x:v>18</x:v>
      </x:c>
      <x:c r="M867" s="13" t="n">
        <x:f>J867+(K867+L867)/1440</x:f>
        <x:v>46302.81805555556</x:v>
      </x:c>
      <x:c r="N867" s="13" t="n">
        <x:f>VLOOKUP(C867,'MES orders'!$A$8:$H$127,5,FALSE)</x:f>
        <x:v>46303.666666666664</x:v>
      </x:c>
      <x:c r="O867" s="16" t="n">
        <x:f>MAX(0,(M867-N867)*24)</x:f>
        <x:v>0</x:v>
      </x:c>
      <x:c r="P867" s="9" t="str">
        <x:v>No</x:v>
      </x:c>
      <x:c r="Q867" s="15" t="n">
        <x:v>26</x:v>
      </x:c>
      <x:c r="R867" s="13" t="n">
        <x:f>J867+Q867/1440</x:f>
        <x:v>46302.81805555556</x:v>
      </x:c>
      <x:c r="S867" s="2" t="str">
        <x:f>VLOOKUP(C867,'MES orders'!$A$8:$H$127,6,FALSE)</x:f>
        <x:v>Normal</x:v>
      </x:c>
      <x:c r="T867" s="9" t="str"/>
    </x:row>
    <x:row r="868" ht="22" customHeight="1">
      <x:c r="A868" s="2" t="str">
        <x:v>L00369-020</x:v>
      </x:c>
      <x:c r="B868" s="2" t="str">
        <x:v>L00369</x:v>
      </x:c>
      <x:c r="C868" s="2" t="str">
        <x:v>SO-26074</x:v>
      </x:c>
      <x:c r="D868" s="2" t="str">
        <x:v>R-C-SS</x:v>
      </x:c>
      <x:c r="E868" s="14" t="n">
        <x:v>10</x:v>
      </x:c>
      <x:c r="F868" s="2" t="str">
        <x:v>Deburr &amp; inspect</x:v>
      </x:c>
      <x:c r="G868" s="9" t="str">
        <x:v>DB-01</x:v>
      </x:c>
      <x:c r="H868" s="15" t="n">
        <x:v>85</x:v>
      </x:c>
      <x:c r="I868" s="9" t="str">
        <x:v>P15</x:v>
      </x:c>
      <x:c r="J868" s="11" t="n">
        <x:v>46302.8</x:v>
      </x:c>
      <x:c r="K868" s="15" t="n">
        <x:v>4</x:v>
      </x:c>
      <x:c r="L868" s="15" t="n">
        <x:v>6</x:v>
      </x:c>
      <x:c r="M868" s="13" t="n">
        <x:f>J868+(K868+L868)/1440</x:f>
        <x:v>46302.80694444445</x:v>
      </x:c>
      <x:c r="N868" s="13" t="n">
        <x:f>VLOOKUP(C868,'MES orders'!$A$8:$H$127,5,FALSE)</x:f>
        <x:v>46303.666666666664</x:v>
      </x:c>
      <x:c r="O868" s="16" t="n">
        <x:f>MAX(0,(M868-N868)*24)</x:f>
        <x:v>0</x:v>
      </x:c>
      <x:c r="P868" s="9" t="str">
        <x:v>No</x:v>
      </x:c>
      <x:c r="Q868" s="15" t="n">
        <x:v>10</x:v>
      </x:c>
      <x:c r="R868" s="13" t="n">
        <x:f>J868+Q868/1440</x:f>
        <x:v>46302.80694444445</x:v>
      </x:c>
      <x:c r="S868" s="2" t="str">
        <x:f>VLOOKUP(C868,'MES orders'!$A$8:$H$127,6,FALSE)</x:f>
        <x:v>Normal</x:v>
      </x:c>
      <x:c r="T868" s="9" t="str"/>
    </x:row>
    <x:row r="869" ht="22" customHeight="1">
      <x:c r="A869" s="2" t="str">
        <x:v>L00366-030</x:v>
      </x:c>
      <x:c r="B869" s="2" t="str">
        <x:v>L00366</x:v>
      </x:c>
      <x:c r="C869" s="2" t="str">
        <x:v>SO-26074</x:v>
      </x:c>
      <x:c r="D869" s="2" t="str">
        <x:v>R-C-SS</x:v>
      </x:c>
      <x:c r="E869" s="14" t="n">
        <x:v>10</x:v>
      </x:c>
      <x:c r="F869" s="2" t="str">
        <x:v>Wash &amp; dry</x:v>
      </x:c>
      <x:c r="G869" s="9" t="str">
        <x:v>WS-01</x:v>
      </x:c>
      <x:c r="H869" s="15" t="n">
        <x:v>80</x:v>
      </x:c>
      <x:c r="I869" s="9" t="str">
        <x:v>P13</x:v>
      </x:c>
      <x:c r="J869" s="11" t="n">
        <x:v>46302.8</x:v>
      </x:c>
      <x:c r="K869" s="15" t="n">
        <x:v>12</x:v>
      </x:c>
      <x:c r="L869" s="15" t="n">
        <x:v>3</x:v>
      </x:c>
      <x:c r="M869" s="13" t="n">
        <x:f>J869+(K869+L869)/1440</x:f>
        <x:v>46302.81041666667</x:v>
      </x:c>
      <x:c r="N869" s="13" t="n">
        <x:f>VLOOKUP(C869,'MES orders'!$A$8:$H$127,5,FALSE)</x:f>
        <x:v>46303.666666666664</x:v>
      </x:c>
      <x:c r="O869" s="16" t="n">
        <x:f>MAX(0,(M869-N869)*24)</x:f>
        <x:v>0</x:v>
      </x:c>
      <x:c r="P869" s="9" t="str">
        <x:v>No</x:v>
      </x:c>
      <x:c r="Q869" s="15" t="n">
        <x:v>15</x:v>
      </x:c>
      <x:c r="R869" s="13" t="n">
        <x:f>J869+Q869/1440</x:f>
        <x:v>46302.81041666667</x:v>
      </x:c>
      <x:c r="S869" s="2" t="str">
        <x:f>VLOOKUP(C869,'MES orders'!$A$8:$H$127,6,FALSE)</x:f>
        <x:v>Normal</x:v>
      </x:c>
      <x:c r="T869" s="9" t="str"/>
    </x:row>
    <x:row r="870" ht="22" customHeight="1">
      <x:c r="A870" s="2" t="str">
        <x:v>L00210-050</x:v>
      </x:c>
      <x:c r="B870" s="2" t="str">
        <x:v>L00210</x:v>
      </x:c>
      <x:c r="C870" s="2" t="str">
        <x:v>SO-26042</x:v>
      </x:c>
      <x:c r="D870" s="2" t="str">
        <x:v>S-L-SS</x:v>
      </x:c>
      <x:c r="E870" s="14" t="n">
        <x:v>25</x:v>
      </x:c>
      <x:c r="F870" s="2" t="str">
        <x:v>Sensor installation</x:v>
      </x:c>
      <x:c r="G870" s="9" t="str">
        <x:v>EL-02</x:v>
      </x:c>
      <x:c r="H870" s="15" t="n">
        <x:v>14</x:v>
      </x:c>
      <x:c r="I870" s="9" t="str">
        <x:v>P20</x:v>
      </x:c>
      <x:c r="J870" s="11" t="n">
        <x:v>46302.80069444444</x:v>
      </x:c>
      <x:c r="K870" s="15" t="n">
        <x:v>8</x:v>
      </x:c>
      <x:c r="L870" s="15" t="n">
        <x:v>40</x:v>
      </x:c>
      <x:c r="M870" s="13" t="n">
        <x:f>J870+(K870+L870)/1440</x:f>
        <x:v>46302.834027777775</x:v>
      </x:c>
      <x:c r="N870" s="13" t="n">
        <x:f>VLOOKUP(C870,'MES orders'!$A$8:$H$127,5,FALSE)</x:f>
        <x:v>46303.666666666664</x:v>
      </x:c>
      <x:c r="O870" s="16" t="n">
        <x:f>MAX(0,(M870-N870)*24)</x:f>
        <x:v>0</x:v>
      </x:c>
      <x:c r="P870" s="9" t="str">
        <x:v>No</x:v>
      </x:c>
      <x:c r="Q870" s="15" t="n">
        <x:v>48</x:v>
      </x:c>
      <x:c r="R870" s="13" t="n">
        <x:f>J870+Q870/1440</x:f>
        <x:v>46302.834027777775</x:v>
      </x:c>
      <x:c r="S870" s="2" t="str">
        <x:f>VLOOKUP(C870,'MES orders'!$A$8:$H$127,6,FALSE)</x:f>
        <x:v>Normal</x:v>
      </x:c>
      <x:c r="T870" s="9" t="str"/>
    </x:row>
    <x:row r="871" ht="22" customHeight="1">
      <x:c r="A871" s="2" t="str">
        <x:v>L00092-050</x:v>
      </x:c>
      <x:c r="B871" s="2" t="str">
        <x:v>L00092</x:v>
      </x:c>
      <x:c r="C871" s="2" t="str">
        <x:v>SO-26019</x:v>
      </x:c>
      <x:c r="D871" s="2" t="str">
        <x:v>D-C-AL</x:v>
      </x:c>
      <x:c r="E871" s="14" t="n">
        <x:v>5</x:v>
      </x:c>
      <x:c r="F871" s="2" t="str">
        <x:v>Final leak / function test</x:v>
      </x:c>
      <x:c r="G871" s="9" t="str">
        <x:v>QA-01</x:v>
      </x:c>
      <x:c r="H871" s="15" t="n">
        <x:v>34</x:v>
      </x:c>
      <x:c r="I871" s="9" t="str">
        <x:v>P24</x:v>
      </x:c>
      <x:c r="J871" s="11" t="n">
        <x:v>46302.802083333336</x:v>
      </x:c>
      <x:c r="K871" s="15" t="n">
        <x:v>10</x:v>
      </x:c>
      <x:c r="L871" s="15" t="n">
        <x:v>4</x:v>
      </x:c>
      <x:c r="M871" s="13" t="n">
        <x:f>J871+(K871+L871)/1440</x:f>
        <x:v>46302.81180555556</x:v>
      </x:c>
      <x:c r="N871" s="13" t="n">
        <x:f>VLOOKUP(C871,'MES orders'!$A$8:$H$127,5,FALSE)</x:f>
        <x:v>46304.666666666664</x:v>
      </x:c>
      <x:c r="O871" s="16" t="n">
        <x:f>MAX(0,(M871-N871)*24)</x:f>
        <x:v>0</x:v>
      </x:c>
      <x:c r="P871" s="9" t="str">
        <x:v>No</x:v>
      </x:c>
      <x:c r="Q871" s="15" t="n">
        <x:v>14</x:v>
      </x:c>
      <x:c r="R871" s="13" t="n">
        <x:f>J871+Q871/1440</x:f>
        <x:v>46302.81180555556</x:v>
      </x:c>
      <x:c r="S871" s="2" t="str">
        <x:f>VLOOKUP(C871,'MES orders'!$A$8:$H$127,6,FALSE)</x:f>
        <x:v>Normal</x:v>
      </x:c>
      <x:c r="T871" s="9" t="str"/>
    </x:row>
    <x:row r="872" ht="22" customHeight="1">
      <x:c r="A872" s="2" t="str">
        <x:v>L00290-040</x:v>
      </x:c>
      <x:c r="B872" s="2" t="str">
        <x:v>L00290</x:v>
      </x:c>
      <x:c r="C872" s="2" t="str">
        <x:v>SO-26058</x:v>
      </x:c>
      <x:c r="D872" s="2" t="str">
        <x:v>D-S-SS</x:v>
      </x:c>
      <x:c r="E872" s="14" t="n">
        <x:v>10</x:v>
      </x:c>
      <x:c r="F872" s="2" t="str">
        <x:v>Mechanical assembly</x:v>
      </x:c>
      <x:c r="G872" s="9" t="str">
        <x:v>AS-02</x:v>
      </x:c>
      <x:c r="H872" s="15" t="n">
        <x:v>56</x:v>
      </x:c>
      <x:c r="I872" s="9" t="str">
        <x:v>P16</x:v>
      </x:c>
      <x:c r="J872" s="11" t="n">
        <x:v>46302.80416666667</x:v>
      </x:c>
      <x:c r="K872" s="15" t="n">
        <x:v>8</x:v>
      </x:c>
      <x:c r="L872" s="15" t="n">
        <x:v>18</x:v>
      </x:c>
      <x:c r="M872" s="13" t="n">
        <x:f>J872+(K872+L872)/1440</x:f>
        <x:v>46302.822222222225</x:v>
      </x:c>
      <x:c r="N872" s="13" t="n">
        <x:f>VLOOKUP(C872,'MES orders'!$A$8:$H$127,5,FALSE)</x:f>
        <x:v>46303.666666666664</x:v>
      </x:c>
      <x:c r="O872" s="16" t="n">
        <x:f>MAX(0,(M872-N872)*24)</x:f>
        <x:v>0</x:v>
      </x:c>
      <x:c r="P872" s="9" t="str">
        <x:v>No</x:v>
      </x:c>
      <x:c r="Q872" s="15" t="n">
        <x:v>26</x:v>
      </x:c>
      <x:c r="R872" s="13" t="n">
        <x:f>J872+Q872/1440</x:f>
        <x:v>46302.822222222225</x:v>
      </x:c>
      <x:c r="S872" s="2" t="str">
        <x:f>VLOOKUP(C872,'MES orders'!$A$8:$H$127,6,FALSE)</x:f>
        <x:v>Normal</x:v>
      </x:c>
      <x:c r="T872" s="9" t="str"/>
    </x:row>
    <x:row r="873" ht="22" customHeight="1">
      <x:c r="A873" s="2" t="str">
        <x:v>L00367-030</x:v>
      </x:c>
      <x:c r="B873" s="2" t="str">
        <x:v>L00367</x:v>
      </x:c>
      <x:c r="C873" s="2" t="str">
        <x:v>SO-26074</x:v>
      </x:c>
      <x:c r="D873" s="2" t="str">
        <x:v>R-C-SS</x:v>
      </x:c>
      <x:c r="E873" s="14" t="n">
        <x:v>10</x:v>
      </x:c>
      <x:c r="F873" s="2" t="str">
        <x:v>Wash &amp; dry</x:v>
      </x:c>
      <x:c r="G873" s="9" t="str">
        <x:v>WS-02</x:v>
      </x:c>
      <x:c r="H873" s="15" t="n">
        <x:v>61</x:v>
      </x:c>
      <x:c r="I873" s="9" t="str">
        <x:v>P14</x:v>
      </x:c>
      <x:c r="J873" s="11" t="n">
        <x:v>46302.80416666667</x:v>
      </x:c>
      <x:c r="K873" s="15" t="n">
        <x:v>12</x:v>
      </x:c>
      <x:c r="L873" s="15" t="n">
        <x:v>3</x:v>
      </x:c>
      <x:c r="M873" s="13" t="n">
        <x:f>J873+(K873+L873)/1440</x:f>
        <x:v>46302.81458333333</x:v>
      </x:c>
      <x:c r="N873" s="13" t="n">
        <x:f>VLOOKUP(C873,'MES orders'!$A$8:$H$127,5,FALSE)</x:f>
        <x:v>46303.666666666664</x:v>
      </x:c>
      <x:c r="O873" s="16" t="n">
        <x:f>MAX(0,(M873-N873)*24)</x:f>
        <x:v>0</x:v>
      </x:c>
      <x:c r="P873" s="9" t="str">
        <x:v>No</x:v>
      </x:c>
      <x:c r="Q873" s="15" t="n">
        <x:v>15</x:v>
      </x:c>
      <x:c r="R873" s="13" t="n">
        <x:f>J873+Q873/1440</x:f>
        <x:v>46302.81458333333</x:v>
      </x:c>
      <x:c r="S873" s="2" t="str">
        <x:f>VLOOKUP(C873,'MES orders'!$A$8:$H$127,6,FALSE)</x:f>
        <x:v>Normal</x:v>
      </x:c>
      <x:c r="T873" s="9" t="str"/>
    </x:row>
    <x:row r="874" ht="22" customHeight="1">
      <x:c r="A874" s="2" t="str">
        <x:v>L00207-070</x:v>
      </x:c>
      <x:c r="B874" s="2" t="str">
        <x:v>L00207</x:v>
      </x:c>
      <x:c r="C874" s="2" t="str">
        <x:v>SO-26042</x:v>
      </x:c>
      <x:c r="D874" s="2" t="str">
        <x:v>S-L-SS</x:v>
      </x:c>
      <x:c r="E874" s="14" t="n">
        <x:v>25</x:v>
      </x:c>
      <x:c r="F874" s="2" t="str">
        <x:v>Final assembly</x:v>
      </x:c>
      <x:c r="G874" s="9" t="str">
        <x:v>AS-01</x:v>
      </x:c>
      <x:c r="H874" s="15" t="n">
        <x:v>69</x:v>
      </x:c>
      <x:c r="I874" s="9" t="str">
        <x:v>P17</x:v>
      </x:c>
      <x:c r="J874" s="11" t="n">
        <x:v>46302.808333333334</x:v>
      </x:c>
      <x:c r="K874" s="15" t="n">
        <x:v>5</x:v>
      </x:c>
      <x:c r="L874" s="15" t="n">
        <x:v>27</x:v>
      </x:c>
      <x:c r="M874" s="13" t="n">
        <x:f>J874+(K874+L874)/1440</x:f>
        <x:v>46302.830555555556</x:v>
      </x:c>
      <x:c r="N874" s="13" t="n">
        <x:f>VLOOKUP(C874,'MES orders'!$A$8:$H$127,5,FALSE)</x:f>
        <x:v>46303.666666666664</x:v>
      </x:c>
      <x:c r="O874" s="16" t="n">
        <x:f>MAX(0,(M874-N874)*24)</x:f>
        <x:v>0</x:v>
      </x:c>
      <x:c r="P874" s="9" t="str">
        <x:v>No</x:v>
      </x:c>
      <x:c r="Q874" s="15" t="n">
        <x:v>32</x:v>
      </x:c>
      <x:c r="R874" s="13" t="n">
        <x:f>J874+Q874/1440</x:f>
        <x:v>46302.830555555556</x:v>
      </x:c>
      <x:c r="S874" s="2" t="str">
        <x:f>VLOOKUP(C874,'MES orders'!$A$8:$H$127,6,FALSE)</x:f>
        <x:v>Normal</x:v>
      </x:c>
      <x:c r="T874" s="9" t="str"/>
    </x:row>
    <x:row r="875" ht="22" customHeight="1">
      <x:c r="A875" s="2" t="str">
        <x:v>L00208-060</x:v>
      </x:c>
      <x:c r="B875" s="2" t="str">
        <x:v>L00208</x:v>
      </x:c>
      <x:c r="C875" s="2" t="str">
        <x:v>SO-26042</x:v>
      </x:c>
      <x:c r="D875" s="2" t="str">
        <x:v>S-L-SS</x:v>
      </x:c>
      <x:c r="E875" s="14" t="n">
        <x:v>25</x:v>
      </x:c>
      <x:c r="F875" s="2" t="str">
        <x:v>Sensor calibration</x:v>
      </x:c>
      <x:c r="G875" s="9" t="str">
        <x:v>CAL-01</x:v>
      </x:c>
      <x:c r="H875" s="15" t="n">
        <x:v>36</x:v>
      </x:c>
      <x:c r="I875" s="9" t="str">
        <x:v>P21</x:v>
      </x:c>
      <x:c r="J875" s="11" t="n">
        <x:v>46302.808333333334</x:v>
      </x:c>
      <x:c r="K875" s="15" t="n">
        <x:v>10</x:v>
      </x:c>
      <x:c r="L875" s="15" t="n">
        <x:v>44</x:v>
      </x:c>
      <x:c r="M875" s="13" t="n">
        <x:f>J875+(K875+L875)/1440</x:f>
        <x:v>46302.84583333333</x:v>
      </x:c>
      <x:c r="N875" s="13" t="n">
        <x:f>VLOOKUP(C875,'MES orders'!$A$8:$H$127,5,FALSE)</x:f>
        <x:v>46303.666666666664</x:v>
      </x:c>
      <x:c r="O875" s="16" t="n">
        <x:f>MAX(0,(M875-N875)*24)</x:f>
        <x:v>0</x:v>
      </x:c>
      <x:c r="P875" s="9" t="str">
        <x:v>No</x:v>
      </x:c>
      <x:c r="Q875" s="15" t="n">
        <x:v>54</x:v>
      </x:c>
      <x:c r="R875" s="13" t="n">
        <x:f>J875+Q875/1440</x:f>
        <x:v>46302.84583333333</x:v>
      </x:c>
      <x:c r="S875" s="2" t="str">
        <x:f>VLOOKUP(C875,'MES orders'!$A$8:$H$127,6,FALSE)</x:f>
        <x:v>Normal</x:v>
      </x:c>
      <x:c r="T875" s="9" t="str"/>
    </x:row>
    <x:row r="876" ht="22" customHeight="1">
      <x:c r="A876" s="2" t="str">
        <x:v>L00368-030</x:v>
      </x:c>
      <x:c r="B876" s="2" t="str">
        <x:v>L00368</x:v>
      </x:c>
      <x:c r="C876" s="2" t="str">
        <x:v>SO-26074</x:v>
      </x:c>
      <x:c r="D876" s="2" t="str">
        <x:v>R-C-SS</x:v>
      </x:c>
      <x:c r="E876" s="14" t="n">
        <x:v>10</x:v>
      </x:c>
      <x:c r="F876" s="2" t="str">
        <x:v>Wash &amp; dry</x:v>
      </x:c>
      <x:c r="G876" s="9" t="str">
        <x:v>WS-01</x:v>
      </x:c>
      <x:c r="H876" s="15" t="n">
        <x:v>81</x:v>
      </x:c>
      <x:c r="I876" s="9" t="str">
        <x:v>P15</x:v>
      </x:c>
      <x:c r="J876" s="11" t="n">
        <x:v>46302.81041666667</x:v>
      </x:c>
      <x:c r="K876" s="15" t="n">
        <x:v>12</x:v>
      </x:c>
      <x:c r="L876" s="15" t="n">
        <x:v>3</x:v>
      </x:c>
      <x:c r="M876" s="13" t="n">
        <x:f>J876+(K876+L876)/1440</x:f>
        <x:v>46302.82083333333</x:v>
      </x:c>
      <x:c r="N876" s="13" t="n">
        <x:f>VLOOKUP(C876,'MES orders'!$A$8:$H$127,5,FALSE)</x:f>
        <x:v>46303.666666666664</x:v>
      </x:c>
      <x:c r="O876" s="16" t="n">
        <x:f>MAX(0,(M876-N876)*24)</x:f>
        <x:v>0</x:v>
      </x:c>
      <x:c r="P876" s="9" t="str">
        <x:v>No</x:v>
      </x:c>
      <x:c r="Q876" s="15" t="n">
        <x:v>15</x:v>
      </x:c>
      <x:c r="R876" s="13" t="n">
        <x:f>J876+Q876/1440</x:f>
        <x:v>46302.82083333333</x:v>
      </x:c>
      <x:c r="S876" s="2" t="str">
        <x:f>VLOOKUP(C876,'MES orders'!$A$8:$H$127,6,FALSE)</x:f>
        <x:v>Normal</x:v>
      </x:c>
      <x:c r="T876" s="9" t="str"/>
    </x:row>
    <x:row r="877" ht="22" customHeight="1">
      <x:c r="A877" s="2" t="str">
        <x:v>L00367-040</x:v>
      </x:c>
      <x:c r="B877" s="2" t="str">
        <x:v>L00367</x:v>
      </x:c>
      <x:c r="C877" s="2" t="str">
        <x:v>SO-26074</x:v>
      </x:c>
      <x:c r="D877" s="2" t="str">
        <x:v>R-C-SS</x:v>
      </x:c>
      <x:c r="E877" s="14" t="n">
        <x:v>10</x:v>
      </x:c>
      <x:c r="F877" s="2" t="str">
        <x:v>Mechanical assembly</x:v>
      </x:c>
      <x:c r="G877" s="9" t="str">
        <x:v>AS-04</x:v>
      </x:c>
      <x:c r="H877" s="15" t="n">
        <x:v>29</x:v>
      </x:c>
      <x:c r="I877" s="9" t="str">
        <x:v>P13</x:v>
      </x:c>
      <x:c r="J877" s="11" t="n">
        <x:v>46302.81458333333</x:v>
      </x:c>
      <x:c r="K877" s="15" t="n">
        <x:v>8</x:v>
      </x:c>
      <x:c r="L877" s="15" t="n">
        <x:v>14</x:v>
      </x:c>
      <x:c r="M877" s="13" t="n">
        <x:f>J877+(K877+L877)/1440</x:f>
        <x:v>46302.82986111111</x:v>
      </x:c>
      <x:c r="N877" s="13" t="n">
        <x:f>VLOOKUP(C877,'MES orders'!$A$8:$H$127,5,FALSE)</x:f>
        <x:v>46303.666666666664</x:v>
      </x:c>
      <x:c r="O877" s="16" t="n">
        <x:f>MAX(0,(M877-N877)*24)</x:f>
        <x:v>0</x:v>
      </x:c>
      <x:c r="P877" s="9" t="str">
        <x:v>No</x:v>
      </x:c>
      <x:c r="Q877" s="15" t="n">
        <x:v>22</x:v>
      </x:c>
      <x:c r="R877" s="13" t="n">
        <x:f>J877+Q877/1440</x:f>
        <x:v>46302.82986111111</x:v>
      </x:c>
      <x:c r="S877" s="2" t="str">
        <x:f>VLOOKUP(C877,'MES orders'!$A$8:$H$127,6,FALSE)</x:f>
        <x:v>Normal</x:v>
      </x:c>
      <x:c r="T877" s="9" t="str"/>
    </x:row>
    <x:row r="878" ht="22" customHeight="1">
      <x:c r="A878" s="2" t="str">
        <x:v>L00369-030</x:v>
      </x:c>
      <x:c r="B878" s="2" t="str">
        <x:v>L00369</x:v>
      </x:c>
      <x:c r="C878" s="2" t="str">
        <x:v>SO-26074</x:v>
      </x:c>
      <x:c r="D878" s="2" t="str">
        <x:v>R-C-SS</x:v>
      </x:c>
      <x:c r="E878" s="14" t="n">
        <x:v>10</x:v>
      </x:c>
      <x:c r="F878" s="2" t="str">
        <x:v>Wash &amp; dry</x:v>
      </x:c>
      <x:c r="G878" s="9" t="str">
        <x:v>WS-02</x:v>
      </x:c>
      <x:c r="H878" s="15" t="n">
        <x:v>62</x:v>
      </x:c>
      <x:c r="I878" s="9" t="str">
        <x:v>P19</x:v>
      </x:c>
      <x:c r="J878" s="11" t="n">
        <x:v>46302.81458333333</x:v>
      </x:c>
      <x:c r="K878" s="15" t="n">
        <x:v>12</x:v>
      </x:c>
      <x:c r="L878" s="15" t="n">
        <x:v>3</x:v>
      </x:c>
      <x:c r="M878" s="13" t="n">
        <x:f>J878+(K878+L878)/1440</x:f>
        <x:v>46302.825</x:v>
      </x:c>
      <x:c r="N878" s="13" t="n">
        <x:f>VLOOKUP(C878,'MES orders'!$A$8:$H$127,5,FALSE)</x:f>
        <x:v>46303.666666666664</x:v>
      </x:c>
      <x:c r="O878" s="16" t="n">
        <x:f>MAX(0,(M878-N878)*24)</x:f>
        <x:v>0</x:v>
      </x:c>
      <x:c r="P878" s="9" t="str">
        <x:v>No</x:v>
      </x:c>
      <x:c r="Q878" s="15" t="n">
        <x:v>15</x:v>
      </x:c>
      <x:c r="R878" s="13" t="n">
        <x:f>J878+Q878/1440</x:f>
        <x:v>46302.825</x:v>
      </x:c>
      <x:c r="S878" s="2" t="str">
        <x:f>VLOOKUP(C878,'MES orders'!$A$8:$H$127,6,FALSE)</x:f>
        <x:v>Normal</x:v>
      </x:c>
      <x:c r="T878" s="9" t="str"/>
    </x:row>
    <x:row r="879" ht="22" customHeight="1">
      <x:c r="A879" s="2" t="str">
        <x:v>L00326-040</x:v>
      </x:c>
      <x:c r="B879" s="2" t="str">
        <x:v>L00326</x:v>
      </x:c>
      <x:c r="C879" s="2" t="str">
        <x:v>SO-26066</x:v>
      </x:c>
      <x:c r="D879" s="2" t="str">
        <x:v>D-L-SS</x:v>
      </x:c>
      <x:c r="E879" s="14" t="n">
        <x:v>15</x:v>
      </x:c>
      <x:c r="F879" s="2" t="str">
        <x:v>Mechanical assembly</x:v>
      </x:c>
      <x:c r="G879" s="9" t="str">
        <x:v>AS-03</x:v>
      </x:c>
      <x:c r="H879" s="15" t="n">
        <x:v>45</x:v>
      </x:c>
      <x:c r="I879" s="9" t="str">
        <x:v>P18</x:v>
      </x:c>
      <x:c r="J879" s="11" t="n">
        <x:v>46302.81805555556</x:v>
      </x:c>
      <x:c r="K879" s="15" t="n">
        <x:v>8</x:v>
      </x:c>
      <x:c r="L879" s="15" t="n">
        <x:v>36</x:v>
      </x:c>
      <x:c r="M879" s="13" t="n">
        <x:f>J879+(K879+L879)/1440</x:f>
        <x:v>46302.84861111111</x:v>
      </x:c>
      <x:c r="N879" s="13" t="n">
        <x:f>VLOOKUP(C879,'MES orders'!$A$8:$H$127,5,FALSE)</x:f>
        <x:v>46303.666666666664</x:v>
      </x:c>
      <x:c r="O879" s="16" t="n">
        <x:f>MAX(0,(M879-N879)*24)</x:f>
        <x:v>0</x:v>
      </x:c>
      <x:c r="P879" s="9" t="str">
        <x:v>No</x:v>
      </x:c>
      <x:c r="Q879" s="15" t="n">
        <x:v>44</x:v>
      </x:c>
      <x:c r="R879" s="13" t="n">
        <x:f>J879+Q879/1440</x:f>
        <x:v>46302.84861111111</x:v>
      </x:c>
      <x:c r="S879" s="2" t="str">
        <x:f>VLOOKUP(C879,'MES orders'!$A$8:$H$127,6,FALSE)</x:f>
        <x:v>Normal</x:v>
      </x:c>
      <x:c r="T879" s="9" t="str"/>
    </x:row>
    <x:row r="880" ht="22" customHeight="1">
      <x:c r="A880" s="2" t="str">
        <x:v>L00289-050</x:v>
      </x:c>
      <x:c r="B880" s="2" t="str">
        <x:v>L00289</x:v>
      </x:c>
      <x:c r="C880" s="2" t="str">
        <x:v>SO-26058</x:v>
      </x:c>
      <x:c r="D880" s="2" t="str">
        <x:v>D-S-SS</x:v>
      </x:c>
      <x:c r="E880" s="14" t="n">
        <x:v>10</x:v>
      </x:c>
      <x:c r="F880" s="2" t="str">
        <x:v>Final leak / function test</x:v>
      </x:c>
      <x:c r="G880" s="9" t="str">
        <x:v>QA-01</x:v>
      </x:c>
      <x:c r="H880" s="15" t="n">
        <x:v>35</x:v>
      </x:c>
      <x:c r="I880" s="9" t="str">
        <x:v>P24</x:v>
      </x:c>
      <x:c r="J880" s="11" t="n">
        <x:v>46302.81805555556</x:v>
      </x:c>
      <x:c r="K880" s="15" t="n">
        <x:v>10</x:v>
      </x:c>
      <x:c r="L880" s="15" t="n">
        <x:v>9</x:v>
      </x:c>
      <x:c r="M880" s="13" t="n">
        <x:f>J880+(K880+L880)/1440</x:f>
        <x:v>46302.83125</x:v>
      </x:c>
      <x:c r="N880" s="13" t="n">
        <x:f>VLOOKUP(C880,'MES orders'!$A$8:$H$127,5,FALSE)</x:f>
        <x:v>46303.666666666664</x:v>
      </x:c>
      <x:c r="O880" s="16" t="n">
        <x:f>MAX(0,(M880-N880)*24)</x:f>
        <x:v>0</x:v>
      </x:c>
      <x:c r="P880" s="9" t="str">
        <x:v>No</x:v>
      </x:c>
      <x:c r="Q880" s="15" t="n">
        <x:v>19</x:v>
      </x:c>
      <x:c r="R880" s="13" t="n">
        <x:f>J880+Q880/1440</x:f>
        <x:v>46302.83125</x:v>
      </x:c>
      <x:c r="S880" s="2" t="str">
        <x:f>VLOOKUP(C880,'MES orders'!$A$8:$H$127,6,FALSE)</x:f>
        <x:v>Normal</x:v>
      </x:c>
      <x:c r="T880" s="9" t="str"/>
    </x:row>
    <x:row r="881" ht="22" customHeight="1">
      <x:c r="A881" s="2" t="str">
        <x:v>L00368-040</x:v>
      </x:c>
      <x:c r="B881" s="2" t="str">
        <x:v>L00368</x:v>
      </x:c>
      <x:c r="C881" s="2" t="str">
        <x:v>SO-26074</x:v>
      </x:c>
      <x:c r="D881" s="2" t="str">
        <x:v>R-C-SS</x:v>
      </x:c>
      <x:c r="E881" s="14" t="n">
        <x:v>10</x:v>
      </x:c>
      <x:c r="F881" s="2" t="str">
        <x:v>Mechanical assembly</x:v>
      </x:c>
      <x:c r="G881" s="9" t="str">
        <x:v>AS-05</x:v>
      </x:c>
      <x:c r="H881" s="15" t="n">
        <x:v>22</x:v>
      </x:c>
      <x:c r="I881" s="9" t="str">
        <x:v>P14</x:v>
      </x:c>
      <x:c r="J881" s="11" t="n">
        <x:v>46302.82083333333</x:v>
      </x:c>
      <x:c r="K881" s="15" t="n">
        <x:v>8</x:v>
      </x:c>
      <x:c r="L881" s="15" t="n">
        <x:v>14</x:v>
      </x:c>
      <x:c r="M881" s="13" t="n">
        <x:f>J881+(K881+L881)/1440</x:f>
        <x:v>46302.83611111111</x:v>
      </x:c>
      <x:c r="N881" s="13" t="n">
        <x:f>VLOOKUP(C881,'MES orders'!$A$8:$H$127,5,FALSE)</x:f>
        <x:v>46303.666666666664</x:v>
      </x:c>
      <x:c r="O881" s="16" t="n">
        <x:f>MAX(0,(M881-N881)*24)</x:f>
        <x:v>0</x:v>
      </x:c>
      <x:c r="P881" s="9" t="str">
        <x:v>No</x:v>
      </x:c>
      <x:c r="Q881" s="15" t="n">
        <x:v>22</x:v>
      </x:c>
      <x:c r="R881" s="13" t="n">
        <x:f>J881+Q881/1440</x:f>
        <x:v>46302.83611111111</x:v>
      </x:c>
      <x:c r="S881" s="2" t="str">
        <x:f>VLOOKUP(C881,'MES orders'!$A$8:$H$127,6,FALSE)</x:f>
        <x:v>Normal</x:v>
      </x:c>
      <x:c r="T881" s="9" t="str"/>
    </x:row>
    <x:row r="882" ht="22" customHeight="1">
      <x:c r="A882" s="2" t="str">
        <x:v>L00370-020</x:v>
      </x:c>
      <x:c r="B882" s="2" t="str">
        <x:v>L00370</x:v>
      </x:c>
      <x:c r="C882" s="2" t="str">
        <x:v>SO-26074</x:v>
      </x:c>
      <x:c r="D882" s="2" t="str">
        <x:v>R-C-SS</x:v>
      </x:c>
      <x:c r="E882" s="14" t="n">
        <x:v>10</x:v>
      </x:c>
      <x:c r="F882" s="2" t="str">
        <x:v>Deburr &amp; inspect</x:v>
      </x:c>
      <x:c r="G882" s="9" t="str">
        <x:v>DB-01</x:v>
      </x:c>
      <x:c r="H882" s="15" t="n">
        <x:v>86</x:v>
      </x:c>
      <x:c r="I882" s="9" t="str">
        <x:v>P23</x:v>
      </x:c>
      <x:c r="J882" s="11" t="n">
        <x:v>46302.82083333333</x:v>
      </x:c>
      <x:c r="K882" s="15" t="n">
        <x:v>4</x:v>
      </x:c>
      <x:c r="L882" s="15" t="n">
        <x:v>6</x:v>
      </x:c>
      <x:c r="M882" s="13" t="n">
        <x:f>J882+(K882+L882)/1440</x:f>
        <x:v>46302.82777777778</x:v>
      </x:c>
      <x:c r="N882" s="13" t="n">
        <x:f>VLOOKUP(C882,'MES orders'!$A$8:$H$127,5,FALSE)</x:f>
        <x:v>46303.666666666664</x:v>
      </x:c>
      <x:c r="O882" s="16" t="n">
        <x:f>MAX(0,(M882-N882)*24)</x:f>
        <x:v>0</x:v>
      </x:c>
      <x:c r="P882" s="9" t="str">
        <x:v>No</x:v>
      </x:c>
      <x:c r="Q882" s="15" t="n">
        <x:v>10</x:v>
      </x:c>
      <x:c r="R882" s="13" t="n">
        <x:f>J882+Q882/1440</x:f>
        <x:v>46302.82777777778</x:v>
      </x:c>
      <x:c r="S882" s="2" t="str">
        <x:f>VLOOKUP(C882,'MES orders'!$A$8:$H$127,6,FALSE)</x:f>
        <x:v>Normal</x:v>
      </x:c>
      <x:c r="T882" s="9" t="str"/>
    </x:row>
    <x:row r="883" ht="22" customHeight="1">
      <x:c r="A883" s="2" t="str">
        <x:v>L00327-030</x:v>
      </x:c>
      <x:c r="B883" s="2" t="str">
        <x:v>L00327</x:v>
      </x:c>
      <x:c r="C883" s="2" t="str">
        <x:v>SO-26066</x:v>
      </x:c>
      <x:c r="D883" s="2" t="str">
        <x:v>D-L-SS</x:v>
      </x:c>
      <x:c r="E883" s="14" t="n">
        <x:v>15</x:v>
      </x:c>
      <x:c r="F883" s="2" t="str">
        <x:v>Wash &amp; dry</x:v>
      </x:c>
      <x:c r="G883" s="9" t="str">
        <x:v>WS-01</x:v>
      </x:c>
      <x:c r="H883" s="15" t="n">
        <x:v>82</x:v>
      </x:c>
      <x:c r="I883" s="9" t="str">
        <x:v>P16</x:v>
      </x:c>
      <x:c r="J883" s="11" t="n">
        <x:v>46302.822222222225</x:v>
      </x:c>
      <x:c r="K883" s="15" t="n">
        <x:v>12</x:v>
      </x:c>
      <x:c r="L883" s="15" t="n">
        <x:v>7</x:v>
      </x:c>
      <x:c r="M883" s="13" t="n">
        <x:f>J883+(K883+L883)/1440</x:f>
        <x:v>46302.83541666667</x:v>
      </x:c>
      <x:c r="N883" s="13" t="n">
        <x:f>VLOOKUP(C883,'MES orders'!$A$8:$H$127,5,FALSE)</x:f>
        <x:v>46303.666666666664</x:v>
      </x:c>
      <x:c r="O883" s="16" t="n">
        <x:f>MAX(0,(M883-N883)*24)</x:f>
        <x:v>0</x:v>
      </x:c>
      <x:c r="P883" s="9" t="str">
        <x:v>No</x:v>
      </x:c>
      <x:c r="Q883" s="15" t="n">
        <x:v>19</x:v>
      </x:c>
      <x:c r="R883" s="13" t="n">
        <x:f>J883+Q883/1440</x:f>
        <x:v>46302.83541666667</x:v>
      </x:c>
      <x:c r="S883" s="2" t="str">
        <x:f>VLOOKUP(C883,'MES orders'!$A$8:$H$127,6,FALSE)</x:f>
        <x:v>Normal</x:v>
      </x:c>
      <x:c r="T883" s="9" t="str"/>
    </x:row>
    <x:row r="884" ht="22" customHeight="1">
      <x:c r="A884" s="2" t="str">
        <x:v>L00369-040</x:v>
      </x:c>
      <x:c r="B884" s="2" t="str">
        <x:v>L00369</x:v>
      </x:c>
      <x:c r="C884" s="2" t="str">
        <x:v>SO-26074</x:v>
      </x:c>
      <x:c r="D884" s="2" t="str">
        <x:v>R-C-SS</x:v>
      </x:c>
      <x:c r="E884" s="14" t="n">
        <x:v>10</x:v>
      </x:c>
      <x:c r="F884" s="2" t="str">
        <x:v>Mechanical assembly</x:v>
      </x:c>
      <x:c r="G884" s="9" t="str">
        <x:v>AS-06</x:v>
      </x:c>
      <x:c r="H884" s="15" t="n">
        <x:v>7</x:v>
      </x:c>
      <x:c r="I884" s="9" t="str">
        <x:v>P15</x:v>
      </x:c>
      <x:c r="J884" s="11" t="n">
        <x:v>46302.825</x:v>
      </x:c>
      <x:c r="K884" s="15" t="n">
        <x:v>8</x:v>
      </x:c>
      <x:c r="L884" s="15" t="n">
        <x:v>14</x:v>
      </x:c>
      <x:c r="M884" s="13" t="n">
        <x:f>J884+(K884+L884)/1440</x:f>
        <x:v>46302.840277777774</x:v>
      </x:c>
      <x:c r="N884" s="13" t="n">
        <x:f>VLOOKUP(C884,'MES orders'!$A$8:$H$127,5,FALSE)</x:f>
        <x:v>46303.666666666664</x:v>
      </x:c>
      <x:c r="O884" s="16" t="n">
        <x:f>MAX(0,(M884-N884)*24)</x:f>
        <x:v>0</x:v>
      </x:c>
      <x:c r="P884" s="9" t="str">
        <x:v>No</x:v>
      </x:c>
      <x:c r="Q884" s="15" t="n">
        <x:v>22</x:v>
      </x:c>
      <x:c r="R884" s="13" t="n">
        <x:f>J884+Q884/1440</x:f>
        <x:v>46302.840277777774</x:v>
      </x:c>
      <x:c r="S884" s="2" t="str">
        <x:f>VLOOKUP(C884,'MES orders'!$A$8:$H$127,6,FALSE)</x:f>
        <x:v>Normal</x:v>
      </x:c>
      <x:c r="T884" s="9" t="str"/>
    </x:row>
    <x:row r="885" ht="22" customHeight="1">
      <x:c r="A885" s="2" t="str">
        <x:v>L00370-030</x:v>
      </x:c>
      <x:c r="B885" s="2" t="str">
        <x:v>L00370</x:v>
      </x:c>
      <x:c r="C885" s="2" t="str">
        <x:v>SO-26074</x:v>
      </x:c>
      <x:c r="D885" s="2" t="str">
        <x:v>R-C-SS</x:v>
      </x:c>
      <x:c r="E885" s="14" t="n">
        <x:v>10</x:v>
      </x:c>
      <x:c r="F885" s="2" t="str">
        <x:v>Wash &amp; dry</x:v>
      </x:c>
      <x:c r="G885" s="9" t="str">
        <x:v>WS-02</x:v>
      </x:c>
      <x:c r="H885" s="15" t="n">
        <x:v>63</x:v>
      </x:c>
      <x:c r="I885" s="9" t="str">
        <x:v>P19</x:v>
      </x:c>
      <x:c r="J885" s="11" t="n">
        <x:v>46302.82777777778</x:v>
      </x:c>
      <x:c r="K885" s="15" t="n">
        <x:v>12</x:v>
      </x:c>
      <x:c r="L885" s="15" t="n">
        <x:v>3</x:v>
      </x:c>
      <x:c r="M885" s="13" t="n">
        <x:f>J885+(K885+L885)/1440</x:f>
        <x:v>46302.83819444444</x:v>
      </x:c>
      <x:c r="N885" s="13" t="n">
        <x:f>VLOOKUP(C885,'MES orders'!$A$8:$H$127,5,FALSE)</x:f>
        <x:v>46303.666666666664</x:v>
      </x:c>
      <x:c r="O885" s="16" t="n">
        <x:f>MAX(0,(M885-N885)*24)</x:f>
        <x:v>0</x:v>
      </x:c>
      <x:c r="P885" s="9" t="str">
        <x:v>No</x:v>
      </x:c>
      <x:c r="Q885" s="15" t="n">
        <x:v>15</x:v>
      </x:c>
      <x:c r="R885" s="13" t="n">
        <x:f>J885+Q885/1440</x:f>
        <x:v>46302.83819444444</x:v>
      </x:c>
      <x:c r="S885" s="2" t="str">
        <x:f>VLOOKUP(C885,'MES orders'!$A$8:$H$127,6,FALSE)</x:f>
        <x:v>Normal</x:v>
      </x:c>
      <x:c r="T885" s="9" t="str"/>
    </x:row>
    <x:row r="886" ht="22" customHeight="1">
      <x:c r="A886" s="2" t="str">
        <x:v>L00328-020</x:v>
      </x:c>
      <x:c r="B886" s="2" t="str">
        <x:v>L00328</x:v>
      </x:c>
      <x:c r="C886" s="2" t="str">
        <x:v>SO-26066</x:v>
      </x:c>
      <x:c r="D886" s="2" t="str">
        <x:v>D-L-SS</x:v>
      </x:c>
      <x:c r="E886" s="14" t="n">
        <x:v>15</x:v>
      </x:c>
      <x:c r="F886" s="2" t="str">
        <x:v>Deburr &amp; inspect</x:v>
      </x:c>
      <x:c r="G886" s="9" t="str">
        <x:v>DB-01</x:v>
      </x:c>
      <x:c r="H886" s="15" t="n">
        <x:v>87</x:v>
      </x:c>
      <x:c r="I886" s="9" t="str">
        <x:v>P17</x:v>
      </x:c>
      <x:c r="J886" s="11" t="n">
        <x:v>46302.830555555556</x:v>
      </x:c>
      <x:c r="K886" s="15" t="n">
        <x:v>4</x:v>
      </x:c>
      <x:c r="L886" s="15" t="n">
        <x:v>14</x:v>
      </x:c>
      <x:c r="M886" s="13" t="n">
        <x:f>J886+(K886+L886)/1440</x:f>
        <x:v>46302.84305555555</x:v>
      </x:c>
      <x:c r="N886" s="13" t="n">
        <x:f>VLOOKUP(C886,'MES orders'!$A$8:$H$127,5,FALSE)</x:f>
        <x:v>46303.666666666664</x:v>
      </x:c>
      <x:c r="O886" s="16" t="n">
        <x:f>MAX(0,(M886-N886)*24)</x:f>
        <x:v>0</x:v>
      </x:c>
      <x:c r="P886" s="9" t="str">
        <x:v>No</x:v>
      </x:c>
      <x:c r="Q886" s="15" t="n">
        <x:v>18</x:v>
      </x:c>
      <x:c r="R886" s="13" t="n">
        <x:f>J886+Q886/1440</x:f>
        <x:v>46302.84305555555</x:v>
      </x:c>
      <x:c r="S886" s="2" t="str">
        <x:f>VLOOKUP(C886,'MES orders'!$A$8:$H$127,6,FALSE)</x:f>
        <x:v>Normal</x:v>
      </x:c>
      <x:c r="T886" s="9" t="str"/>
    </x:row>
    <x:row r="887" ht="22" customHeight="1">
      <x:c r="A887" s="2" t="str">
        <x:v>L00207-080</x:v>
      </x:c>
      <x:c r="B887" s="2" t="str">
        <x:v>L00207</x:v>
      </x:c>
      <x:c r="C887" s="2" t="str">
        <x:v>SO-26042</x:v>
      </x:c>
      <x:c r="D887" s="2" t="str">
        <x:v>S-L-SS</x:v>
      </x:c>
      <x:c r="E887" s="14" t="n">
        <x:v>25</x:v>
      </x:c>
      <x:c r="F887" s="2" t="str">
        <x:v>Final leak / function test</x:v>
      </x:c>
      <x:c r="G887" s="9" t="str">
        <x:v>QA-02</x:v>
      </x:c>
      <x:c r="H887" s="15" t="n">
        <x:v>59</x:v>
      </x:c>
      <x:c r="I887" s="9" t="str">
        <x:v>P23</x:v>
      </x:c>
      <x:c r="J887" s="11" t="n">
        <x:v>46302.830555555556</x:v>
      </x:c>
      <x:c r="K887" s="15" t="n">
        <x:v>10</x:v>
      </x:c>
      <x:c r="L887" s="15" t="n">
        <x:v>30</x:v>
      </x:c>
      <x:c r="M887" s="13" t="n">
        <x:f>J887+(K887+L887)/1440</x:f>
        <x:v>46302.85833333334</x:v>
      </x:c>
      <x:c r="N887" s="13" t="n">
        <x:f>VLOOKUP(C887,'MES orders'!$A$8:$H$127,5,FALSE)</x:f>
        <x:v>46303.666666666664</x:v>
      </x:c>
      <x:c r="O887" s="16" t="n">
        <x:f>MAX(0,(M887-N887)*24)</x:f>
        <x:v>0</x:v>
      </x:c>
      <x:c r="P887" s="9" t="str">
        <x:v>No</x:v>
      </x:c>
      <x:c r="Q887" s="15" t="n">
        <x:v>40</x:v>
      </x:c>
      <x:c r="R887" s="13" t="n">
        <x:f>J887+Q887/1440</x:f>
        <x:v>46302.85833333334</x:v>
      </x:c>
      <x:c r="S887" s="2" t="str">
        <x:f>VLOOKUP(C887,'MES orders'!$A$8:$H$127,6,FALSE)</x:f>
        <x:v>Normal</x:v>
      </x:c>
      <x:c r="T887" s="9" t="str"/>
    </x:row>
    <x:row r="888" ht="22" customHeight="1">
      <x:c r="A888" s="2" t="str">
        <x:v>L00290-050</x:v>
      </x:c>
      <x:c r="B888" s="2" t="str">
        <x:v>L00290</x:v>
      </x:c>
      <x:c r="C888" s="2" t="str">
        <x:v>SO-26058</x:v>
      </x:c>
      <x:c r="D888" s="2" t="str">
        <x:v>D-S-SS</x:v>
      </x:c>
      <x:c r="E888" s="14" t="n">
        <x:v>10</x:v>
      </x:c>
      <x:c r="F888" s="2" t="str">
        <x:v>Final leak / function test</x:v>
      </x:c>
      <x:c r="G888" s="9" t="str">
        <x:v>QA-01</x:v>
      </x:c>
      <x:c r="H888" s="15" t="n">
        <x:v>36</x:v>
      </x:c>
      <x:c r="I888" s="9" t="str">
        <x:v>P24</x:v>
      </x:c>
      <x:c r="J888" s="11" t="n">
        <x:v>46302.83125</x:v>
      </x:c>
      <x:c r="K888" s="15" t="n">
        <x:v>10</x:v>
      </x:c>
      <x:c r="L888" s="15" t="n">
        <x:v>9</x:v>
      </x:c>
      <x:c r="M888" s="13" t="n">
        <x:f>J888+(K888+L888)/1440</x:f>
        <x:v>46302.84444444445</x:v>
      </x:c>
      <x:c r="N888" s="13" t="n">
        <x:f>VLOOKUP(C888,'MES orders'!$A$8:$H$127,5,FALSE)</x:f>
        <x:v>46303.666666666664</x:v>
      </x:c>
      <x:c r="O888" s="16" t="n">
        <x:f>MAX(0,(M888-N888)*24)</x:f>
        <x:v>0</x:v>
      </x:c>
      <x:c r="P888" s="9" t="str">
        <x:v>No</x:v>
      </x:c>
      <x:c r="Q888" s="15" t="n">
        <x:v>19</x:v>
      </x:c>
      <x:c r="R888" s="13" t="n">
        <x:f>J888+Q888/1440</x:f>
        <x:v>46302.84444444445</x:v>
      </x:c>
      <x:c r="S888" s="2" t="str">
        <x:f>VLOOKUP(C888,'MES orders'!$A$8:$H$127,6,FALSE)</x:f>
        <x:v>Normal</x:v>
      </x:c>
      <x:c r="T888" s="9" t="str"/>
    </x:row>
    <x:row r="889" ht="22" customHeight="1">
      <x:c r="A889" s="2" t="str">
        <x:v>L00327-040</x:v>
      </x:c>
      <x:c r="B889" s="2" t="str">
        <x:v>L00327</x:v>
      </x:c>
      <x:c r="C889" s="2" t="str">
        <x:v>SO-26066</x:v>
      </x:c>
      <x:c r="D889" s="2" t="str">
        <x:v>D-L-SS</x:v>
      </x:c>
      <x:c r="E889" s="14" t="n">
        <x:v>15</x:v>
      </x:c>
      <x:c r="F889" s="2" t="str">
        <x:v>Mechanical assembly</x:v>
      </x:c>
      <x:c r="G889" s="9" t="str">
        <x:v>AS-02</x:v>
      </x:c>
      <x:c r="H889" s="15" t="n">
        <x:v>57</x:v>
      </x:c>
      <x:c r="I889" s="9" t="str">
        <x:v>P16</x:v>
      </x:c>
      <x:c r="J889" s="11" t="n">
        <x:v>46302.83541666667</x:v>
      </x:c>
      <x:c r="K889" s="15" t="n">
        <x:v>8</x:v>
      </x:c>
      <x:c r="L889" s="15" t="n">
        <x:v>36</x:v>
      </x:c>
      <x:c r="M889" s="13" t="n">
        <x:f>J889+(K889+L889)/1440</x:f>
        <x:v>46302.86597222222</x:v>
      </x:c>
      <x:c r="N889" s="13" t="n">
        <x:f>VLOOKUP(C889,'MES orders'!$A$8:$H$127,5,FALSE)</x:f>
        <x:v>46303.666666666664</x:v>
      </x:c>
      <x:c r="O889" s="16" t="n">
        <x:f>MAX(0,(M889-N889)*24)</x:f>
        <x:v>0</x:v>
      </x:c>
      <x:c r="P889" s="9" t="str">
        <x:v>No</x:v>
      </x:c>
      <x:c r="Q889" s="15" t="n">
        <x:v>44</x:v>
      </x:c>
      <x:c r="R889" s="13" t="n">
        <x:f>J889+Q889/1440</x:f>
        <x:v>46302.86597222222</x:v>
      </x:c>
      <x:c r="S889" s="2" t="str">
        <x:f>VLOOKUP(C889,'MES orders'!$A$8:$H$127,6,FALSE)</x:f>
        <x:v>Normal</x:v>
      </x:c>
      <x:c r="T889" s="9" t="str"/>
    </x:row>
    <x:row r="890" ht="22" customHeight="1">
      <x:c r="A890" s="2" t="str">
        <x:v>L00368-050</x:v>
      </x:c>
      <x:c r="B890" s="2" t="str">
        <x:v>L00368</x:v>
      </x:c>
      <x:c r="C890" s="2" t="str">
        <x:v>SO-26074</x:v>
      </x:c>
      <x:c r="D890" s="2" t="str">
        <x:v>R-C-SS</x:v>
      </x:c>
      <x:c r="E890" s="14" t="n">
        <x:v>10</x:v>
      </x:c>
      <x:c r="F890" s="2" t="str">
        <x:v>Valve adjustment</x:v>
      </x:c>
      <x:c r="G890" s="9" t="str">
        <x:v>AS-04</x:v>
      </x:c>
      <x:c r="H890" s="15" t="n">
        <x:v>30</x:v>
      </x:c>
      <x:c r="I890" s="9" t="str">
        <x:v>P20</x:v>
      </x:c>
      <x:c r="J890" s="11" t="n">
        <x:v>46302.83611111111</x:v>
      </x:c>
      <x:c r="K890" s="15" t="n">
        <x:v>6</x:v>
      </x:c>
      <x:c r="L890" s="15" t="n">
        <x:v>9</x:v>
      </x:c>
      <x:c r="M890" s="13" t="n">
        <x:f>J890+(K890+L890)/1440</x:f>
        <x:v>46302.84652777777</x:v>
      </x:c>
      <x:c r="N890" s="13" t="n">
        <x:f>VLOOKUP(C890,'MES orders'!$A$8:$H$127,5,FALSE)</x:f>
        <x:v>46303.666666666664</x:v>
      </x:c>
      <x:c r="O890" s="16" t="n">
        <x:f>MAX(0,(M890-N890)*24)</x:f>
        <x:v>0</x:v>
      </x:c>
      <x:c r="P890" s="9" t="str">
        <x:v>No</x:v>
      </x:c>
      <x:c r="Q890" s="15" t="n">
        <x:v>15</x:v>
      </x:c>
      <x:c r="R890" s="13" t="n">
        <x:f>J890+Q890/1440</x:f>
        <x:v>46302.84652777777</x:v>
      </x:c>
      <x:c r="S890" s="2" t="str">
        <x:f>VLOOKUP(C890,'MES orders'!$A$8:$H$127,6,FALSE)</x:f>
        <x:v>Normal</x:v>
      </x:c>
      <x:c r="T890" s="9" t="str"/>
    </x:row>
    <x:row r="891" ht="22" customHeight="1">
      <x:c r="A891" s="2" t="str">
        <x:v>L00407-010</x:v>
      </x:c>
      <x:c r="B891" s="2" t="str">
        <x:v>L00407</x:v>
      </x:c>
      <x:c r="C891" s="2" t="str">
        <x:v>SO-26082</x:v>
      </x:c>
      <x:c r="D891" s="2" t="str">
        <x:v>R-S-SS</x:v>
      </x:c>
      <x:c r="E891" s="14" t="n">
        <x:v>10</x:v>
      </x:c>
      <x:c r="F891" s="2" t="str">
        <x:v>CNC machining</x:v>
      </x:c>
      <x:c r="G891" s="9" t="str">
        <x:v>CNC-03</x:v>
      </x:c>
      <x:c r="H891" s="15" t="n">
        <x:v>27</x:v>
      </x:c>
      <x:c r="I891" s="9" t="str">
        <x:v>P14</x:v>
      </x:c>
      <x:c r="J891" s="11" t="n">
        <x:v>46302.83611111111</x:v>
      </x:c>
      <x:c r="K891" s="15" t="n">
        <x:v>18</x:v>
      </x:c>
      <x:c r="L891" s="15" t="n">
        <x:v>30</x:v>
      </x:c>
      <x:c r="M891" s="13" t="n">
        <x:f>J891+(K891+L891)/1440</x:f>
        <x:v>46302.86944444444</x:v>
      </x:c>
      <x:c r="N891" s="13" t="n">
        <x:f>VLOOKUP(C891,'MES orders'!$A$8:$H$127,5,FALSE)</x:f>
        <x:v>46303.666666666664</x:v>
      </x:c>
      <x:c r="O891" s="16" t="n">
        <x:f>MAX(0,(M891-N891)*24)</x:f>
        <x:v>0</x:v>
      </x:c>
      <x:c r="P891" s="9" t="str">
        <x:v>No</x:v>
      </x:c>
      <x:c r="Q891" s="15" t="n">
        <x:v>18</x:v>
      </x:c>
      <x:c r="R891" s="13" t="n">
        <x:f>J891+Q891/1440</x:f>
        <x:v>46302.848611111105</x:v>
      </x:c>
      <x:c r="S891" s="2" t="str">
        <x:f>VLOOKUP(C891,'MES orders'!$A$8:$H$127,6,FALSE)</x:f>
        <x:v>Normal</x:v>
      </x:c>
      <x:c r="T891" s="9" t="str"/>
    </x:row>
    <x:row r="892" ht="22" customHeight="1">
      <x:c r="A892" s="2" t="str">
        <x:v>L00370-040</x:v>
      </x:c>
      <x:c r="B892" s="2" t="str">
        <x:v>L00370</x:v>
      </x:c>
      <x:c r="C892" s="2" t="str">
        <x:v>SO-26074</x:v>
      </x:c>
      <x:c r="D892" s="2" t="str">
        <x:v>R-C-SS</x:v>
      </x:c>
      <x:c r="E892" s="14" t="n">
        <x:v>10</x:v>
      </x:c>
      <x:c r="F892" s="2" t="str">
        <x:v>Mechanical assembly</x:v>
      </x:c>
      <x:c r="G892" s="9" t="str">
        <x:v>AS-05</x:v>
      </x:c>
      <x:c r="H892" s="15" t="n">
        <x:v>23</x:v>
      </x:c>
      <x:c r="I892" s="9" t="str">
        <x:v>P13</x:v>
      </x:c>
      <x:c r="J892" s="11" t="n">
        <x:v>46302.83819444444</x:v>
      </x:c>
      <x:c r="K892" s="15" t="n">
        <x:v>8</x:v>
      </x:c>
      <x:c r="L892" s="15" t="n">
        <x:v>14</x:v>
      </x:c>
      <x:c r="M892" s="13" t="n">
        <x:f>J892+(K892+L892)/1440</x:f>
        <x:v>46302.85347222222</x:v>
      </x:c>
      <x:c r="N892" s="13" t="n">
        <x:f>VLOOKUP(C892,'MES orders'!$A$8:$H$127,5,FALSE)</x:f>
        <x:v>46303.666666666664</x:v>
      </x:c>
      <x:c r="O892" s="16" t="n">
        <x:f>MAX(0,(M892-N892)*24)</x:f>
        <x:v>0</x:v>
      </x:c>
      <x:c r="P892" s="9" t="str">
        <x:v>No</x:v>
      </x:c>
      <x:c r="Q892" s="15" t="n">
        <x:v>22</x:v>
      </x:c>
      <x:c r="R892" s="13" t="n">
        <x:f>J892+Q892/1440</x:f>
        <x:v>46302.85347222222</x:v>
      </x:c>
      <x:c r="S892" s="2" t="str">
        <x:f>VLOOKUP(C892,'MES orders'!$A$8:$H$127,6,FALSE)</x:f>
        <x:v>Normal</x:v>
      </x:c>
      <x:c r="T892" s="9" t="str"/>
    </x:row>
    <x:row r="893" ht="22" customHeight="1">
      <x:c r="A893" s="2" t="str">
        <x:v>L00093-030</x:v>
      </x:c>
      <x:c r="B893" s="2" t="str">
        <x:v>L00093</x:v>
      </x:c>
      <x:c r="C893" s="2" t="str">
        <x:v>SO-26019</x:v>
      </x:c>
      <x:c r="D893" s="2" t="str">
        <x:v>D-C-AL</x:v>
      </x:c>
      <x:c r="E893" s="14" t="n">
        <x:v>5</x:v>
      </x:c>
      <x:c r="F893" s="2" t="str">
        <x:v>Wash &amp; dry</x:v>
      </x:c>
      <x:c r="G893" s="9" t="str">
        <x:v>WS-01</x:v>
      </x:c>
      <x:c r="H893" s="15" t="n">
        <x:v>83</x:v>
      </x:c>
      <x:c r="I893" s="9" t="str">
        <x:v>P19</x:v>
      </x:c>
      <x:c r="J893" s="11" t="n">
        <x:v>46302.83819444444</x:v>
      </x:c>
      <x:c r="K893" s="15" t="n">
        <x:v>12</x:v>
      </x:c>
      <x:c r="L893" s="15" t="n">
        <x:v>1</x:v>
      </x:c>
      <x:c r="M893" s="13" t="n">
        <x:f>J893+(K893+L893)/1440</x:f>
        <x:v>46302.84722222222</x:v>
      </x:c>
      <x:c r="N893" s="13" t="n">
        <x:f>VLOOKUP(C893,'MES orders'!$A$8:$H$127,5,FALSE)</x:f>
        <x:v>46304.666666666664</x:v>
      </x:c>
      <x:c r="O893" s="16" t="n">
        <x:f>MAX(0,(M893-N893)*24)</x:f>
        <x:v>0</x:v>
      </x:c>
      <x:c r="P893" s="9" t="str">
        <x:v>No</x:v>
      </x:c>
      <x:c r="Q893" s="15" t="n">
        <x:v>13</x:v>
      </x:c>
      <x:c r="R893" s="13" t="n">
        <x:f>J893+Q893/1440</x:f>
        <x:v>46302.84722222222</x:v>
      </x:c>
      <x:c r="S893" s="2" t="str">
        <x:f>VLOOKUP(C893,'MES orders'!$A$8:$H$127,6,FALSE)</x:f>
        <x:v>Normal</x:v>
      </x:c>
      <x:c r="T893" s="9" t="str"/>
    </x:row>
    <x:row r="894" ht="22" customHeight="1">
      <x:c r="A894" s="2" t="str">
        <x:v>L00408-010</x:v>
      </x:c>
      <x:c r="B894" s="2" t="str">
        <x:v>L00408</x:v>
      </x:c>
      <x:c r="C894" s="2" t="str">
        <x:v>SO-26082</x:v>
      </x:c>
      <x:c r="D894" s="2" t="str">
        <x:v>R-S-SS</x:v>
      </x:c>
      <x:c r="E894" s="14" t="n">
        <x:v>10</x:v>
      </x:c>
      <x:c r="F894" s="2" t="str">
        <x:v>CNC machining</x:v>
      </x:c>
      <x:c r="G894" s="9" t="str">
        <x:v>CNC-04</x:v>
      </x:c>
      <x:c r="H894" s="15" t="n">
        <x:v>28</x:v>
      </x:c>
      <x:c r="I894" s="9" t="str">
        <x:v>P15</x:v>
      </x:c>
      <x:c r="J894" s="11" t="n">
        <x:v>46302.84027777778</x:v>
      </x:c>
      <x:c r="K894" s="15" t="n">
        <x:v>18</x:v>
      </x:c>
      <x:c r="L894" s="15" t="n">
        <x:v>30</x:v>
      </x:c>
      <x:c r="M894" s="13" t="n">
        <x:f>J894+(K894+L894)/1440</x:f>
        <x:v>46302.873611111114</x:v>
      </x:c>
      <x:c r="N894" s="13" t="n">
        <x:f>VLOOKUP(C894,'MES orders'!$A$8:$H$127,5,FALSE)</x:f>
        <x:v>46303.666666666664</x:v>
      </x:c>
      <x:c r="O894" s="16" t="n">
        <x:f>MAX(0,(M894-N894)*24)</x:f>
        <x:v>0</x:v>
      </x:c>
      <x:c r="P894" s="9" t="str">
        <x:v>No</x:v>
      </x:c>
      <x:c r="Q894" s="15" t="n">
        <x:v>18</x:v>
      </x:c>
      <x:c r="R894" s="13" t="n">
        <x:f>J894+Q894/1440</x:f>
        <x:v>46302.85277777778</x:v>
      </x:c>
      <x:c r="S894" s="2" t="str">
        <x:f>VLOOKUP(C894,'MES orders'!$A$8:$H$127,6,FALSE)</x:f>
        <x:v>Normal</x:v>
      </x:c>
      <x:c r="T894" s="9" t="str"/>
    </x:row>
    <x:row r="895" ht="22" customHeight="1">
      <x:c r="A895" s="2" t="str">
        <x:v>L00208-070</x:v>
      </x:c>
      <x:c r="B895" s="2" t="str">
        <x:v>L00208</x:v>
      </x:c>
      <x:c r="C895" s="2" t="str">
        <x:v>SO-26042</x:v>
      </x:c>
      <x:c r="D895" s="2" t="str">
        <x:v>S-L-SS</x:v>
      </x:c>
      <x:c r="E895" s="14" t="n">
        <x:v>25</x:v>
      </x:c>
      <x:c r="F895" s="2" t="str">
        <x:v>Final assembly</x:v>
      </x:c>
      <x:c r="G895" s="9" t="str">
        <x:v>AS-01</x:v>
      </x:c>
      <x:c r="H895" s="15" t="n">
        <x:v>70</x:v>
      </x:c>
      <x:c r="I895" s="9" t="str">
        <x:v>P17</x:v>
      </x:c>
      <x:c r="J895" s="11" t="n">
        <x:v>46302.84583333333</x:v>
      </x:c>
      <x:c r="K895" s="15" t="n">
        <x:v>5</x:v>
      </x:c>
      <x:c r="L895" s="15" t="n">
        <x:v>27</x:v>
      </x:c>
      <x:c r="M895" s="13" t="n">
        <x:f>J895+(K895+L895)/1440</x:f>
        <x:v>46302.868055555555</x:v>
      </x:c>
      <x:c r="N895" s="13" t="n">
        <x:f>VLOOKUP(C895,'MES orders'!$A$8:$H$127,5,FALSE)</x:f>
        <x:v>46303.666666666664</x:v>
      </x:c>
      <x:c r="O895" s="16" t="n">
        <x:f>MAX(0,(M895-N895)*24)</x:f>
        <x:v>0</x:v>
      </x:c>
      <x:c r="P895" s="9" t="str">
        <x:v>No</x:v>
      </x:c>
      <x:c r="Q895" s="15" t="n">
        <x:v>32</x:v>
      </x:c>
      <x:c r="R895" s="13" t="n">
        <x:f>J895+Q895/1440</x:f>
        <x:v>46302.868055555555</x:v>
      </x:c>
      <x:c r="S895" s="2" t="str">
        <x:f>VLOOKUP(C895,'MES orders'!$A$8:$H$127,6,FALSE)</x:f>
        <x:v>Normal</x:v>
      </x:c>
      <x:c r="T895" s="9" t="str"/>
    </x:row>
    <x:row r="896" ht="22" customHeight="1">
      <x:c r="A896" s="2" t="str">
        <x:v>L00209-060</x:v>
      </x:c>
      <x:c r="B896" s="2" t="str">
        <x:v>L00209</x:v>
      </x:c>
      <x:c r="C896" s="2" t="str">
        <x:v>SO-26042</x:v>
      </x:c>
      <x:c r="D896" s="2" t="str">
        <x:v>S-L-SS</x:v>
      </x:c>
      <x:c r="E896" s="14" t="n">
        <x:v>25</x:v>
      </x:c>
      <x:c r="F896" s="2" t="str">
        <x:v>Sensor calibration</x:v>
      </x:c>
      <x:c r="G896" s="9" t="str">
        <x:v>CAL-01</x:v>
      </x:c>
      <x:c r="H896" s="15" t="n">
        <x:v>37</x:v>
      </x:c>
      <x:c r="I896" s="9" t="str">
        <x:v>P21</x:v>
      </x:c>
      <x:c r="J896" s="11" t="n">
        <x:v>46302.84583333333</x:v>
      </x:c>
      <x:c r="K896" s="15" t="n">
        <x:v>10</x:v>
      </x:c>
      <x:c r="L896" s="15" t="n">
        <x:v>44</x:v>
      </x:c>
      <x:c r="M896" s="13" t="n">
        <x:f>J896+(K896+L896)/1440</x:f>
        <x:v>46302.88333333333</x:v>
      </x:c>
      <x:c r="N896" s="13" t="n">
        <x:f>VLOOKUP(C896,'MES orders'!$A$8:$H$127,5,FALSE)</x:f>
        <x:v>46303.666666666664</x:v>
      </x:c>
      <x:c r="O896" s="16" t="n">
        <x:f>MAX(0,(M896-N896)*24)</x:f>
        <x:v>0</x:v>
      </x:c>
      <x:c r="P896" s="9" t="str">
        <x:v>No</x:v>
      </x:c>
      <x:c r="Q896" s="15" t="n">
        <x:v>54</x:v>
      </x:c>
      <x:c r="R896" s="13" t="n">
        <x:f>J896+Q896/1440</x:f>
        <x:v>46302.88333333333</x:v>
      </x:c>
      <x:c r="S896" s="2" t="str">
        <x:f>VLOOKUP(C896,'MES orders'!$A$8:$H$127,6,FALSE)</x:f>
        <x:v>Normal</x:v>
      </x:c>
      <x:c r="T896" s="9" t="str"/>
    </x:row>
    <x:row r="897" ht="22" customHeight="1">
      <x:c r="A897" s="2" t="str">
        <x:v>L00369-050</x:v>
      </x:c>
      <x:c r="B897" s="2" t="str">
        <x:v>L00369</x:v>
      </x:c>
      <x:c r="C897" s="2" t="str">
        <x:v>SO-26074</x:v>
      </x:c>
      <x:c r="D897" s="2" t="str">
        <x:v>R-C-SS</x:v>
      </x:c>
      <x:c r="E897" s="14" t="n">
        <x:v>10</x:v>
      </x:c>
      <x:c r="F897" s="2" t="str">
        <x:v>Valve adjustment</x:v>
      </x:c>
      <x:c r="G897" s="9" t="str">
        <x:v>AS-04</x:v>
      </x:c>
      <x:c r="H897" s="15" t="n">
        <x:v>31</x:v>
      </x:c>
      <x:c r="I897" s="9" t="str">
        <x:v>P20</x:v>
      </x:c>
      <x:c r="J897" s="11" t="n">
        <x:v>46302.84652777778</x:v>
      </x:c>
      <x:c r="K897" s="15" t="n">
        <x:v>6</x:v>
      </x:c>
      <x:c r="L897" s="15" t="n">
        <x:v>9</x:v>
      </x:c>
      <x:c r="M897" s="13" t="n">
        <x:f>J897+(K897+L897)/1440</x:f>
        <x:v>46302.856944444444</x:v>
      </x:c>
      <x:c r="N897" s="13" t="n">
        <x:f>VLOOKUP(C897,'MES orders'!$A$8:$H$127,5,FALSE)</x:f>
        <x:v>46303.666666666664</x:v>
      </x:c>
      <x:c r="O897" s="16" t="n">
        <x:f>MAX(0,(M897-N897)*24)</x:f>
        <x:v>0</x:v>
      </x:c>
      <x:c r="P897" s="9" t="str">
        <x:v>No</x:v>
      </x:c>
      <x:c r="Q897" s="15" t="n">
        <x:v>15</x:v>
      </x:c>
      <x:c r="R897" s="13" t="n">
        <x:f>J897+Q897/1440</x:f>
        <x:v>46302.856944444444</x:v>
      </x:c>
      <x:c r="S897" s="2" t="str">
        <x:f>VLOOKUP(C897,'MES orders'!$A$8:$H$127,6,FALSE)</x:f>
        <x:v>Normal</x:v>
      </x:c>
      <x:c r="T897" s="9" t="str"/>
    </x:row>
    <x:row r="898" ht="22" customHeight="1">
      <x:c r="A898" s="2" t="str">
        <x:v>L00093-040</x:v>
      </x:c>
      <x:c r="B898" s="2" t="str">
        <x:v>L00093</x:v>
      </x:c>
      <x:c r="C898" s="2" t="str">
        <x:v>SO-26019</x:v>
      </x:c>
      <x:c r="D898" s="2" t="str">
        <x:v>D-C-AL</x:v>
      </x:c>
      <x:c r="E898" s="14" t="n">
        <x:v>5</x:v>
      </x:c>
      <x:c r="F898" s="2" t="str">
        <x:v>Mechanical assembly</x:v>
      </x:c>
      <x:c r="G898" s="9" t="str">
        <x:v>AS-06</x:v>
      </x:c>
      <x:c r="H898" s="15" t="n">
        <x:v>8</x:v>
      </x:c>
      <x:c r="I898" s="9" t="str">
        <x:v>P19</x:v>
      </x:c>
      <x:c r="J898" s="11" t="n">
        <x:v>46302.84722222222</x:v>
      </x:c>
      <x:c r="K898" s="15" t="n">
        <x:v>8</x:v>
      </x:c>
      <x:c r="L898" s="15" t="n">
        <x:v>7</x:v>
      </x:c>
      <x:c r="M898" s="13" t="n">
        <x:f>J898+(K898+L898)/1440</x:f>
        <x:v>46302.85763888888</x:v>
      </x:c>
      <x:c r="N898" s="13" t="n">
        <x:f>VLOOKUP(C898,'MES orders'!$A$8:$H$127,5,FALSE)</x:f>
        <x:v>46304.666666666664</x:v>
      </x:c>
      <x:c r="O898" s="16" t="n">
        <x:f>MAX(0,(M898-N898)*24)</x:f>
        <x:v>0</x:v>
      </x:c>
      <x:c r="P898" s="9" t="str">
        <x:v>No</x:v>
      </x:c>
      <x:c r="Q898" s="15" t="n">
        <x:v>15</x:v>
      </x:c>
      <x:c r="R898" s="13" t="n">
        <x:f>J898+Q898/1440</x:f>
        <x:v>46302.85763888888</x:v>
      </x:c>
      <x:c r="S898" s="2" t="str">
        <x:f>VLOOKUP(C898,'MES orders'!$A$8:$H$127,6,FALSE)</x:f>
        <x:v>Normal</x:v>
      </x:c>
      <x:c r="T898" s="9" t="str"/>
    </x:row>
    <x:row r="899" ht="22" customHeight="1">
      <x:c r="A899" s="2" t="str">
        <x:v>L00409-010</x:v>
      </x:c>
      <x:c r="B899" s="2" t="str">
        <x:v>L00409</x:v>
      </x:c>
      <x:c r="C899" s="2" t="str">
        <x:v>SO-26082</x:v>
      </x:c>
      <x:c r="D899" s="2" t="str">
        <x:v>R-S-SS</x:v>
      </x:c>
      <x:c r="E899" s="14" t="n">
        <x:v>10</x:v>
      </x:c>
      <x:c r="F899" s="2" t="str">
        <x:v>CNC machining</x:v>
      </x:c>
      <x:c r="G899" s="9" t="str">
        <x:v>CNC-05</x:v>
      </x:c>
      <x:c r="H899" s="15" t="n">
        <x:v>25</x:v>
      </x:c>
      <x:c r="I899" s="9" t="str">
        <x:v>P14</x:v>
      </x:c>
      <x:c r="J899" s="11" t="n">
        <x:v>46302.84861111111</x:v>
      </x:c>
      <x:c r="K899" s="15" t="n">
        <x:v>18</x:v>
      </x:c>
      <x:c r="L899" s="15" t="n">
        <x:v>30</x:v>
      </x:c>
      <x:c r="M899" s="13" t="n">
        <x:f>J899+(K899+L899)/1440</x:f>
        <x:v>46302.881944444445</x:v>
      </x:c>
      <x:c r="N899" s="13" t="n">
        <x:f>VLOOKUP(C899,'MES orders'!$A$8:$H$127,5,FALSE)</x:f>
        <x:v>46303.666666666664</x:v>
      </x:c>
      <x:c r="O899" s="16" t="n">
        <x:f>MAX(0,(M899-N899)*24)</x:f>
        <x:v>0</x:v>
      </x:c>
      <x:c r="P899" s="9" t="str">
        <x:v>No</x:v>
      </x:c>
      <x:c r="Q899" s="15" t="n">
        <x:v>18</x:v>
      </x:c>
      <x:c r="R899" s="13" t="n">
        <x:f>J899+Q899/1440</x:f>
        <x:v>46302.86111111111</x:v>
      </x:c>
      <x:c r="S899" s="2" t="str">
        <x:f>VLOOKUP(C899,'MES orders'!$A$8:$H$127,6,FALSE)</x:f>
        <x:v>Normal</x:v>
      </x:c>
      <x:c r="T899" s="9" t="str"/>
    </x:row>
    <x:row r="900" ht="22" customHeight="1">
      <x:c r="A900" s="2" t="str">
        <x:v>L00326-050</x:v>
      </x:c>
      <x:c r="B900" s="2" t="str">
        <x:v>L00326</x:v>
      </x:c>
      <x:c r="C900" s="2" t="str">
        <x:v>SO-26066</x:v>
      </x:c>
      <x:c r="D900" s="2" t="str">
        <x:v>D-L-SS</x:v>
      </x:c>
      <x:c r="E900" s="14" t="n">
        <x:v>15</x:v>
      </x:c>
      <x:c r="F900" s="2" t="str">
        <x:v>Final leak / function test</x:v>
      </x:c>
      <x:c r="G900" s="9" t="str">
        <x:v>QA-01</x:v>
      </x:c>
      <x:c r="H900" s="15" t="n">
        <x:v>37</x:v>
      </x:c>
      <x:c r="I900" s="9" t="str">
        <x:v>P24</x:v>
      </x:c>
      <x:c r="J900" s="11" t="n">
        <x:v>46302.84861111111</x:v>
      </x:c>
      <x:c r="K900" s="15" t="n">
        <x:v>10</x:v>
      </x:c>
      <x:c r="L900" s="15" t="n">
        <x:v>18</x:v>
      </x:c>
      <x:c r="M900" s="13" t="n">
        <x:f>J900+(K900+L900)/1440</x:f>
        <x:v>46302.868055555555</x:v>
      </x:c>
      <x:c r="N900" s="13" t="n">
        <x:f>VLOOKUP(C900,'MES orders'!$A$8:$H$127,5,FALSE)</x:f>
        <x:v>46303.666666666664</x:v>
      </x:c>
      <x:c r="O900" s="16" t="n">
        <x:f>MAX(0,(M900-N900)*24)</x:f>
        <x:v>0</x:v>
      </x:c>
      <x:c r="P900" s="9" t="str">
        <x:v>No</x:v>
      </x:c>
      <x:c r="Q900" s="15" t="n">
        <x:v>28</x:v>
      </x:c>
      <x:c r="R900" s="13" t="n">
        <x:f>J900+Q900/1440</x:f>
        <x:v>46302.868055555555</x:v>
      </x:c>
      <x:c r="S900" s="2" t="str">
        <x:f>VLOOKUP(C900,'MES orders'!$A$8:$H$127,6,FALSE)</x:f>
        <x:v>Normal</x:v>
      </x:c>
      <x:c r="T900" s="9" t="str"/>
    </x:row>
    <x:row r="901" ht="22" customHeight="1">
      <x:c r="A901" s="2" t="str">
        <x:v>L00328-030</x:v>
      </x:c>
      <x:c r="B901" s="2" t="str">
        <x:v>L00328</x:v>
      </x:c>
      <x:c r="C901" s="2" t="str">
        <x:v>SO-26066</x:v>
      </x:c>
      <x:c r="D901" s="2" t="str">
        <x:v>D-L-SS</x:v>
      </x:c>
      <x:c r="E901" s="14" t="n">
        <x:v>15</x:v>
      </x:c>
      <x:c r="F901" s="2" t="str">
        <x:v>Wash &amp; dry</x:v>
      </x:c>
      <x:c r="G901" s="9" t="str">
        <x:v>WS-01</x:v>
      </x:c>
      <x:c r="H901" s="15" t="n">
        <x:v>84</x:v>
      </x:c>
      <x:c r="I901" s="9" t="str">
        <x:v>P18</x:v>
      </x:c>
      <x:c r="J901" s="11" t="n">
        <x:v>46302.84861111111</x:v>
      </x:c>
      <x:c r="K901" s="15" t="n">
        <x:v>12</x:v>
      </x:c>
      <x:c r="L901" s="15" t="n">
        <x:v>7</x:v>
      </x:c>
      <x:c r="M901" s="13" t="n">
        <x:f>J901+(K901+L901)/1440</x:f>
        <x:v>46302.861805555556</x:v>
      </x:c>
      <x:c r="N901" s="13" t="n">
        <x:f>VLOOKUP(C901,'MES orders'!$A$8:$H$127,5,FALSE)</x:f>
        <x:v>46303.666666666664</x:v>
      </x:c>
      <x:c r="O901" s="16" t="n">
        <x:f>MAX(0,(M901-N901)*24)</x:f>
        <x:v>0</x:v>
      </x:c>
      <x:c r="P901" s="9" t="str">
        <x:v>No</x:v>
      </x:c>
      <x:c r="Q901" s="15" t="n">
        <x:v>19</x:v>
      </x:c>
      <x:c r="R901" s="13" t="n">
        <x:f>J901+Q901/1440</x:f>
        <x:v>46302.861805555556</x:v>
      </x:c>
      <x:c r="S901" s="2" t="str">
        <x:f>VLOOKUP(C901,'MES orders'!$A$8:$H$127,6,FALSE)</x:f>
        <x:v>Normal</x:v>
      </x:c>
      <x:c r="T901" s="9" t="str"/>
    </x:row>
    <x:row r="902" ht="22" customHeight="1">
      <x:c r="A902" s="2" t="str">
        <x:v>L00410-010</x:v>
      </x:c>
      <x:c r="B902" s="2" t="str">
        <x:v>L00410</x:v>
      </x:c>
      <x:c r="C902" s="2" t="str">
        <x:v>SO-26082</x:v>
      </x:c>
      <x:c r="D902" s="2" t="str">
        <x:v>R-S-SS</x:v>
      </x:c>
      <x:c r="E902" s="14" t="n">
        <x:v>10</x:v>
      </x:c>
      <x:c r="F902" s="2" t="str">
        <x:v>CNC machining</x:v>
      </x:c>
      <x:c r="G902" s="9" t="str">
        <x:v>CNC-06</x:v>
      </x:c>
      <x:c r="H902" s="15" t="n">
        <x:v>23</x:v>
      </x:c>
      <x:c r="I902" s="9" t="str">
        <x:v>P15</x:v>
      </x:c>
      <x:c r="J902" s="11" t="n">
        <x:v>46302.85277777778</x:v>
      </x:c>
      <x:c r="K902" s="15" t="n">
        <x:v>18</x:v>
      </x:c>
      <x:c r="L902" s="15" t="n">
        <x:v>30</x:v>
      </x:c>
      <x:c r="M902" s="13" t="n">
        <x:f>J902+(K902+L902)/1440</x:f>
        <x:v>46302.88611111111</x:v>
      </x:c>
      <x:c r="N902" s="13" t="n">
        <x:f>VLOOKUP(C902,'MES orders'!$A$8:$H$127,5,FALSE)</x:f>
        <x:v>46303.666666666664</x:v>
      </x:c>
      <x:c r="O902" s="16" t="n">
        <x:f>MAX(0,(M902-N902)*24)</x:f>
        <x:v>0</x:v>
      </x:c>
      <x:c r="P902" s="9" t="str">
        <x:v>No</x:v>
      </x:c>
      <x:c r="Q902" s="15" t="n">
        <x:v>18</x:v>
      </x:c>
      <x:c r="R902" s="13" t="n">
        <x:f>J902+Q902/1440</x:f>
        <x:v>46302.865277777775</x:v>
      </x:c>
      <x:c r="S902" s="2" t="str">
        <x:f>VLOOKUP(C902,'MES orders'!$A$8:$H$127,6,FALSE)</x:f>
        <x:v>Normal</x:v>
      </x:c>
      <x:c r="T902" s="9" t="str"/>
    </x:row>
    <x:row r="903" ht="22" customHeight="1">
      <x:c r="A903" s="2" t="str">
        <x:v>L00094-010</x:v>
      </x:c>
      <x:c r="B903" s="2" t="str">
        <x:v>L00094</x:v>
      </x:c>
      <x:c r="C903" s="2" t="str">
        <x:v>SO-26019</x:v>
      </x:c>
      <x:c r="D903" s="2" t="str">
        <x:v>D-C-AL</x:v>
      </x:c>
      <x:c r="E903" s="14" t="n">
        <x:v>5</x:v>
      </x:c>
      <x:c r="F903" s="2" t="str">
        <x:v>CNC machining</x:v>
      </x:c>
      <x:c r="G903" s="9" t="str">
        <x:v>CNC-01</x:v>
      </x:c>
      <x:c r="H903" s="15" t="n">
        <x:v>32</x:v>
      </x:c>
      <x:c r="I903" s="9" t="str">
        <x:v>P13</x:v>
      </x:c>
      <x:c r="J903" s="11" t="n">
        <x:v>46302.853472222225</x:v>
      </x:c>
      <x:c r="K903" s="15" t="n">
        <x:v>18</x:v>
      </x:c>
      <x:c r="L903" s="15" t="n">
        <x:v>10</x:v>
      </x:c>
      <x:c r="M903" s="13" t="n">
        <x:f>J903+(K903+L903)/1440</x:f>
        <x:v>46302.87291666667</x:v>
      </x:c>
      <x:c r="N903" s="13" t="n">
        <x:f>VLOOKUP(C903,'MES orders'!$A$8:$H$127,5,FALSE)</x:f>
        <x:v>46304.666666666664</x:v>
      </x:c>
      <x:c r="O903" s="16" t="n">
        <x:f>MAX(0,(M903-N903)*24)</x:f>
        <x:v>0</x:v>
      </x:c>
      <x:c r="P903" s="9" t="str">
        <x:v>No</x:v>
      </x:c>
      <x:c r="Q903" s="15" t="n">
        <x:v>18</x:v>
      </x:c>
      <x:c r="R903" s="13" t="n">
        <x:f>J903+Q903/1440</x:f>
        <x:v>46302.86597222222</x:v>
      </x:c>
      <x:c r="S903" s="2" t="str">
        <x:f>VLOOKUP(C903,'MES orders'!$A$8:$H$127,6,FALSE)</x:f>
        <x:v>Normal</x:v>
      </x:c>
      <x:c r="T903" s="9" t="str"/>
    </x:row>
    <x:row r="904" ht="22" customHeight="1">
      <x:c r="A904" s="2" t="str">
        <x:v>L00370-050</x:v>
      </x:c>
      <x:c r="B904" s="2" t="str">
        <x:v>L00370</x:v>
      </x:c>
      <x:c r="C904" s="2" t="str">
        <x:v>SO-26074</x:v>
      </x:c>
      <x:c r="D904" s="2" t="str">
        <x:v>R-C-SS</x:v>
      </x:c>
      <x:c r="E904" s="14" t="n">
        <x:v>10</x:v>
      </x:c>
      <x:c r="F904" s="2" t="str">
        <x:v>Valve adjustment</x:v>
      </x:c>
      <x:c r="G904" s="9" t="str">
        <x:v>AS-04</x:v>
      </x:c>
      <x:c r="H904" s="15" t="n">
        <x:v>32</x:v>
      </x:c>
      <x:c r="I904" s="9" t="str">
        <x:v>P20</x:v>
      </x:c>
      <x:c r="J904" s="11" t="n">
        <x:v>46302.856944444444</x:v>
      </x:c>
      <x:c r="K904" s="15" t="n">
        <x:v>6</x:v>
      </x:c>
      <x:c r="L904" s="15" t="n">
        <x:v>9</x:v>
      </x:c>
      <x:c r="M904" s="13" t="n">
        <x:f>J904+(K904+L904)/1440</x:f>
        <x:v>46302.86736111111</x:v>
      </x:c>
      <x:c r="N904" s="13" t="n">
        <x:f>VLOOKUP(C904,'MES orders'!$A$8:$H$127,5,FALSE)</x:f>
        <x:v>46303.666666666664</x:v>
      </x:c>
      <x:c r="O904" s="16" t="n">
        <x:f>MAX(0,(M904-N904)*24)</x:f>
        <x:v>0</x:v>
      </x:c>
      <x:c r="P904" s="9" t="str">
        <x:v>No</x:v>
      </x:c>
      <x:c r="Q904" s="15" t="n">
        <x:v>15</x:v>
      </x:c>
      <x:c r="R904" s="13" t="n">
        <x:f>J904+Q904/1440</x:f>
        <x:v>46302.86736111111</x:v>
      </x:c>
      <x:c r="S904" s="2" t="str">
        <x:f>VLOOKUP(C904,'MES orders'!$A$8:$H$127,6,FALSE)</x:f>
        <x:v>Normal</x:v>
      </x:c>
      <x:c r="T904" s="9" t="str"/>
    </x:row>
    <x:row r="905" ht="22" customHeight="1">
      <x:c r="A905" s="2" t="str">
        <x:v>L00369-060</x:v>
      </x:c>
      <x:c r="B905" s="2" t="str">
        <x:v>L00369</x:v>
      </x:c>
      <x:c r="C905" s="2" t="str">
        <x:v>SO-26074</x:v>
      </x:c>
      <x:c r="D905" s="2" t="str">
        <x:v>R-C-SS</x:v>
      </x:c>
      <x:c r="E905" s="14" t="n">
        <x:v>10</x:v>
      </x:c>
      <x:c r="F905" s="2" t="str">
        <x:v>Final leak / function test</x:v>
      </x:c>
      <x:c r="G905" s="9" t="str">
        <x:v>QA-03</x:v>
      </x:c>
      <x:c r="H905" s="15" t="n">
        <x:v>39</x:v>
      </x:c>
      <x:c r="I905" s="9" t="str">
        <x:v>P22</x:v>
      </x:c>
      <x:c r="J905" s="11" t="n">
        <x:v>46302.856944444444</x:v>
      </x:c>
      <x:c r="K905" s="15" t="n">
        <x:v>10</x:v>
      </x:c>
      <x:c r="L905" s="15" t="n">
        <x:v>7</x:v>
      </x:c>
      <x:c r="M905" s="13" t="n">
        <x:f>J905+(K905+L905)/1440</x:f>
        <x:v>46302.86875</x:v>
      </x:c>
      <x:c r="N905" s="13" t="n">
        <x:f>VLOOKUP(C905,'MES orders'!$A$8:$H$127,5,FALSE)</x:f>
        <x:v>46303.666666666664</x:v>
      </x:c>
      <x:c r="O905" s="16" t="n">
        <x:f>MAX(0,(M905-N905)*24)</x:f>
        <x:v>0</x:v>
      </x:c>
      <x:c r="P905" s="9" t="str">
        <x:v>No</x:v>
      </x:c>
      <x:c r="Q905" s="15" t="n">
        <x:v>17</x:v>
      </x:c>
      <x:c r="R905" s="13" t="n">
        <x:f>J905+Q905/1440</x:f>
        <x:v>46302.86875</x:v>
      </x:c>
      <x:c r="S905" s="2" t="str">
        <x:f>VLOOKUP(C905,'MES orders'!$A$8:$H$127,6,FALSE)</x:f>
        <x:v>Normal</x:v>
      </x:c>
      <x:c r="T905" s="9" t="str"/>
    </x:row>
    <x:row r="906" ht="22" customHeight="1">
      <x:c r="A906" s="2" t="str">
        <x:v>L00093-050</x:v>
      </x:c>
      <x:c r="B906" s="2" t="str">
        <x:v>L00093</x:v>
      </x:c>
      <x:c r="C906" s="2" t="str">
        <x:v>SO-26019</x:v>
      </x:c>
      <x:c r="D906" s="2" t="str">
        <x:v>D-C-AL</x:v>
      </x:c>
      <x:c r="E906" s="14" t="n">
        <x:v>5</x:v>
      </x:c>
      <x:c r="F906" s="2" t="str">
        <x:v>Final leak / function test</x:v>
      </x:c>
      <x:c r="G906" s="9" t="str">
        <x:v>QA-02</x:v>
      </x:c>
      <x:c r="H906" s="15" t="n">
        <x:v>60</x:v>
      </x:c>
      <x:c r="I906" s="9" t="str">
        <x:v>P23</x:v>
      </x:c>
      <x:c r="J906" s="11" t="n">
        <x:v>46302.85833333333</x:v>
      </x:c>
      <x:c r="K906" s="15" t="n">
        <x:v>10</x:v>
      </x:c>
      <x:c r="L906" s="15" t="n">
        <x:v>4</x:v>
      </x:c>
      <x:c r="M906" s="13" t="n">
        <x:f>J906+(K906+L906)/1440</x:f>
        <x:v>46302.868055555555</x:v>
      </x:c>
      <x:c r="N906" s="13" t="n">
        <x:f>VLOOKUP(C906,'MES orders'!$A$8:$H$127,5,FALSE)</x:f>
        <x:v>46304.666666666664</x:v>
      </x:c>
      <x:c r="O906" s="16" t="n">
        <x:f>MAX(0,(M906-N906)*24)</x:f>
        <x:v>0</x:v>
      </x:c>
      <x:c r="P906" s="9" t="str">
        <x:v>No</x:v>
      </x:c>
      <x:c r="Q906" s="15" t="n">
        <x:v>14</x:v>
      </x:c>
      <x:c r="R906" s="13" t="n">
        <x:f>J906+Q906/1440</x:f>
        <x:v>46302.868055555555</x:v>
      </x:c>
      <x:c r="S906" s="2" t="str">
        <x:f>VLOOKUP(C906,'MES orders'!$A$8:$H$127,6,FALSE)</x:f>
        <x:v>Normal</x:v>
      </x:c>
      <x:c r="T906" s="9" t="str"/>
    </x:row>
    <x:row r="907" ht="22" customHeight="1">
      <x:c r="A907" s="2" t="str">
        <x:v>L00095-010</x:v>
      </x:c>
      <x:c r="B907" s="2" t="str">
        <x:v>L00095</x:v>
      </x:c>
      <x:c r="C907" s="2" t="str">
        <x:v>SO-26019</x:v>
      </x:c>
      <x:c r="D907" s="2" t="str">
        <x:v>D-C-AL</x:v>
      </x:c>
      <x:c r="E907" s="14" t="n">
        <x:v>5</x:v>
      </x:c>
      <x:c r="F907" s="2" t="str">
        <x:v>CNC machining</x:v>
      </x:c>
      <x:c r="G907" s="9" t="str">
        <x:v>CNC-02</x:v>
      </x:c>
      <x:c r="H907" s="15" t="n">
        <x:v>21</x:v>
      </x:c>
      <x:c r="I907" s="9" t="str">
        <x:v>P14</x:v>
      </x:c>
      <x:c r="J907" s="11" t="n">
        <x:v>46302.86111111111</x:v>
      </x:c>
      <x:c r="K907" s="15" t="n">
        <x:v>18</x:v>
      </x:c>
      <x:c r="L907" s="15" t="n">
        <x:v>10</x:v>
      </x:c>
      <x:c r="M907" s="13" t="n">
        <x:f>J907+(K907+L907)/1440</x:f>
        <x:v>46302.88055555555</x:v>
      </x:c>
      <x:c r="N907" s="13" t="n">
        <x:f>VLOOKUP(C907,'MES orders'!$A$8:$H$127,5,FALSE)</x:f>
        <x:v>46304.666666666664</x:v>
      </x:c>
      <x:c r="O907" s="16" t="n">
        <x:f>MAX(0,(M907-N907)*24)</x:f>
        <x:v>0</x:v>
      </x:c>
      <x:c r="P907" s="9" t="str">
        <x:v>No</x:v>
      </x:c>
      <x:c r="Q907" s="15" t="n">
        <x:v>18</x:v>
      </x:c>
      <x:c r="R907" s="13" t="n">
        <x:f>J907+Q907/1440</x:f>
        <x:v>46302.87361111111</x:v>
      </x:c>
      <x:c r="S907" s="2" t="str">
        <x:f>VLOOKUP(C907,'MES orders'!$A$8:$H$127,6,FALSE)</x:f>
        <x:v>Normal</x:v>
      </x:c>
      <x:c r="T907" s="9" t="str"/>
    </x:row>
    <x:row r="908" ht="22" customHeight="1">
      <x:c r="A908" s="2" t="str">
        <x:v>L00328-040</x:v>
      </x:c>
      <x:c r="B908" s="2" t="str">
        <x:v>L00328</x:v>
      </x:c>
      <x:c r="C908" s="2" t="str">
        <x:v>SO-26066</x:v>
      </x:c>
      <x:c r="D908" s="2" t="str">
        <x:v>D-L-SS</x:v>
      </x:c>
      <x:c r="E908" s="14" t="n">
        <x:v>15</x:v>
      </x:c>
      <x:c r="F908" s="2" t="str">
        <x:v>Mechanical assembly</x:v>
      </x:c>
      <x:c r="G908" s="9" t="str">
        <x:v>AS-03</x:v>
      </x:c>
      <x:c r="H908" s="15" t="n">
        <x:v>46</x:v>
      </x:c>
      <x:c r="I908" s="9" t="str">
        <x:v>P18</x:v>
      </x:c>
      <x:c r="J908" s="11" t="n">
        <x:v>46302.861805555556</x:v>
      </x:c>
      <x:c r="K908" s="15" t="n">
        <x:v>8</x:v>
      </x:c>
      <x:c r="L908" s="15" t="n">
        <x:v>36</x:v>
      </x:c>
      <x:c r="M908" s="13" t="n">
        <x:f>J908+(K908+L908)/1440</x:f>
        <x:v>46302.89236111111</x:v>
      </x:c>
      <x:c r="N908" s="13" t="n">
        <x:f>VLOOKUP(C908,'MES orders'!$A$8:$H$127,5,FALSE)</x:f>
        <x:v>46303.666666666664</x:v>
      </x:c>
      <x:c r="O908" s="16" t="n">
        <x:f>MAX(0,(M908-N908)*24)</x:f>
        <x:v>0</x:v>
      </x:c>
      <x:c r="P908" s="9" t="str">
        <x:v>No</x:v>
      </x:c>
      <x:c r="Q908" s="15" t="n">
        <x:v>44</x:v>
      </x:c>
      <x:c r="R908" s="13" t="n">
        <x:f>J908+Q908/1440</x:f>
        <x:v>46302.89236111111</x:v>
      </x:c>
      <x:c r="S908" s="2" t="str">
        <x:f>VLOOKUP(C908,'MES orders'!$A$8:$H$127,6,FALSE)</x:f>
        <x:v>Normal</x:v>
      </x:c>
      <x:c r="T908" s="9" t="str"/>
    </x:row>
    <x:row r="909" ht="22" customHeight="1">
      <x:c r="A909" s="2" t="str">
        <x:v>L00329-030</x:v>
      </x:c>
      <x:c r="B909" s="2" t="str">
        <x:v>L00329</x:v>
      </x:c>
      <x:c r="C909" s="2" t="str">
        <x:v>SO-26066</x:v>
      </x:c>
      <x:c r="D909" s="2" t="str">
        <x:v>D-L-SS</x:v>
      </x:c>
      <x:c r="E909" s="14" t="n">
        <x:v>15</x:v>
      </x:c>
      <x:c r="F909" s="2" t="str">
        <x:v>Wash &amp; dry</x:v>
      </x:c>
      <x:c r="G909" s="9" t="str">
        <x:v>WS-01</x:v>
      </x:c>
      <x:c r="H909" s="15" t="n">
        <x:v>85</x:v>
      </x:c>
      <x:c r="I909" s="9" t="str">
        <x:v>P16</x:v>
      </x:c>
      <x:c r="J909" s="11" t="n">
        <x:v>46302.86597222222</x:v>
      </x:c>
      <x:c r="K909" s="15" t="n">
        <x:v>12</x:v>
      </x:c>
      <x:c r="L909" s="15" t="n">
        <x:v>7</x:v>
      </x:c>
      <x:c r="M909" s="13" t="n">
        <x:f>J909+(K909+L909)/1440</x:f>
        <x:v>46302.879166666666</x:v>
      </x:c>
      <x:c r="N909" s="13" t="n">
        <x:f>VLOOKUP(C909,'MES orders'!$A$8:$H$127,5,FALSE)</x:f>
        <x:v>46303.666666666664</x:v>
      </x:c>
      <x:c r="O909" s="16" t="n">
        <x:f>MAX(0,(M909-N909)*24)</x:f>
        <x:v>0</x:v>
      </x:c>
      <x:c r="P909" s="9" t="str">
        <x:v>No</x:v>
      </x:c>
      <x:c r="Q909" s="15" t="n">
        <x:v>19</x:v>
      </x:c>
      <x:c r="R909" s="13" t="n">
        <x:f>J909+Q909/1440</x:f>
        <x:v>46302.879166666666</x:v>
      </x:c>
      <x:c r="S909" s="2" t="str">
        <x:f>VLOOKUP(C909,'MES orders'!$A$8:$H$127,6,FALSE)</x:f>
        <x:v>Normal</x:v>
      </x:c>
      <x:c r="T909" s="9" t="str"/>
    </x:row>
    <x:row r="910" ht="22" customHeight="1">
      <x:c r="A910" s="2" t="str">
        <x:v>L00327-050</x:v>
      </x:c>
      <x:c r="B910" s="2" t="str">
        <x:v>L00327</x:v>
      </x:c>
      <x:c r="C910" s="2" t="str">
        <x:v>SO-26066</x:v>
      </x:c>
      <x:c r="D910" s="2" t="str">
        <x:v>D-L-SS</x:v>
      </x:c>
      <x:c r="E910" s="14" t="n">
        <x:v>15</x:v>
      </x:c>
      <x:c r="F910" s="2" t="str">
        <x:v>Final leak / function test</x:v>
      </x:c>
      <x:c r="G910" s="9" t="str">
        <x:v>QA-01</x:v>
      </x:c>
      <x:c r="H910" s="15" t="n">
        <x:v>38</x:v>
      </x:c>
      <x:c r="I910" s="9" t="str">
        <x:v>P24</x:v>
      </x:c>
      <x:c r="J910" s="11" t="n">
        <x:v>46302.868055555555</x:v>
      </x:c>
      <x:c r="K910" s="15" t="n">
        <x:v>10</x:v>
      </x:c>
      <x:c r="L910" s="15" t="n">
        <x:v>18</x:v>
      </x:c>
      <x:c r="M910" s="13" t="n">
        <x:f>J910+(K910+L910)/1440</x:f>
        <x:v>46302.8875</x:v>
      </x:c>
      <x:c r="N910" s="13" t="n">
        <x:f>VLOOKUP(C910,'MES orders'!$A$8:$H$127,5,FALSE)</x:f>
        <x:v>46303.666666666664</x:v>
      </x:c>
      <x:c r="O910" s="16" t="n">
        <x:f>MAX(0,(M910-N910)*24)</x:f>
        <x:v>0</x:v>
      </x:c>
      <x:c r="P910" s="9" t="str">
        <x:v>No</x:v>
      </x:c>
      <x:c r="Q910" s="15" t="n">
        <x:v>28</x:v>
      </x:c>
      <x:c r="R910" s="13" t="n">
        <x:f>J910+Q910/1440</x:f>
        <x:v>46302.8875</x:v>
      </x:c>
      <x:c r="S910" s="2" t="str">
        <x:f>VLOOKUP(C910,'MES orders'!$A$8:$H$127,6,FALSE)</x:f>
        <x:v>Normal</x:v>
      </x:c>
      <x:c r="T910" s="9" t="str"/>
    </x:row>
    <x:row r="911" ht="22" customHeight="1">
      <x:c r="A911" s="2" t="str">
        <x:v>L00208-080</x:v>
      </x:c>
      <x:c r="B911" s="2" t="str">
        <x:v>L00208</x:v>
      </x:c>
      <x:c r="C911" s="2" t="str">
        <x:v>SO-26042</x:v>
      </x:c>
      <x:c r="D911" s="2" t="str">
        <x:v>S-L-SS</x:v>
      </x:c>
      <x:c r="E911" s="14" t="n">
        <x:v>25</x:v>
      </x:c>
      <x:c r="F911" s="2" t="str">
        <x:v>Final leak / function test</x:v>
      </x:c>
      <x:c r="G911" s="9" t="str">
        <x:v>QA-02</x:v>
      </x:c>
      <x:c r="H911" s="15" t="n">
        <x:v>61</x:v>
      </x:c>
      <x:c r="I911" s="9" t="str">
        <x:v>P23</x:v>
      </x:c>
      <x:c r="J911" s="11" t="n">
        <x:v>46302.868055555555</x:v>
      </x:c>
      <x:c r="K911" s="15" t="n">
        <x:v>10</x:v>
      </x:c>
      <x:c r="L911" s="15" t="n">
        <x:v>30</x:v>
      </x:c>
      <x:c r="M911" s="13" t="n">
        <x:f>J911+(K911+L911)/1440</x:f>
        <x:v>46302.895833333336</x:v>
      </x:c>
      <x:c r="N911" s="13" t="n">
        <x:f>VLOOKUP(C911,'MES orders'!$A$8:$H$127,5,FALSE)</x:f>
        <x:v>46303.666666666664</x:v>
      </x:c>
      <x:c r="O911" s="16" t="n">
        <x:f>MAX(0,(M911-N911)*24)</x:f>
        <x:v>0</x:v>
      </x:c>
      <x:c r="P911" s="9" t="str">
        <x:v>No</x:v>
      </x:c>
      <x:c r="Q911" s="15" t="n">
        <x:v>40</x:v>
      </x:c>
      <x:c r="R911" s="13" t="n">
        <x:f>J911+Q911/1440</x:f>
        <x:v>46302.895833333336</x:v>
      </x:c>
      <x:c r="S911" s="2" t="str">
        <x:f>VLOOKUP(C911,'MES orders'!$A$8:$H$127,6,FALSE)</x:f>
        <x:v>Normal</x:v>
      </x:c>
      <x:c r="T911" s="9" t="str"/>
    </x:row>
    <x:row r="912" ht="22" customHeight="1">
      <x:c r="A912" s="2" t="str">
        <x:v>L00330-030</x:v>
      </x:c>
      <x:c r="B912" s="2" t="str">
        <x:v>L00330</x:v>
      </x:c>
      <x:c r="C912" s="2" t="str">
        <x:v>SO-26066</x:v>
      </x:c>
      <x:c r="D912" s="2" t="str">
        <x:v>D-L-SS</x:v>
      </x:c>
      <x:c r="E912" s="14" t="n">
        <x:v>15</x:v>
      </x:c>
      <x:c r="F912" s="2" t="str">
        <x:v>Wash &amp; dry</x:v>
      </x:c>
      <x:c r="G912" s="9" t="str">
        <x:v>WS-02</x:v>
      </x:c>
      <x:c r="H912" s="15" t="n">
        <x:v>64</x:v>
      </x:c>
      <x:c r="I912" s="9" t="str">
        <x:v>P17</x:v>
      </x:c>
      <x:c r="J912" s="11" t="n">
        <x:v>46302.868055555555</x:v>
      </x:c>
      <x:c r="K912" s="15" t="n">
        <x:v>12</x:v>
      </x:c>
      <x:c r="L912" s="15" t="n">
        <x:v>7</x:v>
      </x:c>
      <x:c r="M912" s="13" t="n">
        <x:f>J912+(K912+L912)/1440</x:f>
        <x:v>46302.88125</x:v>
      </x:c>
      <x:c r="N912" s="13" t="n">
        <x:f>VLOOKUP(C912,'MES orders'!$A$8:$H$127,5,FALSE)</x:f>
        <x:v>46303.666666666664</x:v>
      </x:c>
      <x:c r="O912" s="16" t="n">
        <x:f>MAX(0,(M912-N912)*24)</x:f>
        <x:v>0</x:v>
      </x:c>
      <x:c r="P912" s="9" t="str">
        <x:v>No</x:v>
      </x:c>
      <x:c r="Q912" s="15" t="n">
        <x:v>19</x:v>
      </x:c>
      <x:c r="R912" s="13" t="n">
        <x:f>J912+Q912/1440</x:f>
        <x:v>46302.88125</x:v>
      </x:c>
      <x:c r="S912" s="2" t="str">
        <x:f>VLOOKUP(C912,'MES orders'!$A$8:$H$127,6,FALSE)</x:f>
        <x:v>Normal</x:v>
      </x:c>
      <x:c r="T912" s="9" t="str"/>
    </x:row>
    <x:row r="913" ht="22" customHeight="1">
      <x:c r="A913" s="2" t="str">
        <x:v>L00370-060</x:v>
      </x:c>
      <x:c r="B913" s="2" t="str">
        <x:v>L00370</x:v>
      </x:c>
      <x:c r="C913" s="2" t="str">
        <x:v>SO-26074</x:v>
      </x:c>
      <x:c r="D913" s="2" t="str">
        <x:v>R-C-SS</x:v>
      </x:c>
      <x:c r="E913" s="14" t="n">
        <x:v>10</x:v>
      </x:c>
      <x:c r="F913" s="2" t="str">
        <x:v>Final leak / function test</x:v>
      </x:c>
      <x:c r="G913" s="9" t="str">
        <x:v>QA-03</x:v>
      </x:c>
      <x:c r="H913" s="15" t="n">
        <x:v>40</x:v>
      </x:c>
      <x:c r="I913" s="9" t="str">
        <x:v>P22</x:v>
      </x:c>
      <x:c r="J913" s="11" t="n">
        <x:v>46302.86875</x:v>
      </x:c>
      <x:c r="K913" s="15" t="n">
        <x:v>10</x:v>
      </x:c>
      <x:c r="L913" s="15" t="n">
        <x:v>7</x:v>
      </x:c>
      <x:c r="M913" s="13" t="n">
        <x:f>J913+(K913+L913)/1440</x:f>
        <x:v>46302.88055555556</x:v>
      </x:c>
      <x:c r="N913" s="13" t="n">
        <x:f>VLOOKUP(C913,'MES orders'!$A$8:$H$127,5,FALSE)</x:f>
        <x:v>46303.666666666664</x:v>
      </x:c>
      <x:c r="O913" s="16" t="n">
        <x:f>MAX(0,(M913-N913)*24)</x:f>
        <x:v>0</x:v>
      </x:c>
      <x:c r="P913" s="9" t="str">
        <x:v>No</x:v>
      </x:c>
      <x:c r="Q913" s="15" t="n">
        <x:v>17</x:v>
      </x:c>
      <x:c r="R913" s="13" t="n">
        <x:f>J913+Q913/1440</x:f>
        <x:v>46302.88055555556</x:v>
      </x:c>
      <x:c r="S913" s="2" t="str">
        <x:f>VLOOKUP(C913,'MES orders'!$A$8:$H$127,6,FALSE)</x:f>
        <x:v>Normal</x:v>
      </x:c>
      <x:c r="T913" s="9" t="str"/>
    </x:row>
    <x:row r="914" ht="22" customHeight="1">
      <x:c r="A914" s="2" t="str">
        <x:v>L00407-020</x:v>
      </x:c>
      <x:c r="B914" s="2" t="str">
        <x:v>L00407</x:v>
      </x:c>
      <x:c r="C914" s="2" t="str">
        <x:v>SO-26082</x:v>
      </x:c>
      <x:c r="D914" s="2" t="str">
        <x:v>R-S-SS</x:v>
      </x:c>
      <x:c r="E914" s="14" t="n">
        <x:v>10</x:v>
      </x:c>
      <x:c r="F914" s="2" t="str">
        <x:v>Deburr &amp; inspect</x:v>
      </x:c>
      <x:c r="G914" s="9" t="str">
        <x:v>DB-01</x:v>
      </x:c>
      <x:c r="H914" s="15" t="n">
        <x:v>88</x:v>
      </x:c>
      <x:c r="I914" s="9" t="str">
        <x:v>P13</x:v>
      </x:c>
      <x:c r="J914" s="11" t="n">
        <x:v>46302.86944444444</x:v>
      </x:c>
      <x:c r="K914" s="15" t="n">
        <x:v>4</x:v>
      </x:c>
      <x:c r="L914" s="15" t="n">
        <x:v>7</x:v>
      </x:c>
      <x:c r="M914" s="13" t="n">
        <x:f>J914+(K914+L914)/1440</x:f>
        <x:v>46302.87708333333</x:v>
      </x:c>
      <x:c r="N914" s="13" t="n">
        <x:f>VLOOKUP(C914,'MES orders'!$A$8:$H$127,5,FALSE)</x:f>
        <x:v>46303.666666666664</x:v>
      </x:c>
      <x:c r="O914" s="16" t="n">
        <x:f>MAX(0,(M914-N914)*24)</x:f>
        <x:v>0</x:v>
      </x:c>
      <x:c r="P914" s="9" t="str">
        <x:v>No</x:v>
      </x:c>
      <x:c r="Q914" s="15" t="n">
        <x:v>11</x:v>
      </x:c>
      <x:c r="R914" s="13" t="n">
        <x:f>J914+Q914/1440</x:f>
        <x:v>46302.87708333333</x:v>
      </x:c>
      <x:c r="S914" s="2" t="str">
        <x:f>VLOOKUP(C914,'MES orders'!$A$8:$H$127,6,FALSE)</x:f>
        <x:v>Normal</x:v>
      </x:c>
      <x:c r="T914" s="9" t="str"/>
    </x:row>
    <x:row r="915" ht="22" customHeight="1">
      <x:c r="A915" s="2" t="str">
        <x:v>L00408-020</x:v>
      </x:c>
      <x:c r="B915" s="2" t="str">
        <x:v>L00408</x:v>
      </x:c>
      <x:c r="C915" s="2" t="str">
        <x:v>SO-26082</x:v>
      </x:c>
      <x:c r="D915" s="2" t="str">
        <x:v>R-S-SS</x:v>
      </x:c>
      <x:c r="E915" s="14" t="n">
        <x:v>10</x:v>
      </x:c>
      <x:c r="F915" s="2" t="str">
        <x:v>Deburr &amp; inspect</x:v>
      </x:c>
      <x:c r="G915" s="9" t="str">
        <x:v>DB-02</x:v>
      </x:c>
      <x:c r="H915" s="15" t="n">
        <x:v>63</x:v>
      </x:c>
      <x:c r="I915" s="9" t="str">
        <x:v>P15</x:v>
      </x:c>
      <x:c r="J915" s="11" t="n">
        <x:v>46302.873611111114</x:v>
      </x:c>
      <x:c r="K915" s="15" t="n">
        <x:v>4</x:v>
      </x:c>
      <x:c r="L915" s="15" t="n">
        <x:v>7</x:v>
      </x:c>
      <x:c r="M915" s="13" t="n">
        <x:f>J915+(K915+L915)/1440</x:f>
        <x:v>46302.881250000006</x:v>
      </x:c>
      <x:c r="N915" s="13" t="n">
        <x:f>VLOOKUP(C915,'MES orders'!$A$8:$H$127,5,FALSE)</x:f>
        <x:v>46303.666666666664</x:v>
      </x:c>
      <x:c r="O915" s="16" t="n">
        <x:f>MAX(0,(M915-N915)*24)</x:f>
        <x:v>0</x:v>
      </x:c>
      <x:c r="P915" s="9" t="str">
        <x:v>No</x:v>
      </x:c>
      <x:c r="Q915" s="15" t="n">
        <x:v>11</x:v>
      </x:c>
      <x:c r="R915" s="13" t="n">
        <x:f>J915+Q915/1440</x:f>
        <x:v>46302.881250000006</x:v>
      </x:c>
      <x:c r="S915" s="2" t="str">
        <x:f>VLOOKUP(C915,'MES orders'!$A$8:$H$127,6,FALSE)</x:f>
        <x:v>Normal</x:v>
      </x:c>
      <x:c r="T915" s="9" t="str"/>
    </x:row>
    <x:row r="916" ht="22" customHeight="1">
      <x:c r="A916" s="2" t="str">
        <x:v>L00329-040</x:v>
      </x:c>
      <x:c r="B916" s="2" t="str">
        <x:v>L00329</x:v>
      </x:c>
      <x:c r="C916" s="2" t="str">
        <x:v>SO-26066</x:v>
      </x:c>
      <x:c r="D916" s="2" t="str">
        <x:v>D-L-SS</x:v>
      </x:c>
      <x:c r="E916" s="14" t="n">
        <x:v>15</x:v>
      </x:c>
      <x:c r="F916" s="2" t="str">
        <x:v>Mechanical assembly</x:v>
      </x:c>
      <x:c r="G916" s="9" t="str">
        <x:v>AS-02</x:v>
      </x:c>
      <x:c r="H916" s="15" t="n">
        <x:v>58</x:v>
      </x:c>
      <x:c r="I916" s="9" t="str">
        <x:v>P16</x:v>
      </x:c>
      <x:c r="J916" s="11" t="n">
        <x:v>46302.879166666666</x:v>
      </x:c>
      <x:c r="K916" s="15" t="n">
        <x:v>8</x:v>
      </x:c>
      <x:c r="L916" s="15" t="n">
        <x:v>36</x:v>
      </x:c>
      <x:c r="M916" s="13" t="n">
        <x:f>J916+(K916+L916)/1440</x:f>
        <x:v>46302.90972222222</x:v>
      </x:c>
      <x:c r="N916" s="13" t="n">
        <x:f>VLOOKUP(C916,'MES orders'!$A$8:$H$127,5,FALSE)</x:f>
        <x:v>46303.666666666664</x:v>
      </x:c>
      <x:c r="O916" s="16" t="n">
        <x:f>MAX(0,(M916-N916)*24)</x:f>
        <x:v>0</x:v>
      </x:c>
      <x:c r="P916" s="9" t="str">
        <x:v>No</x:v>
      </x:c>
      <x:c r="Q916" s="15" t="n">
        <x:v>44</x:v>
      </x:c>
      <x:c r="R916" s="13" t="n">
        <x:f>J916+Q916/1440</x:f>
        <x:v>46302.90972222222</x:v>
      </x:c>
      <x:c r="S916" s="2" t="str">
        <x:f>VLOOKUP(C916,'MES orders'!$A$8:$H$127,6,FALSE)</x:f>
        <x:v>Normal</x:v>
      </x:c>
      <x:c r="T916" s="9" t="str"/>
    </x:row>
    <x:row r="917" ht="22" customHeight="1">
      <x:c r="A917" s="2" t="str">
        <x:v>L00407-030</x:v>
      </x:c>
      <x:c r="B917" s="2" t="str">
        <x:v>L00407</x:v>
      </x:c>
      <x:c r="C917" s="2" t="str">
        <x:v>SO-26082</x:v>
      </x:c>
      <x:c r="D917" s="2" t="str">
        <x:v>R-S-SS</x:v>
      </x:c>
      <x:c r="E917" s="14" t="n">
        <x:v>10</x:v>
      </x:c>
      <x:c r="F917" s="2" t="str">
        <x:v>Wash &amp; dry</x:v>
      </x:c>
      <x:c r="G917" s="9" t="str">
        <x:v>WS-01</x:v>
      </x:c>
      <x:c r="H917" s="15" t="n">
        <x:v>86</x:v>
      </x:c>
      <x:c r="I917" s="9" t="str">
        <x:v>P14</x:v>
      </x:c>
      <x:c r="J917" s="11" t="n">
        <x:v>46302.879166666666</x:v>
      </x:c>
      <x:c r="K917" s="15" t="n">
        <x:v>12</x:v>
      </x:c>
      <x:c r="L917" s="15" t="n">
        <x:v>4</x:v>
      </x:c>
      <x:c r="M917" s="13" t="n">
        <x:f>J917+(K917+L917)/1440</x:f>
        <x:v>46302.89027777778</x:v>
      </x:c>
      <x:c r="N917" s="13" t="n">
        <x:f>VLOOKUP(C917,'MES orders'!$A$8:$H$127,5,FALSE)</x:f>
        <x:v>46303.666666666664</x:v>
      </x:c>
      <x:c r="O917" s="16" t="n">
        <x:f>MAX(0,(M917-N917)*24)</x:f>
        <x:v>0</x:v>
      </x:c>
      <x:c r="P917" s="9" t="str">
        <x:v>No</x:v>
      </x:c>
      <x:c r="Q917" s="15" t="n">
        <x:v>16</x:v>
      </x:c>
      <x:c r="R917" s="13" t="n">
        <x:f>J917+Q917/1440</x:f>
        <x:v>46302.89027777778</x:v>
      </x:c>
      <x:c r="S917" s="2" t="str">
        <x:f>VLOOKUP(C917,'MES orders'!$A$8:$H$127,6,FALSE)</x:f>
        <x:v>Normal</x:v>
      </x:c>
      <x:c r="T917" s="9" t="str"/>
    </x:row>
    <x:row r="918" ht="22" customHeight="1">
      <x:c r="A918" s="2" t="str">
        <x:v>L00330-040</x:v>
      </x:c>
      <x:c r="B918" s="2" t="str">
        <x:v>L00330</x:v>
      </x:c>
      <x:c r="C918" s="2" t="str">
        <x:v>SO-26066</x:v>
      </x:c>
      <x:c r="D918" s="2" t="str">
        <x:v>D-L-SS</x:v>
      </x:c>
      <x:c r="E918" s="14" t="n">
        <x:v>15</x:v>
      </x:c>
      <x:c r="F918" s="2" t="str">
        <x:v>Mechanical assembly</x:v>
      </x:c>
      <x:c r="G918" s="9" t="str">
        <x:v>AS-04</x:v>
      </x:c>
      <x:c r="H918" s="15" t="n">
        <x:v>33</x:v>
      </x:c>
      <x:c r="I918" s="9" t="str">
        <x:v>P13</x:v>
      </x:c>
      <x:c r="J918" s="11" t="n">
        <x:v>46302.88125</x:v>
      </x:c>
      <x:c r="K918" s="15" t="n">
        <x:v>8</x:v>
      </x:c>
      <x:c r="L918" s="15" t="n">
        <x:v>36</x:v>
      </x:c>
      <x:c r="M918" s="13" t="n">
        <x:f>J918+(K918+L918)/1440</x:f>
        <x:v>46302.91180555555</x:v>
      </x:c>
      <x:c r="N918" s="13" t="n">
        <x:f>VLOOKUP(C918,'MES orders'!$A$8:$H$127,5,FALSE)</x:f>
        <x:v>46303.666666666664</x:v>
      </x:c>
      <x:c r="O918" s="16" t="n">
        <x:f>MAX(0,(M918-N918)*24)</x:f>
        <x:v>0</x:v>
      </x:c>
      <x:c r="P918" s="9" t="str">
        <x:v>No</x:v>
      </x:c>
      <x:c r="Q918" s="15" t="n">
        <x:v>44</x:v>
      </x:c>
      <x:c r="R918" s="13" t="n">
        <x:f>J918+Q918/1440</x:f>
        <x:v>46302.91180555555</x:v>
      </x:c>
      <x:c r="S918" s="2" t="str">
        <x:f>VLOOKUP(C918,'MES orders'!$A$8:$H$127,6,FALSE)</x:f>
        <x:v>Normal</x:v>
      </x:c>
      <x:c r="T918" s="9" t="str"/>
    </x:row>
    <x:row r="919" ht="22" customHeight="1">
      <x:c r="A919" s="2" t="str">
        <x:v>L00095-020</x:v>
      </x:c>
      <x:c r="B919" s="2" t="str">
        <x:v>L00095</x:v>
      </x:c>
      <x:c r="C919" s="2" t="str">
        <x:v>SO-26019</x:v>
      </x:c>
      <x:c r="D919" s="2" t="str">
        <x:v>D-C-AL</x:v>
      </x:c>
      <x:c r="E919" s="14" t="n">
        <x:v>5</x:v>
      </x:c>
      <x:c r="F919" s="2" t="str">
        <x:v>Deburr &amp; inspect</x:v>
      </x:c>
      <x:c r="G919" s="9" t="str">
        <x:v>DB-02</x:v>
      </x:c>
      <x:c r="H919" s="15" t="n">
        <x:v>64</x:v>
      </x:c>
      <x:c r="I919" s="9" t="str">
        <x:v>P20</x:v>
      </x:c>
      <x:c r="J919" s="11" t="n">
        <x:v>46302.88125</x:v>
      </x:c>
      <x:c r="K919" s="15" t="n">
        <x:v>4</x:v>
      </x:c>
      <x:c r="L919" s="15" t="n">
        <x:v>3</x:v>
      </x:c>
      <x:c r="M919" s="13" t="n">
        <x:f>J919+(K919+L919)/1440</x:f>
        <x:v>46302.88611111111</x:v>
      </x:c>
      <x:c r="N919" s="13" t="n">
        <x:f>VLOOKUP(C919,'MES orders'!$A$8:$H$127,5,FALSE)</x:f>
        <x:v>46304.666666666664</x:v>
      </x:c>
      <x:c r="O919" s="16" t="n">
        <x:f>MAX(0,(M919-N919)*24)</x:f>
        <x:v>0</x:v>
      </x:c>
      <x:c r="P919" s="9" t="str">
        <x:v>No</x:v>
      </x:c>
      <x:c r="Q919" s="15" t="n">
        <x:v>7</x:v>
      </x:c>
      <x:c r="R919" s="13" t="n">
        <x:f>J919+Q919/1440</x:f>
        <x:v>46302.88611111111</x:v>
      </x:c>
      <x:c r="S919" s="2" t="str">
        <x:f>VLOOKUP(C919,'MES orders'!$A$8:$H$127,6,FALSE)</x:f>
        <x:v>Normal</x:v>
      </x:c>
      <x:c r="T919" s="9" t="str"/>
    </x:row>
    <x:row r="920" ht="22" customHeight="1">
      <x:c r="A920" s="2" t="str">
        <x:v>L00408-030</x:v>
      </x:c>
      <x:c r="B920" s="2" t="str">
        <x:v>L00408</x:v>
      </x:c>
      <x:c r="C920" s="2" t="str">
        <x:v>SO-26082</x:v>
      </x:c>
      <x:c r="D920" s="2" t="str">
        <x:v>R-S-SS</x:v>
      </x:c>
      <x:c r="E920" s="14" t="n">
        <x:v>10</x:v>
      </x:c>
      <x:c r="F920" s="2" t="str">
        <x:v>Wash &amp; dry</x:v>
      </x:c>
      <x:c r="G920" s="9" t="str">
        <x:v>WS-02</x:v>
      </x:c>
      <x:c r="H920" s="15" t="n">
        <x:v>65</x:v>
      </x:c>
      <x:c r="I920" s="9" t="str">
        <x:v>P15</x:v>
      </x:c>
      <x:c r="J920" s="11" t="n">
        <x:v>46302.88125</x:v>
      </x:c>
      <x:c r="K920" s="15" t="n">
        <x:v>12</x:v>
      </x:c>
      <x:c r="L920" s="15" t="n">
        <x:v>4</x:v>
      </x:c>
      <x:c r="M920" s="13" t="n">
        <x:f>J920+(K920+L920)/1440</x:f>
        <x:v>46302.89236111111</x:v>
      </x:c>
      <x:c r="N920" s="13" t="n">
        <x:f>VLOOKUP(C920,'MES orders'!$A$8:$H$127,5,FALSE)</x:f>
        <x:v>46303.666666666664</x:v>
      </x:c>
      <x:c r="O920" s="16" t="n">
        <x:f>MAX(0,(M920-N920)*24)</x:f>
        <x:v>0</x:v>
      </x:c>
      <x:c r="P920" s="9" t="str">
        <x:v>No</x:v>
      </x:c>
      <x:c r="Q920" s="15" t="n">
        <x:v>16</x:v>
      </x:c>
      <x:c r="R920" s="13" t="n">
        <x:f>J920+Q920/1440</x:f>
        <x:v>46302.89236111111</x:v>
      </x:c>
      <x:c r="S920" s="2" t="str">
        <x:f>VLOOKUP(C920,'MES orders'!$A$8:$H$127,6,FALSE)</x:f>
        <x:v>Normal</x:v>
      </x:c>
      <x:c r="T920" s="9" t="str"/>
    </x:row>
    <x:row r="921" ht="22" customHeight="1">
      <x:c r="A921" s="2" t="str">
        <x:v>L00409-020</x:v>
      </x:c>
      <x:c r="B921" s="2" t="str">
        <x:v>L00409</x:v>
      </x:c>
      <x:c r="C921" s="2" t="str">
        <x:v>SO-26082</x:v>
      </x:c>
      <x:c r="D921" s="2" t="str">
        <x:v>R-S-SS</x:v>
      </x:c>
      <x:c r="E921" s="14" t="n">
        <x:v>10</x:v>
      </x:c>
      <x:c r="F921" s="2" t="str">
        <x:v>Deburr &amp; inspect</x:v>
      </x:c>
      <x:c r="G921" s="9" t="str">
        <x:v>DB-01</x:v>
      </x:c>
      <x:c r="H921" s="15" t="n">
        <x:v>89</x:v>
      </x:c>
      <x:c r="I921" s="9" t="str">
        <x:v>P19</x:v>
      </x:c>
      <x:c r="J921" s="11" t="n">
        <x:v>46302.881944444445</x:v>
      </x:c>
      <x:c r="K921" s="15" t="n">
        <x:v>4</x:v>
      </x:c>
      <x:c r="L921" s="15" t="n">
        <x:v>7</x:v>
      </x:c>
      <x:c r="M921" s="13" t="n">
        <x:f>J921+(K921+L921)/1440</x:f>
        <x:v>46302.88958333334</x:v>
      </x:c>
      <x:c r="N921" s="13" t="n">
        <x:f>VLOOKUP(C921,'MES orders'!$A$8:$H$127,5,FALSE)</x:f>
        <x:v>46303.666666666664</x:v>
      </x:c>
      <x:c r="O921" s="16" t="n">
        <x:f>MAX(0,(M921-N921)*24)</x:f>
        <x:v>0</x:v>
      </x:c>
      <x:c r="P921" s="9" t="str">
        <x:v>No</x:v>
      </x:c>
      <x:c r="Q921" s="15" t="n">
        <x:v>11</x:v>
      </x:c>
      <x:c r="R921" s="13" t="n">
        <x:f>J921+Q921/1440</x:f>
        <x:v>46302.88958333334</x:v>
      </x:c>
      <x:c r="S921" s="2" t="str">
        <x:f>VLOOKUP(C921,'MES orders'!$A$8:$H$127,6,FALSE)</x:f>
        <x:v>Normal</x:v>
      </x:c>
      <x:c r="T921" s="9" t="str"/>
    </x:row>
    <x:row r="922" ht="22" customHeight="1">
      <x:c r="A922" s="2" t="str">
        <x:v>L00209-070</x:v>
      </x:c>
      <x:c r="B922" s="2" t="str">
        <x:v>L00209</x:v>
      </x:c>
      <x:c r="C922" s="2" t="str">
        <x:v>SO-26042</x:v>
      </x:c>
      <x:c r="D922" s="2" t="str">
        <x:v>S-L-SS</x:v>
      </x:c>
      <x:c r="E922" s="14" t="n">
        <x:v>25</x:v>
      </x:c>
      <x:c r="F922" s="2" t="str">
        <x:v>Final assembly</x:v>
      </x:c>
      <x:c r="G922" s="9" t="str">
        <x:v>AS-01</x:v>
      </x:c>
      <x:c r="H922" s="15" t="n">
        <x:v>71</x:v>
      </x:c>
      <x:c r="I922" s="9" t="str">
        <x:v>P17</x:v>
      </x:c>
      <x:c r="J922" s="11" t="n">
        <x:v>46302.88333333333</x:v>
      </x:c>
      <x:c r="K922" s="15" t="n">
        <x:v>5</x:v>
      </x:c>
      <x:c r="L922" s="15" t="n">
        <x:v>27</x:v>
      </x:c>
      <x:c r="M922" s="13" t="n">
        <x:f>J922+(K922+L922)/1440</x:f>
        <x:v>46302.90555555555</x:v>
      </x:c>
      <x:c r="N922" s="13" t="n">
        <x:f>VLOOKUP(C922,'MES orders'!$A$8:$H$127,5,FALSE)</x:f>
        <x:v>46303.666666666664</x:v>
      </x:c>
      <x:c r="O922" s="16" t="n">
        <x:f>MAX(0,(M922-N922)*24)</x:f>
        <x:v>0</x:v>
      </x:c>
      <x:c r="P922" s="9" t="str">
        <x:v>No</x:v>
      </x:c>
      <x:c r="Q922" s="15" t="n">
        <x:v>32</x:v>
      </x:c>
      <x:c r="R922" s="13" t="n">
        <x:f>J922+Q922/1440</x:f>
        <x:v>46302.90555555555</x:v>
      </x:c>
      <x:c r="S922" s="2" t="str">
        <x:f>VLOOKUP(C922,'MES orders'!$A$8:$H$127,6,FALSE)</x:f>
        <x:v>Normal</x:v>
      </x:c>
      <x:c r="T922" s="9" t="str"/>
    </x:row>
    <x:row r="923" ht="22" customHeight="1">
      <x:c r="A923" s="2" t="str">
        <x:v>L00014-060</x:v>
      </x:c>
      <x:c r="B923" s="2" t="str">
        <x:v>L00014</x:v>
      </x:c>
      <x:c r="C923" s="2" t="str">
        <x:v>SO-26003</x:v>
      </x:c>
      <x:c r="D923" s="2" t="str">
        <x:v>S-S-AL</x:v>
      </x:c>
      <x:c r="E923" s="14" t="n">
        <x:v>15</x:v>
      </x:c>
      <x:c r="F923" s="2" t="str">
        <x:v>Sensor calibration</x:v>
      </x:c>
      <x:c r="G923" s="9" t="str">
        <x:v>CAL-01</x:v>
      </x:c>
      <x:c r="H923" s="15" t="n">
        <x:v>38</x:v>
      </x:c>
      <x:c r="I923" s="9" t="str">
        <x:v>P21</x:v>
      </x:c>
      <x:c r="J923" s="11" t="n">
        <x:v>46302.88333333333</x:v>
      </x:c>
      <x:c r="K923" s="15" t="n">
        <x:v>10</x:v>
      </x:c>
      <x:c r="L923" s="15" t="n">
        <x:v>20</x:v>
      </x:c>
      <x:c r="M923" s="13" t="n">
        <x:f>J923+(K923+L923)/1440</x:f>
        <x:v>46302.90416666667</x:v>
      </x:c>
      <x:c r="N923" s="13" t="n">
        <x:f>VLOOKUP(C923,'MES orders'!$A$8:$H$127,5,FALSE)</x:f>
        <x:v>46304.666666666664</x:v>
      </x:c>
      <x:c r="O923" s="16" t="n">
        <x:f>MAX(0,(M923-N923)*24)</x:f>
        <x:v>0</x:v>
      </x:c>
      <x:c r="P923" s="9" t="str">
        <x:v>No</x:v>
      </x:c>
      <x:c r="Q923" s="15" t="n">
        <x:v>30</x:v>
      </x:c>
      <x:c r="R923" s="13" t="n">
        <x:f>J923+Q923/1440</x:f>
        <x:v>46302.90416666667</x:v>
      </x:c>
      <x:c r="S923" s="2" t="str">
        <x:f>VLOOKUP(C923,'MES orders'!$A$8:$H$127,6,FALSE)</x:f>
        <x:v>Normal</x:v>
      </x:c>
      <x:c r="T923" s="9" t="str"/>
    </x:row>
    <x:row r="924" ht="22" customHeight="1">
      <x:c r="A924" s="2" t="str">
        <x:v>L00410-020</x:v>
      </x:c>
      <x:c r="B924" s="2" t="str">
        <x:v>L00410</x:v>
      </x:c>
      <x:c r="C924" s="2" t="str">
        <x:v>SO-26082</x:v>
      </x:c>
      <x:c r="D924" s="2" t="str">
        <x:v>R-S-SS</x:v>
      </x:c>
      <x:c r="E924" s="14" t="n">
        <x:v>10</x:v>
      </x:c>
      <x:c r="F924" s="2" t="str">
        <x:v>Deburr &amp; inspect</x:v>
      </x:c>
      <x:c r="G924" s="9" t="str">
        <x:v>DB-02</x:v>
      </x:c>
      <x:c r="H924" s="15" t="n">
        <x:v>65</x:v>
      </x:c>
      <x:c r="I924" s="9" t="str">
        <x:v>P20</x:v>
      </x:c>
      <x:c r="J924" s="11" t="n">
        <x:v>46302.88611111111</x:v>
      </x:c>
      <x:c r="K924" s="15" t="n">
        <x:v>4</x:v>
      </x:c>
      <x:c r="L924" s="15" t="n">
        <x:v>7</x:v>
      </x:c>
      <x:c r="M924" s="13" t="n">
        <x:f>J924+(K924+L924)/1440</x:f>
        <x:v>46302.89375</x:v>
      </x:c>
      <x:c r="N924" s="13" t="n">
        <x:f>VLOOKUP(C924,'MES orders'!$A$8:$H$127,5,FALSE)</x:f>
        <x:v>46303.666666666664</x:v>
      </x:c>
      <x:c r="O924" s="16" t="n">
        <x:f>MAX(0,(M924-N924)*24)</x:f>
        <x:v>0</x:v>
      </x:c>
      <x:c r="P924" s="9" t="str">
        <x:v>No</x:v>
      </x:c>
      <x:c r="Q924" s="15" t="n">
        <x:v>11</x:v>
      </x:c>
      <x:c r="R924" s="13" t="n">
        <x:f>J924+Q924/1440</x:f>
        <x:v>46302.89375</x:v>
      </x:c>
      <x:c r="S924" s="2" t="str">
        <x:f>VLOOKUP(C924,'MES orders'!$A$8:$H$127,6,FALSE)</x:f>
        <x:v>Normal</x:v>
      </x:c>
      <x:c r="T924" s="9" t="str"/>
    </x:row>
    <x:row r="925" ht="22" customHeight="1">
      <x:c r="A925" s="2" t="str">
        <x:v>L00407-040</x:v>
      </x:c>
      <x:c r="B925" s="2" t="str">
        <x:v>L00407</x:v>
      </x:c>
      <x:c r="C925" s="2" t="str">
        <x:v>SO-26082</x:v>
      </x:c>
      <x:c r="D925" s="2" t="str">
        <x:v>R-S-SS</x:v>
      </x:c>
      <x:c r="E925" s="14" t="n">
        <x:v>10</x:v>
      </x:c>
      <x:c r="F925" s="2" t="str">
        <x:v>Mechanical assembly</x:v>
      </x:c>
      <x:c r="G925" s="9" t="str">
        <x:v>AS-05</x:v>
      </x:c>
      <x:c r="H925" s="15" t="n">
        <x:v>24</x:v>
      </x:c>
      <x:c r="I925" s="9" t="str">
        <x:v>P14</x:v>
      </x:c>
      <x:c r="J925" s="11" t="n">
        <x:v>46302.89027777778</x:v>
      </x:c>
      <x:c r="K925" s="15" t="n">
        <x:v>8</x:v>
      </x:c>
      <x:c r="L925" s="15" t="n">
        <x:v>18</x:v>
      </x:c>
      <x:c r="M925" s="13" t="n">
        <x:f>J925+(K925+L925)/1440</x:f>
        <x:v>46302.90833333333</x:v>
      </x:c>
      <x:c r="N925" s="13" t="n">
        <x:f>VLOOKUP(C925,'MES orders'!$A$8:$H$127,5,FALSE)</x:f>
        <x:v>46303.666666666664</x:v>
      </x:c>
      <x:c r="O925" s="16" t="n">
        <x:f>MAX(0,(M925-N925)*24)</x:f>
        <x:v>0</x:v>
      </x:c>
      <x:c r="P925" s="9" t="str">
        <x:v>No</x:v>
      </x:c>
      <x:c r="Q925" s="15" t="n">
        <x:v>26</x:v>
      </x:c>
      <x:c r="R925" s="13" t="n">
        <x:f>J925+Q925/1440</x:f>
        <x:v>46302.90833333333</x:v>
      </x:c>
      <x:c r="S925" s="2" t="str">
        <x:f>VLOOKUP(C925,'MES orders'!$A$8:$H$127,6,FALSE)</x:f>
        <x:v>Normal</x:v>
      </x:c>
      <x:c r="T925" s="9" t="str"/>
    </x:row>
    <x:row r="926" ht="22" customHeight="1">
      <x:c r="A926" s="2" t="str">
        <x:v>L00409-030</x:v>
      </x:c>
      <x:c r="B926" s="2" t="str">
        <x:v>L00409</x:v>
      </x:c>
      <x:c r="C926" s="2" t="str">
        <x:v>SO-26082</x:v>
      </x:c>
      <x:c r="D926" s="2" t="str">
        <x:v>R-S-SS</x:v>
      </x:c>
      <x:c r="E926" s="14" t="n">
        <x:v>10</x:v>
      </x:c>
      <x:c r="F926" s="2" t="str">
        <x:v>Wash &amp; dry</x:v>
      </x:c>
      <x:c r="G926" s="9" t="str">
        <x:v>WS-01</x:v>
      </x:c>
      <x:c r="H926" s="15" t="n">
        <x:v>87</x:v>
      </x:c>
      <x:c r="I926" s="9" t="str">
        <x:v>P19</x:v>
      </x:c>
      <x:c r="J926" s="11" t="n">
        <x:v>46302.89027777778</x:v>
      </x:c>
      <x:c r="K926" s="15" t="n">
        <x:v>12</x:v>
      </x:c>
      <x:c r="L926" s="15" t="n">
        <x:v>4</x:v>
      </x:c>
      <x:c r="M926" s="13" t="n">
        <x:f>J926+(K926+L926)/1440</x:f>
        <x:v>46302.90138888889</x:v>
      </x:c>
      <x:c r="N926" s="13" t="n">
        <x:f>VLOOKUP(C926,'MES orders'!$A$8:$H$127,5,FALSE)</x:f>
        <x:v>46303.666666666664</x:v>
      </x:c>
      <x:c r="O926" s="16" t="n">
        <x:f>MAX(0,(M926-N926)*24)</x:f>
        <x:v>0</x:v>
      </x:c>
      <x:c r="P926" s="9" t="str">
        <x:v>No</x:v>
      </x:c>
      <x:c r="Q926" s="15" t="n">
        <x:v>16</x:v>
      </x:c>
      <x:c r="R926" s="13" t="n">
        <x:f>J926+Q926/1440</x:f>
        <x:v>46302.90138888889</x:v>
      </x:c>
      <x:c r="S926" s="2" t="str">
        <x:f>VLOOKUP(C926,'MES orders'!$A$8:$H$127,6,FALSE)</x:f>
        <x:v>Normal</x:v>
      </x:c>
      <x:c r="T926" s="9" t="str"/>
    </x:row>
    <x:row r="927" ht="22" customHeight="1">
      <x:c r="A927" s="2" t="str">
        <x:v>L00366-040</x:v>
      </x:c>
      <x:c r="B927" s="2" t="str">
        <x:v>L00366</x:v>
      </x:c>
      <x:c r="C927" s="2" t="str">
        <x:v>SO-26074</x:v>
      </x:c>
      <x:c r="D927" s="2" t="str">
        <x:v>R-C-SS</x:v>
      </x:c>
      <x:c r="E927" s="14" t="n">
        <x:v>10</x:v>
      </x:c>
      <x:c r="F927" s="2" t="str">
        <x:v>Mechanical assembly</x:v>
      </x:c>
      <x:c r="G927" s="9" t="str">
        <x:v>AS-03</x:v>
      </x:c>
      <x:c r="H927" s="15" t="n">
        <x:v>47</x:v>
      </x:c>
      <x:c r="I927" s="9" t="str">
        <x:v>P18</x:v>
      </x:c>
      <x:c r="J927" s="11" t="n">
        <x:v>46302.89236111111</x:v>
      </x:c>
      <x:c r="K927" s="15" t="n">
        <x:v>8</x:v>
      </x:c>
      <x:c r="L927" s="15" t="n">
        <x:v>14</x:v>
      </x:c>
      <x:c r="M927" s="13" t="n">
        <x:f>J927+(K927+L927)/1440</x:f>
        <x:v>46302.907638888886</x:v>
      </x:c>
      <x:c r="N927" s="13" t="n">
        <x:f>VLOOKUP(C927,'MES orders'!$A$8:$H$127,5,FALSE)</x:f>
        <x:v>46303.666666666664</x:v>
      </x:c>
      <x:c r="O927" s="16" t="n">
        <x:f>MAX(0,(M927-N927)*24)</x:f>
        <x:v>0</x:v>
      </x:c>
      <x:c r="P927" s="9" t="str">
        <x:v>No</x:v>
      </x:c>
      <x:c r="Q927" s="15" t="n">
        <x:v>22</x:v>
      </x:c>
      <x:c r="R927" s="13" t="n">
        <x:f>J927+Q927/1440</x:f>
        <x:v>46302.907638888886</x:v>
      </x:c>
      <x:c r="S927" s="2" t="str">
        <x:f>VLOOKUP(C927,'MES orders'!$A$8:$H$127,6,FALSE)</x:f>
        <x:v>Normal</x:v>
      </x:c>
      <x:c r="T927" s="9" t="str"/>
    </x:row>
    <x:row r="928" ht="22" customHeight="1">
      <x:c r="A928" s="2" t="str">
        <x:v>L00408-040</x:v>
      </x:c>
      <x:c r="B928" s="2" t="str">
        <x:v>L00408</x:v>
      </x:c>
      <x:c r="C928" s="2" t="str">
        <x:v>SO-26082</x:v>
      </x:c>
      <x:c r="D928" s="2" t="str">
        <x:v>R-S-SS</x:v>
      </x:c>
      <x:c r="E928" s="14" t="n">
        <x:v>10</x:v>
      </x:c>
      <x:c r="F928" s="2" t="str">
        <x:v>Mechanical assembly</x:v>
      </x:c>
      <x:c r="G928" s="9" t="str">
        <x:v>AS-06</x:v>
      </x:c>
      <x:c r="H928" s="15" t="n">
        <x:v>9</x:v>
      </x:c>
      <x:c r="I928" s="9" t="str">
        <x:v>P15</x:v>
      </x:c>
      <x:c r="J928" s="11" t="n">
        <x:v>46302.89236111111</x:v>
      </x:c>
      <x:c r="K928" s="15" t="n">
        <x:v>8</x:v>
      </x:c>
      <x:c r="L928" s="15" t="n">
        <x:v>18</x:v>
      </x:c>
      <x:c r="M928" s="13" t="n">
        <x:f>J928+(K928+L928)/1440</x:f>
        <x:v>46302.910416666666</x:v>
      </x:c>
      <x:c r="N928" s="13" t="n">
        <x:f>VLOOKUP(C928,'MES orders'!$A$8:$H$127,5,FALSE)</x:f>
        <x:v>46303.666666666664</x:v>
      </x:c>
      <x:c r="O928" s="16" t="n">
        <x:f>MAX(0,(M928-N928)*24)</x:f>
        <x:v>0</x:v>
      </x:c>
      <x:c r="P928" s="9" t="str">
        <x:v>No</x:v>
      </x:c>
      <x:c r="Q928" s="15" t="n">
        <x:v>26</x:v>
      </x:c>
      <x:c r="R928" s="13" t="n">
        <x:f>J928+Q928/1440</x:f>
        <x:v>46302.910416666666</x:v>
      </x:c>
      <x:c r="S928" s="2" t="str">
        <x:f>VLOOKUP(C928,'MES orders'!$A$8:$H$127,6,FALSE)</x:f>
        <x:v>Normal</x:v>
      </x:c>
      <x:c r="T928" s="9" t="str"/>
    </x:row>
    <x:row r="929" ht="22" customHeight="1">
      <x:c r="A929" s="2" t="str">
        <x:v>L00328-050</x:v>
      </x:c>
      <x:c r="B929" s="2" t="str">
        <x:v>L00328</x:v>
      </x:c>
      <x:c r="C929" s="2" t="str">
        <x:v>SO-26066</x:v>
      </x:c>
      <x:c r="D929" s="2" t="str">
        <x:v>D-L-SS</x:v>
      </x:c>
      <x:c r="E929" s="14" t="n">
        <x:v>15</x:v>
      </x:c>
      <x:c r="F929" s="2" t="str">
        <x:v>Final leak / function test</x:v>
      </x:c>
      <x:c r="G929" s="9" t="str">
        <x:v>QA-01</x:v>
      </x:c>
      <x:c r="H929" s="15" t="n">
        <x:v>39</x:v>
      </x:c>
      <x:c r="I929" s="9" t="str">
        <x:v>P24</x:v>
      </x:c>
      <x:c r="J929" s="11" t="n">
        <x:v>46302.89236111111</x:v>
      </x:c>
      <x:c r="K929" s="15" t="n">
        <x:v>10</x:v>
      </x:c>
      <x:c r="L929" s="15" t="n">
        <x:v>18</x:v>
      </x:c>
      <x:c r="M929" s="13" t="n">
        <x:f>J929+(K929+L929)/1440</x:f>
        <x:v>46302.91180555555</x:v>
      </x:c>
      <x:c r="N929" s="13" t="n">
        <x:f>VLOOKUP(C929,'MES orders'!$A$8:$H$127,5,FALSE)</x:f>
        <x:v>46303.666666666664</x:v>
      </x:c>
      <x:c r="O929" s="16" t="n">
        <x:f>MAX(0,(M929-N929)*24)</x:f>
        <x:v>0</x:v>
      </x:c>
      <x:c r="P929" s="9" t="str">
        <x:v>No</x:v>
      </x:c>
      <x:c r="Q929" s="15" t="n">
        <x:v>28</x:v>
      </x:c>
      <x:c r="R929" s="13" t="n">
        <x:f>J929+Q929/1440</x:f>
        <x:v>46302.91180555555</x:v>
      </x:c>
      <x:c r="S929" s="2" t="str">
        <x:f>VLOOKUP(C929,'MES orders'!$A$8:$H$127,6,FALSE)</x:f>
        <x:v>Normal</x:v>
      </x:c>
      <x:c r="T929" s="9" t="str"/>
    </x:row>
    <x:row r="930" ht="22" customHeight="1">
      <x:c r="A930" s="2" t="str">
        <x:v>L00410-030</x:v>
      </x:c>
      <x:c r="B930" s="2" t="str">
        <x:v>L00410</x:v>
      </x:c>
      <x:c r="C930" s="2" t="str">
        <x:v>SO-26082</x:v>
      </x:c>
      <x:c r="D930" s="2" t="str">
        <x:v>R-S-SS</x:v>
      </x:c>
      <x:c r="E930" s="14" t="n">
        <x:v>10</x:v>
      </x:c>
      <x:c r="F930" s="2" t="str">
        <x:v>Wash &amp; dry</x:v>
      </x:c>
      <x:c r="G930" s="9" t="str">
        <x:v>WS-02</x:v>
      </x:c>
      <x:c r="H930" s="15" t="n">
        <x:v>66</x:v>
      </x:c>
      <x:c r="I930" s="9" t="str">
        <x:v>P20</x:v>
      </x:c>
      <x:c r="J930" s="11" t="n">
        <x:v>46302.89375</x:v>
      </x:c>
      <x:c r="K930" s="15" t="n">
        <x:v>12</x:v>
      </x:c>
      <x:c r="L930" s="15" t="n">
        <x:v>4</x:v>
      </x:c>
      <x:c r="M930" s="13" t="n">
        <x:f>J930+(K930+L930)/1440</x:f>
        <x:v>46302.904861111114</x:v>
      </x:c>
      <x:c r="N930" s="13" t="n">
        <x:f>VLOOKUP(C930,'MES orders'!$A$8:$H$127,5,FALSE)</x:f>
        <x:v>46303.666666666664</x:v>
      </x:c>
      <x:c r="O930" s="16" t="n">
        <x:f>MAX(0,(M930-N930)*24)</x:f>
        <x:v>0</x:v>
      </x:c>
      <x:c r="P930" s="9" t="str">
        <x:v>No</x:v>
      </x:c>
      <x:c r="Q930" s="15" t="n">
        <x:v>16</x:v>
      </x:c>
      <x:c r="R930" s="13" t="n">
        <x:f>J930+Q930/1440</x:f>
        <x:v>46302.904861111114</x:v>
      </x:c>
      <x:c r="S930" s="2" t="str">
        <x:f>VLOOKUP(C930,'MES orders'!$A$8:$H$127,6,FALSE)</x:f>
        <x:v>Normal</x:v>
      </x:c>
      <x:c r="T930" s="9" t="str"/>
    </x:row>
    <x:row r="931" ht="22" customHeight="1">
      <x:c r="A931" s="2" t="str">
        <x:v>L00368-060</x:v>
      </x:c>
      <x:c r="B931" s="2" t="str">
        <x:v>L00368</x:v>
      </x:c>
      <x:c r="C931" s="2" t="str">
        <x:v>SO-26074</x:v>
      </x:c>
      <x:c r="D931" s="2" t="str">
        <x:v>R-C-SS</x:v>
      </x:c>
      <x:c r="E931" s="14" t="n">
        <x:v>10</x:v>
      </x:c>
      <x:c r="F931" s="2" t="str">
        <x:v>Final leak / function test</x:v>
      </x:c>
      <x:c r="G931" s="9" t="str">
        <x:v>QA-02</x:v>
      </x:c>
      <x:c r="H931" s="15" t="n">
        <x:v>62</x:v>
      </x:c>
      <x:c r="I931" s="9" t="str">
        <x:v>P23</x:v>
      </x:c>
      <x:c r="J931" s="11" t="n">
        <x:v>46302.895833333336</x:v>
      </x:c>
      <x:c r="K931" s="15" t="n">
        <x:v>10</x:v>
      </x:c>
      <x:c r="L931" s="15" t="n">
        <x:v>7</x:v>
      </x:c>
      <x:c r="M931" s="13" t="n">
        <x:f>J931+(K931+L931)/1440</x:f>
        <x:v>46302.90763888889</x:v>
      </x:c>
      <x:c r="N931" s="13" t="n">
        <x:f>VLOOKUP(C931,'MES orders'!$A$8:$H$127,5,FALSE)</x:f>
        <x:v>46303.666666666664</x:v>
      </x:c>
      <x:c r="O931" s="16" t="n">
        <x:f>MAX(0,(M931-N931)*24)</x:f>
        <x:v>0</x:v>
      </x:c>
      <x:c r="P931" s="9" t="str">
        <x:v>No</x:v>
      </x:c>
      <x:c r="Q931" s="15" t="n">
        <x:v>17</x:v>
      </x:c>
      <x:c r="R931" s="13" t="n">
        <x:f>J931+Q931/1440</x:f>
        <x:v>46302.90763888889</x:v>
      </x:c>
      <x:c r="S931" s="2" t="str">
        <x:f>VLOOKUP(C931,'MES orders'!$A$8:$H$127,6,FALSE)</x:f>
        <x:v>Normal</x:v>
      </x:c>
      <x:c r="T931" s="9" t="str"/>
    </x:row>
    <x:row r="932" ht="22" customHeight="1">
      <x:c r="A932" s="2" t="str">
        <x:v>L00095-030</x:v>
      </x:c>
      <x:c r="B932" s="2" t="str">
        <x:v>L00095</x:v>
      </x:c>
      <x:c r="C932" s="2" t="str">
        <x:v>SO-26019</x:v>
      </x:c>
      <x:c r="D932" s="2" t="str">
        <x:v>D-C-AL</x:v>
      </x:c>
      <x:c r="E932" s="14" t="n">
        <x:v>5</x:v>
      </x:c>
      <x:c r="F932" s="2" t="str">
        <x:v>Wash &amp; dry</x:v>
      </x:c>
      <x:c r="G932" s="9" t="str">
        <x:v>WS-01</x:v>
      </x:c>
      <x:c r="H932" s="15" t="n">
        <x:v>88</x:v>
      </x:c>
      <x:c r="I932" s="9" t="str">
        <x:v>P19</x:v>
      </x:c>
      <x:c r="J932" s="11" t="n">
        <x:v>46302.90138888889</x:v>
      </x:c>
      <x:c r="K932" s="15" t="n">
        <x:v>12</x:v>
      </x:c>
      <x:c r="L932" s="15" t="n">
        <x:v>1</x:v>
      </x:c>
      <x:c r="M932" s="13" t="n">
        <x:f>J932+(K932+L932)/1440</x:f>
        <x:v>46302.910416666666</x:v>
      </x:c>
      <x:c r="N932" s="13" t="n">
        <x:f>VLOOKUP(C932,'MES orders'!$A$8:$H$127,5,FALSE)</x:f>
        <x:v>46304.666666666664</x:v>
      </x:c>
      <x:c r="O932" s="16" t="n">
        <x:f>MAX(0,(M932-N932)*24)</x:f>
        <x:v>0</x:v>
      </x:c>
      <x:c r="P932" s="9" t="str">
        <x:v>No</x:v>
      </x:c>
      <x:c r="Q932" s="15" t="n">
        <x:v>13</x:v>
      </x:c>
      <x:c r="R932" s="13" t="n">
        <x:f>J932+Q932/1440</x:f>
        <x:v>46302.910416666666</x:v>
      </x:c>
      <x:c r="S932" s="2" t="str">
        <x:f>VLOOKUP(C932,'MES orders'!$A$8:$H$127,6,FALSE)</x:f>
        <x:v>Normal</x:v>
      </x:c>
      <x:c r="T932" s="9" t="str"/>
    </x:row>
    <x:row r="933" ht="22" customHeight="1">
      <x:c r="A933" s="2" t="str">
        <x:v>L00014-070</x:v>
      </x:c>
      <x:c r="B933" s="2" t="str">
        <x:v>L00014</x:v>
      </x:c>
      <x:c r="C933" s="2" t="str">
        <x:v>SO-26003</x:v>
      </x:c>
      <x:c r="D933" s="2" t="str">
        <x:v>S-S-AL</x:v>
      </x:c>
      <x:c r="E933" s="14" t="n">
        <x:v>15</x:v>
      </x:c>
      <x:c r="F933" s="2" t="str">
        <x:v>Final assembly</x:v>
      </x:c>
      <x:c r="G933" s="9" t="str">
        <x:v>AS-07</x:v>
      </x:c>
      <x:c r="H933" s="15" t="n">
        <x:v>1</x:v>
      </x:c>
      <x:c r="I933" s="9" t="str">
        <x:v>P20</x:v>
      </x:c>
      <x:c r="J933" s="11" t="n">
        <x:v>46302.904861111114</x:v>
      </x:c>
      <x:c r="K933" s="15" t="n">
        <x:v>5</x:v>
      </x:c>
      <x:c r="L933" s="15" t="n">
        <x:v>12</x:v>
      </x:c>
      <x:c r="M933" s="13" t="n">
        <x:f>J933+(K933+L933)/1440</x:f>
        <x:v>46302.91666666667</x:v>
      </x:c>
      <x:c r="N933" s="13" t="n">
        <x:f>VLOOKUP(C933,'MES orders'!$A$8:$H$127,5,FALSE)</x:f>
        <x:v>46304.666666666664</x:v>
      </x:c>
      <x:c r="O933" s="16" t="n">
        <x:f>MAX(0,(M933-N933)*24)</x:f>
        <x:v>0</x:v>
      </x:c>
      <x:c r="P933" s="9" t="str">
        <x:v>No</x:v>
      </x:c>
      <x:c r="Q933" s="15" t="n">
        <x:v>17</x:v>
      </x:c>
      <x:c r="R933" s="13" t="n">
        <x:f>J933+Q933/1440</x:f>
        <x:v>46302.91666666667</x:v>
      </x:c>
      <x:c r="S933" s="2" t="str">
        <x:f>VLOOKUP(C933,'MES orders'!$A$8:$H$127,6,FALSE)</x:f>
        <x:v>Normal</x:v>
      </x:c>
      <x:c r="T933" s="9" t="str"/>
    </x:row>
    <x:row r="934" ht="22" customHeight="1">
      <x:c r="A934" s="2" t="str">
        <x:v>L00367-050</x:v>
      </x:c>
      <x:c r="B934" s="2" t="str">
        <x:v>L00367</x:v>
      </x:c>
      <x:c r="C934" s="2" t="str">
        <x:v>SO-26074</x:v>
      </x:c>
      <x:c r="D934" s="2" t="str">
        <x:v>R-C-SS</x:v>
      </x:c>
      <x:c r="E934" s="14" t="n">
        <x:v>10</x:v>
      </x:c>
      <x:c r="F934" s="2" t="str">
        <x:v>Valve adjustment</x:v>
      </x:c>
      <x:c r="G934" s="9" t="str">
        <x:v>AS-01</x:v>
      </x:c>
      <x:c r="H934" s="15" t="n">
        <x:v>72</x:v>
      </x:c>
      <x:c r="I934" s="9" t="str">
        <x:v>P17</x:v>
      </x:c>
      <x:c r="J934" s="11" t="n">
        <x:v>46302.90555555555</x:v>
      </x:c>
      <x:c r="K934" s="15" t="n">
        <x:v>6</x:v>
      </x:c>
      <x:c r="L934" s="15" t="n">
        <x:v>9</x:v>
      </x:c>
      <x:c r="M934" s="13" t="n">
        <x:f>J934+(K934+L934)/1440</x:f>
        <x:v>46302.91597222222</x:v>
      </x:c>
      <x:c r="N934" s="13" t="n">
        <x:f>VLOOKUP(C934,'MES orders'!$A$8:$H$127,5,FALSE)</x:f>
        <x:v>46303.666666666664</x:v>
      </x:c>
      <x:c r="O934" s="16" t="n">
        <x:f>MAX(0,(M934-N934)*24)</x:f>
        <x:v>0</x:v>
      </x:c>
      <x:c r="P934" s="9" t="str">
        <x:v>No</x:v>
      </x:c>
      <x:c r="Q934" s="15" t="n">
        <x:v>15</x:v>
      </x:c>
      <x:c r="R934" s="13" t="n">
        <x:f>J934+Q934/1440</x:f>
        <x:v>46302.91597222222</x:v>
      </x:c>
      <x:c r="S934" s="2" t="str">
        <x:f>VLOOKUP(C934,'MES orders'!$A$8:$H$127,6,FALSE)</x:f>
        <x:v>Normal</x:v>
      </x:c>
      <x:c r="T934" s="9" t="str"/>
    </x:row>
    <x:row r="935" ht="22" customHeight="1">
      <x:c r="A935" s="2" t="str">
        <x:v>L00406-020</x:v>
      </x:c>
      <x:c r="B935" s="2" t="str">
        <x:v>L00406</x:v>
      </x:c>
      <x:c r="C935" s="2" t="str">
        <x:v>SO-26082</x:v>
      </x:c>
      <x:c r="D935" s="2" t="str">
        <x:v>R-S-SS</x:v>
      </x:c>
      <x:c r="E935" s="14" t="n">
        <x:v>10</x:v>
      </x:c>
      <x:c r="F935" s="2" t="str">
        <x:v>Deburr &amp; inspect</x:v>
      </x:c>
      <x:c r="G935" s="9" t="str">
        <x:v>DB-01</x:v>
      </x:c>
      <x:c r="H935" s="15" t="n">
        <x:v>90</x:v>
      </x:c>
      <x:c r="I935" s="9" t="str">
        <x:v>P18</x:v>
      </x:c>
      <x:c r="J935" s="11" t="n">
        <x:v>46302.907638888886</x:v>
      </x:c>
      <x:c r="K935" s="15" t="n">
        <x:v>4</x:v>
      </x:c>
      <x:c r="L935" s="15" t="n">
        <x:v>7</x:v>
      </x:c>
      <x:c r="M935" s="13" t="n">
        <x:f>J935+(K935+L935)/1440</x:f>
        <x:v>46302.91527777778</x:v>
      </x:c>
      <x:c r="N935" s="13" t="n">
        <x:f>VLOOKUP(C935,'MES orders'!$A$8:$H$127,5,FALSE)</x:f>
        <x:v>46303.666666666664</x:v>
      </x:c>
      <x:c r="O935" s="16" t="n">
        <x:f>MAX(0,(M935-N935)*24)</x:f>
        <x:v>0</x:v>
      </x:c>
      <x:c r="P935" s="9" t="str">
        <x:v>No</x:v>
      </x:c>
      <x:c r="Q935" s="15" t="n">
        <x:v>11</x:v>
      </x:c>
      <x:c r="R935" s="13" t="n">
        <x:f>J935+Q935/1440</x:f>
        <x:v>46302.91527777778</x:v>
      </x:c>
      <x:c r="S935" s="2" t="str">
        <x:f>VLOOKUP(C935,'MES orders'!$A$8:$H$127,6,FALSE)</x:f>
        <x:v>Normal</x:v>
      </x:c>
      <x:c r="T935" s="9" t="str"/>
    </x:row>
    <x:row r="936" ht="22" customHeight="1">
      <x:c r="A936" s="2" t="str">
        <x:v>L00094-020</x:v>
      </x:c>
      <x:c r="B936" s="2" t="str">
        <x:v>L00094</x:v>
      </x:c>
      <x:c r="C936" s="2" t="str">
        <x:v>SO-26019</x:v>
      </x:c>
      <x:c r="D936" s="2" t="str">
        <x:v>D-C-AL</x:v>
      </x:c>
      <x:c r="E936" s="14" t="n">
        <x:v>5</x:v>
      </x:c>
      <x:c r="F936" s="2" t="str">
        <x:v>Deburr &amp; inspect</x:v>
      </x:c>
      <x:c r="G936" s="9" t="str">
        <x:v>DB-02</x:v>
      </x:c>
      <x:c r="H936" s="15" t="n">
        <x:v>66</x:v>
      </x:c>
      <x:c r="I936" s="9" t="str">
        <x:v>P16</x:v>
      </x:c>
      <x:c r="J936" s="11" t="n">
        <x:v>46302.90972222222</x:v>
      </x:c>
      <x:c r="K936" s="15" t="n">
        <x:v>4</x:v>
      </x:c>
      <x:c r="L936" s="15" t="n">
        <x:v>3</x:v>
      </x:c>
      <x:c r="M936" s="13" t="n">
        <x:f>J936+(K936+L936)/1440</x:f>
        <x:v>46302.91458333333</x:v>
      </x:c>
      <x:c r="N936" s="13" t="n">
        <x:f>VLOOKUP(C936,'MES orders'!$A$8:$H$127,5,FALSE)</x:f>
        <x:v>46304.666666666664</x:v>
      </x:c>
      <x:c r="O936" s="16" t="n">
        <x:f>MAX(0,(M936-N936)*24)</x:f>
        <x:v>0</x:v>
      </x:c>
      <x:c r="P936" s="9" t="str">
        <x:v>No</x:v>
      </x:c>
      <x:c r="Q936" s="15" t="n">
        <x:v>7</x:v>
      </x:c>
      <x:c r="R936" s="13" t="n">
        <x:f>J936+Q936/1440</x:f>
        <x:v>46302.91458333333</x:v>
      </x:c>
      <x:c r="S936" s="2" t="str">
        <x:f>VLOOKUP(C936,'MES orders'!$A$8:$H$127,6,FALSE)</x:f>
        <x:v>Normal</x:v>
      </x:c>
      <x:c r="T936" s="9" t="str"/>
    </x:row>
    <x:row r="937" ht="22" customHeight="1">
      <x:c r="A937" s="2" t="str">
        <x:v>L00366-050</x:v>
      </x:c>
      <x:c r="B937" s="2" t="str">
        <x:v>L00366</x:v>
      </x:c>
      <x:c r="C937" s="2" t="str">
        <x:v>SO-26074</x:v>
      </x:c>
      <x:c r="D937" s="2" t="str">
        <x:v>R-C-SS</x:v>
      </x:c>
      <x:c r="E937" s="14" t="n">
        <x:v>10</x:v>
      </x:c>
      <x:c r="F937" s="2" t="str">
        <x:v>Valve adjustment</x:v>
      </x:c>
      <x:c r="G937" s="9" t="str">
        <x:v>AS-01</x:v>
      </x:c>
      <x:c r="H937" s="15" t="n">
        <x:v>73</x:v>
      </x:c>
      <x:c r="I937" s="9" t="str">
        <x:v>P05</x:v>
      </x:c>
      <x:c r="J937" s="11" t="n">
        <x:v>46303.25</x:v>
      </x:c>
      <x:c r="K937" s="15" t="n">
        <x:v>6</x:v>
      </x:c>
      <x:c r="L937" s="15" t="n">
        <x:v>9</x:v>
      </x:c>
      <x:c r="M937" s="13" t="n">
        <x:f>J937+(K937+L937)/1440</x:f>
        <x:v>46303.260416666664</x:v>
      </x:c>
      <x:c r="N937" s="13" t="n">
        <x:f>VLOOKUP(C937,'MES orders'!$A$8:$H$127,5,FALSE)</x:f>
        <x:v>46303.666666666664</x:v>
      </x:c>
      <x:c r="O937" s="16" t="n">
        <x:f>MAX(0,(M937-N937)*24)</x:f>
        <x:v>0</x:v>
      </x:c>
      <x:c r="P937" s="9" t="str">
        <x:v>No</x:v>
      </x:c>
      <x:c r="Q937" s="15" t="n">
        <x:v>15</x:v>
      </x:c>
      <x:c r="R937" s="13" t="n">
        <x:f>J937+Q937/1440</x:f>
        <x:v>46303.260416666664</x:v>
      </x:c>
      <x:c r="S937" s="2" t="str">
        <x:f>VLOOKUP(C937,'MES orders'!$A$8:$H$127,6,FALSE)</x:f>
        <x:v>Normal</x:v>
      </x:c>
      <x:c r="T937" s="9" t="str"/>
    </x:row>
    <x:row r="938" ht="22" customHeight="1">
      <x:c r="A938" s="2" t="str">
        <x:v>L00407-050</x:v>
      </x:c>
      <x:c r="B938" s="2" t="str">
        <x:v>L00407</x:v>
      </x:c>
      <x:c r="C938" s="2" t="str">
        <x:v>SO-26082</x:v>
      </x:c>
      <x:c r="D938" s="2" t="str">
        <x:v>R-S-SS</x:v>
      </x:c>
      <x:c r="E938" s="14" t="n">
        <x:v>10</x:v>
      </x:c>
      <x:c r="F938" s="2" t="str">
        <x:v>Valve adjustment</x:v>
      </x:c>
      <x:c r="G938" s="9" t="str">
        <x:v>AS-02</x:v>
      </x:c>
      <x:c r="H938" s="15" t="n">
        <x:v>59</x:v>
      </x:c>
      <x:c r="I938" s="9" t="str">
        <x:v>P06</x:v>
      </x:c>
      <x:c r="J938" s="11" t="n">
        <x:v>46303.25</x:v>
      </x:c>
      <x:c r="K938" s="15" t="n">
        <x:v>6</x:v>
      </x:c>
      <x:c r="L938" s="15" t="n">
        <x:v>11</x:v>
      </x:c>
      <x:c r="M938" s="13" t="n">
        <x:f>J938+(K938+L938)/1440</x:f>
        <x:v>46303.26180555556</x:v>
      </x:c>
      <x:c r="N938" s="13" t="n">
        <x:f>VLOOKUP(C938,'MES orders'!$A$8:$H$127,5,FALSE)</x:f>
        <x:v>46303.666666666664</x:v>
      </x:c>
      <x:c r="O938" s="16" t="n">
        <x:f>MAX(0,(M938-N938)*24)</x:f>
        <x:v>0</x:v>
      </x:c>
      <x:c r="P938" s="9" t="str">
        <x:v>No</x:v>
      </x:c>
      <x:c r="Q938" s="15" t="n">
        <x:v>17</x:v>
      </x:c>
      <x:c r="R938" s="13" t="n">
        <x:f>J938+Q938/1440</x:f>
        <x:v>46303.26180555556</x:v>
      </x:c>
      <x:c r="S938" s="2" t="str">
        <x:f>VLOOKUP(C938,'MES orders'!$A$8:$H$127,6,FALSE)</x:f>
        <x:v>Normal</x:v>
      </x:c>
      <x:c r="T938" s="9" t="str"/>
    </x:row>
    <x:row r="939" ht="22" customHeight="1">
      <x:c r="A939" s="2" t="str">
        <x:v>L00095-040</x:v>
      </x:c>
      <x:c r="B939" s="2" t="str">
        <x:v>L00095</x:v>
      </x:c>
      <x:c r="C939" s="2" t="str">
        <x:v>SO-26019</x:v>
      </x:c>
      <x:c r="D939" s="2" t="str">
        <x:v>D-C-AL</x:v>
      </x:c>
      <x:c r="E939" s="14" t="n">
        <x:v>5</x:v>
      </x:c>
      <x:c r="F939" s="2" t="str">
        <x:v>Mechanical assembly</x:v>
      </x:c>
      <x:c r="G939" s="9" t="str">
        <x:v>AS-03</x:v>
      </x:c>
      <x:c r="H939" s="15" t="n">
        <x:v>48</x:v>
      </x:c>
      <x:c r="I939" s="9" t="str">
        <x:v>P07</x:v>
      </x:c>
      <x:c r="J939" s="11" t="n">
        <x:v>46303.25</x:v>
      </x:c>
      <x:c r="K939" s="15" t="n">
        <x:v>8</x:v>
      </x:c>
      <x:c r="L939" s="15" t="n">
        <x:v>7</x:v>
      </x:c>
      <x:c r="M939" s="13" t="n">
        <x:f>J939+(K939+L939)/1440</x:f>
        <x:v>46303.260416666664</x:v>
      </x:c>
      <x:c r="N939" s="13" t="n">
        <x:f>VLOOKUP(C939,'MES orders'!$A$8:$H$127,5,FALSE)</x:f>
        <x:v>46304.666666666664</x:v>
      </x:c>
      <x:c r="O939" s="16" t="n">
        <x:f>MAX(0,(M939-N939)*24)</x:f>
        <x:v>0</x:v>
      </x:c>
      <x:c r="P939" s="9" t="str">
        <x:v>No</x:v>
      </x:c>
      <x:c r="Q939" s="15" t="n">
        <x:v>15</x:v>
      </x:c>
      <x:c r="R939" s="13" t="n">
        <x:f>J939+Q939/1440</x:f>
        <x:v>46303.260416666664</x:v>
      </x:c>
      <x:c r="S939" s="2" t="str">
        <x:f>VLOOKUP(C939,'MES orders'!$A$8:$H$127,6,FALSE)</x:f>
        <x:v>Normal</x:v>
      </x:c>
      <x:c r="T939" s="9" t="str"/>
    </x:row>
    <x:row r="940" ht="22" customHeight="1">
      <x:c r="A940" s="2" t="str">
        <x:v>L00210-060</x:v>
      </x:c>
      <x:c r="B940" s="2" t="str">
        <x:v>L00210</x:v>
      </x:c>
      <x:c r="C940" s="2" t="str">
        <x:v>SO-26042</x:v>
      </x:c>
      <x:c r="D940" s="2" t="str">
        <x:v>S-L-SS</x:v>
      </x:c>
      <x:c r="E940" s="14" t="n">
        <x:v>25</x:v>
      </x:c>
      <x:c r="F940" s="2" t="str">
        <x:v>Sensor calibration</x:v>
      </x:c>
      <x:c r="G940" s="9" t="str">
        <x:v>CAL-01</x:v>
      </x:c>
      <x:c r="H940" s="15" t="n">
        <x:v>39</x:v>
      </x:c>
      <x:c r="I940" s="9" t="str">
        <x:v>P09</x:v>
      </x:c>
      <x:c r="J940" s="11" t="n">
        <x:v>46303.25</x:v>
      </x:c>
      <x:c r="K940" s="15" t="n">
        <x:v>10</x:v>
      </x:c>
      <x:c r="L940" s="15" t="n">
        <x:v>44</x:v>
      </x:c>
      <x:c r="M940" s="13" t="n">
        <x:f>J940+(K940+L940)/1440</x:f>
        <x:v>46303.2875</x:v>
      </x:c>
      <x:c r="N940" s="13" t="n">
        <x:f>VLOOKUP(C940,'MES orders'!$A$8:$H$127,5,FALSE)</x:f>
        <x:v>46303.666666666664</x:v>
      </x:c>
      <x:c r="O940" s="16" t="n">
        <x:f>MAX(0,(M940-N940)*24)</x:f>
        <x:v>0</x:v>
      </x:c>
      <x:c r="P940" s="9" t="str">
        <x:v>No</x:v>
      </x:c>
      <x:c r="Q940" s="15" t="n">
        <x:v>54</x:v>
      </x:c>
      <x:c r="R940" s="13" t="n">
        <x:f>J940+Q940/1440</x:f>
        <x:v>46303.2875</x:v>
      </x:c>
      <x:c r="S940" s="2" t="str">
        <x:f>VLOOKUP(C940,'MES orders'!$A$8:$H$127,6,FALSE)</x:f>
        <x:v>Normal</x:v>
      </x:c>
      <x:c r="T940" s="9" t="str"/>
    </x:row>
    <x:row r="941" ht="22" customHeight="1">
      <x:c r="A941" s="2" t="str">
        <x:v>L00447-010</x:v>
      </x:c>
      <x:c r="B941" s="2" t="str">
        <x:v>L00447</x:v>
      </x:c>
      <x:c r="C941" s="2" t="str">
        <x:v>SO-26090</x:v>
      </x:c>
      <x:c r="D941" s="2" t="str">
        <x:v>R-L-SS</x:v>
      </x:c>
      <x:c r="E941" s="14" t="n">
        <x:v>5</x:v>
      </x:c>
      <x:c r="F941" s="2" t="str">
        <x:v>CNC machining</x:v>
      </x:c>
      <x:c r="G941" s="9" t="str">
        <x:v>CNC-03</x:v>
      </x:c>
      <x:c r="H941" s="15" t="n">
        <x:v>28</x:v>
      </x:c>
      <x:c r="I941" s="9" t="str">
        <x:v>P01</x:v>
      </x:c>
      <x:c r="J941" s="11" t="n">
        <x:v>46303.25</x:v>
      </x:c>
      <x:c r="K941" s="15" t="n">
        <x:v>18</x:v>
      </x:c>
      <x:c r="L941" s="15" t="n">
        <x:v>20</x:v>
      </x:c>
      <x:c r="M941" s="13" t="n">
        <x:f>J941+(K941+L941)/1440</x:f>
        <x:v>46303.27638888889</x:v>
      </x:c>
      <x:c r="N941" s="13" t="n">
        <x:f>VLOOKUP(C941,'MES orders'!$A$8:$H$127,5,FALSE)</x:f>
        <x:v>46303.666666666664</x:v>
      </x:c>
      <x:c r="O941" s="16" t="n">
        <x:f>MAX(0,(M941-N941)*24)</x:f>
        <x:v>0</x:v>
      </x:c>
      <x:c r="P941" s="9" t="str">
        <x:v>No</x:v>
      </x:c>
      <x:c r="Q941" s="15" t="n">
        <x:v>18</x:v>
      </x:c>
      <x:c r="R941" s="13" t="n">
        <x:f>J941+Q941/1440</x:f>
        <x:v>46303.2625</x:v>
      </x:c>
      <x:c r="S941" s="2" t="str">
        <x:f>VLOOKUP(C941,'MES orders'!$A$8:$H$127,6,FALSE)</x:f>
        <x:v>Normal</x:v>
      </x:c>
      <x:c r="T941" s="9" t="str"/>
    </x:row>
    <x:row r="942" ht="22" customHeight="1">
      <x:c r="A942" s="2" t="str">
        <x:v>L00448-010</x:v>
      </x:c>
      <x:c r="B942" s="2" t="str">
        <x:v>L00448</x:v>
      </x:c>
      <x:c r="C942" s="2" t="str">
        <x:v>SO-26090</x:v>
      </x:c>
      <x:c r="D942" s="2" t="str">
        <x:v>R-L-SS</x:v>
      </x:c>
      <x:c r="E942" s="14" t="n">
        <x:v>5</x:v>
      </x:c>
      <x:c r="F942" s="2" t="str">
        <x:v>CNC machining</x:v>
      </x:c>
      <x:c r="G942" s="9" t="str">
        <x:v>CNC-04</x:v>
      </x:c>
      <x:c r="H942" s="15" t="n">
        <x:v>29</x:v>
      </x:c>
      <x:c r="I942" s="9" t="str">
        <x:v>P02</x:v>
      </x:c>
      <x:c r="J942" s="11" t="n">
        <x:v>46303.25</x:v>
      </x:c>
      <x:c r="K942" s="15" t="n">
        <x:v>18</x:v>
      </x:c>
      <x:c r="L942" s="15" t="n">
        <x:v>20</x:v>
      </x:c>
      <x:c r="M942" s="13" t="n">
        <x:f>J942+(K942+L942)/1440</x:f>
        <x:v>46303.27638888889</x:v>
      </x:c>
      <x:c r="N942" s="13" t="n">
        <x:f>VLOOKUP(C942,'MES orders'!$A$8:$H$127,5,FALSE)</x:f>
        <x:v>46303.666666666664</x:v>
      </x:c>
      <x:c r="O942" s="16" t="n">
        <x:f>MAX(0,(M942-N942)*24)</x:f>
        <x:v>0</x:v>
      </x:c>
      <x:c r="P942" s="9" t="str">
        <x:v>No</x:v>
      </x:c>
      <x:c r="Q942" s="15" t="n">
        <x:v>18</x:v>
      </x:c>
      <x:c r="R942" s="13" t="n">
        <x:f>J942+Q942/1440</x:f>
        <x:v>46303.2625</x:v>
      </x:c>
      <x:c r="S942" s="2" t="str">
        <x:f>VLOOKUP(C942,'MES orders'!$A$8:$H$127,6,FALSE)</x:f>
        <x:v>Normal</x:v>
      </x:c>
      <x:c r="T942" s="9" t="str"/>
    </x:row>
    <x:row r="943" ht="22" customHeight="1">
      <x:c r="A943" s="2" t="str">
        <x:v>L00449-010</x:v>
      </x:c>
      <x:c r="B943" s="2" t="str">
        <x:v>L00449</x:v>
      </x:c>
      <x:c r="C943" s="2" t="str">
        <x:v>SO-26090</x:v>
      </x:c>
      <x:c r="D943" s="2" t="str">
        <x:v>R-L-SS</x:v>
      </x:c>
      <x:c r="E943" s="14" t="n">
        <x:v>5</x:v>
      </x:c>
      <x:c r="F943" s="2" t="str">
        <x:v>CNC machining</x:v>
      </x:c>
      <x:c r="G943" s="9" t="str">
        <x:v>CNC-05</x:v>
      </x:c>
      <x:c r="H943" s="15" t="n">
        <x:v>26</x:v>
      </x:c>
      <x:c r="I943" s="9" t="str">
        <x:v>P03</x:v>
      </x:c>
      <x:c r="J943" s="11" t="n">
        <x:v>46303.25</x:v>
      </x:c>
      <x:c r="K943" s="15" t="n">
        <x:v>18</x:v>
      </x:c>
      <x:c r="L943" s="15" t="n">
        <x:v>20</x:v>
      </x:c>
      <x:c r="M943" s="13" t="n">
        <x:f>J943+(K943+L943)/1440</x:f>
        <x:v>46303.27638888889</x:v>
      </x:c>
      <x:c r="N943" s="13" t="n">
        <x:f>VLOOKUP(C943,'MES orders'!$A$8:$H$127,5,FALSE)</x:f>
        <x:v>46303.666666666664</x:v>
      </x:c>
      <x:c r="O943" s="16" t="n">
        <x:f>MAX(0,(M943-N943)*24)</x:f>
        <x:v>0</x:v>
      </x:c>
      <x:c r="P943" s="9" t="str">
        <x:v>No</x:v>
      </x:c>
      <x:c r="Q943" s="15" t="n">
        <x:v>18</x:v>
      </x:c>
      <x:c r="R943" s="13" t="n">
        <x:f>J943+Q943/1440</x:f>
        <x:v>46303.2625</x:v>
      </x:c>
      <x:c r="S943" s="2" t="str">
        <x:f>VLOOKUP(C943,'MES orders'!$A$8:$H$127,6,FALSE)</x:f>
        <x:v>Normal</x:v>
      </x:c>
      <x:c r="T943" s="9" t="str"/>
    </x:row>
    <x:row r="944" ht="22" customHeight="1">
      <x:c r="A944" s="2" t="str">
        <x:v>L00329-050</x:v>
      </x:c>
      <x:c r="B944" s="2" t="str">
        <x:v>L00329</x:v>
      </x:c>
      <x:c r="C944" s="2" t="str">
        <x:v>SO-26066</x:v>
      </x:c>
      <x:c r="D944" s="2" t="str">
        <x:v>D-L-SS</x:v>
      </x:c>
      <x:c r="E944" s="14" t="n">
        <x:v>15</x:v>
      </x:c>
      <x:c r="F944" s="2" t="str">
        <x:v>Final leak / function test</x:v>
      </x:c>
      <x:c r="G944" s="9" t="str">
        <x:v>QA-01</x:v>
      </x:c>
      <x:c r="H944" s="15" t="n">
        <x:v>40</x:v>
      </x:c>
      <x:c r="I944" s="9" t="str">
        <x:v>P12</x:v>
      </x:c>
      <x:c r="J944" s="11" t="n">
        <x:v>46303.25</x:v>
      </x:c>
      <x:c r="K944" s="15" t="n">
        <x:v>10</x:v>
      </x:c>
      <x:c r="L944" s="15" t="n">
        <x:v>18</x:v>
      </x:c>
      <x:c r="M944" s="13" t="n">
        <x:f>J944+(K944+L944)/1440</x:f>
        <x:v>46303.26944444444</x:v>
      </x:c>
      <x:c r="N944" s="13" t="n">
        <x:f>VLOOKUP(C944,'MES orders'!$A$8:$H$127,5,FALSE)</x:f>
        <x:v>46303.666666666664</x:v>
      </x:c>
      <x:c r="O944" s="16" t="n">
        <x:f>MAX(0,(M944-N944)*24)</x:f>
        <x:v>0</x:v>
      </x:c>
      <x:c r="P944" s="9" t="str">
        <x:v>No</x:v>
      </x:c>
      <x:c r="Q944" s="15" t="n">
        <x:v>28</x:v>
      </x:c>
      <x:c r="R944" s="13" t="n">
        <x:f>J944+Q944/1440</x:f>
        <x:v>46303.26944444444</x:v>
      </x:c>
      <x:c r="S944" s="2" t="str">
        <x:f>VLOOKUP(C944,'MES orders'!$A$8:$H$127,6,FALSE)</x:f>
        <x:v>Normal</x:v>
      </x:c>
      <x:c r="T944" s="9" t="str"/>
    </x:row>
    <x:row r="945" ht="22" customHeight="1">
      <x:c r="A945" s="2" t="str">
        <x:v>L00209-080</x:v>
      </x:c>
      <x:c r="B945" s="2" t="str">
        <x:v>L00209</x:v>
      </x:c>
      <x:c r="C945" s="2" t="str">
        <x:v>SO-26042</x:v>
      </x:c>
      <x:c r="D945" s="2" t="str">
        <x:v>S-L-SS</x:v>
      </x:c>
      <x:c r="E945" s="14" t="n">
        <x:v>25</x:v>
      </x:c>
      <x:c r="F945" s="2" t="str">
        <x:v>Final leak / function test</x:v>
      </x:c>
      <x:c r="G945" s="9" t="str">
        <x:v>QA-02</x:v>
      </x:c>
      <x:c r="H945" s="15" t="n">
        <x:v>63</x:v>
      </x:c>
      <x:c r="I945" s="9" t="str">
        <x:v>P11</x:v>
      </x:c>
      <x:c r="J945" s="11" t="n">
        <x:v>46303.25</x:v>
      </x:c>
      <x:c r="K945" s="15" t="n">
        <x:v>10</x:v>
      </x:c>
      <x:c r="L945" s="15" t="n">
        <x:v>30</x:v>
      </x:c>
      <x:c r="M945" s="13" t="n">
        <x:f>J945+(K945+L945)/1440</x:f>
        <x:v>46303.27777777778</x:v>
      </x:c>
      <x:c r="N945" s="13" t="n">
        <x:f>VLOOKUP(C945,'MES orders'!$A$8:$H$127,5,FALSE)</x:f>
        <x:v>46303.666666666664</x:v>
      </x:c>
      <x:c r="O945" s="16" t="n">
        <x:f>MAX(0,(M945-N945)*24)</x:f>
        <x:v>0</x:v>
      </x:c>
      <x:c r="P945" s="9" t="str">
        <x:v>No</x:v>
      </x:c>
      <x:c r="Q945" s="15" t="n">
        <x:v>40</x:v>
      </x:c>
      <x:c r="R945" s="13" t="n">
        <x:f>J945+Q945/1440</x:f>
        <x:v>46303.27777777778</x:v>
      </x:c>
      <x:c r="S945" s="2" t="str">
        <x:f>VLOOKUP(C945,'MES orders'!$A$8:$H$127,6,FALSE)</x:f>
        <x:v>Normal</x:v>
      </x:c>
      <x:c r="T945" s="9" t="str"/>
    </x:row>
    <x:row r="946" ht="22" customHeight="1">
      <x:c r="A946" s="2" t="str">
        <x:v>L00014-080</x:v>
      </x:c>
      <x:c r="B946" s="2" t="str">
        <x:v>L00014</x:v>
      </x:c>
      <x:c r="C946" s="2" t="str">
        <x:v>SO-26003</x:v>
      </x:c>
      <x:c r="D946" s="2" t="str">
        <x:v>S-S-AL</x:v>
      </x:c>
      <x:c r="E946" s="14" t="n">
        <x:v>15</x:v>
      </x:c>
      <x:c r="F946" s="2" t="str">
        <x:v>Final leak / function test</x:v>
      </x:c>
      <x:c r="G946" s="9" t="str">
        <x:v>QA-03</x:v>
      </x:c>
      <x:c r="H946" s="15" t="n">
        <x:v>41</x:v>
      </x:c>
      <x:c r="I946" s="9" t="str">
        <x:v>P10</x:v>
      </x:c>
      <x:c r="J946" s="11" t="n">
        <x:v>46303.25</x:v>
      </x:c>
      <x:c r="K946" s="15" t="n">
        <x:v>10</x:v>
      </x:c>
      <x:c r="L946" s="15" t="n">
        <x:v>14</x:v>
      </x:c>
      <x:c r="M946" s="13" t="n">
        <x:f>J946+(K946+L946)/1440</x:f>
        <x:v>46303.26666666667</x:v>
      </x:c>
      <x:c r="N946" s="13" t="n">
        <x:f>VLOOKUP(C946,'MES orders'!$A$8:$H$127,5,FALSE)</x:f>
        <x:v>46304.666666666664</x:v>
      </x:c>
      <x:c r="O946" s="16" t="n">
        <x:f>MAX(0,(M946-N946)*24)</x:f>
        <x:v>0</x:v>
      </x:c>
      <x:c r="P946" s="9" t="str">
        <x:v>No</x:v>
      </x:c>
      <x:c r="Q946" s="15" t="n">
        <x:v>24</x:v>
      </x:c>
      <x:c r="R946" s="13" t="n">
        <x:f>J946+Q946/1440</x:f>
        <x:v>46303.26666666667</x:v>
      </x:c>
      <x:c r="S946" s="2" t="str">
        <x:f>VLOOKUP(C946,'MES orders'!$A$8:$H$127,6,FALSE)</x:f>
        <x:v>Normal</x:v>
      </x:c>
      <x:c r="T946" s="9" t="str"/>
    </x:row>
    <x:row r="947" ht="22" customHeight="1">
      <x:c r="A947" s="2" t="str">
        <x:v>L00406-030</x:v>
      </x:c>
      <x:c r="B947" s="2" t="str">
        <x:v>L00406</x:v>
      </x:c>
      <x:c r="C947" s="2" t="str">
        <x:v>SO-26082</x:v>
      </x:c>
      <x:c r="D947" s="2" t="str">
        <x:v>R-S-SS</x:v>
      </x:c>
      <x:c r="E947" s="14" t="n">
        <x:v>10</x:v>
      </x:c>
      <x:c r="F947" s="2" t="str">
        <x:v>Wash &amp; dry</x:v>
      </x:c>
      <x:c r="G947" s="9" t="str">
        <x:v>WS-01</x:v>
      </x:c>
      <x:c r="H947" s="15" t="n">
        <x:v>89</x:v>
      </x:c>
      <x:c r="I947" s="9" t="str">
        <x:v>P04</x:v>
      </x:c>
      <x:c r="J947" s="11" t="n">
        <x:v>46303.25</x:v>
      </x:c>
      <x:c r="K947" s="15" t="n">
        <x:v>12</x:v>
      </x:c>
      <x:c r="L947" s="15" t="n">
        <x:v>4</x:v>
      </x:c>
      <x:c r="M947" s="13" t="n">
        <x:f>J947+(K947+L947)/1440</x:f>
        <x:v>46303.26111111111</x:v>
      </x:c>
      <x:c r="N947" s="13" t="n">
        <x:f>VLOOKUP(C947,'MES orders'!$A$8:$H$127,5,FALSE)</x:f>
        <x:v>46303.666666666664</x:v>
      </x:c>
      <x:c r="O947" s="16" t="n">
        <x:f>MAX(0,(M947-N947)*24)</x:f>
        <x:v>0</x:v>
      </x:c>
      <x:c r="P947" s="9" t="str">
        <x:v>No</x:v>
      </x:c>
      <x:c r="Q947" s="15" t="n">
        <x:v>16</x:v>
      </x:c>
      <x:c r="R947" s="13" t="n">
        <x:f>J947+Q947/1440</x:f>
        <x:v>46303.26111111111</x:v>
      </x:c>
      <x:c r="S947" s="2" t="str">
        <x:f>VLOOKUP(C947,'MES orders'!$A$8:$H$127,6,FALSE)</x:f>
        <x:v>Normal</x:v>
      </x:c>
      <x:c r="T947" s="9" t="str"/>
    </x:row>
    <x:row r="948" ht="22" customHeight="1">
      <x:c r="A948" s="2" t="str">
        <x:v>L00408-050</x:v>
      </x:c>
      <x:c r="B948" s="2" t="str">
        <x:v>L00408</x:v>
      </x:c>
      <x:c r="C948" s="2" t="str">
        <x:v>SO-26082</x:v>
      </x:c>
      <x:c r="D948" s="2" t="str">
        <x:v>R-S-SS</x:v>
      </x:c>
      <x:c r="E948" s="14" t="n">
        <x:v>10</x:v>
      </x:c>
      <x:c r="F948" s="2" t="str">
        <x:v>Valve adjustment</x:v>
      </x:c>
      <x:c r="G948" s="9" t="str">
        <x:v>AS-03</x:v>
      </x:c>
      <x:c r="H948" s="15" t="n">
        <x:v>49</x:v>
      </x:c>
      <x:c r="I948" s="9" t="str">
        <x:v>P05</x:v>
      </x:c>
      <x:c r="J948" s="11" t="n">
        <x:v>46303.260416666664</x:v>
      </x:c>
      <x:c r="K948" s="15" t="n">
        <x:v>6</x:v>
      </x:c>
      <x:c r="L948" s="15" t="n">
        <x:v>11</x:v>
      </x:c>
      <x:c r="M948" s="13" t="n">
        <x:f>J948+(K948+L948)/1440</x:f>
        <x:v>46303.27222222222</x:v>
      </x:c>
      <x:c r="N948" s="13" t="n">
        <x:f>VLOOKUP(C948,'MES orders'!$A$8:$H$127,5,FALSE)</x:f>
        <x:v>46303.666666666664</x:v>
      </x:c>
      <x:c r="O948" s="16" t="n">
        <x:f>MAX(0,(M948-N948)*24)</x:f>
        <x:v>0</x:v>
      </x:c>
      <x:c r="P948" s="9" t="str">
        <x:v>No</x:v>
      </x:c>
      <x:c r="Q948" s="15" t="n">
        <x:v>17</x:v>
      </x:c>
      <x:c r="R948" s="13" t="n">
        <x:f>J948+Q948/1440</x:f>
        <x:v>46303.27222222222</x:v>
      </x:c>
      <x:c r="S948" s="2" t="str">
        <x:f>VLOOKUP(C948,'MES orders'!$A$8:$H$127,6,FALSE)</x:f>
        <x:v>Normal</x:v>
      </x:c>
      <x:c r="T948" s="9" t="str"/>
    </x:row>
    <x:row r="949" ht="22" customHeight="1">
      <x:c r="A949" s="2" t="str">
        <x:v>L00406-040</x:v>
      </x:c>
      <x:c r="B949" s="2" t="str">
        <x:v>L00406</x:v>
      </x:c>
      <x:c r="C949" s="2" t="str">
        <x:v>SO-26082</x:v>
      </x:c>
      <x:c r="D949" s="2" t="str">
        <x:v>R-S-SS</x:v>
      </x:c>
      <x:c r="E949" s="14" t="n">
        <x:v>10</x:v>
      </x:c>
      <x:c r="F949" s="2" t="str">
        <x:v>Mechanical assembly</x:v>
      </x:c>
      <x:c r="G949" s="9" t="str">
        <x:v>AS-01</x:v>
      </x:c>
      <x:c r="H949" s="15" t="n">
        <x:v>74</x:v>
      </x:c>
      <x:c r="I949" s="9" t="str">
        <x:v>P04</x:v>
      </x:c>
      <x:c r="J949" s="11" t="n">
        <x:v>46303.26111111111</x:v>
      </x:c>
      <x:c r="K949" s="15" t="n">
        <x:v>8</x:v>
      </x:c>
      <x:c r="L949" s="15" t="n">
        <x:v>18</x:v>
      </x:c>
      <x:c r="M949" s="13" t="n">
        <x:f>J949+(K949+L949)/1440</x:f>
        <x:v>46303.27916666667</x:v>
      </x:c>
      <x:c r="N949" s="13" t="n">
        <x:f>VLOOKUP(C949,'MES orders'!$A$8:$H$127,5,FALSE)</x:f>
        <x:v>46303.666666666664</x:v>
      </x:c>
      <x:c r="O949" s="16" t="n">
        <x:f>MAX(0,(M949-N949)*24)</x:f>
        <x:v>0</x:v>
      </x:c>
      <x:c r="P949" s="9" t="str">
        <x:v>No</x:v>
      </x:c>
      <x:c r="Q949" s="15" t="n">
        <x:v>26</x:v>
      </x:c>
      <x:c r="R949" s="13" t="n">
        <x:f>J949+Q949/1440</x:f>
        <x:v>46303.27916666667</x:v>
      </x:c>
      <x:c r="S949" s="2" t="str">
        <x:f>VLOOKUP(C949,'MES orders'!$A$8:$H$127,6,FALSE)</x:f>
        <x:v>Normal</x:v>
      </x:c>
      <x:c r="T949" s="9" t="str"/>
    </x:row>
    <x:row r="950" ht="22" customHeight="1">
      <x:c r="A950" s="2" t="str">
        <x:v>L00094-030</x:v>
      </x:c>
      <x:c r="B950" s="2" t="str">
        <x:v>L00094</x:v>
      </x:c>
      <x:c r="C950" s="2" t="str">
        <x:v>SO-26019</x:v>
      </x:c>
      <x:c r="D950" s="2" t="str">
        <x:v>D-C-AL</x:v>
      </x:c>
      <x:c r="E950" s="14" t="n">
        <x:v>5</x:v>
      </x:c>
      <x:c r="F950" s="2" t="str">
        <x:v>Wash &amp; dry</x:v>
      </x:c>
      <x:c r="G950" s="9" t="str">
        <x:v>WS-01</x:v>
      </x:c>
      <x:c r="H950" s="15" t="n">
        <x:v>90</x:v>
      </x:c>
      <x:c r="I950" s="9" t="str">
        <x:v>P06</x:v>
      </x:c>
      <x:c r="J950" s="11" t="n">
        <x:v>46303.26180555556</x:v>
      </x:c>
      <x:c r="K950" s="15" t="n">
        <x:v>12</x:v>
      </x:c>
      <x:c r="L950" s="15" t="n">
        <x:v>1</x:v>
      </x:c>
      <x:c r="M950" s="13" t="n">
        <x:f>J950+(K950+L950)/1440</x:f>
        <x:v>46303.270833333336</x:v>
      </x:c>
      <x:c r="N950" s="13" t="n">
        <x:f>VLOOKUP(C950,'MES orders'!$A$8:$H$127,5,FALSE)</x:f>
        <x:v>46304.666666666664</x:v>
      </x:c>
      <x:c r="O950" s="16" t="n">
        <x:f>MAX(0,(M950-N950)*24)</x:f>
        <x:v>0</x:v>
      </x:c>
      <x:c r="P950" s="9" t="str">
        <x:v>No</x:v>
      </x:c>
      <x:c r="Q950" s="15" t="n">
        <x:v>13</x:v>
      </x:c>
      <x:c r="R950" s="13" t="n">
        <x:f>J950+Q950/1440</x:f>
        <x:v>46303.270833333336</x:v>
      </x:c>
      <x:c r="S950" s="2" t="str">
        <x:f>VLOOKUP(C950,'MES orders'!$A$8:$H$127,6,FALSE)</x:f>
        <x:v>Normal</x:v>
      </x:c>
      <x:c r="T950" s="9" t="str"/>
    </x:row>
    <x:row r="951" ht="22" customHeight="1">
      <x:c r="A951" s="2" t="str">
        <x:v>L00131-010</x:v>
      </x:c>
      <x:c r="B951" s="2" t="str">
        <x:v>L00131</x:v>
      </x:c>
      <x:c r="C951" s="2" t="str">
        <x:v>SO-26027</x:v>
      </x:c>
      <x:c r="D951" s="2" t="str">
        <x:v>D-S-AL</x:v>
      </x:c>
      <x:c r="E951" s="14" t="n">
        <x:v>15</x:v>
      </x:c>
      <x:c r="F951" s="2" t="str">
        <x:v>CNC machining</x:v>
      </x:c>
      <x:c r="G951" s="9" t="str">
        <x:v>CNC-01</x:v>
      </x:c>
      <x:c r="H951" s="15" t="n">
        <x:v>33</x:v>
      </x:c>
      <x:c r="I951" s="9" t="str">
        <x:v>P02</x:v>
      </x:c>
      <x:c r="J951" s="11" t="n">
        <x:v>46303.2625</x:v>
      </x:c>
      <x:c r="K951" s="15" t="n">
        <x:v>18</x:v>
      </x:c>
      <x:c r="L951" s="15" t="n">
        <x:v>36</x:v>
      </x:c>
      <x:c r="M951" s="13" t="n">
        <x:f>J951+(K951+L951)/1440</x:f>
        <x:v>46303.299999999996</x:v>
      </x:c>
      <x:c r="N951" s="13" t="n">
        <x:f>VLOOKUP(C951,'MES orders'!$A$8:$H$127,5,FALSE)</x:f>
        <x:v>46304.666666666664</x:v>
      </x:c>
      <x:c r="O951" s="16" t="n">
        <x:f>MAX(0,(M951-N951)*24)</x:f>
        <x:v>0</x:v>
      </x:c>
      <x:c r="P951" s="9" t="str">
        <x:v>No</x:v>
      </x:c>
      <x:c r="Q951" s="15" t="n">
        <x:v>18</x:v>
      </x:c>
      <x:c r="R951" s="13" t="n">
        <x:f>J951+Q951/1440</x:f>
        <x:v>46303.274999999994</x:v>
      </x:c>
      <x:c r="S951" s="2" t="str">
        <x:f>VLOOKUP(C951,'MES orders'!$A$8:$H$127,6,FALSE)</x:f>
        <x:v>Normal</x:v>
      </x:c>
      <x:c r="T951" s="9" t="str"/>
    </x:row>
    <x:row r="952" ht="22" customHeight="1">
      <x:c r="A952" s="2" t="str">
        <x:v>L00132-010</x:v>
      </x:c>
      <x:c r="B952" s="2" t="str">
        <x:v>L00132</x:v>
      </x:c>
      <x:c r="C952" s="2" t="str">
        <x:v>SO-26027</x:v>
      </x:c>
      <x:c r="D952" s="2" t="str">
        <x:v>D-S-AL</x:v>
      </x:c>
      <x:c r="E952" s="14" t="n">
        <x:v>15</x:v>
      </x:c>
      <x:c r="F952" s="2" t="str">
        <x:v>CNC machining</x:v>
      </x:c>
      <x:c r="G952" s="9" t="str">
        <x:v>CNC-02</x:v>
      </x:c>
      <x:c r="H952" s="15" t="n">
        <x:v>22</x:v>
      </x:c>
      <x:c r="I952" s="9" t="str">
        <x:v>P03</x:v>
      </x:c>
      <x:c r="J952" s="11" t="n">
        <x:v>46303.2625</x:v>
      </x:c>
      <x:c r="K952" s="15" t="n">
        <x:v>18</x:v>
      </x:c>
      <x:c r="L952" s="15" t="n">
        <x:v>36</x:v>
      </x:c>
      <x:c r="M952" s="13" t="n">
        <x:f>J952+(K952+L952)/1440</x:f>
        <x:v>46303.299999999996</x:v>
      </x:c>
      <x:c r="N952" s="13" t="n">
        <x:f>VLOOKUP(C952,'MES orders'!$A$8:$H$127,5,FALSE)</x:f>
        <x:v>46304.666666666664</x:v>
      </x:c>
      <x:c r="O952" s="16" t="n">
        <x:f>MAX(0,(M952-N952)*24)</x:f>
        <x:v>0</x:v>
      </x:c>
      <x:c r="P952" s="9" t="str">
        <x:v>No</x:v>
      </x:c>
      <x:c r="Q952" s="15" t="n">
        <x:v>18</x:v>
      </x:c>
      <x:c r="R952" s="13" t="n">
        <x:f>J952+Q952/1440</x:f>
        <x:v>46303.274999999994</x:v>
      </x:c>
      <x:c r="S952" s="2" t="str">
        <x:f>VLOOKUP(C952,'MES orders'!$A$8:$H$127,6,FALSE)</x:f>
        <x:v>Normal</x:v>
      </x:c>
      <x:c r="T952" s="9" t="str"/>
    </x:row>
    <x:row r="953" ht="22" customHeight="1">
      <x:c r="A953" s="2" t="str">
        <x:v>L00450-010</x:v>
      </x:c>
      <x:c r="B953" s="2" t="str">
        <x:v>L00450</x:v>
      </x:c>
      <x:c r="C953" s="2" t="str">
        <x:v>SO-26090</x:v>
      </x:c>
      <x:c r="D953" s="2" t="str">
        <x:v>R-L-SS</x:v>
      </x:c>
      <x:c r="E953" s="14" t="n">
        <x:v>5</x:v>
      </x:c>
      <x:c r="F953" s="2" t="str">
        <x:v>CNC machining</x:v>
      </x:c>
      <x:c r="G953" s="9" t="str">
        <x:v>CNC-06</x:v>
      </x:c>
      <x:c r="H953" s="15" t="n">
        <x:v>24</x:v>
      </x:c>
      <x:c r="I953" s="9" t="str">
        <x:v>P01</x:v>
      </x:c>
      <x:c r="J953" s="11" t="n">
        <x:v>46303.2625</x:v>
      </x:c>
      <x:c r="K953" s="15" t="n">
        <x:v>18</x:v>
      </x:c>
      <x:c r="L953" s="15" t="n">
        <x:v>20</x:v>
      </x:c>
      <x:c r="M953" s="13" t="n">
        <x:f>J953+(K953+L953)/1440</x:f>
        <x:v>46303.288888888885</x:v>
      </x:c>
      <x:c r="N953" s="13" t="n">
        <x:f>VLOOKUP(C953,'MES orders'!$A$8:$H$127,5,FALSE)</x:f>
        <x:v>46303.666666666664</x:v>
      </x:c>
      <x:c r="O953" s="16" t="n">
        <x:f>MAX(0,(M953-N953)*24)</x:f>
        <x:v>0</x:v>
      </x:c>
      <x:c r="P953" s="9" t="str">
        <x:v>No</x:v>
      </x:c>
      <x:c r="Q953" s="15" t="n">
        <x:v>18</x:v>
      </x:c>
      <x:c r="R953" s="13" t="n">
        <x:f>J953+Q953/1440</x:f>
        <x:v>46303.274999999994</x:v>
      </x:c>
      <x:c r="S953" s="2" t="str">
        <x:f>VLOOKUP(C953,'MES orders'!$A$8:$H$127,6,FALSE)</x:f>
        <x:v>Normal</x:v>
      </x:c>
      <x:c r="T953" s="9" t="str"/>
    </x:row>
    <x:row r="954" ht="22" customHeight="1">
      <x:c r="A954" s="2" t="str">
        <x:v>L00095-050</x:v>
      </x:c>
      <x:c r="B954" s="2" t="str">
        <x:v>L00095</x:v>
      </x:c>
      <x:c r="C954" s="2" t="str">
        <x:v>SO-26019</x:v>
      </x:c>
      <x:c r="D954" s="2" t="str">
        <x:v>D-C-AL</x:v>
      </x:c>
      <x:c r="E954" s="14" t="n">
        <x:v>5</x:v>
      </x:c>
      <x:c r="F954" s="2" t="str">
        <x:v>Final leak / function test</x:v>
      </x:c>
      <x:c r="G954" s="9" t="str">
        <x:v>QA-03</x:v>
      </x:c>
      <x:c r="H954" s="15" t="n">
        <x:v>42</x:v>
      </x:c>
      <x:c r="I954" s="9" t="str">
        <x:v>P10</x:v>
      </x:c>
      <x:c r="J954" s="11" t="n">
        <x:v>46303.26666666667</x:v>
      </x:c>
      <x:c r="K954" s="15" t="n">
        <x:v>10</x:v>
      </x:c>
      <x:c r="L954" s="15" t="n">
        <x:v>4</x:v>
      </x:c>
      <x:c r="M954" s="13" t="n">
        <x:f>J954+(K954+L954)/1440</x:f>
        <x:v>46303.276388888895</x:v>
      </x:c>
      <x:c r="N954" s="13" t="n">
        <x:f>VLOOKUP(C954,'MES orders'!$A$8:$H$127,5,FALSE)</x:f>
        <x:v>46304.666666666664</x:v>
      </x:c>
      <x:c r="O954" s="16" t="n">
        <x:f>MAX(0,(M954-N954)*24)</x:f>
        <x:v>0</x:v>
      </x:c>
      <x:c r="P954" s="9" t="str">
        <x:v>No</x:v>
      </x:c>
      <x:c r="Q954" s="15" t="n">
        <x:v>14</x:v>
      </x:c>
      <x:c r="R954" s="13" t="n">
        <x:f>J954+Q954/1440</x:f>
        <x:v>46303.276388888895</x:v>
      </x:c>
      <x:c r="S954" s="2" t="str">
        <x:f>VLOOKUP(C954,'MES orders'!$A$8:$H$127,6,FALSE)</x:f>
        <x:v>Normal</x:v>
      </x:c>
      <x:c r="T954" s="9" t="str"/>
    </x:row>
    <x:row r="955" ht="22" customHeight="1">
      <x:c r="A955" s="2" t="str">
        <x:v>L00330-050</x:v>
      </x:c>
      <x:c r="B955" s="2" t="str">
        <x:v>L00330</x:v>
      </x:c>
      <x:c r="C955" s="2" t="str">
        <x:v>SO-26066</x:v>
      </x:c>
      <x:c r="D955" s="2" t="str">
        <x:v>D-L-SS</x:v>
      </x:c>
      <x:c r="E955" s="14" t="n">
        <x:v>15</x:v>
      </x:c>
      <x:c r="F955" s="2" t="str">
        <x:v>Final leak / function test</x:v>
      </x:c>
      <x:c r="G955" s="9" t="str">
        <x:v>QA-01</x:v>
      </x:c>
      <x:c r="H955" s="15" t="n">
        <x:v>41</x:v>
      </x:c>
      <x:c r="I955" s="9" t="str">
        <x:v>P12</x:v>
      </x:c>
      <x:c r="J955" s="11" t="n">
        <x:v>46303.26944444444</x:v>
      </x:c>
      <x:c r="K955" s="15" t="n">
        <x:v>10</x:v>
      </x:c>
      <x:c r="L955" s="15" t="n">
        <x:v>18</x:v>
      </x:c>
      <x:c r="M955" s="13" t="n">
        <x:f>J955+(K955+L955)/1440</x:f>
        <x:v>46303.288888888885</x:v>
      </x:c>
      <x:c r="N955" s="13" t="n">
        <x:f>VLOOKUP(C955,'MES orders'!$A$8:$H$127,5,FALSE)</x:f>
        <x:v>46303.666666666664</x:v>
      </x:c>
      <x:c r="O955" s="16" t="n">
        <x:f>MAX(0,(M955-N955)*24)</x:f>
        <x:v>0</x:v>
      </x:c>
      <x:c r="P955" s="9" t="str">
        <x:v>No</x:v>
      </x:c>
      <x:c r="Q955" s="15" t="n">
        <x:v>28</x:v>
      </x:c>
      <x:c r="R955" s="13" t="n">
        <x:f>J955+Q955/1440</x:f>
        <x:v>46303.288888888885</x:v>
      </x:c>
      <x:c r="S955" s="2" t="str">
        <x:f>VLOOKUP(C955,'MES orders'!$A$8:$H$127,6,FALSE)</x:f>
        <x:v>Normal</x:v>
      </x:c>
      <x:c r="T955" s="9" t="str"/>
    </x:row>
    <x:row r="956" ht="22" customHeight="1">
      <x:c r="A956" s="2" t="str">
        <x:v>L00094-040</x:v>
      </x:c>
      <x:c r="B956" s="2" t="str">
        <x:v>L00094</x:v>
      </x:c>
      <x:c r="C956" s="2" t="str">
        <x:v>SO-26019</x:v>
      </x:c>
      <x:c r="D956" s="2" t="str">
        <x:v>D-C-AL</x:v>
      </x:c>
      <x:c r="E956" s="14" t="n">
        <x:v>5</x:v>
      </x:c>
      <x:c r="F956" s="2" t="str">
        <x:v>Mechanical assembly</x:v>
      </x:c>
      <x:c r="G956" s="9" t="str">
        <x:v>AS-04</x:v>
      </x:c>
      <x:c r="H956" s="15" t="n">
        <x:v>34</x:v>
      </x:c>
      <x:c r="I956" s="9" t="str">
        <x:v>P07</x:v>
      </x:c>
      <x:c r="J956" s="11" t="n">
        <x:v>46303.270833333336</x:v>
      </x:c>
      <x:c r="K956" s="15" t="n">
        <x:v>8</x:v>
      </x:c>
      <x:c r="L956" s="15" t="n">
        <x:v>7</x:v>
      </x:c>
      <x:c r="M956" s="13" t="n">
        <x:f>J956+(K956+L956)/1440</x:f>
        <x:v>46303.28125</x:v>
      </x:c>
      <x:c r="N956" s="13" t="n">
        <x:f>VLOOKUP(C956,'MES orders'!$A$8:$H$127,5,FALSE)</x:f>
        <x:v>46304.666666666664</x:v>
      </x:c>
      <x:c r="O956" s="16" t="n">
        <x:f>MAX(0,(M956-N956)*24)</x:f>
        <x:v>0</x:v>
      </x:c>
      <x:c r="P956" s="9" t="str">
        <x:v>No</x:v>
      </x:c>
      <x:c r="Q956" s="15" t="n">
        <x:v>15</x:v>
      </x:c>
      <x:c r="R956" s="13" t="n">
        <x:f>J956+Q956/1440</x:f>
        <x:v>46303.28125</x:v>
      </x:c>
      <x:c r="S956" s="2" t="str">
        <x:f>VLOOKUP(C956,'MES orders'!$A$8:$H$127,6,FALSE)</x:f>
        <x:v>Normal</x:v>
      </x:c>
      <x:c r="T956" s="9" t="str"/>
    </x:row>
    <x:row r="957" ht="22" customHeight="1">
      <x:c r="A957" s="2" t="str">
        <x:v>L00486-010</x:v>
      </x:c>
      <x:c r="B957" s="2" t="str">
        <x:v>L00486</x:v>
      </x:c>
      <x:c r="C957" s="2" t="str">
        <x:v>SO-26098</x:v>
      </x:c>
      <x:c r="D957" s="2" t="str">
        <x:v>S-C-SS</x:v>
      </x:c>
      <x:c r="E957" s="14" t="n">
        <x:v>10</x:v>
      </x:c>
      <x:c r="F957" s="2" t="str">
        <x:v>CNC machining</x:v>
      </x:c>
      <x:c r="G957" s="9" t="str">
        <x:v>CNC-03</x:v>
      </x:c>
      <x:c r="H957" s="15" t="n">
        <x:v>29</x:v>
      </x:c>
      <x:c r="I957" s="9" t="str">
        <x:v>P01</x:v>
      </x:c>
      <x:c r="J957" s="11" t="n">
        <x:v>46303.27638888889</x:v>
      </x:c>
      <x:c r="K957" s="15" t="n">
        <x:v>18</x:v>
      </x:c>
      <x:c r="L957" s="15" t="n">
        <x:v>24</x:v>
      </x:c>
      <x:c r="M957" s="13" t="n">
        <x:f>J957+(K957+L957)/1440</x:f>
        <x:v>46303.305555555555</x:v>
      </x:c>
      <x:c r="N957" s="13" t="n">
        <x:f>VLOOKUP(C957,'MES orders'!$A$8:$H$127,5,FALSE)</x:f>
        <x:v>46303.666666666664</x:v>
      </x:c>
      <x:c r="O957" s="16" t="n">
        <x:f>MAX(0,(M957-N957)*24)</x:f>
        <x:v>0</x:v>
      </x:c>
      <x:c r="P957" s="9" t="str">
        <x:v>No</x:v>
      </x:c>
      <x:c r="Q957" s="15" t="n">
        <x:v>18</x:v>
      </x:c>
      <x:c r="R957" s="13" t="n">
        <x:f>J957+Q957/1440</x:f>
        <x:v>46303.288888888885</x:v>
      </x:c>
      <x:c r="S957" s="2" t="str">
        <x:f>VLOOKUP(C957,'MES orders'!$A$8:$H$127,6,FALSE)</x:f>
        <x:v>Normal</x:v>
      </x:c>
      <x:c r="T957" s="9" t="str"/>
    </x:row>
    <x:row r="958" ht="22" customHeight="1">
      <x:c r="A958" s="2" t="str">
        <x:v>L00487-010</x:v>
      </x:c>
      <x:c r="B958" s="2" t="str">
        <x:v>L00487</x:v>
      </x:c>
      <x:c r="C958" s="2" t="str">
        <x:v>SO-26098</x:v>
      </x:c>
      <x:c r="D958" s="2" t="str">
        <x:v>S-C-SS</x:v>
      </x:c>
      <x:c r="E958" s="14" t="n">
        <x:v>10</x:v>
      </x:c>
      <x:c r="F958" s="2" t="str">
        <x:v>CNC machining</x:v>
      </x:c>
      <x:c r="G958" s="9" t="str">
        <x:v>CNC-04</x:v>
      </x:c>
      <x:c r="H958" s="15" t="n">
        <x:v>30</x:v>
      </x:c>
      <x:c r="I958" s="9" t="str">
        <x:v>P02</x:v>
      </x:c>
      <x:c r="J958" s="11" t="n">
        <x:v>46303.27638888889</x:v>
      </x:c>
      <x:c r="K958" s="15" t="n">
        <x:v>18</x:v>
      </x:c>
      <x:c r="L958" s="15" t="n">
        <x:v>24</x:v>
      </x:c>
      <x:c r="M958" s="13" t="n">
        <x:f>J958+(K958+L958)/1440</x:f>
        <x:v>46303.305555555555</x:v>
      </x:c>
      <x:c r="N958" s="13" t="n">
        <x:f>VLOOKUP(C958,'MES orders'!$A$8:$H$127,5,FALSE)</x:f>
        <x:v>46303.666666666664</x:v>
      </x:c>
      <x:c r="O958" s="16" t="n">
        <x:f>MAX(0,(M958-N958)*24)</x:f>
        <x:v>0</x:v>
      </x:c>
      <x:c r="P958" s="9" t="str">
        <x:v>No</x:v>
      </x:c>
      <x:c r="Q958" s="15" t="n">
        <x:v>18</x:v>
      </x:c>
      <x:c r="R958" s="13" t="n">
        <x:f>J958+Q958/1440</x:f>
        <x:v>46303.288888888885</x:v>
      </x:c>
      <x:c r="S958" s="2" t="str">
        <x:f>VLOOKUP(C958,'MES orders'!$A$8:$H$127,6,FALSE)</x:f>
        <x:v>Normal</x:v>
      </x:c>
      <x:c r="T958" s="9" t="str"/>
    </x:row>
    <x:row r="959" ht="22" customHeight="1">
      <x:c r="A959" s="2" t="str">
        <x:v>L00488-010</x:v>
      </x:c>
      <x:c r="B959" s="2" t="str">
        <x:v>L00488</x:v>
      </x:c>
      <x:c r="C959" s="2" t="str">
        <x:v>SO-26098</x:v>
      </x:c>
      <x:c r="D959" s="2" t="str">
        <x:v>S-C-SS</x:v>
      </x:c>
      <x:c r="E959" s="14" t="n">
        <x:v>10</x:v>
      </x:c>
      <x:c r="F959" s="2" t="str">
        <x:v>CNC machining</x:v>
      </x:c>
      <x:c r="G959" s="9" t="str">
        <x:v>CNC-05</x:v>
      </x:c>
      <x:c r="H959" s="15" t="n">
        <x:v>27</x:v>
      </x:c>
      <x:c r="I959" s="9" t="str">
        <x:v>P03</x:v>
      </x:c>
      <x:c r="J959" s="11" t="n">
        <x:v>46303.27638888889</x:v>
      </x:c>
      <x:c r="K959" s="15" t="n">
        <x:v>18</x:v>
      </x:c>
      <x:c r="L959" s="15" t="n">
        <x:v>24</x:v>
      </x:c>
      <x:c r="M959" s="13" t="n">
        <x:f>J959+(K959+L959)/1440</x:f>
        <x:v>46303.305555555555</x:v>
      </x:c>
      <x:c r="N959" s="13" t="n">
        <x:f>VLOOKUP(C959,'MES orders'!$A$8:$H$127,5,FALSE)</x:f>
        <x:v>46303.666666666664</x:v>
      </x:c>
      <x:c r="O959" s="16" t="n">
        <x:f>MAX(0,(M959-N959)*24)</x:f>
        <x:v>0</x:v>
      </x:c>
      <x:c r="P959" s="9" t="str">
        <x:v>No</x:v>
      </x:c>
      <x:c r="Q959" s="15" t="n">
        <x:v>18</x:v>
      </x:c>
      <x:c r="R959" s="13" t="n">
        <x:f>J959+Q959/1440</x:f>
        <x:v>46303.288888888885</x:v>
      </x:c>
      <x:c r="S959" s="2" t="str">
        <x:f>VLOOKUP(C959,'MES orders'!$A$8:$H$127,6,FALSE)</x:f>
        <x:v>Normal</x:v>
      </x:c>
      <x:c r="T959" s="9" t="str"/>
    </x:row>
    <x:row r="960" ht="22" customHeight="1">
      <x:c r="A960" s="2" t="str">
        <x:v>L00447-020</x:v>
      </x:c>
      <x:c r="B960" s="2" t="str">
        <x:v>L00447</x:v>
      </x:c>
      <x:c r="C960" s="2" t="str">
        <x:v>SO-26090</x:v>
      </x:c>
      <x:c r="D960" s="2" t="str">
        <x:v>R-L-SS</x:v>
      </x:c>
      <x:c r="E960" s="14" t="n">
        <x:v>5</x:v>
      </x:c>
      <x:c r="F960" s="2" t="str">
        <x:v>Deburr &amp; inspect</x:v>
      </x:c>
      <x:c r="G960" s="9" t="str">
        <x:v>DB-01</x:v>
      </x:c>
      <x:c r="H960" s="15" t="n">
        <x:v>91</x:v>
      </x:c>
      <x:c r="I960" s="9" t="str">
        <x:v>P05</x:v>
      </x:c>
      <x:c r="J960" s="11" t="n">
        <x:v>46303.27638888889</x:v>
      </x:c>
      <x:c r="K960" s="15" t="n">
        <x:v>4</x:v>
      </x:c>
      <x:c r="L960" s="15" t="n">
        <x:v>5</x:v>
      </x:c>
      <x:c r="M960" s="13" t="n">
        <x:f>J960+(K960+L960)/1440</x:f>
        <x:v>46303.282638888886</x:v>
      </x:c>
      <x:c r="N960" s="13" t="n">
        <x:f>VLOOKUP(C960,'MES orders'!$A$8:$H$127,5,FALSE)</x:f>
        <x:v>46303.666666666664</x:v>
      </x:c>
      <x:c r="O960" s="16" t="n">
        <x:f>MAX(0,(M960-N960)*24)</x:f>
        <x:v>0</x:v>
      </x:c>
      <x:c r="P960" s="9" t="str">
        <x:v>No</x:v>
      </x:c>
      <x:c r="Q960" s="15" t="n">
        <x:v>9</x:v>
      </x:c>
      <x:c r="R960" s="13" t="n">
        <x:f>J960+Q960/1440</x:f>
        <x:v>46303.282638888886</x:v>
      </x:c>
      <x:c r="S960" s="2" t="str">
        <x:f>VLOOKUP(C960,'MES orders'!$A$8:$H$127,6,FALSE)</x:f>
        <x:v>Normal</x:v>
      </x:c>
      <x:c r="T960" s="9" t="str"/>
    </x:row>
    <x:row r="961" ht="22" customHeight="1">
      <x:c r="A961" s="2" t="str">
        <x:v>L00366-060</x:v>
      </x:c>
      <x:c r="B961" s="2" t="str">
        <x:v>L00366</x:v>
      </x:c>
      <x:c r="C961" s="2" t="str">
        <x:v>SO-26074</x:v>
      </x:c>
      <x:c r="D961" s="2" t="str">
        <x:v>R-C-SS</x:v>
      </x:c>
      <x:c r="E961" s="14" t="n">
        <x:v>10</x:v>
      </x:c>
      <x:c r="F961" s="2" t="str">
        <x:v>Final leak / function test</x:v>
      </x:c>
      <x:c r="G961" s="9" t="str">
        <x:v>QA-02</x:v>
      </x:c>
      <x:c r="H961" s="15" t="n">
        <x:v>64</x:v>
      </x:c>
      <x:c r="I961" s="9" t="str">
        <x:v>P11</x:v>
      </x:c>
      <x:c r="J961" s="11" t="n">
        <x:v>46303.27777777778</x:v>
      </x:c>
      <x:c r="K961" s="15" t="n">
        <x:v>10</x:v>
      </x:c>
      <x:c r="L961" s="15" t="n">
        <x:v>7</x:v>
      </x:c>
      <x:c r="M961" s="13" t="n">
        <x:f>J961+(K961+L961)/1440</x:f>
        <x:v>46303.28958333334</x:v>
      </x:c>
      <x:c r="N961" s="13" t="n">
        <x:f>VLOOKUP(C961,'MES orders'!$A$8:$H$127,5,FALSE)</x:f>
        <x:v>46303.666666666664</x:v>
      </x:c>
      <x:c r="O961" s="16" t="n">
        <x:f>MAX(0,(M961-N961)*24)</x:f>
        <x:v>0</x:v>
      </x:c>
      <x:c r="P961" s="9" t="str">
        <x:v>No</x:v>
      </x:c>
      <x:c r="Q961" s="15" t="n">
        <x:v>17</x:v>
      </x:c>
      <x:c r="R961" s="13" t="n">
        <x:f>J961+Q961/1440</x:f>
        <x:v>46303.28958333334</x:v>
      </x:c>
      <x:c r="S961" s="2" t="str">
        <x:f>VLOOKUP(C961,'MES orders'!$A$8:$H$127,6,FALSE)</x:f>
        <x:v>Normal</x:v>
      </x:c>
      <x:c r="T961" s="9" t="str"/>
    </x:row>
    <x:row r="962" ht="22" customHeight="1">
      <x:c r="A962" s="2" t="str">
        <x:v>L00406-050</x:v>
      </x:c>
      <x:c r="B962" s="2" t="str">
        <x:v>L00406</x:v>
      </x:c>
      <x:c r="C962" s="2" t="str">
        <x:v>SO-26082</x:v>
      </x:c>
      <x:c r="D962" s="2" t="str">
        <x:v>R-S-SS</x:v>
      </x:c>
      <x:c r="E962" s="14" t="n">
        <x:v>10</x:v>
      </x:c>
      <x:c r="F962" s="2" t="str">
        <x:v>Valve adjustment</x:v>
      </x:c>
      <x:c r="G962" s="9" t="str">
        <x:v>AS-02</x:v>
      </x:c>
      <x:c r="H962" s="15" t="n">
        <x:v>60</x:v>
      </x:c>
      <x:c r="I962" s="9" t="str">
        <x:v>P06</x:v>
      </x:c>
      <x:c r="J962" s="11" t="n">
        <x:v>46303.27916666667</x:v>
      </x:c>
      <x:c r="K962" s="15" t="n">
        <x:v>6</x:v>
      </x:c>
      <x:c r="L962" s="15" t="n">
        <x:v>11</x:v>
      </x:c>
      <x:c r="M962" s="13" t="n">
        <x:f>J962+(K962+L962)/1440</x:f>
        <x:v>46303.290972222225</x:v>
      </x:c>
      <x:c r="N962" s="13" t="n">
        <x:f>VLOOKUP(C962,'MES orders'!$A$8:$H$127,5,FALSE)</x:f>
        <x:v>46303.666666666664</x:v>
      </x:c>
      <x:c r="O962" s="16" t="n">
        <x:f>MAX(0,(M962-N962)*24)</x:f>
        <x:v>0</x:v>
      </x:c>
      <x:c r="P962" s="9" t="str">
        <x:v>No</x:v>
      </x:c>
      <x:c r="Q962" s="15" t="n">
        <x:v>17</x:v>
      </x:c>
      <x:c r="R962" s="13" t="n">
        <x:f>J962+Q962/1440</x:f>
        <x:v>46303.290972222225</x:v>
      </x:c>
      <x:c r="S962" s="2" t="str">
        <x:f>VLOOKUP(C962,'MES orders'!$A$8:$H$127,6,FALSE)</x:f>
        <x:v>Normal</x:v>
      </x:c>
      <x:c r="T962" s="9" t="str"/>
    </x:row>
    <x:row r="963" ht="22" customHeight="1">
      <x:c r="A963" s="2" t="str">
        <x:v>L00409-040</x:v>
      </x:c>
      <x:c r="B963" s="2" t="str">
        <x:v>L00409</x:v>
      </x:c>
      <x:c r="C963" s="2" t="str">
        <x:v>SO-26082</x:v>
      </x:c>
      <x:c r="D963" s="2" t="str">
        <x:v>R-S-SS</x:v>
      </x:c>
      <x:c r="E963" s="14" t="n">
        <x:v>10</x:v>
      </x:c>
      <x:c r="F963" s="2" t="str">
        <x:v>Mechanical assembly</x:v>
      </x:c>
      <x:c r="G963" s="9" t="str">
        <x:v>AS-03</x:v>
      </x:c>
      <x:c r="H963" s="15" t="n">
        <x:v>50</x:v>
      </x:c>
      <x:c r="I963" s="9" t="str">
        <x:v>P04</x:v>
      </x:c>
      <x:c r="J963" s="11" t="n">
        <x:v>46303.27916666667</x:v>
      </x:c>
      <x:c r="K963" s="15" t="n">
        <x:v>8</x:v>
      </x:c>
      <x:c r="L963" s="15" t="n">
        <x:v>18</x:v>
      </x:c>
      <x:c r="M963" s="13" t="n">
        <x:f>J963+(K963+L963)/1440</x:f>
        <x:v>46303.29722222222</x:v>
      </x:c>
      <x:c r="N963" s="13" t="n">
        <x:f>VLOOKUP(C963,'MES orders'!$A$8:$H$127,5,FALSE)</x:f>
        <x:v>46303.666666666664</x:v>
      </x:c>
      <x:c r="O963" s="16" t="n">
        <x:f>MAX(0,(M963-N963)*24)</x:f>
        <x:v>0</x:v>
      </x:c>
      <x:c r="P963" s="9" t="str">
        <x:v>No</x:v>
      </x:c>
      <x:c r="Q963" s="15" t="n">
        <x:v>26</x:v>
      </x:c>
      <x:c r="R963" s="13" t="n">
        <x:f>J963+Q963/1440</x:f>
        <x:v>46303.29722222222</x:v>
      </x:c>
      <x:c r="S963" s="2" t="str">
        <x:f>VLOOKUP(C963,'MES orders'!$A$8:$H$127,6,FALSE)</x:f>
        <x:v>Normal</x:v>
      </x:c>
      <x:c r="T963" s="9" t="str"/>
    </x:row>
    <x:row r="964" ht="22" customHeight="1">
      <x:c r="A964" s="2" t="str">
        <x:v>L00210-070</x:v>
      </x:c>
      <x:c r="B964" s="2" t="str">
        <x:v>L00210</x:v>
      </x:c>
      <x:c r="C964" s="2" t="str">
        <x:v>SO-26042</x:v>
      </x:c>
      <x:c r="D964" s="2" t="str">
        <x:v>S-L-SS</x:v>
      </x:c>
      <x:c r="E964" s="14" t="n">
        <x:v>25</x:v>
      </x:c>
      <x:c r="F964" s="2" t="str">
        <x:v>Final assembly</x:v>
      </x:c>
      <x:c r="G964" s="9" t="str">
        <x:v>AS-01</x:v>
      </x:c>
      <x:c r="H964" s="15" t="n">
        <x:v>75</x:v>
      </x:c>
      <x:c r="I964" s="9" t="str">
        <x:v>P05</x:v>
      </x:c>
      <x:c r="J964" s="11" t="n">
        <x:v>46303.2875</x:v>
      </x:c>
      <x:c r="K964" s="15" t="n">
        <x:v>5</x:v>
      </x:c>
      <x:c r="L964" s="15" t="n">
        <x:v>27</x:v>
      </x:c>
      <x:c r="M964" s="13" t="n">
        <x:f>J964+(K964+L964)/1440</x:f>
        <x:v>46303.30972222222</x:v>
      </x:c>
      <x:c r="N964" s="13" t="n">
        <x:f>VLOOKUP(C964,'MES orders'!$A$8:$H$127,5,FALSE)</x:f>
        <x:v>46303.666666666664</x:v>
      </x:c>
      <x:c r="O964" s="16" t="n">
        <x:f>MAX(0,(M964-N964)*24)</x:f>
        <x:v>0</x:v>
      </x:c>
      <x:c r="P964" s="9" t="str">
        <x:v>No</x:v>
      </x:c>
      <x:c r="Q964" s="15" t="n">
        <x:v>32</x:v>
      </x:c>
      <x:c r="R964" s="13" t="n">
        <x:f>J964+Q964/1440</x:f>
        <x:v>46303.30972222222</x:v>
      </x:c>
      <x:c r="S964" s="2" t="str">
        <x:f>VLOOKUP(C964,'MES orders'!$A$8:$H$127,6,FALSE)</x:f>
        <x:v>Normal</x:v>
      </x:c>
      <x:c r="T964" s="9" t="str"/>
    </x:row>
    <x:row r="965" ht="22" customHeight="1">
      <x:c r="A965" s="2" t="str">
        <x:v>L00015-060</x:v>
      </x:c>
      <x:c r="B965" s="2" t="str">
        <x:v>L00015</x:v>
      </x:c>
      <x:c r="C965" s="2" t="str">
        <x:v>SO-26003</x:v>
      </x:c>
      <x:c r="D965" s="2" t="str">
        <x:v>S-S-AL</x:v>
      </x:c>
      <x:c r="E965" s="14" t="n">
        <x:v>15</x:v>
      </x:c>
      <x:c r="F965" s="2" t="str">
        <x:v>Sensor calibration</x:v>
      </x:c>
      <x:c r="G965" s="9" t="str">
        <x:v>CAL-01</x:v>
      </x:c>
      <x:c r="H965" s="15" t="n">
        <x:v>40</x:v>
      </x:c>
      <x:c r="I965" s="9" t="str">
        <x:v>P09</x:v>
      </x:c>
      <x:c r="J965" s="11" t="n">
        <x:v>46303.2875</x:v>
      </x:c>
      <x:c r="K965" s="15" t="n">
        <x:v>10</x:v>
      </x:c>
      <x:c r="L965" s="15" t="n">
        <x:v>20</x:v>
      </x:c>
      <x:c r="M965" s="13" t="n">
        <x:f>J965+(K965+L965)/1440</x:f>
        <x:v>46303.308333333334</x:v>
      </x:c>
      <x:c r="N965" s="13" t="n">
        <x:f>VLOOKUP(C965,'MES orders'!$A$8:$H$127,5,FALSE)</x:f>
        <x:v>46304.666666666664</x:v>
      </x:c>
      <x:c r="O965" s="16" t="n">
        <x:f>MAX(0,(M965-N965)*24)</x:f>
        <x:v>0</x:v>
      </x:c>
      <x:c r="P965" s="9" t="str">
        <x:v>No</x:v>
      </x:c>
      <x:c r="Q965" s="15" t="n">
        <x:v>30</x:v>
      </x:c>
      <x:c r="R965" s="13" t="n">
        <x:f>J965+Q965/1440</x:f>
        <x:v>46303.308333333334</x:v>
      </x:c>
      <x:c r="S965" s="2" t="str">
        <x:f>VLOOKUP(C965,'MES orders'!$A$8:$H$127,6,FALSE)</x:f>
        <x:v>Normal</x:v>
      </x:c>
      <x:c r="T965" s="9" t="str"/>
    </x:row>
    <x:row r="966" ht="22" customHeight="1">
      <x:c r="A966" s="2" t="str">
        <x:v>L00489-010</x:v>
      </x:c>
      <x:c r="B966" s="2" t="str">
        <x:v>L00489</x:v>
      </x:c>
      <x:c r="C966" s="2" t="str">
        <x:v>SO-26098</x:v>
      </x:c>
      <x:c r="D966" s="2" t="str">
        <x:v>S-C-SS</x:v>
      </x:c>
      <x:c r="E966" s="14" t="n">
        <x:v>10</x:v>
      </x:c>
      <x:c r="F966" s="2" t="str">
        <x:v>CNC machining</x:v>
      </x:c>
      <x:c r="G966" s="9" t="str">
        <x:v>CNC-06</x:v>
      </x:c>
      <x:c r="H966" s="15" t="n">
        <x:v>25</x:v>
      </x:c>
      <x:c r="I966" s="9" t="str">
        <x:v>P01</x:v>
      </x:c>
      <x:c r="J966" s="11" t="n">
        <x:v>46303.28888888889</x:v>
      </x:c>
      <x:c r="K966" s="15" t="n">
        <x:v>18</x:v>
      </x:c>
      <x:c r="L966" s="15" t="n">
        <x:v>24</x:v>
      </x:c>
      <x:c r="M966" s="13" t="n">
        <x:f>J966+(K966+L966)/1440</x:f>
        <x:v>46303.31805555556</x:v>
      </x:c>
      <x:c r="N966" s="13" t="n">
        <x:f>VLOOKUP(C966,'MES orders'!$A$8:$H$127,5,FALSE)</x:f>
        <x:v>46303.666666666664</x:v>
      </x:c>
      <x:c r="O966" s="16" t="n">
        <x:f>MAX(0,(M966-N966)*24)</x:f>
        <x:v>0</x:v>
      </x:c>
      <x:c r="P966" s="9" t="str">
        <x:v>No</x:v>
      </x:c>
      <x:c r="Q966" s="15" t="n">
        <x:v>18</x:v>
      </x:c>
      <x:c r="R966" s="13" t="n">
        <x:f>J966+Q966/1440</x:f>
        <x:v>46303.30138888889</x:v>
      </x:c>
      <x:c r="S966" s="2" t="str">
        <x:f>VLOOKUP(C966,'MES orders'!$A$8:$H$127,6,FALSE)</x:f>
        <x:v>Normal</x:v>
      </x:c>
      <x:c r="T966" s="9" t="str"/>
    </x:row>
    <x:row r="967" ht="22" customHeight="1">
      <x:c r="A967" s="2" t="str">
        <x:v>L00367-060</x:v>
      </x:c>
      <x:c r="B967" s="2" t="str">
        <x:v>L00367</x:v>
      </x:c>
      <x:c r="C967" s="2" t="str">
        <x:v>SO-26074</x:v>
      </x:c>
      <x:c r="D967" s="2" t="str">
        <x:v>R-C-SS</x:v>
      </x:c>
      <x:c r="E967" s="14" t="n">
        <x:v>10</x:v>
      </x:c>
      <x:c r="F967" s="2" t="str">
        <x:v>Final leak / function test</x:v>
      </x:c>
      <x:c r="G967" s="9" t="str">
        <x:v>QA-03</x:v>
      </x:c>
      <x:c r="H967" s="15" t="n">
        <x:v>43</x:v>
      </x:c>
      <x:c r="I967" s="9" t="str">
        <x:v>P12</x:v>
      </x:c>
      <x:c r="J967" s="11" t="n">
        <x:v>46303.28888888889</x:v>
      </x:c>
      <x:c r="K967" s="15" t="n">
        <x:v>10</x:v>
      </x:c>
      <x:c r="L967" s="15" t="n">
        <x:v>7</x:v>
      </x:c>
      <x:c r="M967" s="13" t="n">
        <x:f>J967+(K967+L967)/1440</x:f>
        <x:v>46303.30069444445</x:v>
      </x:c>
      <x:c r="N967" s="13" t="n">
        <x:f>VLOOKUP(C967,'MES orders'!$A$8:$H$127,5,FALSE)</x:f>
        <x:v>46303.666666666664</x:v>
      </x:c>
      <x:c r="O967" s="16" t="n">
        <x:f>MAX(0,(M967-N967)*24)</x:f>
        <x:v>0</x:v>
      </x:c>
      <x:c r="P967" s="9" t="str">
        <x:v>No</x:v>
      </x:c>
      <x:c r="Q967" s="15" t="n">
        <x:v>17</x:v>
      </x:c>
      <x:c r="R967" s="13" t="n">
        <x:f>J967+Q967/1440</x:f>
        <x:v>46303.30069444445</x:v>
      </x:c>
      <x:c r="S967" s="2" t="str">
        <x:f>VLOOKUP(C967,'MES orders'!$A$8:$H$127,6,FALSE)</x:f>
        <x:v>Normal</x:v>
      </x:c>
      <x:c r="T967" s="9" t="str"/>
    </x:row>
    <x:row r="968" ht="22" customHeight="1">
      <x:c r="A968" s="2" t="str">
        <x:v>L00448-020</x:v>
      </x:c>
      <x:c r="B968" s="2" t="str">
        <x:v>L00448</x:v>
      </x:c>
      <x:c r="C968" s="2" t="str">
        <x:v>SO-26090</x:v>
      </x:c>
      <x:c r="D968" s="2" t="str">
        <x:v>R-L-SS</x:v>
      </x:c>
      <x:c r="E968" s="14" t="n">
        <x:v>5</x:v>
      </x:c>
      <x:c r="F968" s="2" t="str">
        <x:v>Deburr &amp; inspect</x:v>
      </x:c>
      <x:c r="G968" s="9" t="str">
        <x:v>DB-01</x:v>
      </x:c>
      <x:c r="H968" s="15" t="n">
        <x:v>92</x:v>
      </x:c>
      <x:c r="I968" s="9" t="str">
        <x:v>P06</x:v>
      </x:c>
      <x:c r="J968" s="11" t="n">
        <x:v>46303.290972222225</x:v>
      </x:c>
      <x:c r="K968" s="15" t="n">
        <x:v>4</x:v>
      </x:c>
      <x:c r="L968" s="15" t="n">
        <x:v>5</x:v>
      </x:c>
      <x:c r="M968" s="13" t="n">
        <x:f>J968+(K968+L968)/1440</x:f>
        <x:v>46303.29722222222</x:v>
      </x:c>
      <x:c r="N968" s="13" t="n">
        <x:f>VLOOKUP(C968,'MES orders'!$A$8:$H$127,5,FALSE)</x:f>
        <x:v>46303.666666666664</x:v>
      </x:c>
      <x:c r="O968" s="16" t="n">
        <x:f>MAX(0,(M968-N968)*24)</x:f>
        <x:v>0</x:v>
      </x:c>
      <x:c r="P968" s="9" t="str">
        <x:v>No</x:v>
      </x:c>
      <x:c r="Q968" s="15" t="n">
        <x:v>9</x:v>
      </x:c>
      <x:c r="R968" s="13" t="n">
        <x:f>J968+Q968/1440</x:f>
        <x:v>46303.29722222222</x:v>
      </x:c>
      <x:c r="S968" s="2" t="str">
        <x:f>VLOOKUP(C968,'MES orders'!$A$8:$H$127,6,FALSE)</x:f>
        <x:v>Normal</x:v>
      </x:c>
      <x:c r="T968" s="9" t="str"/>
    </x:row>
    <x:row r="969" ht="22" customHeight="1">
      <x:c r="A969" s="2" t="str">
        <x:v>L00406-060</x:v>
      </x:c>
      <x:c r="B969" s="2" t="str">
        <x:v>L00406</x:v>
      </x:c>
      <x:c r="C969" s="2" t="str">
        <x:v>SO-26082</x:v>
      </x:c>
      <x:c r="D969" s="2" t="str">
        <x:v>R-S-SS</x:v>
      </x:c>
      <x:c r="E969" s="14" t="n">
        <x:v>10</x:v>
      </x:c>
      <x:c r="F969" s="2" t="str">
        <x:v>Final leak / function test</x:v>
      </x:c>
      <x:c r="G969" s="9" t="str">
        <x:v>QA-02</x:v>
      </x:c>
      <x:c r="H969" s="15" t="n">
        <x:v>65</x:v>
      </x:c>
      <x:c r="I969" s="9" t="str">
        <x:v>P11</x:v>
      </x:c>
      <x:c r="J969" s="11" t="n">
        <x:v>46303.290972222225</x:v>
      </x:c>
      <x:c r="K969" s="15" t="n">
        <x:v>10</x:v>
      </x:c>
      <x:c r="L969" s="15" t="n">
        <x:v>9</x:v>
      </x:c>
      <x:c r="M969" s="13" t="n">
        <x:f>J969+(K969+L969)/1440</x:f>
        <x:v>46303.30416666667</x:v>
      </x:c>
      <x:c r="N969" s="13" t="n">
        <x:f>VLOOKUP(C969,'MES orders'!$A$8:$H$127,5,FALSE)</x:f>
        <x:v>46303.666666666664</x:v>
      </x:c>
      <x:c r="O969" s="16" t="n">
        <x:f>MAX(0,(M969-N969)*24)</x:f>
        <x:v>0</x:v>
      </x:c>
      <x:c r="P969" s="9" t="str">
        <x:v>No</x:v>
      </x:c>
      <x:c r="Q969" s="15" t="n">
        <x:v>19</x:v>
      </x:c>
      <x:c r="R969" s="13" t="n">
        <x:f>J969+Q969/1440</x:f>
        <x:v>46303.30416666667</x:v>
      </x:c>
      <x:c r="S969" s="2" t="str">
        <x:f>VLOOKUP(C969,'MES orders'!$A$8:$H$127,6,FALSE)</x:f>
        <x:v>Normal</x:v>
      </x:c>
      <x:c r="T969" s="9" t="str"/>
    </x:row>
    <x:row r="970" ht="22" customHeight="1">
      <x:c r="A970" s="2" t="str">
        <x:v>L00409-050</x:v>
      </x:c>
      <x:c r="B970" s="2" t="str">
        <x:v>L00409</x:v>
      </x:c>
      <x:c r="C970" s="2" t="str">
        <x:v>SO-26082</x:v>
      </x:c>
      <x:c r="D970" s="2" t="str">
        <x:v>R-S-SS</x:v>
      </x:c>
      <x:c r="E970" s="14" t="n">
        <x:v>10</x:v>
      </x:c>
      <x:c r="F970" s="2" t="str">
        <x:v>Valve adjustment</x:v>
      </x:c>
      <x:c r="G970" s="9" t="str">
        <x:v>AS-02</x:v>
      </x:c>
      <x:c r="H970" s="15" t="n">
        <x:v>61</x:v>
      </x:c>
      <x:c r="I970" s="9" t="str">
        <x:v>P06</x:v>
      </x:c>
      <x:c r="J970" s="11" t="n">
        <x:v>46303.29722222222</x:v>
      </x:c>
      <x:c r="K970" s="15" t="n">
        <x:v>6</x:v>
      </x:c>
      <x:c r="L970" s="15" t="n">
        <x:v>11</x:v>
      </x:c>
      <x:c r="M970" s="13" t="n">
        <x:f>J970+(K970+L970)/1440</x:f>
        <x:v>46303.30902777778</x:v>
      </x:c>
      <x:c r="N970" s="13" t="n">
        <x:f>VLOOKUP(C970,'MES orders'!$A$8:$H$127,5,FALSE)</x:f>
        <x:v>46303.666666666664</x:v>
      </x:c>
      <x:c r="O970" s="16" t="n">
        <x:f>MAX(0,(M970-N970)*24)</x:f>
        <x:v>0</x:v>
      </x:c>
      <x:c r="P970" s="9" t="str">
        <x:v>No</x:v>
      </x:c>
      <x:c r="Q970" s="15" t="n">
        <x:v>17</x:v>
      </x:c>
      <x:c r="R970" s="13" t="n">
        <x:f>J970+Q970/1440</x:f>
        <x:v>46303.30902777778</x:v>
      </x:c>
      <x:c r="S970" s="2" t="str">
        <x:f>VLOOKUP(C970,'MES orders'!$A$8:$H$127,6,FALSE)</x:f>
        <x:v>Normal</x:v>
      </x:c>
      <x:c r="T970" s="9" t="str"/>
    </x:row>
    <x:row r="971" ht="22" customHeight="1">
      <x:c r="A971" s="2" t="str">
        <x:v>L00410-040</x:v>
      </x:c>
      <x:c r="B971" s="2" t="str">
        <x:v>L00410</x:v>
      </x:c>
      <x:c r="C971" s="2" t="str">
        <x:v>SO-26082</x:v>
      </x:c>
      <x:c r="D971" s="2" t="str">
        <x:v>R-S-SS</x:v>
      </x:c>
      <x:c r="E971" s="14" t="n">
        <x:v>10</x:v>
      </x:c>
      <x:c r="F971" s="2" t="str">
        <x:v>Mechanical assembly</x:v>
      </x:c>
      <x:c r="G971" s="9" t="str">
        <x:v>AS-03</x:v>
      </x:c>
      <x:c r="H971" s="15" t="n">
        <x:v>51</x:v>
      </x:c>
      <x:c r="I971" s="9" t="str">
        <x:v>P04</x:v>
      </x:c>
      <x:c r="J971" s="11" t="n">
        <x:v>46303.29722222222</x:v>
      </x:c>
      <x:c r="K971" s="15" t="n">
        <x:v>8</x:v>
      </x:c>
      <x:c r="L971" s="15" t="n">
        <x:v>18</x:v>
      </x:c>
      <x:c r="M971" s="13" t="n">
        <x:f>J971+(K971+L971)/1440</x:f>
        <x:v>46303.31527777778</x:v>
      </x:c>
      <x:c r="N971" s="13" t="n">
        <x:f>VLOOKUP(C971,'MES orders'!$A$8:$H$127,5,FALSE)</x:f>
        <x:v>46303.666666666664</x:v>
      </x:c>
      <x:c r="O971" s="16" t="n">
        <x:f>MAX(0,(M971-N971)*24)</x:f>
        <x:v>0</x:v>
      </x:c>
      <x:c r="P971" s="9" t="str">
        <x:v>No</x:v>
      </x:c>
      <x:c r="Q971" s="15" t="n">
        <x:v>26</x:v>
      </x:c>
      <x:c r="R971" s="13" t="n">
        <x:f>J971+Q971/1440</x:f>
        <x:v>46303.31527777778</x:v>
      </x:c>
      <x:c r="S971" s="2" t="str">
        <x:f>VLOOKUP(C971,'MES orders'!$A$8:$H$127,6,FALSE)</x:f>
        <x:v>Normal</x:v>
      </x:c>
      <x:c r="T971" s="9" t="str"/>
    </x:row>
    <x:row r="972" ht="22" customHeight="1">
      <x:c r="A972" s="2" t="str">
        <x:v>L00131-020</x:v>
      </x:c>
      <x:c r="B972" s="2" t="str">
        <x:v>L00131</x:v>
      </x:c>
      <x:c r="C972" s="2" t="str">
        <x:v>SO-26027</x:v>
      </x:c>
      <x:c r="D972" s="2" t="str">
        <x:v>D-S-AL</x:v>
      </x:c>
      <x:c r="E972" s="14" t="n">
        <x:v>15</x:v>
      </x:c>
      <x:c r="F972" s="2" t="str">
        <x:v>Deburr &amp; inspect</x:v>
      </x:c>
      <x:c r="G972" s="9" t="str">
        <x:v>DB-01</x:v>
      </x:c>
      <x:c r="H972" s="15" t="n">
        <x:v>93</x:v>
      </x:c>
      <x:c r="I972" s="9" t="str">
        <x:v>P07</x:v>
      </x:c>
      <x:c r="J972" s="11" t="n">
        <x:v>46303.3</x:v>
      </x:c>
      <x:c r="K972" s="15" t="n">
        <x:v>4</x:v>
      </x:c>
      <x:c r="L972" s="15" t="n">
        <x:v>10</x:v>
      </x:c>
      <x:c r="M972" s="13" t="n">
        <x:f>J972+(K972+L972)/1440</x:f>
        <x:v>46303.30972222223</x:v>
      </x:c>
      <x:c r="N972" s="13" t="n">
        <x:f>VLOOKUP(C972,'MES orders'!$A$8:$H$127,5,FALSE)</x:f>
        <x:v>46304.666666666664</x:v>
      </x:c>
      <x:c r="O972" s="16" t="n">
        <x:f>MAX(0,(M972-N972)*24)</x:f>
        <x:v>0</x:v>
      </x:c>
      <x:c r="P972" s="9" t="str">
        <x:v>No</x:v>
      </x:c>
      <x:c r="Q972" s="15" t="n">
        <x:v>14</x:v>
      </x:c>
      <x:c r="R972" s="13" t="n">
        <x:f>J972+Q972/1440</x:f>
        <x:v>46303.30972222223</x:v>
      </x:c>
      <x:c r="S972" s="2" t="str">
        <x:f>VLOOKUP(C972,'MES orders'!$A$8:$H$127,6,FALSE)</x:f>
        <x:v>Normal</x:v>
      </x:c>
      <x:c r="T972" s="9" t="str"/>
    </x:row>
    <x:row r="973" ht="22" customHeight="1">
      <x:c r="A973" s="2" t="str">
        <x:v>L00407-060</x:v>
      </x:c>
      <x:c r="B973" s="2" t="str">
        <x:v>L00407</x:v>
      </x:c>
      <x:c r="C973" s="2" t="str">
        <x:v>SO-26082</x:v>
      </x:c>
      <x:c r="D973" s="2" t="str">
        <x:v>R-S-SS</x:v>
      </x:c>
      <x:c r="E973" s="14" t="n">
        <x:v>10</x:v>
      </x:c>
      <x:c r="F973" s="2" t="str">
        <x:v>Final leak / function test</x:v>
      </x:c>
      <x:c r="G973" s="9" t="str">
        <x:v>QA-03</x:v>
      </x:c>
      <x:c r="H973" s="15" t="n">
        <x:v>44</x:v>
      </x:c>
      <x:c r="I973" s="9" t="str">
        <x:v>P12</x:v>
      </x:c>
      <x:c r="J973" s="11" t="n">
        <x:v>46303.30069444444</x:v>
      </x:c>
      <x:c r="K973" s="15" t="n">
        <x:v>10</x:v>
      </x:c>
      <x:c r="L973" s="15" t="n">
        <x:v>9</x:v>
      </x:c>
      <x:c r="M973" s="13" t="n">
        <x:f>J973+(K973+L973)/1440</x:f>
        <x:v>46303.313888888886</x:v>
      </x:c>
      <x:c r="N973" s="13" t="n">
        <x:f>VLOOKUP(C973,'MES orders'!$A$8:$H$127,5,FALSE)</x:f>
        <x:v>46303.666666666664</x:v>
      </x:c>
      <x:c r="O973" s="16" t="n">
        <x:f>MAX(0,(M973-N973)*24)</x:f>
        <x:v>0</x:v>
      </x:c>
      <x:c r="P973" s="9" t="str">
        <x:v>No</x:v>
      </x:c>
      <x:c r="Q973" s="15" t="n">
        <x:v>19</x:v>
      </x:c>
      <x:c r="R973" s="13" t="n">
        <x:f>J973+Q973/1440</x:f>
        <x:v>46303.313888888886</x:v>
      </x:c>
      <x:c r="S973" s="2" t="str">
        <x:f>VLOOKUP(C973,'MES orders'!$A$8:$H$127,6,FALSE)</x:f>
        <x:v>Normal</x:v>
      </x:c>
      <x:c r="T973" s="9" t="str"/>
    </x:row>
    <x:row r="974" ht="22" customHeight="1">
      <x:c r="A974" s="2" t="str">
        <x:v>L00490-010</x:v>
      </x:c>
      <x:c r="B974" s="2" t="str">
        <x:v>L00490</x:v>
      </x:c>
      <x:c r="C974" s="2" t="str">
        <x:v>SO-26098</x:v>
      </x:c>
      <x:c r="D974" s="2" t="str">
        <x:v>S-C-SS</x:v>
      </x:c>
      <x:c r="E974" s="14" t="n">
        <x:v>10</x:v>
      </x:c>
      <x:c r="F974" s="2" t="str">
        <x:v>CNC machining</x:v>
      </x:c>
      <x:c r="G974" s="9" t="str">
        <x:v>CNC-03</x:v>
      </x:c>
      <x:c r="H974" s="15" t="n">
        <x:v>30</x:v>
      </x:c>
      <x:c r="I974" s="9" t="str">
        <x:v>P01</x:v>
      </x:c>
      <x:c r="J974" s="11" t="n">
        <x:v>46303.305555555555</x:v>
      </x:c>
      <x:c r="K974" s="15" t="n">
        <x:v>18</x:v>
      </x:c>
      <x:c r="L974" s="15" t="n">
        <x:v>24</x:v>
      </x:c>
      <x:c r="M974" s="13" t="n">
        <x:f>J974+(K974+L974)/1440</x:f>
        <x:v>46303.33472222222</x:v>
      </x:c>
      <x:c r="N974" s="13" t="n">
        <x:f>VLOOKUP(C974,'MES orders'!$A$8:$H$127,5,FALSE)</x:f>
        <x:v>46303.666666666664</x:v>
      </x:c>
      <x:c r="O974" s="16" t="n">
        <x:f>MAX(0,(M974-N974)*24)</x:f>
        <x:v>0</x:v>
      </x:c>
      <x:c r="P974" s="9" t="str">
        <x:v>No</x:v>
      </x:c>
      <x:c r="Q974" s="15" t="n">
        <x:v>18</x:v>
      </x:c>
      <x:c r="R974" s="13" t="n">
        <x:f>J974+Q974/1440</x:f>
        <x:v>46303.31805555555</x:v>
      </x:c>
      <x:c r="S974" s="2" t="str">
        <x:f>VLOOKUP(C974,'MES orders'!$A$8:$H$127,6,FALSE)</x:f>
        <x:v>Normal</x:v>
      </x:c>
      <x:c r="T974" s="9" t="str"/>
    </x:row>
    <x:row r="975" ht="22" customHeight="1">
      <x:c r="A975" s="2" t="str">
        <x:v>L00566-010</x:v>
      </x:c>
      <x:c r="B975" s="2" t="str">
        <x:v>L00566</x:v>
      </x:c>
      <x:c r="C975" s="2" t="str">
        <x:v>SO-26114</x:v>
      </x:c>
      <x:c r="D975" s="2" t="str">
        <x:v>S-L-SS</x:v>
      </x:c>
      <x:c r="E975" s="14" t="n">
        <x:v>5</x:v>
      </x:c>
      <x:c r="F975" s="2" t="str">
        <x:v>CNC machining</x:v>
      </x:c>
      <x:c r="G975" s="9" t="str">
        <x:v>CNC-04</x:v>
      </x:c>
      <x:c r="H975" s="15" t="n">
        <x:v>31</x:v>
      </x:c>
      <x:c r="I975" s="9" t="str">
        <x:v>P02</x:v>
      </x:c>
      <x:c r="J975" s="11" t="n">
        <x:v>46303.305555555555</x:v>
      </x:c>
      <x:c r="K975" s="15" t="n">
        <x:v>18</x:v>
      </x:c>
      <x:c r="L975" s="15" t="n">
        <x:v>20</x:v>
      </x:c>
      <x:c r="M975" s="13" t="n">
        <x:f>J975+(K975+L975)/1440</x:f>
        <x:v>46303.33194444444</x:v>
      </x:c>
      <x:c r="N975" s="13" t="n">
        <x:f>VLOOKUP(C975,'MES orders'!$A$8:$H$127,5,FALSE)</x:f>
        <x:v>46303.666666666664</x:v>
      </x:c>
      <x:c r="O975" s="16" t="n">
        <x:f>MAX(0,(M975-N975)*24)</x:f>
        <x:v>0</x:v>
      </x:c>
      <x:c r="P975" s="9" t="str">
        <x:v>No</x:v>
      </x:c>
      <x:c r="Q975" s="15" t="n">
        <x:v>18</x:v>
      </x:c>
      <x:c r="R975" s="13" t="n">
        <x:f>J975+Q975/1440</x:f>
        <x:v>46303.31805555555</x:v>
      </x:c>
      <x:c r="S975" s="2" t="str">
        <x:f>VLOOKUP(C975,'MES orders'!$A$8:$H$127,6,FALSE)</x:f>
        <x:v>Normal</x:v>
      </x:c>
      <x:c r="T975" s="9" t="str"/>
    </x:row>
    <x:row r="976" ht="22" customHeight="1">
      <x:c r="A976" s="2" t="str">
        <x:v>L00567-010</x:v>
      </x:c>
      <x:c r="B976" s="2" t="str">
        <x:v>L00567</x:v>
      </x:c>
      <x:c r="C976" s="2" t="str">
        <x:v>SO-26114</x:v>
      </x:c>
      <x:c r="D976" s="2" t="str">
        <x:v>S-L-SS</x:v>
      </x:c>
      <x:c r="E976" s="14" t="n">
        <x:v>5</x:v>
      </x:c>
      <x:c r="F976" s="2" t="str">
        <x:v>CNC machining</x:v>
      </x:c>
      <x:c r="G976" s="9" t="str">
        <x:v>CNC-05</x:v>
      </x:c>
      <x:c r="H976" s="15" t="n">
        <x:v>28</x:v>
      </x:c>
      <x:c r="I976" s="9" t="str">
        <x:v>P03</x:v>
      </x:c>
      <x:c r="J976" s="11" t="n">
        <x:v>46303.305555555555</x:v>
      </x:c>
      <x:c r="K976" s="15" t="n">
        <x:v>18</x:v>
      </x:c>
      <x:c r="L976" s="15" t="n">
        <x:v>20</x:v>
      </x:c>
      <x:c r="M976" s="13" t="n">
        <x:f>J976+(K976+L976)/1440</x:f>
        <x:v>46303.33194444444</x:v>
      </x:c>
      <x:c r="N976" s="13" t="n">
        <x:f>VLOOKUP(C976,'MES orders'!$A$8:$H$127,5,FALSE)</x:f>
        <x:v>46303.666666666664</x:v>
      </x:c>
      <x:c r="O976" s="16" t="n">
        <x:f>MAX(0,(M976-N976)*24)</x:f>
        <x:v>0</x:v>
      </x:c>
      <x:c r="P976" s="9" t="str">
        <x:v>No</x:v>
      </x:c>
      <x:c r="Q976" s="15" t="n">
        <x:v>18</x:v>
      </x:c>
      <x:c r="R976" s="13" t="n">
        <x:f>J976+Q976/1440</x:f>
        <x:v>46303.31805555555</x:v>
      </x:c>
      <x:c r="S976" s="2" t="str">
        <x:f>VLOOKUP(C976,'MES orders'!$A$8:$H$127,6,FALSE)</x:f>
        <x:v>Normal</x:v>
      </x:c>
      <x:c r="T976" s="9" t="str"/>
    </x:row>
    <x:row r="977" ht="22" customHeight="1">
      <x:c r="A977" s="2" t="str">
        <x:v>L00015-070</x:v>
      </x:c>
      <x:c r="B977" s="2" t="str">
        <x:v>L00015</x:v>
      </x:c>
      <x:c r="C977" s="2" t="str">
        <x:v>SO-26003</x:v>
      </x:c>
      <x:c r="D977" s="2" t="str">
        <x:v>S-S-AL</x:v>
      </x:c>
      <x:c r="E977" s="14" t="n">
        <x:v>15</x:v>
      </x:c>
      <x:c r="F977" s="2" t="str">
        <x:v>Final assembly</x:v>
      </x:c>
      <x:c r="G977" s="9" t="str">
        <x:v>AS-04</x:v>
      </x:c>
      <x:c r="H977" s="15" t="n">
        <x:v>35</x:v>
      </x:c>
      <x:c r="I977" s="9" t="str">
        <x:v>P08</x:v>
      </x:c>
      <x:c r="J977" s="11" t="n">
        <x:v>46303.308333333334</x:v>
      </x:c>
      <x:c r="K977" s="15" t="n">
        <x:v>5</x:v>
      </x:c>
      <x:c r="L977" s="15" t="n">
        <x:v>12</x:v>
      </x:c>
      <x:c r="M977" s="13" t="n">
        <x:f>J977+(K977+L977)/1440</x:f>
        <x:v>46303.32013888889</x:v>
      </x:c>
      <x:c r="N977" s="13" t="n">
        <x:f>VLOOKUP(C977,'MES orders'!$A$8:$H$127,5,FALSE)</x:f>
        <x:v>46304.666666666664</x:v>
      </x:c>
      <x:c r="O977" s="16" t="n">
        <x:f>MAX(0,(M977-N977)*24)</x:f>
        <x:v>0</x:v>
      </x:c>
      <x:c r="P977" s="9" t="str">
        <x:v>No</x:v>
      </x:c>
      <x:c r="Q977" s="15" t="n">
        <x:v>17</x:v>
      </x:c>
      <x:c r="R977" s="13" t="n">
        <x:f>J977+Q977/1440</x:f>
        <x:v>46303.32013888889</x:v>
      </x:c>
      <x:c r="S977" s="2" t="str">
        <x:f>VLOOKUP(C977,'MES orders'!$A$8:$H$127,6,FALSE)</x:f>
        <x:v>Normal</x:v>
      </x:c>
      <x:c r="T977" s="9" t="str"/>
    </x:row>
    <x:row r="978" ht="22" customHeight="1">
      <x:c r="A978" s="2" t="str">
        <x:v>L00447-030</x:v>
      </x:c>
      <x:c r="B978" s="2" t="str">
        <x:v>L00447</x:v>
      </x:c>
      <x:c r="C978" s="2" t="str">
        <x:v>SO-26090</x:v>
      </x:c>
      <x:c r="D978" s="2" t="str">
        <x:v>R-L-SS</x:v>
      </x:c>
      <x:c r="E978" s="14" t="n">
        <x:v>5</x:v>
      </x:c>
      <x:c r="F978" s="2" t="str">
        <x:v>Wash &amp; dry</x:v>
      </x:c>
      <x:c r="G978" s="9" t="str">
        <x:v>WS-01</x:v>
      </x:c>
      <x:c r="H978" s="15" t="n">
        <x:v>91</x:v>
      </x:c>
      <x:c r="I978" s="9" t="str">
        <x:v>P06</x:v>
      </x:c>
      <x:c r="J978" s="11" t="n">
        <x:v>46303.30902777778</x:v>
      </x:c>
      <x:c r="K978" s="15" t="n">
        <x:v>12</x:v>
      </x:c>
      <x:c r="L978" s="15" t="n">
        <x:v>2</x:v>
      </x:c>
      <x:c r="M978" s="13" t="n">
        <x:f>J978+(K978+L978)/1440</x:f>
        <x:v>46303.318750000006</x:v>
      </x:c>
      <x:c r="N978" s="13" t="n">
        <x:f>VLOOKUP(C978,'MES orders'!$A$8:$H$127,5,FALSE)</x:f>
        <x:v>46303.666666666664</x:v>
      </x:c>
      <x:c r="O978" s="16" t="n">
        <x:f>MAX(0,(M978-N978)*24)</x:f>
        <x:v>0</x:v>
      </x:c>
      <x:c r="P978" s="9" t="str">
        <x:v>No</x:v>
      </x:c>
      <x:c r="Q978" s="15" t="n">
        <x:v>14</x:v>
      </x:c>
      <x:c r="R978" s="13" t="n">
        <x:f>J978+Q978/1440</x:f>
        <x:v>46303.318750000006</x:v>
      </x:c>
      <x:c r="S978" s="2" t="str">
        <x:f>VLOOKUP(C978,'MES orders'!$A$8:$H$127,6,FALSE)</x:f>
        <x:v>Normal</x:v>
      </x:c>
      <x:c r="T978" s="9" t="str"/>
    </x:row>
    <x:row r="979" ht="22" customHeight="1">
      <x:c r="A979" s="2" t="str">
        <x:v>L00210-080</x:v>
      </x:c>
      <x:c r="B979" s="2" t="str">
        <x:v>L00210</x:v>
      </x:c>
      <x:c r="C979" s="2" t="str">
        <x:v>SO-26042</x:v>
      </x:c>
      <x:c r="D979" s="2" t="str">
        <x:v>S-L-SS</x:v>
      </x:c>
      <x:c r="E979" s="14" t="n">
        <x:v>25</x:v>
      </x:c>
      <x:c r="F979" s="2" t="str">
        <x:v>Final leak / function test</x:v>
      </x:c>
      <x:c r="G979" s="9" t="str">
        <x:v>QA-02</x:v>
      </x:c>
      <x:c r="H979" s="15" t="n">
        <x:v>66</x:v>
      </x:c>
      <x:c r="I979" s="9" t="str">
        <x:v>P11</x:v>
      </x:c>
      <x:c r="J979" s="11" t="n">
        <x:v>46303.30972222222</x:v>
      </x:c>
      <x:c r="K979" s="15" t="n">
        <x:v>10</x:v>
      </x:c>
      <x:c r="L979" s="15" t="n">
        <x:v>30</x:v>
      </x:c>
      <x:c r="M979" s="13" t="n">
        <x:f>J979+(K979+L979)/1440</x:f>
        <x:v>46303.3375</x:v>
      </x:c>
      <x:c r="N979" s="13" t="n">
        <x:f>VLOOKUP(C979,'MES orders'!$A$8:$H$127,5,FALSE)</x:f>
        <x:v>46303.666666666664</x:v>
      </x:c>
      <x:c r="O979" s="16" t="n">
        <x:f>MAX(0,(M979-N979)*24)</x:f>
        <x:v>0</x:v>
      </x:c>
      <x:c r="P979" s="9" t="str">
        <x:v>No</x:v>
      </x:c>
      <x:c r="Q979" s="15" t="n">
        <x:v>40</x:v>
      </x:c>
      <x:c r="R979" s="13" t="n">
        <x:f>J979+Q979/1440</x:f>
        <x:v>46303.3375</x:v>
      </x:c>
      <x:c r="S979" s="2" t="str">
        <x:f>VLOOKUP(C979,'MES orders'!$A$8:$H$127,6,FALSE)</x:f>
        <x:v>Normal</x:v>
      </x:c>
      <x:c r="T979" s="9" t="str"/>
    </x:row>
    <x:row r="980" ht="22" customHeight="1">
      <x:c r="A980" s="2" t="str">
        <x:v>L00131-030</x:v>
      </x:c>
      <x:c r="B980" s="2" t="str">
        <x:v>L00131</x:v>
      </x:c>
      <x:c r="C980" s="2" t="str">
        <x:v>SO-26027</x:v>
      </x:c>
      <x:c r="D980" s="2" t="str">
        <x:v>D-S-AL</x:v>
      </x:c>
      <x:c r="E980" s="14" t="n">
        <x:v>15</x:v>
      </x:c>
      <x:c r="F980" s="2" t="str">
        <x:v>Wash &amp; dry</x:v>
      </x:c>
      <x:c r="G980" s="9" t="str">
        <x:v>WS-02</x:v>
      </x:c>
      <x:c r="H980" s="15" t="n">
        <x:v>67</x:v>
      </x:c>
      <x:c r="I980" s="9" t="str">
        <x:v>P07</x:v>
      </x:c>
      <x:c r="J980" s="11" t="n">
        <x:v>46303.30972222222</x:v>
      </x:c>
      <x:c r="K980" s="15" t="n">
        <x:v>12</x:v>
      </x:c>
      <x:c r="L980" s="15" t="n">
        <x:v>5</x:v>
      </x:c>
      <x:c r="M980" s="13" t="n">
        <x:f>J980+(K980+L980)/1440</x:f>
        <x:v>46303.32152777778</x:v>
      </x:c>
      <x:c r="N980" s="13" t="n">
        <x:f>VLOOKUP(C980,'MES orders'!$A$8:$H$127,5,FALSE)</x:f>
        <x:v>46304.666666666664</x:v>
      </x:c>
      <x:c r="O980" s="16" t="n">
        <x:f>MAX(0,(M980-N980)*24)</x:f>
        <x:v>0</x:v>
      </x:c>
      <x:c r="P980" s="9" t="str">
        <x:v>No</x:v>
      </x:c>
      <x:c r="Q980" s="15" t="n">
        <x:v>17</x:v>
      </x:c>
      <x:c r="R980" s="13" t="n">
        <x:f>J980+Q980/1440</x:f>
        <x:v>46303.32152777778</x:v>
      </x:c>
      <x:c r="S980" s="2" t="str">
        <x:f>VLOOKUP(C980,'MES orders'!$A$8:$H$127,6,FALSE)</x:f>
        <x:v>Normal</x:v>
      </x:c>
      <x:c r="T980" s="9" t="str"/>
    </x:row>
    <x:row r="981" ht="22" customHeight="1">
      <x:c r="A981" s="2" t="str">
        <x:v>L00408-060</x:v>
      </x:c>
      <x:c r="B981" s="2" t="str">
        <x:v>L00408</x:v>
      </x:c>
      <x:c r="C981" s="2" t="str">
        <x:v>SO-26082</x:v>
      </x:c>
      <x:c r="D981" s="2" t="str">
        <x:v>R-S-SS</x:v>
      </x:c>
      <x:c r="E981" s="14" t="n">
        <x:v>10</x:v>
      </x:c>
      <x:c r="F981" s="2" t="str">
        <x:v>Final leak / function test</x:v>
      </x:c>
      <x:c r="G981" s="9" t="str">
        <x:v>QA-03</x:v>
      </x:c>
      <x:c r="H981" s="15" t="n">
        <x:v>45</x:v>
      </x:c>
      <x:c r="I981" s="9" t="str">
        <x:v>P12</x:v>
      </x:c>
      <x:c r="J981" s="11" t="n">
        <x:v>46303.313888888886</x:v>
      </x:c>
      <x:c r="K981" s="15" t="n">
        <x:v>10</x:v>
      </x:c>
      <x:c r="L981" s="15" t="n">
        <x:v>9</x:v>
      </x:c>
      <x:c r="M981" s="13" t="n">
        <x:f>J981+(K981+L981)/1440</x:f>
        <x:v>46303.32708333333</x:v>
      </x:c>
      <x:c r="N981" s="13" t="n">
        <x:f>VLOOKUP(C981,'MES orders'!$A$8:$H$127,5,FALSE)</x:f>
        <x:v>46303.666666666664</x:v>
      </x:c>
      <x:c r="O981" s="16" t="n">
        <x:f>MAX(0,(M981-N981)*24)</x:f>
        <x:v>0</x:v>
      </x:c>
      <x:c r="P981" s="9" t="str">
        <x:v>No</x:v>
      </x:c>
      <x:c r="Q981" s="15" t="n">
        <x:v>19</x:v>
      </x:c>
      <x:c r="R981" s="13" t="n">
        <x:f>J981+Q981/1440</x:f>
        <x:v>46303.32708333333</x:v>
      </x:c>
      <x:c r="S981" s="2" t="str">
        <x:f>VLOOKUP(C981,'MES orders'!$A$8:$H$127,6,FALSE)</x:f>
        <x:v>Normal</x:v>
      </x:c>
      <x:c r="T981" s="9" t="str"/>
    </x:row>
    <x:row r="982" ht="22" customHeight="1">
      <x:c r="A982" s="2" t="str">
        <x:v>L00410-050</x:v>
      </x:c>
      <x:c r="B982" s="2" t="str">
        <x:v>L00410</x:v>
      </x:c>
      <x:c r="C982" s="2" t="str">
        <x:v>SO-26082</x:v>
      </x:c>
      <x:c r="D982" s="2" t="str">
        <x:v>R-S-SS</x:v>
      </x:c>
      <x:c r="E982" s="14" t="n">
        <x:v>10</x:v>
      </x:c>
      <x:c r="F982" s="2" t="str">
        <x:v>Valve adjustment</x:v>
      </x:c>
      <x:c r="G982" s="9" t="str">
        <x:v>AS-01</x:v>
      </x:c>
      <x:c r="H982" s="15" t="n">
        <x:v>76</x:v>
      </x:c>
      <x:c r="I982" s="9" t="str">
        <x:v>P05</x:v>
      </x:c>
      <x:c r="J982" s="11" t="n">
        <x:v>46303.31527777778</x:v>
      </x:c>
      <x:c r="K982" s="15" t="n">
        <x:v>6</x:v>
      </x:c>
      <x:c r="L982" s="15" t="n">
        <x:v>11</x:v>
      </x:c>
      <x:c r="M982" s="13" t="n">
        <x:f>J982+(K982+L982)/1440</x:f>
        <x:v>46303.32708333334</x:v>
      </x:c>
      <x:c r="N982" s="13" t="n">
        <x:f>VLOOKUP(C982,'MES orders'!$A$8:$H$127,5,FALSE)</x:f>
        <x:v>46303.666666666664</x:v>
      </x:c>
      <x:c r="O982" s="16" t="n">
        <x:f>MAX(0,(M982-N982)*24)</x:f>
        <x:v>0</x:v>
      </x:c>
      <x:c r="P982" s="9" t="str">
        <x:v>No</x:v>
      </x:c>
      <x:c r="Q982" s="15" t="n">
        <x:v>17</x:v>
      </x:c>
      <x:c r="R982" s="13" t="n">
        <x:f>J982+Q982/1440</x:f>
        <x:v>46303.32708333334</x:v>
      </x:c>
      <x:c r="S982" s="2" t="str">
        <x:f>VLOOKUP(C982,'MES orders'!$A$8:$H$127,6,FALSE)</x:f>
        <x:v>Normal</x:v>
      </x:c>
      <x:c r="T982" s="9" t="str"/>
    </x:row>
    <x:row r="983" ht="22" customHeight="1">
      <x:c r="A983" s="2" t="str">
        <x:v>L00133-010</x:v>
      </x:c>
      <x:c r="B983" s="2" t="str">
        <x:v>L00133</x:v>
      </x:c>
      <x:c r="C983" s="2" t="str">
        <x:v>SO-26027</x:v>
      </x:c>
      <x:c r="D983" s="2" t="str">
        <x:v>D-S-AL</x:v>
      </x:c>
      <x:c r="E983" s="14" t="n">
        <x:v>15</x:v>
      </x:c>
      <x:c r="F983" s="2" t="str">
        <x:v>CNC machining</x:v>
      </x:c>
      <x:c r="G983" s="9" t="str">
        <x:v>CNC-01</x:v>
      </x:c>
      <x:c r="H983" s="15" t="n">
        <x:v>34</x:v>
      </x:c>
      <x:c r="I983" s="9" t="str">
        <x:v>P03</x:v>
      </x:c>
      <x:c r="J983" s="11" t="n">
        <x:v>46303.31805555556</x:v>
      </x:c>
      <x:c r="K983" s="15" t="n">
        <x:v>18</x:v>
      </x:c>
      <x:c r="L983" s="15" t="n">
        <x:v>36</x:v>
      </x:c>
      <x:c r="M983" s="13" t="n">
        <x:f>J983+(K983+L983)/1440</x:f>
        <x:v>46303.35555555556</x:v>
      </x:c>
      <x:c r="N983" s="13" t="n">
        <x:f>VLOOKUP(C983,'MES orders'!$A$8:$H$127,5,FALSE)</x:f>
        <x:v>46304.666666666664</x:v>
      </x:c>
      <x:c r="O983" s="16" t="n">
        <x:f>MAX(0,(M983-N983)*24)</x:f>
        <x:v>0</x:v>
      </x:c>
      <x:c r="P983" s="9" t="str">
        <x:v>No</x:v>
      </x:c>
      <x:c r="Q983" s="15" t="n">
        <x:v>18</x:v>
      </x:c>
      <x:c r="R983" s="13" t="n">
        <x:f>J983+Q983/1440</x:f>
        <x:v>46303.330555555556</x:v>
      </x:c>
      <x:c r="S983" s="2" t="str">
        <x:f>VLOOKUP(C983,'MES orders'!$A$8:$H$127,6,FALSE)</x:f>
        <x:v>Normal</x:v>
      </x:c>
      <x:c r="T983" s="9" t="str"/>
    </x:row>
    <x:row r="984" ht="22" customHeight="1">
      <x:c r="A984" s="2" t="str">
        <x:v>L00568-010</x:v>
      </x:c>
      <x:c r="B984" s="2" t="str">
        <x:v>L00568</x:v>
      </x:c>
      <x:c r="C984" s="2" t="str">
        <x:v>SO-26114</x:v>
      </x:c>
      <x:c r="D984" s="2" t="str">
        <x:v>S-L-SS</x:v>
      </x:c>
      <x:c r="E984" s="14" t="n">
        <x:v>5</x:v>
      </x:c>
      <x:c r="F984" s="2" t="str">
        <x:v>CNC machining</x:v>
      </x:c>
      <x:c r="G984" s="9" t="str">
        <x:v>CNC-06</x:v>
      </x:c>
      <x:c r="H984" s="15" t="n">
        <x:v>26</x:v>
      </x:c>
      <x:c r="I984" s="9" t="str">
        <x:v>P01</x:v>
      </x:c>
      <x:c r="J984" s="11" t="n">
        <x:v>46303.31805555556</x:v>
      </x:c>
      <x:c r="K984" s="15" t="n">
        <x:v>18</x:v>
      </x:c>
      <x:c r="L984" s="15" t="n">
        <x:v>20</x:v>
      </x:c>
      <x:c r="M984" s="13" t="n">
        <x:f>J984+(K984+L984)/1440</x:f>
        <x:v>46303.34444444445</x:v>
      </x:c>
      <x:c r="N984" s="13" t="n">
        <x:f>VLOOKUP(C984,'MES orders'!$A$8:$H$127,5,FALSE)</x:f>
        <x:v>46303.666666666664</x:v>
      </x:c>
      <x:c r="O984" s="16" t="n">
        <x:f>MAX(0,(M984-N984)*24)</x:f>
        <x:v>0</x:v>
      </x:c>
      <x:c r="P984" s="9" t="str">
        <x:v>No</x:v>
      </x:c>
      <x:c r="Q984" s="15" t="n">
        <x:v>18</x:v>
      </x:c>
      <x:c r="R984" s="13" t="n">
        <x:f>J984+Q984/1440</x:f>
        <x:v>46303.330555555556</x:v>
      </x:c>
      <x:c r="S984" s="2" t="str">
        <x:f>VLOOKUP(C984,'MES orders'!$A$8:$H$127,6,FALSE)</x:f>
        <x:v>Normal</x:v>
      </x:c>
      <x:c r="T984" s="9" t="str"/>
    </x:row>
    <x:row r="985" ht="22" customHeight="1">
      <x:c r="A985" s="2" t="str">
        <x:v>L00132-020</x:v>
      </x:c>
      <x:c r="B985" s="2" t="str">
        <x:v>L00132</x:v>
      </x:c>
      <x:c r="C985" s="2" t="str">
        <x:v>SO-26027</x:v>
      </x:c>
      <x:c r="D985" s="2" t="str">
        <x:v>D-S-AL</x:v>
      </x:c>
      <x:c r="E985" s="14" t="n">
        <x:v>15</x:v>
      </x:c>
      <x:c r="F985" s="2" t="str">
        <x:v>Deburr &amp; inspect</x:v>
      </x:c>
      <x:c r="G985" s="9" t="str">
        <x:v>DB-01</x:v>
      </x:c>
      <x:c r="H985" s="15" t="n">
        <x:v>94</x:v>
      </x:c>
      <x:c r="I985" s="9" t="str">
        <x:v>P02</x:v>
      </x:c>
      <x:c r="J985" s="11" t="n">
        <x:v>46303.31805555556</x:v>
      </x:c>
      <x:c r="K985" s="15" t="n">
        <x:v>4</x:v>
      </x:c>
      <x:c r="L985" s="15" t="n">
        <x:v>10</x:v>
      </x:c>
      <x:c r="M985" s="13" t="n">
        <x:f>J985+(K985+L985)/1440</x:f>
        <x:v>46303.327777777784</x:v>
      </x:c>
      <x:c r="N985" s="13" t="n">
        <x:f>VLOOKUP(C985,'MES orders'!$A$8:$H$127,5,FALSE)</x:f>
        <x:v>46304.666666666664</x:v>
      </x:c>
      <x:c r="O985" s="16" t="n">
        <x:f>MAX(0,(M985-N985)*24)</x:f>
        <x:v>0</x:v>
      </x:c>
      <x:c r="P985" s="9" t="str">
        <x:v>No</x:v>
      </x:c>
      <x:c r="Q985" s="15" t="n">
        <x:v>14</x:v>
      </x:c>
      <x:c r="R985" s="13" t="n">
        <x:f>J985+Q985/1440</x:f>
        <x:v>46303.327777777784</x:v>
      </x:c>
      <x:c r="S985" s="2" t="str">
        <x:f>VLOOKUP(C985,'MES orders'!$A$8:$H$127,6,FALSE)</x:f>
        <x:v>Normal</x:v>
      </x:c>
      <x:c r="T985" s="9" t="str"/>
    </x:row>
    <x:row r="986" ht="22" customHeight="1">
      <x:c r="A986" s="2" t="str">
        <x:v>L00447-040</x:v>
      </x:c>
      <x:c r="B986" s="2" t="str">
        <x:v>L00447</x:v>
      </x:c>
      <x:c r="C986" s="2" t="str">
        <x:v>SO-26090</x:v>
      </x:c>
      <x:c r="D986" s="2" t="str">
        <x:v>R-L-SS</x:v>
      </x:c>
      <x:c r="E986" s="14" t="n">
        <x:v>5</x:v>
      </x:c>
      <x:c r="F986" s="2" t="str">
        <x:v>Mechanical assembly</x:v>
      </x:c>
      <x:c r="G986" s="9" t="str">
        <x:v>AS-02</x:v>
      </x:c>
      <x:c r="H986" s="15" t="n">
        <x:v>62</x:v>
      </x:c>
      <x:c r="I986" s="9" t="str">
        <x:v>P04</x:v>
      </x:c>
      <x:c r="J986" s="11" t="n">
        <x:v>46303.31875</x:v>
      </x:c>
      <x:c r="K986" s="15" t="n">
        <x:v>8</x:v>
      </x:c>
      <x:c r="L986" s="15" t="n">
        <x:v>12</x:v>
      </x:c>
      <x:c r="M986" s="13" t="n">
        <x:f>J986+(K986+L986)/1440</x:f>
        <x:v>46303.33263888889</x:v>
      </x:c>
      <x:c r="N986" s="13" t="n">
        <x:f>VLOOKUP(C986,'MES orders'!$A$8:$H$127,5,FALSE)</x:f>
        <x:v>46303.666666666664</x:v>
      </x:c>
      <x:c r="O986" s="16" t="n">
        <x:f>MAX(0,(M986-N986)*24)</x:f>
        <x:v>0</x:v>
      </x:c>
      <x:c r="P986" s="9" t="str">
        <x:v>No</x:v>
      </x:c>
      <x:c r="Q986" s="15" t="n">
        <x:v>20</x:v>
      </x:c>
      <x:c r="R986" s="13" t="n">
        <x:f>J986+Q986/1440</x:f>
        <x:v>46303.33263888889</x:v>
      </x:c>
      <x:c r="S986" s="2" t="str">
        <x:f>VLOOKUP(C986,'MES orders'!$A$8:$H$127,6,FALSE)</x:f>
        <x:v>Normal</x:v>
      </x:c>
      <x:c r="T986" s="9" t="str"/>
    </x:row>
    <x:row r="987" ht="22" customHeight="1">
      <x:c r="A987" s="2" t="str">
        <x:v>L00448-030</x:v>
      </x:c>
      <x:c r="B987" s="2" t="str">
        <x:v>L00448</x:v>
      </x:c>
      <x:c r="C987" s="2" t="str">
        <x:v>SO-26090</x:v>
      </x:c>
      <x:c r="D987" s="2" t="str">
        <x:v>R-L-SS</x:v>
      </x:c>
      <x:c r="E987" s="14" t="n">
        <x:v>5</x:v>
      </x:c>
      <x:c r="F987" s="2" t="str">
        <x:v>Wash &amp; dry</x:v>
      </x:c>
      <x:c r="G987" s="9" t="str">
        <x:v>WS-01</x:v>
      </x:c>
      <x:c r="H987" s="15" t="n">
        <x:v>92</x:v>
      </x:c>
      <x:c r="I987" s="9" t="str">
        <x:v>P06</x:v>
      </x:c>
      <x:c r="J987" s="11" t="n">
        <x:v>46303.31875</x:v>
      </x:c>
      <x:c r="K987" s="15" t="n">
        <x:v>12</x:v>
      </x:c>
      <x:c r="L987" s="15" t="n">
        <x:v>2</x:v>
      </x:c>
      <x:c r="M987" s="13" t="n">
        <x:f>J987+(K987+L987)/1440</x:f>
        <x:v>46303.32847222222</x:v>
      </x:c>
      <x:c r="N987" s="13" t="n">
        <x:f>VLOOKUP(C987,'MES orders'!$A$8:$H$127,5,FALSE)</x:f>
        <x:v>46303.666666666664</x:v>
      </x:c>
      <x:c r="O987" s="16" t="n">
        <x:f>MAX(0,(M987-N987)*24)</x:f>
        <x:v>0</x:v>
      </x:c>
      <x:c r="P987" s="9" t="str">
        <x:v>No</x:v>
      </x:c>
      <x:c r="Q987" s="15" t="n">
        <x:v>14</x:v>
      </x:c>
      <x:c r="R987" s="13" t="n">
        <x:f>J987+Q987/1440</x:f>
        <x:v>46303.32847222222</x:v>
      </x:c>
      <x:c r="S987" s="2" t="str">
        <x:f>VLOOKUP(C987,'MES orders'!$A$8:$H$127,6,FALSE)</x:f>
        <x:v>Normal</x:v>
      </x:c>
      <x:c r="T987" s="9" t="str"/>
    </x:row>
    <x:row r="988" ht="22" customHeight="1">
      <x:c r="A988" s="2" t="str">
        <x:v>L00131-040</x:v>
      </x:c>
      <x:c r="B988" s="2" t="str">
        <x:v>L00131</x:v>
      </x:c>
      <x:c r="C988" s="2" t="str">
        <x:v>SO-26027</x:v>
      </x:c>
      <x:c r="D988" s="2" t="str">
        <x:v>D-S-AL</x:v>
      </x:c>
      <x:c r="E988" s="14" t="n">
        <x:v>15</x:v>
      </x:c>
      <x:c r="F988" s="2" t="str">
        <x:v>Mechanical assembly</x:v>
      </x:c>
      <x:c r="G988" s="9" t="str">
        <x:v>AS-04</x:v>
      </x:c>
      <x:c r="H988" s="15" t="n">
        <x:v>36</x:v>
      </x:c>
      <x:c r="I988" s="9" t="str">
        <x:v>P07</x:v>
      </x:c>
      <x:c r="J988" s="11" t="n">
        <x:v>46303.32152777778</x:v>
      </x:c>
      <x:c r="K988" s="15" t="n">
        <x:v>8</x:v>
      </x:c>
      <x:c r="L988" s="15" t="n">
        <x:v>27</x:v>
      </x:c>
      <x:c r="M988" s="13" t="n">
        <x:f>J988+(K988+L988)/1440</x:f>
        <x:v>46303.34583333333</x:v>
      </x:c>
      <x:c r="N988" s="13" t="n">
        <x:f>VLOOKUP(C988,'MES orders'!$A$8:$H$127,5,FALSE)</x:f>
        <x:v>46304.666666666664</x:v>
      </x:c>
      <x:c r="O988" s="16" t="n">
        <x:f>MAX(0,(M988-N988)*24)</x:f>
        <x:v>0</x:v>
      </x:c>
      <x:c r="P988" s="9" t="str">
        <x:v>No</x:v>
      </x:c>
      <x:c r="Q988" s="15" t="n">
        <x:v>35</x:v>
      </x:c>
      <x:c r="R988" s="13" t="n">
        <x:f>J988+Q988/1440</x:f>
        <x:v>46303.34583333333</x:v>
      </x:c>
      <x:c r="S988" s="2" t="str">
        <x:f>VLOOKUP(C988,'MES orders'!$A$8:$H$127,6,FALSE)</x:f>
        <x:v>Normal</x:v>
      </x:c>
      <x:c r="T988" s="9" t="str"/>
    </x:row>
    <x:row r="989" ht="22" customHeight="1">
      <x:c r="A989" s="2" t="str">
        <x:v>L00409-060</x:v>
      </x:c>
      <x:c r="B989" s="2" t="str">
        <x:v>L00409</x:v>
      </x:c>
      <x:c r="C989" s="2" t="str">
        <x:v>SO-26082</x:v>
      </x:c>
      <x:c r="D989" s="2" t="str">
        <x:v>R-S-SS</x:v>
      </x:c>
      <x:c r="E989" s="14" t="n">
        <x:v>10</x:v>
      </x:c>
      <x:c r="F989" s="2" t="str">
        <x:v>Final leak / function test</x:v>
      </x:c>
      <x:c r="G989" s="9" t="str">
        <x:v>QA-03</x:v>
      </x:c>
      <x:c r="H989" s="15" t="n">
        <x:v>46</x:v>
      </x:c>
      <x:c r="I989" s="9" t="str">
        <x:v>P12</x:v>
      </x:c>
      <x:c r="J989" s="11" t="n">
        <x:v>46303.32708333333</x:v>
      </x:c>
      <x:c r="K989" s="15" t="n">
        <x:v>10</x:v>
      </x:c>
      <x:c r="L989" s="15" t="n">
        <x:v>9</x:v>
      </x:c>
      <x:c r="M989" s="13" t="n">
        <x:f>J989+(K989+L989)/1440</x:f>
        <x:v>46303.340277777774</x:v>
      </x:c>
      <x:c r="N989" s="13" t="n">
        <x:f>VLOOKUP(C989,'MES orders'!$A$8:$H$127,5,FALSE)</x:f>
        <x:v>46303.666666666664</x:v>
      </x:c>
      <x:c r="O989" s="16" t="n">
        <x:f>MAX(0,(M989-N989)*24)</x:f>
        <x:v>0</x:v>
      </x:c>
      <x:c r="P989" s="9" t="str">
        <x:v>No</x:v>
      </x:c>
      <x:c r="Q989" s="15" t="n">
        <x:v>19</x:v>
      </x:c>
      <x:c r="R989" s="13" t="n">
        <x:f>J989+Q989/1440</x:f>
        <x:v>46303.340277777774</x:v>
      </x:c>
      <x:c r="S989" s="2" t="str">
        <x:f>VLOOKUP(C989,'MES orders'!$A$8:$H$127,6,FALSE)</x:f>
        <x:v>Normal</x:v>
      </x:c>
      <x:c r="T989" s="9" t="str"/>
    </x:row>
    <x:row r="990" ht="22" customHeight="1">
      <x:c r="A990" s="2" t="str">
        <x:v>L00132-030</x:v>
      </x:c>
      <x:c r="B990" s="2" t="str">
        <x:v>L00132</x:v>
      </x:c>
      <x:c r="C990" s="2" t="str">
        <x:v>SO-26027</x:v>
      </x:c>
      <x:c r="D990" s="2" t="str">
        <x:v>D-S-AL</x:v>
      </x:c>
      <x:c r="E990" s="14" t="n">
        <x:v>15</x:v>
      </x:c>
      <x:c r="F990" s="2" t="str">
        <x:v>Wash &amp; dry</x:v>
      </x:c>
      <x:c r="G990" s="9" t="str">
        <x:v>WS-02</x:v>
      </x:c>
      <x:c r="H990" s="15" t="n">
        <x:v>68</x:v>
      </x:c>
      <x:c r="I990" s="9" t="str">
        <x:v>P08</x:v>
      </x:c>
      <x:c r="J990" s="11" t="n">
        <x:v>46303.32777777778</x:v>
      </x:c>
      <x:c r="K990" s="15" t="n">
        <x:v>12</x:v>
      </x:c>
      <x:c r="L990" s="15" t="n">
        <x:v>5</x:v>
      </x:c>
      <x:c r="M990" s="13" t="n">
        <x:f>J990+(K990+L990)/1440</x:f>
        <x:v>46303.339583333334</x:v>
      </x:c>
      <x:c r="N990" s="13" t="n">
        <x:f>VLOOKUP(C990,'MES orders'!$A$8:$H$127,5,FALSE)</x:f>
        <x:v>46304.666666666664</x:v>
      </x:c>
      <x:c r="O990" s="16" t="n">
        <x:f>MAX(0,(M990-N990)*24)</x:f>
        <x:v>0</x:v>
      </x:c>
      <x:c r="P990" s="9" t="str">
        <x:v>No</x:v>
      </x:c>
      <x:c r="Q990" s="15" t="n">
        <x:v>17</x:v>
      </x:c>
      <x:c r="R990" s="13" t="n">
        <x:f>J990+Q990/1440</x:f>
        <x:v>46303.339583333334</x:v>
      </x:c>
      <x:c r="S990" s="2" t="str">
        <x:f>VLOOKUP(C990,'MES orders'!$A$8:$H$127,6,FALSE)</x:f>
        <x:v>Normal</x:v>
      </x:c>
      <x:c r="T990" s="9" t="str"/>
    </x:row>
    <x:row r="991" ht="22" customHeight="1">
      <x:c r="A991" s="2" t="str">
        <x:v>L00448-040</x:v>
      </x:c>
      <x:c r="B991" s="2" t="str">
        <x:v>L00448</x:v>
      </x:c>
      <x:c r="C991" s="2" t="str">
        <x:v>SO-26090</x:v>
      </x:c>
      <x:c r="D991" s="2" t="str">
        <x:v>R-L-SS</x:v>
      </x:c>
      <x:c r="E991" s="14" t="n">
        <x:v>5</x:v>
      </x:c>
      <x:c r="F991" s="2" t="str">
        <x:v>Mechanical assembly</x:v>
      </x:c>
      <x:c r="G991" s="9" t="str">
        <x:v>AS-03</x:v>
      </x:c>
      <x:c r="H991" s="15" t="n">
        <x:v>52</x:v>
      </x:c>
      <x:c r="I991" s="9" t="str">
        <x:v>P06</x:v>
      </x:c>
      <x:c r="J991" s="11" t="n">
        <x:v>46303.32847222222</x:v>
      </x:c>
      <x:c r="K991" s="15" t="n">
        <x:v>8</x:v>
      </x:c>
      <x:c r="L991" s="15" t="n">
        <x:v>12</x:v>
      </x:c>
      <x:c r="M991" s="13" t="n">
        <x:f>J991+(K991+L991)/1440</x:f>
        <x:v>46303.342361111114</x:v>
      </x:c>
      <x:c r="N991" s="13" t="n">
        <x:f>VLOOKUP(C991,'MES orders'!$A$8:$H$127,5,FALSE)</x:f>
        <x:v>46303.666666666664</x:v>
      </x:c>
      <x:c r="O991" s="16" t="n">
        <x:f>MAX(0,(M991-N991)*24)</x:f>
        <x:v>0</x:v>
      </x:c>
      <x:c r="P991" s="9" t="str">
        <x:v>No</x:v>
      </x:c>
      <x:c r="Q991" s="15" t="n">
        <x:v>20</x:v>
      </x:c>
      <x:c r="R991" s="13" t="n">
        <x:f>J991+Q991/1440</x:f>
        <x:v>46303.342361111114</x:v>
      </x:c>
      <x:c r="S991" s="2" t="str">
        <x:f>VLOOKUP(C991,'MES orders'!$A$8:$H$127,6,FALSE)</x:f>
        <x:v>Normal</x:v>
      </x:c>
      <x:c r="T991" s="9" t="str"/>
    </x:row>
    <x:row r="992" ht="22" customHeight="1">
      <x:c r="A992" s="2" t="str">
        <x:v>L00569-010</x:v>
      </x:c>
      <x:c r="B992" s="2" t="str">
        <x:v>L00569</x:v>
      </x:c>
      <x:c r="C992" s="2" t="str">
        <x:v>SO-26114</x:v>
      </x:c>
      <x:c r="D992" s="2" t="str">
        <x:v>S-L-SS</x:v>
      </x:c>
      <x:c r="E992" s="14" t="n">
        <x:v>5</x:v>
      </x:c>
      <x:c r="F992" s="2" t="str">
        <x:v>CNC machining</x:v>
      </x:c>
      <x:c r="G992" s="9" t="str">
        <x:v>CNC-04</x:v>
      </x:c>
      <x:c r="H992" s="15" t="n">
        <x:v>32</x:v>
      </x:c>
      <x:c r="I992" s="9" t="str">
        <x:v>P01</x:v>
      </x:c>
      <x:c r="J992" s="11" t="n">
        <x:v>46303.33194444444</x:v>
      </x:c>
      <x:c r="K992" s="15" t="n">
        <x:v>18</x:v>
      </x:c>
      <x:c r="L992" s="15" t="n">
        <x:v>20</x:v>
      </x:c>
      <x:c r="M992" s="13" t="n">
        <x:f>J992+(K992+L992)/1440</x:f>
        <x:v>46303.35833333333</x:v>
      </x:c>
      <x:c r="N992" s="13" t="n">
        <x:f>VLOOKUP(C992,'MES orders'!$A$8:$H$127,5,FALSE)</x:f>
        <x:v>46303.666666666664</x:v>
      </x:c>
      <x:c r="O992" s="16" t="n">
        <x:f>MAX(0,(M992-N992)*24)</x:f>
        <x:v>0</x:v>
      </x:c>
      <x:c r="P992" s="9" t="str">
        <x:v>No</x:v>
      </x:c>
      <x:c r="Q992" s="15" t="n">
        <x:v>18</x:v>
      </x:c>
      <x:c r="R992" s="13" t="n">
        <x:f>J992+Q992/1440</x:f>
        <x:v>46303.34444444444</x:v>
      </x:c>
      <x:c r="S992" s="2" t="str">
        <x:f>VLOOKUP(C992,'MES orders'!$A$8:$H$127,6,FALSE)</x:f>
        <x:v>Normal</x:v>
      </x:c>
      <x:c r="T992" s="9" t="str"/>
    </x:row>
    <x:row r="993" ht="22" customHeight="1">
      <x:c r="A993" s="2" t="str">
        <x:v>L00570-010</x:v>
      </x:c>
      <x:c r="B993" s="2" t="str">
        <x:v>L00570</x:v>
      </x:c>
      <x:c r="C993" s="2" t="str">
        <x:v>SO-26114</x:v>
      </x:c>
      <x:c r="D993" s="2" t="str">
        <x:v>S-L-SS</x:v>
      </x:c>
      <x:c r="E993" s="14" t="n">
        <x:v>5</x:v>
      </x:c>
      <x:c r="F993" s="2" t="str">
        <x:v>CNC machining</x:v>
      </x:c>
      <x:c r="G993" s="9" t="str">
        <x:v>CNC-05</x:v>
      </x:c>
      <x:c r="H993" s="15" t="n">
        <x:v>29</x:v>
      </x:c>
      <x:c r="I993" s="9" t="str">
        <x:v>P02</x:v>
      </x:c>
      <x:c r="J993" s="11" t="n">
        <x:v>46303.33194444444</x:v>
      </x:c>
      <x:c r="K993" s="15" t="n">
        <x:v>18</x:v>
      </x:c>
      <x:c r="L993" s="15" t="n">
        <x:v>20</x:v>
      </x:c>
      <x:c r="M993" s="13" t="n">
        <x:f>J993+(K993+L993)/1440</x:f>
        <x:v>46303.35833333333</x:v>
      </x:c>
      <x:c r="N993" s="13" t="n">
        <x:f>VLOOKUP(C993,'MES orders'!$A$8:$H$127,5,FALSE)</x:f>
        <x:v>46303.666666666664</x:v>
      </x:c>
      <x:c r="O993" s="16" t="n">
        <x:f>MAX(0,(M993-N993)*24)</x:f>
        <x:v>0</x:v>
      </x:c>
      <x:c r="P993" s="9" t="str">
        <x:v>No</x:v>
      </x:c>
      <x:c r="Q993" s="15" t="n">
        <x:v>18</x:v>
      </x:c>
      <x:c r="R993" s="13" t="n">
        <x:f>J993+Q993/1440</x:f>
        <x:v>46303.34444444444</x:v>
      </x:c>
      <x:c r="S993" s="2" t="str">
        <x:f>VLOOKUP(C993,'MES orders'!$A$8:$H$127,6,FALSE)</x:f>
        <x:v>Normal</x:v>
      </x:c>
      <x:c r="T993" s="9" t="str"/>
    </x:row>
    <x:row r="994" ht="22" customHeight="1">
      <x:c r="A994" s="2" t="str">
        <x:v>L00447-050</x:v>
      </x:c>
      <x:c r="B994" s="2" t="str">
        <x:v>L00447</x:v>
      </x:c>
      <x:c r="C994" s="2" t="str">
        <x:v>SO-26090</x:v>
      </x:c>
      <x:c r="D994" s="2" t="str">
        <x:v>R-L-SS</x:v>
      </x:c>
      <x:c r="E994" s="14" t="n">
        <x:v>5</x:v>
      </x:c>
      <x:c r="F994" s="2" t="str">
        <x:v>Valve adjustment</x:v>
      </x:c>
      <x:c r="G994" s="9" t="str">
        <x:v>AS-01</x:v>
      </x:c>
      <x:c r="H994" s="15" t="n">
        <x:v>77</x:v>
      </x:c>
      <x:c r="I994" s="9" t="str">
        <x:v>P05</x:v>
      </x:c>
      <x:c r="J994" s="11" t="n">
        <x:v>46303.33263888889</x:v>
      </x:c>
      <x:c r="K994" s="15" t="n">
        <x:v>6</x:v>
      </x:c>
      <x:c r="L994" s="15" t="n">
        <x:v>7</x:v>
      </x:c>
      <x:c r="M994" s="13" t="n">
        <x:f>J994+(K994+L994)/1440</x:f>
        <x:v>46303.34166666667</x:v>
      </x:c>
      <x:c r="N994" s="13" t="n">
        <x:f>VLOOKUP(C994,'MES orders'!$A$8:$H$127,5,FALSE)</x:f>
        <x:v>46303.666666666664</x:v>
      </x:c>
      <x:c r="O994" s="16" t="n">
        <x:f>MAX(0,(M994-N994)*24)</x:f>
        <x:v>0</x:v>
      </x:c>
      <x:c r="P994" s="9" t="str">
        <x:v>No</x:v>
      </x:c>
      <x:c r="Q994" s="15" t="n">
        <x:v>13</x:v>
      </x:c>
      <x:c r="R994" s="13" t="n">
        <x:f>J994+Q994/1440</x:f>
        <x:v>46303.34166666667</x:v>
      </x:c>
      <x:c r="S994" s="2" t="str">
        <x:f>VLOOKUP(C994,'MES orders'!$A$8:$H$127,6,FALSE)</x:f>
        <x:v>Normal</x:v>
      </x:c>
      <x:c r="T994" s="9" t="str"/>
    </x:row>
    <x:row r="995" ht="22" customHeight="1">
      <x:c r="A995" s="2" t="str">
        <x:v>L00449-020</x:v>
      </x:c>
      <x:c r="B995" s="2" t="str">
        <x:v>L00449</x:v>
      </x:c>
      <x:c r="C995" s="2" t="str">
        <x:v>SO-26090</x:v>
      </x:c>
      <x:c r="D995" s="2" t="str">
        <x:v>R-L-SS</x:v>
      </x:c>
      <x:c r="E995" s="14" t="n">
        <x:v>5</x:v>
      </x:c>
      <x:c r="F995" s="2" t="str">
        <x:v>Deburr &amp; inspect</x:v>
      </x:c>
      <x:c r="G995" s="9" t="str">
        <x:v>DB-01</x:v>
      </x:c>
      <x:c r="H995" s="15" t="n">
        <x:v>95</x:v>
      </x:c>
      <x:c r="I995" s="9" t="str">
        <x:v>P04</x:v>
      </x:c>
      <x:c r="J995" s="11" t="n">
        <x:v>46303.33263888889</x:v>
      </x:c>
      <x:c r="K995" s="15" t="n">
        <x:v>4</x:v>
      </x:c>
      <x:c r="L995" s="15" t="n">
        <x:v>5</x:v>
      </x:c>
      <x:c r="M995" s="13" t="n">
        <x:f>J995+(K995+L995)/1440</x:f>
        <x:v>46303.33888888889</x:v>
      </x:c>
      <x:c r="N995" s="13" t="n">
        <x:f>VLOOKUP(C995,'MES orders'!$A$8:$H$127,5,FALSE)</x:f>
        <x:v>46303.666666666664</x:v>
      </x:c>
      <x:c r="O995" s="16" t="n">
        <x:f>MAX(0,(M995-N995)*24)</x:f>
        <x:v>0</x:v>
      </x:c>
      <x:c r="P995" s="9" t="str">
        <x:v>No</x:v>
      </x:c>
      <x:c r="Q995" s="15" t="n">
        <x:v>9</x:v>
      </x:c>
      <x:c r="R995" s="13" t="n">
        <x:f>J995+Q995/1440</x:f>
        <x:v>46303.33888888889</x:v>
      </x:c>
      <x:c r="S995" s="2" t="str">
        <x:f>VLOOKUP(C995,'MES orders'!$A$8:$H$127,6,FALSE)</x:f>
        <x:v>Normal</x:v>
      </x:c>
      <x:c r="T995" s="9" t="str"/>
    </x:row>
    <x:row r="996" ht="22" customHeight="1">
      <x:c r="A996" s="2" t="str">
        <x:v>L00051-010</x:v>
      </x:c>
      <x:c r="B996" s="2" t="str">
        <x:v>L00051</x:v>
      </x:c>
      <x:c r="C996" s="2" t="str">
        <x:v>SO-26011</x:v>
      </x:c>
      <x:c r="D996" s="2" t="str">
        <x:v>S-L-AL</x:v>
      </x:c>
      <x:c r="E996" s="14" t="n">
        <x:v>20</x:v>
      </x:c>
      <x:c r="F996" s="2" t="str">
        <x:v>CNC machining</x:v>
      </x:c>
      <x:c r="G996" s="9" t="str">
        <x:v>CNC-03</x:v>
      </x:c>
      <x:c r="H996" s="15" t="n">
        <x:v>31</x:v>
      </x:c>
      <x:c r="I996" s="9" t="str">
        <x:v>P03</x:v>
      </x:c>
      <x:c r="J996" s="11" t="n">
        <x:v>46303.33472222222</x:v>
      </x:c>
      <x:c r="K996" s="15" t="n">
        <x:v>18</x:v>
      </x:c>
      <x:c r="L996" s="15" t="n">
        <x:v>65</x:v>
      </x:c>
      <x:c r="M996" s="13" t="n">
        <x:f>J996+(K996+L996)/1440</x:f>
        <x:v>46303.39236111111</x:v>
      </x:c>
      <x:c r="N996" s="13" t="n">
        <x:f>VLOOKUP(C996,'MES orders'!$A$8:$H$127,5,FALSE)</x:f>
        <x:v>46304.666666666664</x:v>
      </x:c>
      <x:c r="O996" s="16" t="n">
        <x:f>MAX(0,(M996-N996)*24)</x:f>
        <x:v>0</x:v>
      </x:c>
      <x:c r="P996" s="9" t="str">
        <x:v>No</x:v>
      </x:c>
      <x:c r="Q996" s="15" t="n">
        <x:v>18</x:v>
      </x:c>
      <x:c r="R996" s="13" t="n">
        <x:f>J996+Q996/1440</x:f>
        <x:v>46303.34722222222</x:v>
      </x:c>
      <x:c r="S996" s="2" t="str">
        <x:f>VLOOKUP(C996,'MES orders'!$A$8:$H$127,6,FALSE)</x:f>
        <x:v>Normal</x:v>
      </x:c>
      <x:c r="T996" s="9" t="str"/>
    </x:row>
    <x:row r="997" ht="22" customHeight="1">
      <x:c r="A997" s="2" t="str">
        <x:v>L00410-060</x:v>
      </x:c>
      <x:c r="B997" s="2" t="str">
        <x:v>L00410</x:v>
      </x:c>
      <x:c r="C997" s="2" t="str">
        <x:v>SO-26082</x:v>
      </x:c>
      <x:c r="D997" s="2" t="str">
        <x:v>R-S-SS</x:v>
      </x:c>
      <x:c r="E997" s="14" t="n">
        <x:v>10</x:v>
      </x:c>
      <x:c r="F997" s="2" t="str">
        <x:v>Final leak / function test</x:v>
      </x:c>
      <x:c r="G997" s="9" t="str">
        <x:v>QA-02</x:v>
      </x:c>
      <x:c r="H997" s="15" t="n">
        <x:v>67</x:v>
      </x:c>
      <x:c r="I997" s="9" t="str">
        <x:v>P11</x:v>
      </x:c>
      <x:c r="J997" s="11" t="n">
        <x:v>46303.3375</x:v>
      </x:c>
      <x:c r="K997" s="15" t="n">
        <x:v>10</x:v>
      </x:c>
      <x:c r="L997" s="15" t="n">
        <x:v>9</x:v>
      </x:c>
      <x:c r="M997" s="13" t="n">
        <x:f>J997+(K997+L997)/1440</x:f>
        <x:v>46303.350694444445</x:v>
      </x:c>
      <x:c r="N997" s="13" t="n">
        <x:f>VLOOKUP(C997,'MES orders'!$A$8:$H$127,5,FALSE)</x:f>
        <x:v>46303.666666666664</x:v>
      </x:c>
      <x:c r="O997" s="16" t="n">
        <x:f>MAX(0,(M997-N997)*24)</x:f>
        <x:v>0</x:v>
      </x:c>
      <x:c r="P997" s="9" t="str">
        <x:v>No</x:v>
      </x:c>
      <x:c r="Q997" s="15" t="n">
        <x:v>19</x:v>
      </x:c>
      <x:c r="R997" s="13" t="n">
        <x:f>J997+Q997/1440</x:f>
        <x:v>46303.350694444445</x:v>
      </x:c>
      <x:c r="S997" s="2" t="str">
        <x:f>VLOOKUP(C997,'MES orders'!$A$8:$H$127,6,FALSE)</x:f>
        <x:v>Normal</x:v>
      </x:c>
      <x:c r="T997" s="9" t="str"/>
    </x:row>
    <x:row r="998" ht="22" customHeight="1">
      <x:c r="A998" s="2" t="str">
        <x:v>L00449-030</x:v>
      </x:c>
      <x:c r="B998" s="2" t="str">
        <x:v>L00449</x:v>
      </x:c>
      <x:c r="C998" s="2" t="str">
        <x:v>SO-26090</x:v>
      </x:c>
      <x:c r="D998" s="2" t="str">
        <x:v>R-L-SS</x:v>
      </x:c>
      <x:c r="E998" s="14" t="n">
        <x:v>5</x:v>
      </x:c>
      <x:c r="F998" s="2" t="str">
        <x:v>Wash &amp; dry</x:v>
      </x:c>
      <x:c r="G998" s="9" t="str">
        <x:v>WS-01</x:v>
      </x:c>
      <x:c r="H998" s="15" t="n">
        <x:v>93</x:v>
      </x:c>
      <x:c r="I998" s="9" t="str">
        <x:v>P04</x:v>
      </x:c>
      <x:c r="J998" s="11" t="n">
        <x:v>46303.33888888889</x:v>
      </x:c>
      <x:c r="K998" s="15" t="n">
        <x:v>12</x:v>
      </x:c>
      <x:c r="L998" s="15" t="n">
        <x:v>2</x:v>
      </x:c>
      <x:c r="M998" s="13" t="n">
        <x:f>J998+(K998+L998)/1440</x:f>
        <x:v>46303.34861111111</x:v>
      </x:c>
      <x:c r="N998" s="13" t="n">
        <x:f>VLOOKUP(C998,'MES orders'!$A$8:$H$127,5,FALSE)</x:f>
        <x:v>46303.666666666664</x:v>
      </x:c>
      <x:c r="O998" s="16" t="n">
        <x:f>MAX(0,(M998-N998)*24)</x:f>
        <x:v>0</x:v>
      </x:c>
      <x:c r="P998" s="9" t="str">
        <x:v>No</x:v>
      </x:c>
      <x:c r="Q998" s="15" t="n">
        <x:v>14</x:v>
      </x:c>
      <x:c r="R998" s="13" t="n">
        <x:f>J998+Q998/1440</x:f>
        <x:v>46303.34861111111</x:v>
      </x:c>
      <x:c r="S998" s="2" t="str">
        <x:f>VLOOKUP(C998,'MES orders'!$A$8:$H$127,6,FALSE)</x:f>
        <x:v>Normal</x:v>
      </x:c>
      <x:c r="T998" s="9" t="str"/>
    </x:row>
    <x:row r="999" ht="22" customHeight="1">
      <x:c r="A999" s="2" t="str">
        <x:v>L00132-040</x:v>
      </x:c>
      <x:c r="B999" s="2" t="str">
        <x:v>L00132</x:v>
      </x:c>
      <x:c r="C999" s="2" t="str">
        <x:v>SO-26027</x:v>
      </x:c>
      <x:c r="D999" s="2" t="str">
        <x:v>D-S-AL</x:v>
      </x:c>
      <x:c r="E999" s="14" t="n">
        <x:v>15</x:v>
      </x:c>
      <x:c r="F999" s="2" t="str">
        <x:v>Mechanical assembly</x:v>
      </x:c>
      <x:c r="G999" s="9" t="str">
        <x:v>AS-05</x:v>
      </x:c>
      <x:c r="H999" s="15" t="n">
        <x:v>25</x:v>
      </x:c>
      <x:c r="I999" s="9" t="str">
        <x:v>P08</x:v>
      </x:c>
      <x:c r="J999" s="11" t="n">
        <x:v>46303.339583333334</x:v>
      </x:c>
      <x:c r="K999" s="15" t="n">
        <x:v>8</x:v>
      </x:c>
      <x:c r="L999" s="15" t="n">
        <x:v>27</x:v>
      </x:c>
      <x:c r="M999" s="13" t="n">
        <x:f>J999+(K999+L999)/1440</x:f>
        <x:v>46303.36388888889</x:v>
      </x:c>
      <x:c r="N999" s="13" t="n">
        <x:f>VLOOKUP(C999,'MES orders'!$A$8:$H$127,5,FALSE)</x:f>
        <x:v>46304.666666666664</x:v>
      </x:c>
      <x:c r="O999" s="16" t="n">
        <x:f>MAX(0,(M999-N999)*24)</x:f>
        <x:v>0</x:v>
      </x:c>
      <x:c r="P999" s="9" t="str">
        <x:v>No</x:v>
      </x:c>
      <x:c r="Q999" s="15" t="n">
        <x:v>35</x:v>
      </x:c>
      <x:c r="R999" s="13" t="n">
        <x:f>J999+Q999/1440</x:f>
        <x:v>46303.36388888889</x:v>
      </x:c>
      <x:c r="S999" s="2" t="str">
        <x:f>VLOOKUP(C999,'MES orders'!$A$8:$H$127,6,FALSE)</x:f>
        <x:v>Normal</x:v>
      </x:c>
      <x:c r="T999" s="9" t="str"/>
    </x:row>
    <x:row r="1000" ht="22" customHeight="1">
      <x:c r="A1000" s="2" t="str">
        <x:v>L00447-060</x:v>
      </x:c>
      <x:c r="B1000" s="2" t="str">
        <x:v>L00447</x:v>
      </x:c>
      <x:c r="C1000" s="2" t="str">
        <x:v>SO-26090</x:v>
      </x:c>
      <x:c r="D1000" s="2" t="str">
        <x:v>R-L-SS</x:v>
      </x:c>
      <x:c r="E1000" s="14" t="n">
        <x:v>5</x:v>
      </x:c>
      <x:c r="F1000" s="2" t="str">
        <x:v>Final leak / function test</x:v>
      </x:c>
      <x:c r="G1000" s="9" t="str">
        <x:v>QA-03</x:v>
      </x:c>
      <x:c r="H1000" s="15" t="n">
        <x:v>47</x:v>
      </x:c>
      <x:c r="I1000" s="9" t="str">
        <x:v>P12</x:v>
      </x:c>
      <x:c r="J1000" s="11" t="n">
        <x:v>46303.34166666667</x:v>
      </x:c>
      <x:c r="K1000" s="15" t="n">
        <x:v>10</x:v>
      </x:c>
      <x:c r="L1000" s="15" t="n">
        <x:v>6</x:v>
      </x:c>
      <x:c r="M1000" s="13" t="n">
        <x:f>J1000+(K1000+L1000)/1440</x:f>
        <x:v>46303.35277777778</x:v>
      </x:c>
      <x:c r="N1000" s="13" t="n">
        <x:f>VLOOKUP(C1000,'MES orders'!$A$8:$H$127,5,FALSE)</x:f>
        <x:v>46303.666666666664</x:v>
      </x:c>
      <x:c r="O1000" s="16" t="n">
        <x:f>MAX(0,(M1000-N1000)*24)</x:f>
        <x:v>0</x:v>
      </x:c>
      <x:c r="P1000" s="9" t="str">
        <x:v>No</x:v>
      </x:c>
      <x:c r="Q1000" s="15" t="n">
        <x:v>16</x:v>
      </x:c>
      <x:c r="R1000" s="13" t="n">
        <x:f>J1000+Q1000/1440</x:f>
        <x:v>46303.35277777778</x:v>
      </x:c>
      <x:c r="S1000" s="2" t="str">
        <x:f>VLOOKUP(C1000,'MES orders'!$A$8:$H$127,6,FALSE)</x:f>
        <x:v>Normal</x:v>
      </x:c>
      <x:c r="T1000" s="9" t="str"/>
    </x:row>
    <x:row r="1001" ht="22" customHeight="1">
      <x:c r="A1001" s="2" t="str">
        <x:v>L00448-050</x:v>
      </x:c>
      <x:c r="B1001" s="2" t="str">
        <x:v>L00448</x:v>
      </x:c>
      <x:c r="C1001" s="2" t="str">
        <x:v>SO-26090</x:v>
      </x:c>
      <x:c r="D1001" s="2" t="str">
        <x:v>R-L-SS</x:v>
      </x:c>
      <x:c r="E1001" s="14" t="n">
        <x:v>5</x:v>
      </x:c>
      <x:c r="F1001" s="2" t="str">
        <x:v>Valve adjustment</x:v>
      </x:c>
      <x:c r="G1001" s="9" t="str">
        <x:v>AS-01</x:v>
      </x:c>
      <x:c r="H1001" s="15" t="n">
        <x:v>78</x:v>
      </x:c>
      <x:c r="I1001" s="9" t="str">
        <x:v>P05</x:v>
      </x:c>
      <x:c r="J1001" s="11" t="n">
        <x:v>46303.342361111114</x:v>
      </x:c>
      <x:c r="K1001" s="15" t="n">
        <x:v>6</x:v>
      </x:c>
      <x:c r="L1001" s="15" t="n">
        <x:v>7</x:v>
      </x:c>
      <x:c r="M1001" s="13" t="n">
        <x:f>J1001+(K1001+L1001)/1440</x:f>
        <x:v>46303.35138888889</x:v>
      </x:c>
      <x:c r="N1001" s="13" t="n">
        <x:f>VLOOKUP(C1001,'MES orders'!$A$8:$H$127,5,FALSE)</x:f>
        <x:v>46303.666666666664</x:v>
      </x:c>
      <x:c r="O1001" s="16" t="n">
        <x:f>MAX(0,(M1001-N1001)*24)</x:f>
        <x:v>0</x:v>
      </x:c>
      <x:c r="P1001" s="9" t="str">
        <x:v>No</x:v>
      </x:c>
      <x:c r="Q1001" s="15" t="n">
        <x:v>13</x:v>
      </x:c>
      <x:c r="R1001" s="13" t="n">
        <x:f>J1001+Q1001/1440</x:f>
        <x:v>46303.35138888889</x:v>
      </x:c>
      <x:c r="S1001" s="2" t="str">
        <x:f>VLOOKUP(C1001,'MES orders'!$A$8:$H$127,6,FALSE)</x:f>
        <x:v>Normal</x:v>
      </x:c>
      <x:c r="T1001" s="9" t="str"/>
    </x:row>
    <x:row r="1002" ht="22" customHeight="1">
      <x:c r="A1002" s="2" t="str">
        <x:v>L00450-020</x:v>
      </x:c>
      <x:c r="B1002" s="2" t="str">
        <x:v>L00450</x:v>
      </x:c>
      <x:c r="C1002" s="2" t="str">
        <x:v>SO-26090</x:v>
      </x:c>
      <x:c r="D1002" s="2" t="str">
        <x:v>R-L-SS</x:v>
      </x:c>
      <x:c r="E1002" s="14" t="n">
        <x:v>5</x:v>
      </x:c>
      <x:c r="F1002" s="2" t="str">
        <x:v>Deburr &amp; inspect</x:v>
      </x:c>
      <x:c r="G1002" s="9" t="str">
        <x:v>DB-01</x:v>
      </x:c>
      <x:c r="H1002" s="15" t="n">
        <x:v>96</x:v>
      </x:c>
      <x:c r="I1002" s="9" t="str">
        <x:v>P06</x:v>
      </x:c>
      <x:c r="J1002" s="11" t="n">
        <x:v>46303.342361111114</x:v>
      </x:c>
      <x:c r="K1002" s="15" t="n">
        <x:v>4</x:v>
      </x:c>
      <x:c r="L1002" s="15" t="n">
        <x:v>5</x:v>
      </x:c>
      <x:c r="M1002" s="13" t="n">
        <x:f>J1002+(K1002+L1002)/1440</x:f>
        <x:v>46303.34861111111</x:v>
      </x:c>
      <x:c r="N1002" s="13" t="n">
        <x:f>VLOOKUP(C1002,'MES orders'!$A$8:$H$127,5,FALSE)</x:f>
        <x:v>46303.666666666664</x:v>
      </x:c>
      <x:c r="O1002" s="16" t="n">
        <x:f>MAX(0,(M1002-N1002)*24)</x:f>
        <x:v>0</x:v>
      </x:c>
      <x:c r="P1002" s="9" t="str">
        <x:v>No</x:v>
      </x:c>
      <x:c r="Q1002" s="15" t="n">
        <x:v>9</x:v>
      </x:c>
      <x:c r="R1002" s="13" t="n">
        <x:f>J1002+Q1002/1440</x:f>
        <x:v>46303.34861111111</x:v>
      </x:c>
      <x:c r="S1002" s="2" t="str">
        <x:f>VLOOKUP(C1002,'MES orders'!$A$8:$H$127,6,FALSE)</x:f>
        <x:v>Normal</x:v>
      </x:c>
      <x:c r="T1002" s="9" t="str"/>
    </x:row>
    <x:row r="1003" ht="22" customHeight="1">
      <x:c r="A1003" s="2" t="str">
        <x:v>L00134-010</x:v>
      </x:c>
      <x:c r="B1003" s="2" t="str">
        <x:v>L00134</x:v>
      </x:c>
      <x:c r="C1003" s="2" t="str">
        <x:v>SO-26027</x:v>
      </x:c>
      <x:c r="D1003" s="2" t="str">
        <x:v>D-S-AL</x:v>
      </x:c>
      <x:c r="E1003" s="14" t="n">
        <x:v>15</x:v>
      </x:c>
      <x:c r="F1003" s="2" t="str">
        <x:v>CNC machining</x:v>
      </x:c>
      <x:c r="G1003" s="9" t="str">
        <x:v>CNC-02</x:v>
      </x:c>
      <x:c r="H1003" s="15" t="n">
        <x:v>23</x:v>
      </x:c>
      <x:c r="I1003" s="9" t="str">
        <x:v>P02</x:v>
      </x:c>
      <x:c r="J1003" s="11" t="n">
        <x:v>46303.34444444445</x:v>
      </x:c>
      <x:c r="K1003" s="15" t="n">
        <x:v>18</x:v>
      </x:c>
      <x:c r="L1003" s="15" t="n">
        <x:v>36</x:v>
      </x:c>
      <x:c r="M1003" s="13" t="n">
        <x:f>J1003+(K1003+L1003)/1440</x:f>
        <x:v>46303.381944444445</x:v>
      </x:c>
      <x:c r="N1003" s="13" t="n">
        <x:f>VLOOKUP(C1003,'MES orders'!$A$8:$H$127,5,FALSE)</x:f>
        <x:v>46304.666666666664</x:v>
      </x:c>
      <x:c r="O1003" s="16" t="n">
        <x:f>MAX(0,(M1003-N1003)*24)</x:f>
        <x:v>0</x:v>
      </x:c>
      <x:c r="P1003" s="9" t="str">
        <x:v>No</x:v>
      </x:c>
      <x:c r="Q1003" s="15" t="n">
        <x:v>18</x:v>
      </x:c>
      <x:c r="R1003" s="13" t="n">
        <x:f>J1003+Q1003/1440</x:f>
        <x:v>46303.356944444444</x:v>
      </x:c>
      <x:c r="S1003" s="2" t="str">
        <x:f>VLOOKUP(C1003,'MES orders'!$A$8:$H$127,6,FALSE)</x:f>
        <x:v>Normal</x:v>
      </x:c>
      <x:c r="T1003" s="9" t="str"/>
    </x:row>
    <x:row r="1004" ht="22" customHeight="1">
      <x:c r="A1004" s="2" t="str">
        <x:v>L00052-010</x:v>
      </x:c>
      <x:c r="B1004" s="2" t="str">
        <x:v>L00052</x:v>
      </x:c>
      <x:c r="C1004" s="2" t="str">
        <x:v>SO-26011</x:v>
      </x:c>
      <x:c r="D1004" s="2" t="str">
        <x:v>S-L-AL</x:v>
      </x:c>
      <x:c r="E1004" s="14" t="n">
        <x:v>20</x:v>
      </x:c>
      <x:c r="F1004" s="2" t="str">
        <x:v>CNC machining</x:v>
      </x:c>
      <x:c r="G1004" s="9" t="str">
        <x:v>CNC-06</x:v>
      </x:c>
      <x:c r="H1004" s="15" t="n">
        <x:v>27</x:v>
      </x:c>
      <x:c r="I1004" s="9" t="str">
        <x:v>P01</x:v>
      </x:c>
      <x:c r="J1004" s="11" t="n">
        <x:v>46303.34444444445</x:v>
      </x:c>
      <x:c r="K1004" s="15" t="n">
        <x:v>18</x:v>
      </x:c>
      <x:c r="L1004" s="15" t="n">
        <x:v>65</x:v>
      </x:c>
      <x:c r="M1004" s="13" t="n">
        <x:f>J1004+(K1004+L1004)/1440</x:f>
        <x:v>46303.402083333334</x:v>
      </x:c>
      <x:c r="N1004" s="13" t="n">
        <x:f>VLOOKUP(C1004,'MES orders'!$A$8:$H$127,5,FALSE)</x:f>
        <x:v>46304.666666666664</x:v>
      </x:c>
      <x:c r="O1004" s="16" t="n">
        <x:f>MAX(0,(M1004-N1004)*24)</x:f>
        <x:v>0</x:v>
      </x:c>
      <x:c r="P1004" s="9" t="str">
        <x:v>No</x:v>
      </x:c>
      <x:c r="Q1004" s="15" t="n">
        <x:v>18</x:v>
      </x:c>
      <x:c r="R1004" s="13" t="n">
        <x:f>J1004+Q1004/1440</x:f>
        <x:v>46303.356944444444</x:v>
      </x:c>
      <x:c r="S1004" s="2" t="str">
        <x:f>VLOOKUP(C1004,'MES orders'!$A$8:$H$127,6,FALSE)</x:f>
        <x:v>Normal</x:v>
      </x:c>
      <x:c r="T1004" s="9" t="str"/>
    </x:row>
    <x:row r="1005" ht="22" customHeight="1">
      <x:c r="A1005" s="2" t="str">
        <x:v>L00449-040</x:v>
      </x:c>
      <x:c r="B1005" s="2" t="str">
        <x:v>L00449</x:v>
      </x:c>
      <x:c r="C1005" s="2" t="str">
        <x:v>SO-26090</x:v>
      </x:c>
      <x:c r="D1005" s="2" t="str">
        <x:v>R-L-SS</x:v>
      </x:c>
      <x:c r="E1005" s="14" t="n">
        <x:v>5</x:v>
      </x:c>
      <x:c r="F1005" s="2" t="str">
        <x:v>Mechanical assembly</x:v>
      </x:c>
      <x:c r="G1005" s="9" t="str">
        <x:v>AS-02</x:v>
      </x:c>
      <x:c r="H1005" s="15" t="n">
        <x:v>63</x:v>
      </x:c>
      <x:c r="I1005" s="9" t="str">
        <x:v>P04</x:v>
      </x:c>
      <x:c r="J1005" s="11" t="n">
        <x:v>46303.34861111111</x:v>
      </x:c>
      <x:c r="K1005" s="15" t="n">
        <x:v>8</x:v>
      </x:c>
      <x:c r="L1005" s="15" t="n">
        <x:v>12</x:v>
      </x:c>
      <x:c r="M1005" s="13" t="n">
        <x:f>J1005+(K1005+L1005)/1440</x:f>
        <x:v>46303.3625</x:v>
      </x:c>
      <x:c r="N1005" s="13" t="n">
        <x:f>VLOOKUP(C1005,'MES orders'!$A$8:$H$127,5,FALSE)</x:f>
        <x:v>46303.666666666664</x:v>
      </x:c>
      <x:c r="O1005" s="16" t="n">
        <x:f>MAX(0,(M1005-N1005)*24)</x:f>
        <x:v>0</x:v>
      </x:c>
      <x:c r="P1005" s="9" t="str">
        <x:v>No</x:v>
      </x:c>
      <x:c r="Q1005" s="15" t="n">
        <x:v>20</x:v>
      </x:c>
      <x:c r="R1005" s="13" t="n">
        <x:f>J1005+Q1005/1440</x:f>
        <x:v>46303.3625</x:v>
      </x:c>
      <x:c r="S1005" s="2" t="str">
        <x:f>VLOOKUP(C1005,'MES orders'!$A$8:$H$127,6,FALSE)</x:f>
        <x:v>Normal</x:v>
      </x:c>
      <x:c r="T1005" s="9" t="str"/>
    </x:row>
    <x:row r="1006" ht="22" customHeight="1">
      <x:c r="A1006" s="2" t="str">
        <x:v>L00450-030</x:v>
      </x:c>
      <x:c r="B1006" s="2" t="str">
        <x:v>L00450</x:v>
      </x:c>
      <x:c r="C1006" s="2" t="str">
        <x:v>SO-26090</x:v>
      </x:c>
      <x:c r="D1006" s="2" t="str">
        <x:v>R-L-SS</x:v>
      </x:c>
      <x:c r="E1006" s="14" t="n">
        <x:v>5</x:v>
      </x:c>
      <x:c r="F1006" s="2" t="str">
        <x:v>Wash &amp; dry</x:v>
      </x:c>
      <x:c r="G1006" s="9" t="str">
        <x:v>WS-01</x:v>
      </x:c>
      <x:c r="H1006" s="15" t="n">
        <x:v>94</x:v>
      </x:c>
      <x:c r="I1006" s="9" t="str">
        <x:v>P06</x:v>
      </x:c>
      <x:c r="J1006" s="11" t="n">
        <x:v>46303.34861111111</x:v>
      </x:c>
      <x:c r="K1006" s="15" t="n">
        <x:v>12</x:v>
      </x:c>
      <x:c r="L1006" s="15" t="n">
        <x:v>2</x:v>
      </x:c>
      <x:c r="M1006" s="13" t="n">
        <x:f>J1006+(K1006+L1006)/1440</x:f>
        <x:v>46303.35833333334</x:v>
      </x:c>
      <x:c r="N1006" s="13" t="n">
        <x:f>VLOOKUP(C1006,'MES orders'!$A$8:$H$127,5,FALSE)</x:f>
        <x:v>46303.666666666664</x:v>
      </x:c>
      <x:c r="O1006" s="16" t="n">
        <x:f>MAX(0,(M1006-N1006)*24)</x:f>
        <x:v>0</x:v>
      </x:c>
      <x:c r="P1006" s="9" t="str">
        <x:v>No</x:v>
      </x:c>
      <x:c r="Q1006" s="15" t="n">
        <x:v>14</x:v>
      </x:c>
      <x:c r="R1006" s="13" t="n">
        <x:f>J1006+Q1006/1440</x:f>
        <x:v>46303.35833333334</x:v>
      </x:c>
      <x:c r="S1006" s="2" t="str">
        <x:f>VLOOKUP(C1006,'MES orders'!$A$8:$H$127,6,FALSE)</x:f>
        <x:v>Normal</x:v>
      </x:c>
      <x:c r="T1006" s="9" t="str"/>
    </x:row>
    <x:row r="1007" ht="22" customHeight="1">
      <x:c r="A1007" s="2" t="str">
        <x:v>L00486-020</x:v>
      </x:c>
      <x:c r="B1007" s="2" t="str">
        <x:v>L00486</x:v>
      </x:c>
      <x:c r="C1007" s="2" t="str">
        <x:v>SO-26098</x:v>
      </x:c>
      <x:c r="D1007" s="2" t="str">
        <x:v>S-C-SS</x:v>
      </x:c>
      <x:c r="E1007" s="14" t="n">
        <x:v>10</x:v>
      </x:c>
      <x:c r="F1007" s="2" t="str">
        <x:v>Deburr &amp; inspect</x:v>
      </x:c>
      <x:c r="G1007" s="9" t="str">
        <x:v>DB-01</x:v>
      </x:c>
      <x:c r="H1007" s="15" t="n">
        <x:v>97</x:v>
      </x:c>
      <x:c r="I1007" s="9" t="str">
        <x:v>P05</x:v>
      </x:c>
      <x:c r="J1007" s="11" t="n">
        <x:v>46303.35138888889</x:v>
      </x:c>
      <x:c r="K1007" s="15" t="n">
        <x:v>4</x:v>
      </x:c>
      <x:c r="L1007" s="15" t="n">
        <x:v>6</x:v>
      </x:c>
      <x:c r="M1007" s="13" t="n">
        <x:f>J1007+(K1007+L1007)/1440</x:f>
        <x:v>46303.35833333334</x:v>
      </x:c>
      <x:c r="N1007" s="13" t="n">
        <x:f>VLOOKUP(C1007,'MES orders'!$A$8:$H$127,5,FALSE)</x:f>
        <x:v>46303.666666666664</x:v>
      </x:c>
      <x:c r="O1007" s="16" t="n">
        <x:f>MAX(0,(M1007-N1007)*24)</x:f>
        <x:v>0</x:v>
      </x:c>
      <x:c r="P1007" s="9" t="str">
        <x:v>No</x:v>
      </x:c>
      <x:c r="Q1007" s="15" t="n">
        <x:v>10</x:v>
      </x:c>
      <x:c r="R1007" s="13" t="n">
        <x:f>J1007+Q1007/1440</x:f>
        <x:v>46303.35833333334</x:v>
      </x:c>
      <x:c r="S1007" s="2" t="str">
        <x:f>VLOOKUP(C1007,'MES orders'!$A$8:$H$127,6,FALSE)</x:f>
        <x:v>Normal</x:v>
      </x:c>
      <x:c r="T1007" s="9" t="str"/>
    </x:row>
    <x:row r="1008" ht="22" customHeight="1">
      <x:c r="A1008" s="2" t="str">
        <x:v>L00448-060</x:v>
      </x:c>
      <x:c r="B1008" s="2" t="str">
        <x:v>L00448</x:v>
      </x:c>
      <x:c r="C1008" s="2" t="str">
        <x:v>SO-26090</x:v>
      </x:c>
      <x:c r="D1008" s="2" t="str">
        <x:v>R-L-SS</x:v>
      </x:c>
      <x:c r="E1008" s="14" t="n">
        <x:v>5</x:v>
      </x:c>
      <x:c r="F1008" s="2" t="str">
        <x:v>Final leak / function test</x:v>
      </x:c>
      <x:c r="G1008" s="9" t="str">
        <x:v>QA-02</x:v>
      </x:c>
      <x:c r="H1008" s="15" t="n">
        <x:v>68</x:v>
      </x:c>
      <x:c r="I1008" s="9" t="str">
        <x:v>P11</x:v>
      </x:c>
      <x:c r="J1008" s="11" t="n">
        <x:v>46303.35138888889</x:v>
      </x:c>
      <x:c r="K1008" s="15" t="n">
        <x:v>10</x:v>
      </x:c>
      <x:c r="L1008" s="15" t="n">
        <x:v>6</x:v>
      </x:c>
      <x:c r="M1008" s="13" t="n">
        <x:f>J1008+(K1008+L1008)/1440</x:f>
        <x:v>46303.3625</x:v>
      </x:c>
      <x:c r="N1008" s="13" t="n">
        <x:f>VLOOKUP(C1008,'MES orders'!$A$8:$H$127,5,FALSE)</x:f>
        <x:v>46303.666666666664</x:v>
      </x:c>
      <x:c r="O1008" s="16" t="n">
        <x:f>MAX(0,(M1008-N1008)*24)</x:f>
        <x:v>0</x:v>
      </x:c>
      <x:c r="P1008" s="9" t="str">
        <x:v>No</x:v>
      </x:c>
      <x:c r="Q1008" s="15" t="n">
        <x:v>16</x:v>
      </x:c>
      <x:c r="R1008" s="13" t="n">
        <x:f>J1008+Q1008/1440</x:f>
        <x:v>46303.3625</x:v>
      </x:c>
      <x:c r="S1008" s="2" t="str">
        <x:f>VLOOKUP(C1008,'MES orders'!$A$8:$H$127,6,FALSE)</x:f>
        <x:v>Normal</x:v>
      </x:c>
      <x:c r="T1008" s="9" t="str"/>
    </x:row>
    <x:row r="1009" ht="22" customHeight="1">
      <x:c r="A1009" s="2" t="str">
        <x:v>L00015-080</x:v>
      </x:c>
      <x:c r="B1009" s="2" t="str">
        <x:v>L00015</x:v>
      </x:c>
      <x:c r="C1009" s="2" t="str">
        <x:v>SO-26003</x:v>
      </x:c>
      <x:c r="D1009" s="2" t="str">
        <x:v>S-S-AL</x:v>
      </x:c>
      <x:c r="E1009" s="14" t="n">
        <x:v>15</x:v>
      </x:c>
      <x:c r="F1009" s="2" t="str">
        <x:v>Final leak / function test</x:v>
      </x:c>
      <x:c r="G1009" s="9" t="str">
        <x:v>QA-03</x:v>
      </x:c>
      <x:c r="H1009" s="15" t="n">
        <x:v>48</x:v>
      </x:c>
      <x:c r="I1009" s="9" t="str">
        <x:v>P12</x:v>
      </x:c>
      <x:c r="J1009" s="11" t="n">
        <x:v>46303.35277777778</x:v>
      </x:c>
      <x:c r="K1009" s="15" t="n">
        <x:v>10</x:v>
      </x:c>
      <x:c r="L1009" s="15" t="n">
        <x:v>14</x:v>
      </x:c>
      <x:c r="M1009" s="13" t="n">
        <x:f>J1009+(K1009+L1009)/1440</x:f>
        <x:v>46303.36944444445</x:v>
      </x:c>
      <x:c r="N1009" s="13" t="n">
        <x:f>VLOOKUP(C1009,'MES orders'!$A$8:$H$127,5,FALSE)</x:f>
        <x:v>46304.666666666664</x:v>
      </x:c>
      <x:c r="O1009" s="16" t="n">
        <x:f>MAX(0,(M1009-N1009)*24)</x:f>
        <x:v>0</x:v>
      </x:c>
      <x:c r="P1009" s="9" t="str">
        <x:v>No</x:v>
      </x:c>
      <x:c r="Q1009" s="15" t="n">
        <x:v>24</x:v>
      </x:c>
      <x:c r="R1009" s="13" t="n">
        <x:f>J1009+Q1009/1440</x:f>
        <x:v>46303.36944444445</x:v>
      </x:c>
      <x:c r="S1009" s="2" t="str">
        <x:f>VLOOKUP(C1009,'MES orders'!$A$8:$H$127,6,FALSE)</x:f>
        <x:v>Normal</x:v>
      </x:c>
      <x:c r="T1009" s="9" t="str"/>
    </x:row>
    <x:row r="1010" ht="22" customHeight="1">
      <x:c r="A1010" s="2" t="str">
        <x:v>L00450-040</x:v>
      </x:c>
      <x:c r="B1010" s="2" t="str">
        <x:v>L00450</x:v>
      </x:c>
      <x:c r="C1010" s="2" t="str">
        <x:v>SO-26090</x:v>
      </x:c>
      <x:c r="D1010" s="2" t="str">
        <x:v>R-L-SS</x:v>
      </x:c>
      <x:c r="E1010" s="14" t="n">
        <x:v>5</x:v>
      </x:c>
      <x:c r="F1010" s="2" t="str">
        <x:v>Mechanical assembly</x:v>
      </x:c>
      <x:c r="G1010" s="9" t="str">
        <x:v>AS-03</x:v>
      </x:c>
      <x:c r="H1010" s="15" t="n">
        <x:v>53</x:v>
      </x:c>
      <x:c r="I1010" s="9" t="str">
        <x:v>P06</x:v>
      </x:c>
      <x:c r="J1010" s="11" t="n">
        <x:v>46303.35833333333</x:v>
      </x:c>
      <x:c r="K1010" s="15" t="n">
        <x:v>8</x:v>
      </x:c>
      <x:c r="L1010" s="15" t="n">
        <x:v>12</x:v>
      </x:c>
      <x:c r="M1010" s="13" t="n">
        <x:f>J1010+(K1010+L1010)/1440</x:f>
        <x:v>46303.37222222222</x:v>
      </x:c>
      <x:c r="N1010" s="13" t="n">
        <x:f>VLOOKUP(C1010,'MES orders'!$A$8:$H$127,5,FALSE)</x:f>
        <x:v>46303.666666666664</x:v>
      </x:c>
      <x:c r="O1010" s="16" t="n">
        <x:f>MAX(0,(M1010-N1010)*24)</x:f>
        <x:v>0</x:v>
      </x:c>
      <x:c r="P1010" s="9" t="str">
        <x:v>No</x:v>
      </x:c>
      <x:c r="Q1010" s="15" t="n">
        <x:v>20</x:v>
      </x:c>
      <x:c r="R1010" s="13" t="n">
        <x:f>J1010+Q1010/1440</x:f>
        <x:v>46303.37222222222</x:v>
      </x:c>
      <x:c r="S1010" s="2" t="str">
        <x:f>VLOOKUP(C1010,'MES orders'!$A$8:$H$127,6,FALSE)</x:f>
        <x:v>Normal</x:v>
      </x:c>
      <x:c r="T1010" s="9" t="str"/>
    </x:row>
    <x:row r="1011" ht="22" customHeight="1">
      <x:c r="A1011" s="2" t="str">
        <x:v>L00053-010</x:v>
      </x:c>
      <x:c r="B1011" s="2" t="str">
        <x:v>L00053</x:v>
      </x:c>
      <x:c r="C1011" s="2" t="str">
        <x:v>SO-26011</x:v>
      </x:c>
      <x:c r="D1011" s="2" t="str">
        <x:v>S-L-AL</x:v>
      </x:c>
      <x:c r="E1011" s="14" t="n">
        <x:v>20</x:v>
      </x:c>
      <x:c r="F1011" s="2" t="str">
        <x:v>CNC machining</x:v>
      </x:c>
      <x:c r="G1011" s="9" t="str">
        <x:v>CNC-04</x:v>
      </x:c>
      <x:c r="H1011" s="15" t="n">
        <x:v>33</x:v>
      </x:c>
      <x:c r="I1011" s="9" t="str">
        <x:v>P03</x:v>
      </x:c>
      <x:c r="J1011" s="11" t="n">
        <x:v>46303.35833333333</x:v>
      </x:c>
      <x:c r="K1011" s="15" t="n">
        <x:v>18</x:v>
      </x:c>
      <x:c r="L1011" s="15" t="n">
        <x:v>65</x:v>
      </x:c>
      <x:c r="M1011" s="13" t="n">
        <x:f>J1011+(K1011+L1011)/1440</x:f>
        <x:v>46303.41597222222</x:v>
      </x:c>
      <x:c r="N1011" s="13" t="n">
        <x:f>VLOOKUP(C1011,'MES orders'!$A$8:$H$127,5,FALSE)</x:f>
        <x:v>46304.666666666664</x:v>
      </x:c>
      <x:c r="O1011" s="16" t="n">
        <x:f>MAX(0,(M1011-N1011)*24)</x:f>
        <x:v>0</x:v>
      </x:c>
      <x:c r="P1011" s="9" t="str">
        <x:v>No</x:v>
      </x:c>
      <x:c r="Q1011" s="15" t="n">
        <x:v>18</x:v>
      </x:c>
      <x:c r="R1011" s="13" t="n">
        <x:f>J1011+Q1011/1440</x:f>
        <x:v>46303.37083333333</x:v>
      </x:c>
      <x:c r="S1011" s="2" t="str">
        <x:f>VLOOKUP(C1011,'MES orders'!$A$8:$H$127,6,FALSE)</x:f>
        <x:v>Normal</x:v>
      </x:c>
      <x:c r="T1011" s="9" t="str"/>
    </x:row>
    <x:row r="1012" ht="22" customHeight="1">
      <x:c r="A1012" s="2" t="str">
        <x:v>L00569-020</x:v>
      </x:c>
      <x:c r="B1012" s="2" t="str">
        <x:v>L00569</x:v>
      </x:c>
      <x:c r="C1012" s="2" t="str">
        <x:v>SO-26114</x:v>
      </x:c>
      <x:c r="D1012" s="2" t="str">
        <x:v>S-L-SS</x:v>
      </x:c>
      <x:c r="E1012" s="14" t="n">
        <x:v>5</x:v>
      </x:c>
      <x:c r="F1012" s="2" t="str">
        <x:v>Deburr &amp; inspect</x:v>
      </x:c>
      <x:c r="G1012" s="9" t="str">
        <x:v>DB-01</x:v>
      </x:c>
      <x:c r="H1012" s="15" t="n">
        <x:v>98</x:v>
      </x:c>
      <x:c r="I1012" s="9" t="str">
        <x:v>P01</x:v>
      </x:c>
      <x:c r="J1012" s="11" t="n">
        <x:v>46303.35833333333</x:v>
      </x:c>
      <x:c r="K1012" s="15" t="n">
        <x:v>4</x:v>
      </x:c>
      <x:c r="L1012" s="15" t="n">
        <x:v>5</x:v>
      </x:c>
      <x:c r="M1012" s="13" t="n">
        <x:f>J1012+(K1012+L1012)/1440</x:f>
        <x:v>46303.36458333333</x:v>
      </x:c>
      <x:c r="N1012" s="13" t="n">
        <x:f>VLOOKUP(C1012,'MES orders'!$A$8:$H$127,5,FALSE)</x:f>
        <x:v>46303.666666666664</x:v>
      </x:c>
      <x:c r="O1012" s="16" t="n">
        <x:f>MAX(0,(M1012-N1012)*24)</x:f>
        <x:v>0</x:v>
      </x:c>
      <x:c r="P1012" s="9" t="str">
        <x:v>No</x:v>
      </x:c>
      <x:c r="Q1012" s="15" t="n">
        <x:v>9</x:v>
      </x:c>
      <x:c r="R1012" s="13" t="n">
        <x:f>J1012+Q1012/1440</x:f>
        <x:v>46303.36458333333</x:v>
      </x:c>
      <x:c r="S1012" s="2" t="str">
        <x:f>VLOOKUP(C1012,'MES orders'!$A$8:$H$127,6,FALSE)</x:f>
        <x:v>Normal</x:v>
      </x:c>
      <x:c r="T1012" s="9" t="str"/>
    </x:row>
    <x:row r="1013" ht="22" customHeight="1">
      <x:c r="A1013" s="2" t="str">
        <x:v>L00570-020</x:v>
      </x:c>
      <x:c r="B1013" s="2" t="str">
        <x:v>L00570</x:v>
      </x:c>
      <x:c r="C1013" s="2" t="str">
        <x:v>SO-26114</x:v>
      </x:c>
      <x:c r="D1013" s="2" t="str">
        <x:v>S-L-SS</x:v>
      </x:c>
      <x:c r="E1013" s="14" t="n">
        <x:v>5</x:v>
      </x:c>
      <x:c r="F1013" s="2" t="str">
        <x:v>Deburr &amp; inspect</x:v>
      </x:c>
      <x:c r="G1013" s="9" t="str">
        <x:v>DB-02</x:v>
      </x:c>
      <x:c r="H1013" s="15" t="n">
        <x:v>67</x:v>
      </x:c>
      <x:c r="I1013" s="9" t="str">
        <x:v>P02</x:v>
      </x:c>
      <x:c r="J1013" s="11" t="n">
        <x:v>46303.35833333333</x:v>
      </x:c>
      <x:c r="K1013" s="15" t="n">
        <x:v>4</x:v>
      </x:c>
      <x:c r="L1013" s="15" t="n">
        <x:v>5</x:v>
      </x:c>
      <x:c r="M1013" s="13" t="n">
        <x:f>J1013+(K1013+L1013)/1440</x:f>
        <x:v>46303.36458333333</x:v>
      </x:c>
      <x:c r="N1013" s="13" t="n">
        <x:f>VLOOKUP(C1013,'MES orders'!$A$8:$H$127,5,FALSE)</x:f>
        <x:v>46303.666666666664</x:v>
      </x:c>
      <x:c r="O1013" s="16" t="n">
        <x:f>MAX(0,(M1013-N1013)*24)</x:f>
        <x:v>0</x:v>
      </x:c>
      <x:c r="P1013" s="9" t="str">
        <x:v>No</x:v>
      </x:c>
      <x:c r="Q1013" s="15" t="n">
        <x:v>9</x:v>
      </x:c>
      <x:c r="R1013" s="13" t="n">
        <x:f>J1013+Q1013/1440</x:f>
        <x:v>46303.36458333333</x:v>
      </x:c>
      <x:c r="S1013" s="2" t="str">
        <x:f>VLOOKUP(C1013,'MES orders'!$A$8:$H$127,6,FALSE)</x:f>
        <x:v>Normal</x:v>
      </x:c>
      <x:c r="T1013" s="9" t="str"/>
    </x:row>
    <x:row r="1014" ht="22" customHeight="1">
      <x:c r="A1014" s="2" t="str">
        <x:v>L00449-050</x:v>
      </x:c>
      <x:c r="B1014" s="2" t="str">
        <x:v>L00449</x:v>
      </x:c>
      <x:c r="C1014" s="2" t="str">
        <x:v>SO-26090</x:v>
      </x:c>
      <x:c r="D1014" s="2" t="str">
        <x:v>R-L-SS</x:v>
      </x:c>
      <x:c r="E1014" s="14" t="n">
        <x:v>5</x:v>
      </x:c>
      <x:c r="F1014" s="2" t="str">
        <x:v>Valve adjustment</x:v>
      </x:c>
      <x:c r="G1014" s="9" t="str">
        <x:v>AS-01</x:v>
      </x:c>
      <x:c r="H1014" s="15" t="n">
        <x:v>79</x:v>
      </x:c>
      <x:c r="I1014" s="9" t="str">
        <x:v>P05</x:v>
      </x:c>
      <x:c r="J1014" s="11" t="n">
        <x:v>46303.3625</x:v>
      </x:c>
      <x:c r="K1014" s="15" t="n">
        <x:v>6</x:v>
      </x:c>
      <x:c r="L1014" s="15" t="n">
        <x:v>7</x:v>
      </x:c>
      <x:c r="M1014" s="13" t="n">
        <x:f>J1014+(K1014+L1014)/1440</x:f>
        <x:v>46303.37152777778</x:v>
      </x:c>
      <x:c r="N1014" s="13" t="n">
        <x:f>VLOOKUP(C1014,'MES orders'!$A$8:$H$127,5,FALSE)</x:f>
        <x:v>46303.666666666664</x:v>
      </x:c>
      <x:c r="O1014" s="16" t="n">
        <x:f>MAX(0,(M1014-N1014)*24)</x:f>
        <x:v>0</x:v>
      </x:c>
      <x:c r="P1014" s="9" t="str">
        <x:v>No</x:v>
      </x:c>
      <x:c r="Q1014" s="15" t="n">
        <x:v>13</x:v>
      </x:c>
      <x:c r="R1014" s="13" t="n">
        <x:f>J1014+Q1014/1440</x:f>
        <x:v>46303.37152777778</x:v>
      </x:c>
      <x:c r="S1014" s="2" t="str">
        <x:f>VLOOKUP(C1014,'MES orders'!$A$8:$H$127,6,FALSE)</x:f>
        <x:v>Normal</x:v>
      </x:c>
      <x:c r="T1014" s="9" t="str"/>
    </x:row>
    <x:row r="1015" ht="22" customHeight="1">
      <x:c r="A1015" s="2" t="str">
        <x:v>L00486-030</x:v>
      </x:c>
      <x:c r="B1015" s="2" t="str">
        <x:v>L00486</x:v>
      </x:c>
      <x:c r="C1015" s="2" t="str">
        <x:v>SO-26098</x:v>
      </x:c>
      <x:c r="D1015" s="2" t="str">
        <x:v>S-C-SS</x:v>
      </x:c>
      <x:c r="E1015" s="14" t="n">
        <x:v>10</x:v>
      </x:c>
      <x:c r="F1015" s="2" t="str">
        <x:v>Wash &amp; dry</x:v>
      </x:c>
      <x:c r="G1015" s="9" t="str">
        <x:v>WS-01</x:v>
      </x:c>
      <x:c r="H1015" s="15" t="n">
        <x:v>95</x:v>
      </x:c>
      <x:c r="I1015" s="9" t="str">
        <x:v>P04</x:v>
      </x:c>
      <x:c r="J1015" s="11" t="n">
        <x:v>46303.3625</x:v>
      </x:c>
      <x:c r="K1015" s="15" t="n">
        <x:v>12</x:v>
      </x:c>
      <x:c r="L1015" s="15" t="n">
        <x:v>3</x:v>
      </x:c>
      <x:c r="M1015" s="13" t="n">
        <x:f>J1015+(K1015+L1015)/1440</x:f>
        <x:v>46303.37291666667</x:v>
      </x:c>
      <x:c r="N1015" s="13" t="n">
        <x:f>VLOOKUP(C1015,'MES orders'!$A$8:$H$127,5,FALSE)</x:f>
        <x:v>46303.666666666664</x:v>
      </x:c>
      <x:c r="O1015" s="16" t="n">
        <x:f>MAX(0,(M1015-N1015)*24)</x:f>
        <x:v>0</x:v>
      </x:c>
      <x:c r="P1015" s="9" t="str">
        <x:v>No</x:v>
      </x:c>
      <x:c r="Q1015" s="15" t="n">
        <x:v>15</x:v>
      </x:c>
      <x:c r="R1015" s="13" t="n">
        <x:f>J1015+Q1015/1440</x:f>
        <x:v>46303.37291666667</x:v>
      </x:c>
      <x:c r="S1015" s="2" t="str">
        <x:f>VLOOKUP(C1015,'MES orders'!$A$8:$H$127,6,FALSE)</x:f>
        <x:v>Normal</x:v>
      </x:c>
      <x:c r="T1015" s="9" t="str"/>
    </x:row>
    <x:row r="1016" ht="22" customHeight="1">
      <x:c r="A1016" s="2" t="str">
        <x:v>L00133-020</x:v>
      </x:c>
      <x:c r="B1016" s="2" t="str">
        <x:v>L00133</x:v>
      </x:c>
      <x:c r="C1016" s="2" t="str">
        <x:v>SO-26027</x:v>
      </x:c>
      <x:c r="D1016" s="2" t="str">
        <x:v>D-S-AL</x:v>
      </x:c>
      <x:c r="E1016" s="14" t="n">
        <x:v>15</x:v>
      </x:c>
      <x:c r="F1016" s="2" t="str">
        <x:v>Deburr &amp; inspect</x:v>
      </x:c>
      <x:c r="G1016" s="9" t="str">
        <x:v>DB-02</x:v>
      </x:c>
      <x:c r="H1016" s="15" t="n">
        <x:v>68</x:v>
      </x:c>
      <x:c r="I1016" s="9" t="str">
        <x:v>P02</x:v>
      </x:c>
      <x:c r="J1016" s="11" t="n">
        <x:v>46303.364583333336</x:v>
      </x:c>
      <x:c r="K1016" s="15" t="n">
        <x:v>4</x:v>
      </x:c>
      <x:c r="L1016" s="15" t="n">
        <x:v>10</x:v>
      </x:c>
      <x:c r="M1016" s="13" t="n">
        <x:f>J1016+(K1016+L1016)/1440</x:f>
        <x:v>46303.37430555556</x:v>
      </x:c>
      <x:c r="N1016" s="13" t="n">
        <x:f>VLOOKUP(C1016,'MES orders'!$A$8:$H$127,5,FALSE)</x:f>
        <x:v>46304.666666666664</x:v>
      </x:c>
      <x:c r="O1016" s="16" t="n">
        <x:f>MAX(0,(M1016-N1016)*24)</x:f>
        <x:v>0</x:v>
      </x:c>
      <x:c r="P1016" s="9" t="str">
        <x:v>No</x:v>
      </x:c>
      <x:c r="Q1016" s="15" t="n">
        <x:v>14</x:v>
      </x:c>
      <x:c r="R1016" s="13" t="n">
        <x:f>J1016+Q1016/1440</x:f>
        <x:v>46303.37430555556</x:v>
      </x:c>
      <x:c r="S1016" s="2" t="str">
        <x:f>VLOOKUP(C1016,'MES orders'!$A$8:$H$127,6,FALSE)</x:f>
        <x:v>Normal</x:v>
      </x:c>
      <x:c r="T1016" s="9" t="str"/>
    </x:row>
    <x:row r="1017" ht="22" customHeight="1">
      <x:c r="A1017" s="2" t="str">
        <x:v>L00569-030</x:v>
      </x:c>
      <x:c r="B1017" s="2" t="str">
        <x:v>L00569</x:v>
      </x:c>
      <x:c r="C1017" s="2" t="str">
        <x:v>SO-26114</x:v>
      </x:c>
      <x:c r="D1017" s="2" t="str">
        <x:v>S-L-SS</x:v>
      </x:c>
      <x:c r="E1017" s="14" t="n">
        <x:v>5</x:v>
      </x:c>
      <x:c r="F1017" s="2" t="str">
        <x:v>Wash &amp; dry</x:v>
      </x:c>
      <x:c r="G1017" s="9" t="str">
        <x:v>WS-02</x:v>
      </x:c>
      <x:c r="H1017" s="15" t="n">
        <x:v>69</x:v>
      </x:c>
      <x:c r="I1017" s="9" t="str">
        <x:v>P01</x:v>
      </x:c>
      <x:c r="J1017" s="11" t="n">
        <x:v>46303.364583333336</x:v>
      </x:c>
      <x:c r="K1017" s="15" t="n">
        <x:v>12</x:v>
      </x:c>
      <x:c r="L1017" s="15" t="n">
        <x:v>2</x:v>
      </x:c>
      <x:c r="M1017" s="13" t="n">
        <x:f>J1017+(K1017+L1017)/1440</x:f>
        <x:v>46303.37430555556</x:v>
      </x:c>
      <x:c r="N1017" s="13" t="n">
        <x:f>VLOOKUP(C1017,'MES orders'!$A$8:$H$127,5,FALSE)</x:f>
        <x:v>46303.666666666664</x:v>
      </x:c>
      <x:c r="O1017" s="16" t="n">
        <x:f>MAX(0,(M1017-N1017)*24)</x:f>
        <x:v>0</x:v>
      </x:c>
      <x:c r="P1017" s="9" t="str">
        <x:v>No</x:v>
      </x:c>
      <x:c r="Q1017" s="15" t="n">
        <x:v>14</x:v>
      </x:c>
      <x:c r="R1017" s="13" t="n">
        <x:f>J1017+Q1017/1440</x:f>
        <x:v>46303.37430555556</x:v>
      </x:c>
      <x:c r="S1017" s="2" t="str">
        <x:f>VLOOKUP(C1017,'MES orders'!$A$8:$H$127,6,FALSE)</x:f>
        <x:v>Normal</x:v>
      </x:c>
      <x:c r="T1017" s="9" t="str"/>
    </x:row>
    <x:row r="1018" ht="22" customHeight="1">
      <x:c r="A1018" s="2" t="str">
        <x:v>L00094-050</x:v>
      </x:c>
      <x:c r="B1018" s="2" t="str">
        <x:v>L00094</x:v>
      </x:c>
      <x:c r="C1018" s="2" t="str">
        <x:v>SO-26019</x:v>
      </x:c>
      <x:c r="D1018" s="2" t="str">
        <x:v>D-C-AL</x:v>
      </x:c>
      <x:c r="E1018" s="14" t="n">
        <x:v>5</x:v>
      </x:c>
      <x:c r="F1018" s="2" t="str">
        <x:v>Final leak / function test</x:v>
      </x:c>
      <x:c r="G1018" s="9" t="str">
        <x:v>QA-01</x:v>
      </x:c>
      <x:c r="H1018" s="15" t="n">
        <x:v>42</x:v>
      </x:c>
      <x:c r="I1018" s="9" t="str">
        <x:v>P12</x:v>
      </x:c>
      <x:c r="J1018" s="11" t="n">
        <x:v>46303.36944444444</x:v>
      </x:c>
      <x:c r="K1018" s="15" t="n">
        <x:v>10</x:v>
      </x:c>
      <x:c r="L1018" s="15" t="n">
        <x:v>4</x:v>
      </x:c>
      <x:c r="M1018" s="13" t="n">
        <x:f>J1018+(K1018+L1018)/1440</x:f>
        <x:v>46303.379166666666</x:v>
      </x:c>
      <x:c r="N1018" s="13" t="n">
        <x:f>VLOOKUP(C1018,'MES orders'!$A$8:$H$127,5,FALSE)</x:f>
        <x:v>46304.666666666664</x:v>
      </x:c>
      <x:c r="O1018" s="16" t="n">
        <x:f>MAX(0,(M1018-N1018)*24)</x:f>
        <x:v>0</x:v>
      </x:c>
      <x:c r="P1018" s="9" t="str">
        <x:v>No</x:v>
      </x:c>
      <x:c r="Q1018" s="15" t="n">
        <x:v>14</x:v>
      </x:c>
      <x:c r="R1018" s="13" t="n">
        <x:f>J1018+Q1018/1440</x:f>
        <x:v>46303.379166666666</x:v>
      </x:c>
      <x:c r="S1018" s="2" t="str">
        <x:f>VLOOKUP(C1018,'MES orders'!$A$8:$H$127,6,FALSE)</x:f>
        <x:v>Normal</x:v>
      </x:c>
      <x:c r="T1018" s="9" t="str"/>
    </x:row>
    <x:row r="1019" ht="22" customHeight="1">
      <x:c r="A1019" s="2" t="str">
        <x:v>L00054-010</x:v>
      </x:c>
      <x:c r="B1019" s="2" t="str">
        <x:v>L00054</x:v>
      </x:c>
      <x:c r="C1019" s="2" t="str">
        <x:v>SO-26011</x:v>
      </x:c>
      <x:c r="D1019" s="2" t="str">
        <x:v>S-L-AL</x:v>
      </x:c>
      <x:c r="E1019" s="14" t="n">
        <x:v>20</x:v>
      </x:c>
      <x:c r="F1019" s="2" t="str">
        <x:v>CNC machining</x:v>
      </x:c>
      <x:c r="G1019" s="9" t="str">
        <x:v>CNC-05</x:v>
      </x:c>
      <x:c r="H1019" s="15" t="n">
        <x:v>30</x:v>
      </x:c>
      <x:c r="I1019" s="9" t="str">
        <x:v>P03</x:v>
      </x:c>
      <x:c r="J1019" s="11" t="n">
        <x:v>46303.370833333334</x:v>
      </x:c>
      <x:c r="K1019" s="15" t="n">
        <x:v>18</x:v>
      </x:c>
      <x:c r="L1019" s="15" t="n">
        <x:v>65</x:v>
      </x:c>
      <x:c r="M1019" s="13" t="n">
        <x:f>J1019+(K1019+L1019)/1440</x:f>
        <x:v>46303.42847222222</x:v>
      </x:c>
      <x:c r="N1019" s="13" t="n">
        <x:f>VLOOKUP(C1019,'MES orders'!$A$8:$H$127,5,FALSE)</x:f>
        <x:v>46304.666666666664</x:v>
      </x:c>
      <x:c r="O1019" s="16" t="n">
        <x:f>MAX(0,(M1019-N1019)*24)</x:f>
        <x:v>0</x:v>
      </x:c>
      <x:c r="P1019" s="9" t="str">
        <x:v>No</x:v>
      </x:c>
      <x:c r="Q1019" s="15" t="n">
        <x:v>18</x:v>
      </x:c>
      <x:c r="R1019" s="13" t="n">
        <x:f>J1019+Q1019/1440</x:f>
        <x:v>46303.38333333333</x:v>
      </x:c>
      <x:c r="S1019" s="2" t="str">
        <x:f>VLOOKUP(C1019,'MES orders'!$A$8:$H$127,6,FALSE)</x:f>
        <x:v>Normal</x:v>
      </x:c>
      <x:c r="T1019" s="9" t="str"/>
    </x:row>
    <x:row r="1020" ht="22" customHeight="1">
      <x:c r="A1020" s="2" t="str">
        <x:v>L00449-060</x:v>
      </x:c>
      <x:c r="B1020" s="2" t="str">
        <x:v>L00449</x:v>
      </x:c>
      <x:c r="C1020" s="2" t="str">
        <x:v>SO-26090</x:v>
      </x:c>
      <x:c r="D1020" s="2" t="str">
        <x:v>R-L-SS</x:v>
      </x:c>
      <x:c r="E1020" s="14" t="n">
        <x:v>5</x:v>
      </x:c>
      <x:c r="F1020" s="2" t="str">
        <x:v>Final leak / function test</x:v>
      </x:c>
      <x:c r="G1020" s="9" t="str">
        <x:v>QA-02</x:v>
      </x:c>
      <x:c r="H1020" s="15" t="n">
        <x:v>69</x:v>
      </x:c>
      <x:c r="I1020" s="9" t="str">
        <x:v>P11</x:v>
      </x:c>
      <x:c r="J1020" s="11" t="n">
        <x:v>46303.37152777778</x:v>
      </x:c>
      <x:c r="K1020" s="15" t="n">
        <x:v>10</x:v>
      </x:c>
      <x:c r="L1020" s="15" t="n">
        <x:v>6</x:v>
      </x:c>
      <x:c r="M1020" s="13" t="n">
        <x:f>J1020+(K1020+L1020)/1440</x:f>
        <x:v>46303.38263888889</x:v>
      </x:c>
      <x:c r="N1020" s="13" t="n">
        <x:f>VLOOKUP(C1020,'MES orders'!$A$8:$H$127,5,FALSE)</x:f>
        <x:v>46303.666666666664</x:v>
      </x:c>
      <x:c r="O1020" s="16" t="n">
        <x:f>MAX(0,(M1020-N1020)*24)</x:f>
        <x:v>0</x:v>
      </x:c>
      <x:c r="P1020" s="9" t="str">
        <x:v>No</x:v>
      </x:c>
      <x:c r="Q1020" s="15" t="n">
        <x:v>16</x:v>
      </x:c>
      <x:c r="R1020" s="13" t="n">
        <x:f>J1020+Q1020/1440</x:f>
        <x:v>46303.38263888889</x:v>
      </x:c>
      <x:c r="S1020" s="2" t="str">
        <x:f>VLOOKUP(C1020,'MES orders'!$A$8:$H$127,6,FALSE)</x:f>
        <x:v>Normal</x:v>
      </x:c>
      <x:c r="T1020" s="9" t="str"/>
    </x:row>
    <x:row r="1021" ht="22" customHeight="1">
      <x:c r="A1021" s="2" t="str">
        <x:v>L00450-050</x:v>
      </x:c>
      <x:c r="B1021" s="2" t="str">
        <x:v>L00450</x:v>
      </x:c>
      <x:c r="C1021" s="2" t="str">
        <x:v>SO-26090</x:v>
      </x:c>
      <x:c r="D1021" s="2" t="str">
        <x:v>R-L-SS</x:v>
      </x:c>
      <x:c r="E1021" s="14" t="n">
        <x:v>5</x:v>
      </x:c>
      <x:c r="F1021" s="2" t="str">
        <x:v>Valve adjustment</x:v>
      </x:c>
      <x:c r="G1021" s="9" t="str">
        <x:v>AS-01</x:v>
      </x:c>
      <x:c r="H1021" s="15" t="n">
        <x:v>80</x:v>
      </x:c>
      <x:c r="I1021" s="9" t="str">
        <x:v>P05</x:v>
      </x:c>
      <x:c r="J1021" s="11" t="n">
        <x:v>46303.37222222222</x:v>
      </x:c>
      <x:c r="K1021" s="15" t="n">
        <x:v>6</x:v>
      </x:c>
      <x:c r="L1021" s="15" t="n">
        <x:v>7</x:v>
      </x:c>
      <x:c r="M1021" s="13" t="n">
        <x:f>J1021+(K1021+L1021)/1440</x:f>
        <x:v>46303.38125</x:v>
      </x:c>
      <x:c r="N1021" s="13" t="n">
        <x:f>VLOOKUP(C1021,'MES orders'!$A$8:$H$127,5,FALSE)</x:f>
        <x:v>46303.666666666664</x:v>
      </x:c>
      <x:c r="O1021" s="16" t="n">
        <x:f>MAX(0,(M1021-N1021)*24)</x:f>
        <x:v>0</x:v>
      </x:c>
      <x:c r="P1021" s="9" t="str">
        <x:v>No</x:v>
      </x:c>
      <x:c r="Q1021" s="15" t="n">
        <x:v>13</x:v>
      </x:c>
      <x:c r="R1021" s="13" t="n">
        <x:f>J1021+Q1021/1440</x:f>
        <x:v>46303.38125</x:v>
      </x:c>
      <x:c r="S1021" s="2" t="str">
        <x:f>VLOOKUP(C1021,'MES orders'!$A$8:$H$127,6,FALSE)</x:f>
        <x:v>Normal</x:v>
      </x:c>
      <x:c r="T1021" s="9" t="str"/>
    </x:row>
    <x:row r="1022" ht="22" customHeight="1">
      <x:c r="A1022" s="2" t="str">
        <x:v>L00487-020</x:v>
      </x:c>
      <x:c r="B1022" s="2" t="str">
        <x:v>L00487</x:v>
      </x:c>
      <x:c r="C1022" s="2" t="str">
        <x:v>SO-26098</x:v>
      </x:c>
      <x:c r="D1022" s="2" t="str">
        <x:v>S-C-SS</x:v>
      </x:c>
      <x:c r="E1022" s="14" t="n">
        <x:v>10</x:v>
      </x:c>
      <x:c r="F1022" s="2" t="str">
        <x:v>Deburr &amp; inspect</x:v>
      </x:c>
      <x:c r="G1022" s="9" t="str">
        <x:v>DB-01</x:v>
      </x:c>
      <x:c r="H1022" s="15" t="n">
        <x:v>99</x:v>
      </x:c>
      <x:c r="I1022" s="9" t="str">
        <x:v>P06</x:v>
      </x:c>
      <x:c r="J1022" s="11" t="n">
        <x:v>46303.37222222222</x:v>
      </x:c>
      <x:c r="K1022" s="15" t="n">
        <x:v>4</x:v>
      </x:c>
      <x:c r="L1022" s="15" t="n">
        <x:v>6</x:v>
      </x:c>
      <x:c r="M1022" s="13" t="n">
        <x:f>J1022+(K1022+L1022)/1440</x:f>
        <x:v>46303.379166666666</x:v>
      </x:c>
      <x:c r="N1022" s="13" t="n">
        <x:f>VLOOKUP(C1022,'MES orders'!$A$8:$H$127,5,FALSE)</x:f>
        <x:v>46303.666666666664</x:v>
      </x:c>
      <x:c r="O1022" s="16" t="n">
        <x:f>MAX(0,(M1022-N1022)*24)</x:f>
        <x:v>0</x:v>
      </x:c>
      <x:c r="P1022" s="9" t="str">
        <x:v>No</x:v>
      </x:c>
      <x:c r="Q1022" s="15" t="n">
        <x:v>10</x:v>
      </x:c>
      <x:c r="R1022" s="13" t="n">
        <x:f>J1022+Q1022/1440</x:f>
        <x:v>46303.379166666666</x:v>
      </x:c>
      <x:c r="S1022" s="2" t="str">
        <x:f>VLOOKUP(C1022,'MES orders'!$A$8:$H$127,6,FALSE)</x:f>
        <x:v>Normal</x:v>
      </x:c>
      <x:c r="T1022" s="9" t="str"/>
    </x:row>
    <x:row r="1023" ht="22" customHeight="1">
      <x:c r="A1023" s="2" t="str">
        <x:v>L00486-040</x:v>
      </x:c>
      <x:c r="B1023" s="2" t="str">
        <x:v>L00486</x:v>
      </x:c>
      <x:c r="C1023" s="2" t="str">
        <x:v>SO-26098</x:v>
      </x:c>
      <x:c r="D1023" s="2" t="str">
        <x:v>S-C-SS</x:v>
      </x:c>
      <x:c r="E1023" s="14" t="n">
        <x:v>10</x:v>
      </x:c>
      <x:c r="F1023" s="2" t="str">
        <x:v>Mechanical preassembly</x:v>
      </x:c>
      <x:c r="G1023" s="9" t="str">
        <x:v>AS-02</x:v>
      </x:c>
      <x:c r="H1023" s="15" t="n">
        <x:v>64</x:v>
      </x:c>
      <x:c r="I1023" s="9" t="str">
        <x:v>P04</x:v>
      </x:c>
      <x:c r="J1023" s="11" t="n">
        <x:v>46303.37291666667</x:v>
      </x:c>
      <x:c r="K1023" s="15" t="n">
        <x:v>6</x:v>
      </x:c>
      <x:c r="L1023" s="15" t="n">
        <x:v>9</x:v>
      </x:c>
      <x:c r="M1023" s="13" t="n">
        <x:f>J1023+(K1023+L1023)/1440</x:f>
        <x:v>46303.38333333333</x:v>
      </x:c>
      <x:c r="N1023" s="13" t="n">
        <x:f>VLOOKUP(C1023,'MES orders'!$A$8:$H$127,5,FALSE)</x:f>
        <x:v>46303.666666666664</x:v>
      </x:c>
      <x:c r="O1023" s="16" t="n">
        <x:f>MAX(0,(M1023-N1023)*24)</x:f>
        <x:v>0</x:v>
      </x:c>
      <x:c r="P1023" s="9" t="str">
        <x:v>No</x:v>
      </x:c>
      <x:c r="Q1023" s="15" t="n">
        <x:v>15</x:v>
      </x:c>
      <x:c r="R1023" s="13" t="n">
        <x:f>J1023+Q1023/1440</x:f>
        <x:v>46303.38333333333</x:v>
      </x:c>
      <x:c r="S1023" s="2" t="str">
        <x:f>VLOOKUP(C1023,'MES orders'!$A$8:$H$127,6,FALSE)</x:f>
        <x:v>Normal</x:v>
      </x:c>
      <x:c r="T1023" s="9" t="str"/>
    </x:row>
    <x:row r="1024" ht="22" customHeight="1">
      <x:c r="A1024" s="2" t="str">
        <x:v>L00569-040</x:v>
      </x:c>
      <x:c r="B1024" s="2" t="str">
        <x:v>L00569</x:v>
      </x:c>
      <x:c r="C1024" s="2" t="str">
        <x:v>SO-26114</x:v>
      </x:c>
      <x:c r="D1024" s="2" t="str">
        <x:v>S-L-SS</x:v>
      </x:c>
      <x:c r="E1024" s="14" t="n">
        <x:v>5</x:v>
      </x:c>
      <x:c r="F1024" s="2" t="str">
        <x:v>Mechanical preassembly</x:v>
      </x:c>
      <x:c r="G1024" s="9" t="str">
        <x:v>AS-03</x:v>
      </x:c>
      <x:c r="H1024" s="15" t="n">
        <x:v>54</x:v>
      </x:c>
      <x:c r="I1024" s="9" t="str">
        <x:v>P01</x:v>
      </x:c>
      <x:c r="J1024" s="11" t="n">
        <x:v>46303.37430555555</x:v>
      </x:c>
      <x:c r="K1024" s="15" t="n">
        <x:v>6</x:v>
      </x:c>
      <x:c r="L1024" s="15" t="n">
        <x:v>7</x:v>
      </x:c>
      <x:c r="M1024" s="13" t="n">
        <x:f>J1024+(K1024+L1024)/1440</x:f>
        <x:v>46303.38333333333</x:v>
      </x:c>
      <x:c r="N1024" s="13" t="n">
        <x:f>VLOOKUP(C1024,'MES orders'!$A$8:$H$127,5,FALSE)</x:f>
        <x:v>46303.666666666664</x:v>
      </x:c>
      <x:c r="O1024" s="16" t="n">
        <x:f>MAX(0,(M1024-N1024)*24)</x:f>
        <x:v>0</x:v>
      </x:c>
      <x:c r="P1024" s="9" t="str">
        <x:v>No</x:v>
      </x:c>
      <x:c r="Q1024" s="15" t="n">
        <x:v>13</x:v>
      </x:c>
      <x:c r="R1024" s="13" t="n">
        <x:f>J1024+Q1024/1440</x:f>
        <x:v>46303.38333333333</x:v>
      </x:c>
      <x:c r="S1024" s="2" t="str">
        <x:f>VLOOKUP(C1024,'MES orders'!$A$8:$H$127,6,FALSE)</x:f>
        <x:v>Normal</x:v>
      </x:c>
      <x:c r="T1024" s="9" t="str"/>
    </x:row>
    <x:row r="1025" ht="22" customHeight="1">
      <x:c r="A1025" s="2" t="str">
        <x:v>L00570-030</x:v>
      </x:c>
      <x:c r="B1025" s="2" t="str">
        <x:v>L00570</x:v>
      </x:c>
      <x:c r="C1025" s="2" t="str">
        <x:v>SO-26114</x:v>
      </x:c>
      <x:c r="D1025" s="2" t="str">
        <x:v>S-L-SS</x:v>
      </x:c>
      <x:c r="E1025" s="14" t="n">
        <x:v>5</x:v>
      </x:c>
      <x:c r="F1025" s="2" t="str">
        <x:v>Wash &amp; dry</x:v>
      </x:c>
      <x:c r="G1025" s="9" t="str">
        <x:v>WS-02</x:v>
      </x:c>
      <x:c r="H1025" s="15" t="n">
        <x:v>70</x:v>
      </x:c>
      <x:c r="I1025" s="9" t="str">
        <x:v>P02</x:v>
      </x:c>
      <x:c r="J1025" s="11" t="n">
        <x:v>46303.37430555555</x:v>
      </x:c>
      <x:c r="K1025" s="15" t="n">
        <x:v>12</x:v>
      </x:c>
      <x:c r="L1025" s="15" t="n">
        <x:v>2</x:v>
      </x:c>
      <x:c r="M1025" s="13" t="n">
        <x:f>J1025+(K1025+L1025)/1440</x:f>
        <x:v>46303.38402777778</x:v>
      </x:c>
      <x:c r="N1025" s="13" t="n">
        <x:f>VLOOKUP(C1025,'MES orders'!$A$8:$H$127,5,FALSE)</x:f>
        <x:v>46303.666666666664</x:v>
      </x:c>
      <x:c r="O1025" s="16" t="n">
        <x:f>MAX(0,(M1025-N1025)*24)</x:f>
        <x:v>0</x:v>
      </x:c>
      <x:c r="P1025" s="9" t="str">
        <x:v>No</x:v>
      </x:c>
      <x:c r="Q1025" s="15" t="n">
        <x:v>14</x:v>
      </x:c>
      <x:c r="R1025" s="13" t="n">
        <x:f>J1025+Q1025/1440</x:f>
        <x:v>46303.38402777778</x:v>
      </x:c>
      <x:c r="S1025" s="2" t="str">
        <x:f>VLOOKUP(C1025,'MES orders'!$A$8:$H$127,6,FALSE)</x:f>
        <x:v>Normal</x:v>
      </x:c>
      <x:c r="T1025" s="9" t="str"/>
    </x:row>
    <x:row r="1026" ht="22" customHeight="1">
      <x:c r="A1026" s="2" t="str">
        <x:v>L00487-030</x:v>
      </x:c>
      <x:c r="B1026" s="2" t="str">
        <x:v>L00487</x:v>
      </x:c>
      <x:c r="C1026" s="2" t="str">
        <x:v>SO-26098</x:v>
      </x:c>
      <x:c r="D1026" s="2" t="str">
        <x:v>S-C-SS</x:v>
      </x:c>
      <x:c r="E1026" s="14" t="n">
        <x:v>10</x:v>
      </x:c>
      <x:c r="F1026" s="2" t="str">
        <x:v>Wash &amp; dry</x:v>
      </x:c>
      <x:c r="G1026" s="9" t="str">
        <x:v>WS-01</x:v>
      </x:c>
      <x:c r="H1026" s="15" t="n">
        <x:v>96</x:v>
      </x:c>
      <x:c r="I1026" s="9" t="str">
        <x:v>P06</x:v>
      </x:c>
      <x:c r="J1026" s="11" t="n">
        <x:v>46303.379166666666</x:v>
      </x:c>
      <x:c r="K1026" s="15" t="n">
        <x:v>12</x:v>
      </x:c>
      <x:c r="L1026" s="15" t="n">
        <x:v>3</x:v>
      </x:c>
      <x:c r="M1026" s="13" t="n">
        <x:f>J1026+(K1026+L1026)/1440</x:f>
        <x:v>46303.38958333333</x:v>
      </x:c>
      <x:c r="N1026" s="13" t="n">
        <x:f>VLOOKUP(C1026,'MES orders'!$A$8:$H$127,5,FALSE)</x:f>
        <x:v>46303.666666666664</x:v>
      </x:c>
      <x:c r="O1026" s="16" t="n">
        <x:f>MAX(0,(M1026-N1026)*24)</x:f>
        <x:v>0</x:v>
      </x:c>
      <x:c r="P1026" s="9" t="str">
        <x:v>No</x:v>
      </x:c>
      <x:c r="Q1026" s="15" t="n">
        <x:v>15</x:v>
      </x:c>
      <x:c r="R1026" s="13" t="n">
        <x:f>J1026+Q1026/1440</x:f>
        <x:v>46303.38958333333</x:v>
      </x:c>
      <x:c r="S1026" s="2" t="str">
        <x:f>VLOOKUP(C1026,'MES orders'!$A$8:$H$127,6,FALSE)</x:f>
        <x:v>Normal</x:v>
      </x:c>
      <x:c r="T1026" s="9" t="str"/>
    </x:row>
    <x:row r="1027" ht="22" customHeight="1">
      <x:c r="A1027" s="2" t="str">
        <x:v>L00488-020</x:v>
      </x:c>
      <x:c r="B1027" s="2" t="str">
        <x:v>L00488</x:v>
      </x:c>
      <x:c r="C1027" s="2" t="str">
        <x:v>SO-26098</x:v>
      </x:c>
      <x:c r="D1027" s="2" t="str">
        <x:v>S-C-SS</x:v>
      </x:c>
      <x:c r="E1027" s="14" t="n">
        <x:v>10</x:v>
      </x:c>
      <x:c r="F1027" s="2" t="str">
        <x:v>Deburr &amp; inspect</x:v>
      </x:c>
      <x:c r="G1027" s="9" t="str">
        <x:v>DB-01</x:v>
      </x:c>
      <x:c r="H1027" s="15" t="n">
        <x:v>100</x:v>
      </x:c>
      <x:c r="I1027" s="9" t="str">
        <x:v>P05</x:v>
      </x:c>
      <x:c r="J1027" s="11" t="n">
        <x:v>46303.38125</x:v>
      </x:c>
      <x:c r="K1027" s="15" t="n">
        <x:v>4</x:v>
      </x:c>
      <x:c r="L1027" s="15" t="n">
        <x:v>6</x:v>
      </x:c>
      <x:c r="M1027" s="13" t="n">
        <x:f>J1027+(K1027+L1027)/1440</x:f>
        <x:v>46303.388194444444</x:v>
      </x:c>
      <x:c r="N1027" s="13" t="n">
        <x:f>VLOOKUP(C1027,'MES orders'!$A$8:$H$127,5,FALSE)</x:f>
        <x:v>46303.666666666664</x:v>
      </x:c>
      <x:c r="O1027" s="16" t="n">
        <x:f>MAX(0,(M1027-N1027)*24)</x:f>
        <x:v>0</x:v>
      </x:c>
      <x:c r="P1027" s="9" t="str">
        <x:v>No</x:v>
      </x:c>
      <x:c r="Q1027" s="15" t="n">
        <x:v>10</x:v>
      </x:c>
      <x:c r="R1027" s="13" t="n">
        <x:f>J1027+Q1027/1440</x:f>
        <x:v>46303.388194444444</x:v>
      </x:c>
      <x:c r="S1027" s="2" t="str">
        <x:f>VLOOKUP(C1027,'MES orders'!$A$8:$H$127,6,FALSE)</x:f>
        <x:v>Normal</x:v>
      </x:c>
      <x:c r="T1027" s="9" t="str"/>
    </x:row>
    <x:row r="1028" ht="22" customHeight="1">
      <x:c r="A1028" s="2" t="str">
        <x:v>L00450-060</x:v>
      </x:c>
      <x:c r="B1028" s="2" t="str">
        <x:v>L00450</x:v>
      </x:c>
      <x:c r="C1028" s="2" t="str">
        <x:v>SO-26090</x:v>
      </x:c>
      <x:c r="D1028" s="2" t="str">
        <x:v>R-L-SS</x:v>
      </x:c>
      <x:c r="E1028" s="14" t="n">
        <x:v>5</x:v>
      </x:c>
      <x:c r="F1028" s="2" t="str">
        <x:v>Final leak / function test</x:v>
      </x:c>
      <x:c r="G1028" s="9" t="str">
        <x:v>QA-03</x:v>
      </x:c>
      <x:c r="H1028" s="15" t="n">
        <x:v>49</x:v>
      </x:c>
      <x:c r="I1028" s="9" t="str">
        <x:v>P12</x:v>
      </x:c>
      <x:c r="J1028" s="11" t="n">
        <x:v>46303.38125</x:v>
      </x:c>
      <x:c r="K1028" s="15" t="n">
        <x:v>10</x:v>
      </x:c>
      <x:c r="L1028" s="15" t="n">
        <x:v>6</x:v>
      </x:c>
      <x:c r="M1028" s="13" t="n">
        <x:f>J1028+(K1028+L1028)/1440</x:f>
        <x:v>46303.39236111111</x:v>
      </x:c>
      <x:c r="N1028" s="13" t="n">
        <x:f>VLOOKUP(C1028,'MES orders'!$A$8:$H$127,5,FALSE)</x:f>
        <x:v>46303.666666666664</x:v>
      </x:c>
      <x:c r="O1028" s="16" t="n">
        <x:f>MAX(0,(M1028-N1028)*24)</x:f>
        <x:v>0</x:v>
      </x:c>
      <x:c r="P1028" s="9" t="str">
        <x:v>No</x:v>
      </x:c>
      <x:c r="Q1028" s="15" t="n">
        <x:v>16</x:v>
      </x:c>
      <x:c r="R1028" s="13" t="n">
        <x:f>J1028+Q1028/1440</x:f>
        <x:v>46303.39236111111</x:v>
      </x:c>
      <x:c r="S1028" s="2" t="str">
        <x:f>VLOOKUP(C1028,'MES orders'!$A$8:$H$127,6,FALSE)</x:f>
        <x:v>Normal</x:v>
      </x:c>
      <x:c r="T1028" s="9" t="str"/>
    </x:row>
    <x:row r="1029" ht="22" customHeight="1">
      <x:c r="A1029" s="2" t="str">
        <x:v>L00131-050</x:v>
      </x:c>
      <x:c r="B1029" s="2" t="str">
        <x:v>L00131</x:v>
      </x:c>
      <x:c r="C1029" s="2" t="str">
        <x:v>SO-26027</x:v>
      </x:c>
      <x:c r="D1029" s="2" t="str">
        <x:v>D-S-AL</x:v>
      </x:c>
      <x:c r="E1029" s="14" t="n">
        <x:v>15</x:v>
      </x:c>
      <x:c r="F1029" s="2" t="str">
        <x:v>Final leak / function test</x:v>
      </x:c>
      <x:c r="G1029" s="9" t="str">
        <x:v>QA-01</x:v>
      </x:c>
      <x:c r="H1029" s="15" t="n">
        <x:v>43</x:v>
      </x:c>
      <x:c r="I1029" s="9" t="str">
        <x:v>P11</x:v>
      </x:c>
      <x:c r="J1029" s="11" t="n">
        <x:v>46303.38263888889</x:v>
      </x:c>
      <x:c r="K1029" s="15" t="n">
        <x:v>10</x:v>
      </x:c>
      <x:c r="L1029" s="15" t="n">
        <x:v>14</x:v>
      </x:c>
      <x:c r="M1029" s="13" t="n">
        <x:f>J1029+(K1029+L1029)/1440</x:f>
        <x:v>46303.39930555556</x:v>
      </x:c>
      <x:c r="N1029" s="13" t="n">
        <x:f>VLOOKUP(C1029,'MES orders'!$A$8:$H$127,5,FALSE)</x:f>
        <x:v>46304.666666666664</x:v>
      </x:c>
      <x:c r="O1029" s="16" t="n">
        <x:f>MAX(0,(M1029-N1029)*24)</x:f>
        <x:v>0</x:v>
      </x:c>
      <x:c r="P1029" s="9" t="str">
        <x:v>No</x:v>
      </x:c>
      <x:c r="Q1029" s="15" t="n">
        <x:v>24</x:v>
      </x:c>
      <x:c r="R1029" s="13" t="n">
        <x:f>J1029+Q1029/1440</x:f>
        <x:v>46303.39930555556</x:v>
      </x:c>
      <x:c r="S1029" s="2" t="str">
        <x:f>VLOOKUP(C1029,'MES orders'!$A$8:$H$127,6,FALSE)</x:f>
        <x:v>Normal</x:v>
      </x:c>
      <x:c r="T1029" s="9" t="str"/>
    </x:row>
    <x:row r="1030" ht="22" customHeight="1">
      <x:c r="A1030" s="2" t="str">
        <x:v>L00566-020</x:v>
      </x:c>
      <x:c r="B1030" s="2" t="str">
        <x:v>L00566</x:v>
      </x:c>
      <x:c r="C1030" s="2" t="str">
        <x:v>SO-26114</x:v>
      </x:c>
      <x:c r="D1030" s="2" t="str">
        <x:v>S-L-SS</x:v>
      </x:c>
      <x:c r="E1030" s="14" t="n">
        <x:v>5</x:v>
      </x:c>
      <x:c r="F1030" s="2" t="str">
        <x:v>Deburr &amp; inspect</x:v>
      </x:c>
      <x:c r="G1030" s="9" t="str">
        <x:v>DB-02</x:v>
      </x:c>
      <x:c r="H1030" s="15" t="n">
        <x:v>69</x:v>
      </x:c>
      <x:c r="I1030" s="9" t="str">
        <x:v>P04</x:v>
      </x:c>
      <x:c r="J1030" s="11" t="n">
        <x:v>46303.38333333333</x:v>
      </x:c>
      <x:c r="K1030" s="15" t="n">
        <x:v>4</x:v>
      </x:c>
      <x:c r="L1030" s="15" t="n">
        <x:v>5</x:v>
      </x:c>
      <x:c r="M1030" s="13" t="n">
        <x:f>J1030+(K1030+L1030)/1440</x:f>
        <x:v>46303.38958333333</x:v>
      </x:c>
      <x:c r="N1030" s="13" t="n">
        <x:f>VLOOKUP(C1030,'MES orders'!$A$8:$H$127,5,FALSE)</x:f>
        <x:v>46303.666666666664</x:v>
      </x:c>
      <x:c r="O1030" s="16" t="n">
        <x:f>MAX(0,(M1030-N1030)*24)</x:f>
        <x:v>0</x:v>
      </x:c>
      <x:c r="P1030" s="9" t="str">
        <x:v>No</x:v>
      </x:c>
      <x:c r="Q1030" s="15" t="n">
        <x:v>9</x:v>
      </x:c>
      <x:c r="R1030" s="13" t="n">
        <x:f>J1030+Q1030/1440</x:f>
        <x:v>46303.38958333333</x:v>
      </x:c>
      <x:c r="S1030" s="2" t="str">
        <x:f>VLOOKUP(C1030,'MES orders'!$A$8:$H$127,6,FALSE)</x:f>
        <x:v>Normal</x:v>
      </x:c>
      <x:c r="T1030" s="9" t="str"/>
    </x:row>
    <x:row r="1031" ht="22" customHeight="1">
      <x:c r="A1031" s="2" t="str">
        <x:v>L00486-050</x:v>
      </x:c>
      <x:c r="B1031" s="2" t="str">
        <x:v>L00486</x:v>
      </x:c>
      <x:c r="C1031" s="2" t="str">
        <x:v>SO-26098</x:v>
      </x:c>
      <x:c r="D1031" s="2" t="str">
        <x:v>S-C-SS</x:v>
      </x:c>
      <x:c r="E1031" s="14" t="n">
        <x:v>10</x:v>
      </x:c>
      <x:c r="F1031" s="2" t="str">
        <x:v>Sensor installation</x:v>
      </x:c>
      <x:c r="G1031" s="9" t="str">
        <x:v>EL-01</x:v>
      </x:c>
      <x:c r="H1031" s="15" t="n">
        <x:v>27</x:v>
      </x:c>
      <x:c r="I1031" s="9" t="str">
        <x:v>P07</x:v>
      </x:c>
      <x:c r="J1031" s="11" t="n">
        <x:v>46303.38333333333</x:v>
      </x:c>
      <x:c r="K1031" s="15" t="n">
        <x:v>8</x:v>
      </x:c>
      <x:c r="L1031" s="15" t="n">
        <x:v>10</x:v>
      </x:c>
      <x:c r="M1031" s="13" t="n">
        <x:f>J1031+(K1031+L1031)/1440</x:f>
        <x:v>46303.39583333333</x:v>
      </x:c>
      <x:c r="N1031" s="13" t="n">
        <x:f>VLOOKUP(C1031,'MES orders'!$A$8:$H$127,5,FALSE)</x:f>
        <x:v>46303.666666666664</x:v>
      </x:c>
      <x:c r="O1031" s="16" t="n">
        <x:f>MAX(0,(M1031-N1031)*24)</x:f>
        <x:v>0</x:v>
      </x:c>
      <x:c r="P1031" s="9" t="str">
        <x:v>No</x:v>
      </x:c>
      <x:c r="Q1031" s="15" t="n">
        <x:v>18</x:v>
      </x:c>
      <x:c r="R1031" s="13" t="n">
        <x:f>J1031+Q1031/1440</x:f>
        <x:v>46303.39583333333</x:v>
      </x:c>
      <x:c r="S1031" s="2" t="str">
        <x:f>VLOOKUP(C1031,'MES orders'!$A$8:$H$127,6,FALSE)</x:f>
        <x:v>Normal</x:v>
      </x:c>
      <x:c r="T1031" s="9" t="str"/>
    </x:row>
    <x:row r="1032" ht="22" customHeight="1">
      <x:c r="A1032" s="2" t="str">
        <x:v>L00569-050</x:v>
      </x:c>
      <x:c r="B1032" s="2" t="str">
        <x:v>L00569</x:v>
      </x:c>
      <x:c r="C1032" s="2" t="str">
        <x:v>SO-26114</x:v>
      </x:c>
      <x:c r="D1032" s="2" t="str">
        <x:v>S-L-SS</x:v>
      </x:c>
      <x:c r="E1032" s="14" t="n">
        <x:v>5</x:v>
      </x:c>
      <x:c r="F1032" s="2" t="str">
        <x:v>Sensor installation</x:v>
      </x:c>
      <x:c r="G1032" s="9" t="str">
        <x:v>EL-02</x:v>
      </x:c>
      <x:c r="H1032" s="15" t="n">
        <x:v>15</x:v>
      </x:c>
      <x:c r="I1032" s="9" t="str">
        <x:v>P08</x:v>
      </x:c>
      <x:c r="J1032" s="11" t="n">
        <x:v>46303.38333333333</x:v>
      </x:c>
      <x:c r="K1032" s="15" t="n">
        <x:v>8</x:v>
      </x:c>
      <x:c r="L1032" s="15" t="n">
        <x:v>8</x:v>
      </x:c>
      <x:c r="M1032" s="13" t="n">
        <x:f>J1032+(K1032+L1032)/1440</x:f>
        <x:v>46303.39444444444</x:v>
      </x:c>
      <x:c r="N1032" s="13" t="n">
        <x:f>VLOOKUP(C1032,'MES orders'!$A$8:$H$127,5,FALSE)</x:f>
        <x:v>46303.666666666664</x:v>
      </x:c>
      <x:c r="O1032" s="16" t="n">
        <x:f>MAX(0,(M1032-N1032)*24)</x:f>
        <x:v>0</x:v>
      </x:c>
      <x:c r="P1032" s="9" t="str">
        <x:v>No</x:v>
      </x:c>
      <x:c r="Q1032" s="15" t="n">
        <x:v>16</x:v>
      </x:c>
      <x:c r="R1032" s="13" t="n">
        <x:f>J1032+Q1032/1440</x:f>
        <x:v>46303.39444444444</x:v>
      </x:c>
      <x:c r="S1032" s="2" t="str">
        <x:f>VLOOKUP(C1032,'MES orders'!$A$8:$H$127,6,FALSE)</x:f>
        <x:v>Normal</x:v>
      </x:c>
      <x:c r="T1032" s="9" t="str"/>
    </x:row>
    <x:row r="1033" ht="22" customHeight="1">
      <x:c r="A1033" s="2" t="str">
        <x:v>L00570-040</x:v>
      </x:c>
      <x:c r="B1033" s="2" t="str">
        <x:v>L00570</x:v>
      </x:c>
      <x:c r="C1033" s="2" t="str">
        <x:v>SO-26114</x:v>
      </x:c>
      <x:c r="D1033" s="2" t="str">
        <x:v>S-L-SS</x:v>
      </x:c>
      <x:c r="E1033" s="14" t="n">
        <x:v>5</x:v>
      </x:c>
      <x:c r="F1033" s="2" t="str">
        <x:v>Mechanical preassembly</x:v>
      </x:c>
      <x:c r="G1033" s="9" t="str">
        <x:v>AS-02</x:v>
      </x:c>
      <x:c r="H1033" s="15" t="n">
        <x:v>65</x:v>
      </x:c>
      <x:c r="I1033" s="9" t="str">
        <x:v>P01</x:v>
      </x:c>
      <x:c r="J1033" s="11" t="n">
        <x:v>46303.38402777778</x:v>
      </x:c>
      <x:c r="K1033" s="15" t="n">
        <x:v>6</x:v>
      </x:c>
      <x:c r="L1033" s="15" t="n">
        <x:v>7</x:v>
      </x:c>
      <x:c r="M1033" s="13" t="n">
        <x:f>J1033+(K1033+L1033)/1440</x:f>
        <x:v>46303.393055555556</x:v>
      </x:c>
      <x:c r="N1033" s="13" t="n">
        <x:f>VLOOKUP(C1033,'MES orders'!$A$8:$H$127,5,FALSE)</x:f>
        <x:v>46303.666666666664</x:v>
      </x:c>
      <x:c r="O1033" s="16" t="n">
        <x:f>MAX(0,(M1033-N1033)*24)</x:f>
        <x:v>0</x:v>
      </x:c>
      <x:c r="P1033" s="9" t="str">
        <x:v>No</x:v>
      </x:c>
      <x:c r="Q1033" s="15" t="n">
        <x:v>13</x:v>
      </x:c>
      <x:c r="R1033" s="13" t="n">
        <x:f>J1033+Q1033/1440</x:f>
        <x:v>46303.393055555556</x:v>
      </x:c>
      <x:c r="S1033" s="2" t="str">
        <x:f>VLOOKUP(C1033,'MES orders'!$A$8:$H$127,6,FALSE)</x:f>
        <x:v>Normal</x:v>
      </x:c>
      <x:c r="T1033" s="9" t="str"/>
    </x:row>
    <x:row r="1034" ht="22" customHeight="1">
      <x:c r="A1034" s="2" t="str">
        <x:v>L00488-030</x:v>
      </x:c>
      <x:c r="B1034" s="2" t="str">
        <x:v>L00488</x:v>
      </x:c>
      <x:c r="C1034" s="2" t="str">
        <x:v>SO-26098</x:v>
      </x:c>
      <x:c r="D1034" s="2" t="str">
        <x:v>S-C-SS</x:v>
      </x:c>
      <x:c r="E1034" s="14" t="n">
        <x:v>10</x:v>
      </x:c>
      <x:c r="F1034" s="2" t="str">
        <x:v>Wash &amp; dry</x:v>
      </x:c>
      <x:c r="G1034" s="9" t="str">
        <x:v>WS-02</x:v>
      </x:c>
      <x:c r="H1034" s="15" t="n">
        <x:v>71</x:v>
      </x:c>
      <x:c r="I1034" s="9" t="str">
        <x:v>P05</x:v>
      </x:c>
      <x:c r="J1034" s="11" t="n">
        <x:v>46303.388194444444</x:v>
      </x:c>
      <x:c r="K1034" s="15" t="n">
        <x:v>12</x:v>
      </x:c>
      <x:c r="L1034" s="15" t="n">
        <x:v>3</x:v>
      </x:c>
      <x:c r="M1034" s="13" t="n">
        <x:f>J1034+(K1034+L1034)/1440</x:f>
        <x:v>46303.39861111111</x:v>
      </x:c>
      <x:c r="N1034" s="13" t="n">
        <x:f>VLOOKUP(C1034,'MES orders'!$A$8:$H$127,5,FALSE)</x:f>
        <x:v>46303.666666666664</x:v>
      </x:c>
      <x:c r="O1034" s="16" t="n">
        <x:f>MAX(0,(M1034-N1034)*24)</x:f>
        <x:v>0</x:v>
      </x:c>
      <x:c r="P1034" s="9" t="str">
        <x:v>No</x:v>
      </x:c>
      <x:c r="Q1034" s="15" t="n">
        <x:v>15</x:v>
      </x:c>
      <x:c r="R1034" s="13" t="n">
        <x:f>J1034+Q1034/1440</x:f>
        <x:v>46303.39861111111</x:v>
      </x:c>
      <x:c r="S1034" s="2" t="str">
        <x:f>VLOOKUP(C1034,'MES orders'!$A$8:$H$127,6,FALSE)</x:f>
        <x:v>Normal</x:v>
      </x:c>
      <x:c r="T1034" s="9" t="str"/>
    </x:row>
    <x:row r="1035" ht="22" customHeight="1">
      <x:c r="A1035" s="2" t="str">
        <x:v>L00487-040</x:v>
      </x:c>
      <x:c r="B1035" s="2" t="str">
        <x:v>L00487</x:v>
      </x:c>
      <x:c r="C1035" s="2" t="str">
        <x:v>SO-26098</x:v>
      </x:c>
      <x:c r="D1035" s="2" t="str">
        <x:v>S-C-SS</x:v>
      </x:c>
      <x:c r="E1035" s="14" t="n">
        <x:v>10</x:v>
      </x:c>
      <x:c r="F1035" s="2" t="str">
        <x:v>Mechanical preassembly</x:v>
      </x:c>
      <x:c r="G1035" s="9" t="str">
        <x:v>AS-01</x:v>
      </x:c>
      <x:c r="H1035" s="15" t="n">
        <x:v>81</x:v>
      </x:c>
      <x:c r="I1035" s="9" t="str">
        <x:v>P04</x:v>
      </x:c>
      <x:c r="J1035" s="11" t="n">
        <x:v>46303.38958333333</x:v>
      </x:c>
      <x:c r="K1035" s="15" t="n">
        <x:v>6</x:v>
      </x:c>
      <x:c r="L1035" s="15" t="n">
        <x:v>9</x:v>
      </x:c>
      <x:c r="M1035" s="13" t="n">
        <x:f>J1035+(K1035+L1035)/1440</x:f>
        <x:v>46303.399999999994</x:v>
      </x:c>
      <x:c r="N1035" s="13" t="n">
        <x:f>VLOOKUP(C1035,'MES orders'!$A$8:$H$127,5,FALSE)</x:f>
        <x:v>46303.666666666664</x:v>
      </x:c>
      <x:c r="O1035" s="16" t="n">
        <x:f>MAX(0,(M1035-N1035)*24)</x:f>
        <x:v>0</x:v>
      </x:c>
      <x:c r="P1035" s="9" t="str">
        <x:v>No</x:v>
      </x:c>
      <x:c r="Q1035" s="15" t="n">
        <x:v>15</x:v>
      </x:c>
      <x:c r="R1035" s="13" t="n">
        <x:f>J1035+Q1035/1440</x:f>
        <x:v>46303.399999999994</x:v>
      </x:c>
      <x:c r="S1035" s="2" t="str">
        <x:f>VLOOKUP(C1035,'MES orders'!$A$8:$H$127,6,FALSE)</x:f>
        <x:v>Normal</x:v>
      </x:c>
      <x:c r="T1035" s="9" t="str"/>
    </x:row>
    <x:row r="1036" ht="22" customHeight="1">
      <x:c r="A1036" s="2" t="str">
        <x:v>L00489-020</x:v>
      </x:c>
      <x:c r="B1036" s="2" t="str">
        <x:v>L00489</x:v>
      </x:c>
      <x:c r="C1036" s="2" t="str">
        <x:v>SO-26098</x:v>
      </x:c>
      <x:c r="D1036" s="2" t="str">
        <x:v>S-C-SS</x:v>
      </x:c>
      <x:c r="E1036" s="14" t="n">
        <x:v>10</x:v>
      </x:c>
      <x:c r="F1036" s="2" t="str">
        <x:v>Deburr &amp; inspect</x:v>
      </x:c>
      <x:c r="G1036" s="9" t="str">
        <x:v>DB-01</x:v>
      </x:c>
      <x:c r="H1036" s="15" t="n">
        <x:v>101</x:v>
      </x:c>
      <x:c r="I1036" s="9" t="str">
        <x:v>P06</x:v>
      </x:c>
      <x:c r="J1036" s="11" t="n">
        <x:v>46303.38958333333</x:v>
      </x:c>
      <x:c r="K1036" s="15" t="n">
        <x:v>4</x:v>
      </x:c>
      <x:c r="L1036" s="15" t="n">
        <x:v>6</x:v>
      </x:c>
      <x:c r="M1036" s="13" t="n">
        <x:f>J1036+(K1036+L1036)/1440</x:f>
        <x:v>46303.396527777775</x:v>
      </x:c>
      <x:c r="N1036" s="13" t="n">
        <x:f>VLOOKUP(C1036,'MES orders'!$A$8:$H$127,5,FALSE)</x:f>
        <x:v>46303.666666666664</x:v>
      </x:c>
      <x:c r="O1036" s="16" t="n">
        <x:f>MAX(0,(M1036-N1036)*24)</x:f>
        <x:v>0</x:v>
      </x:c>
      <x:c r="P1036" s="9" t="str">
        <x:v>No</x:v>
      </x:c>
      <x:c r="Q1036" s="15" t="n">
        <x:v>10</x:v>
      </x:c>
      <x:c r="R1036" s="13" t="n">
        <x:f>J1036+Q1036/1440</x:f>
        <x:v>46303.396527777775</x:v>
      </x:c>
      <x:c r="S1036" s="2" t="str">
        <x:f>VLOOKUP(C1036,'MES orders'!$A$8:$H$127,6,FALSE)</x:f>
        <x:v>Normal</x:v>
      </x:c>
      <x:c r="T1036" s="9" t="str"/>
    </x:row>
    <x:row r="1037" ht="22" customHeight="1">
      <x:c r="A1037" s="2" t="str">
        <x:v>L00055-010</x:v>
      </x:c>
      <x:c r="B1037" s="2" t="str">
        <x:v>L00055</x:v>
      </x:c>
      <x:c r="C1037" s="2" t="str">
        <x:v>SO-26011</x:v>
      </x:c>
      <x:c r="D1037" s="2" t="str">
        <x:v>S-L-AL</x:v>
      </x:c>
      <x:c r="E1037" s="14" t="n">
        <x:v>20</x:v>
      </x:c>
      <x:c r="F1037" s="2" t="str">
        <x:v>CNC machining</x:v>
      </x:c>
      <x:c r="G1037" s="9" t="str">
        <x:v>CNC-03</x:v>
      </x:c>
      <x:c r="H1037" s="15" t="n">
        <x:v>32</x:v>
      </x:c>
      <x:c r="I1037" s="9" t="str">
        <x:v>P03</x:v>
      </x:c>
      <x:c r="J1037" s="11" t="n">
        <x:v>46303.39236111111</x:v>
      </x:c>
      <x:c r="K1037" s="15" t="n">
        <x:v>18</x:v>
      </x:c>
      <x:c r="L1037" s="15" t="n">
        <x:v>65</x:v>
      </x:c>
      <x:c r="M1037" s="13" t="n">
        <x:f>J1037+(K1037+L1037)/1440</x:f>
        <x:v>46303.45</x:v>
      </x:c>
      <x:c r="N1037" s="13" t="n">
        <x:f>VLOOKUP(C1037,'MES orders'!$A$8:$H$127,5,FALSE)</x:f>
        <x:v>46304.666666666664</x:v>
      </x:c>
      <x:c r="O1037" s="16" t="n">
        <x:f>MAX(0,(M1037-N1037)*24)</x:f>
        <x:v>0</x:v>
      </x:c>
      <x:c r="P1037" s="9" t="str">
        <x:v>No</x:v>
      </x:c>
      <x:c r="Q1037" s="15" t="n">
        <x:v>18</x:v>
      </x:c>
      <x:c r="R1037" s="13" t="n">
        <x:f>J1037+Q1037/1440</x:f>
        <x:v>46303.40486111111</x:v>
      </x:c>
      <x:c r="S1037" s="2" t="str">
        <x:f>VLOOKUP(C1037,'MES orders'!$A$8:$H$127,6,FALSE)</x:f>
        <x:v>Normal</x:v>
      </x:c>
      <x:c r="T1037" s="9" t="str"/>
    </x:row>
    <x:row r="1038" ht="22" customHeight="1">
      <x:c r="A1038" s="2" t="str">
        <x:v>L00051-020</x:v>
      </x:c>
      <x:c r="B1038" s="2" t="str">
        <x:v>L00051</x:v>
      </x:c>
      <x:c r="C1038" s="2" t="str">
        <x:v>SO-26011</x:v>
      </x:c>
      <x:c r="D1038" s="2" t="str">
        <x:v>S-L-AL</x:v>
      </x:c>
      <x:c r="E1038" s="14" t="n">
        <x:v>20</x:v>
      </x:c>
      <x:c r="F1038" s="2" t="str">
        <x:v>Deburr &amp; inspect</x:v>
      </x:c>
      <x:c r="G1038" s="9" t="str">
        <x:v>DB-02</x:v>
      </x:c>
      <x:c r="H1038" s="15" t="n">
        <x:v>70</x:v>
      </x:c>
      <x:c r="I1038" s="9" t="str">
        <x:v>P02</x:v>
      </x:c>
      <x:c r="J1038" s="11" t="n">
        <x:v>46303.39236111111</x:v>
      </x:c>
      <x:c r="K1038" s="15" t="n">
        <x:v>4</x:v>
      </x:c>
      <x:c r="L1038" s="15" t="n">
        <x:v>19</x:v>
      </x:c>
      <x:c r="M1038" s="13" t="n">
        <x:f>J1038+(K1038+L1038)/1440</x:f>
        <x:v>46303.40833333333</x:v>
      </x:c>
      <x:c r="N1038" s="13" t="n">
        <x:f>VLOOKUP(C1038,'MES orders'!$A$8:$H$127,5,FALSE)</x:f>
        <x:v>46304.666666666664</x:v>
      </x:c>
      <x:c r="O1038" s="16" t="n">
        <x:f>MAX(0,(M1038-N1038)*24)</x:f>
        <x:v>0</x:v>
      </x:c>
      <x:c r="P1038" s="9" t="str">
        <x:v>No</x:v>
      </x:c>
      <x:c r="Q1038" s="15" t="n">
        <x:v>23</x:v>
      </x:c>
      <x:c r="R1038" s="13" t="n">
        <x:f>J1038+Q1038/1440</x:f>
        <x:v>46303.40833333333</x:v>
      </x:c>
      <x:c r="S1038" s="2" t="str">
        <x:f>VLOOKUP(C1038,'MES orders'!$A$8:$H$127,6,FALSE)</x:f>
        <x:v>Normal</x:v>
      </x:c>
      <x:c r="T1038" s="9" t="str"/>
    </x:row>
    <x:row r="1039" ht="22" customHeight="1">
      <x:c r="A1039" s="2" t="str">
        <x:v>L00132-050</x:v>
      </x:c>
      <x:c r="B1039" s="2" t="str">
        <x:v>L00132</x:v>
      </x:c>
      <x:c r="C1039" s="2" t="str">
        <x:v>SO-26027</x:v>
      </x:c>
      <x:c r="D1039" s="2" t="str">
        <x:v>D-S-AL</x:v>
      </x:c>
      <x:c r="E1039" s="14" t="n">
        <x:v>15</x:v>
      </x:c>
      <x:c r="F1039" s="2" t="str">
        <x:v>Final leak / function test</x:v>
      </x:c>
      <x:c r="G1039" s="9" t="str">
        <x:v>QA-02</x:v>
      </x:c>
      <x:c r="H1039" s="15" t="n">
        <x:v>70</x:v>
      </x:c>
      <x:c r="I1039" s="9" t="str">
        <x:v>P12</x:v>
      </x:c>
      <x:c r="J1039" s="11" t="n">
        <x:v>46303.39236111111</x:v>
      </x:c>
      <x:c r="K1039" s="15" t="n">
        <x:v>10</x:v>
      </x:c>
      <x:c r="L1039" s="15" t="n">
        <x:v>14</x:v>
      </x:c>
      <x:c r="M1039" s="13" t="n">
        <x:f>J1039+(K1039+L1039)/1440</x:f>
        <x:v>46303.40902777778</x:v>
      </x:c>
      <x:c r="N1039" s="13" t="n">
        <x:f>VLOOKUP(C1039,'MES orders'!$A$8:$H$127,5,FALSE)</x:f>
        <x:v>46304.666666666664</x:v>
      </x:c>
      <x:c r="O1039" s="16" t="n">
        <x:f>MAX(0,(M1039-N1039)*24)</x:f>
        <x:v>0</x:v>
      </x:c>
      <x:c r="P1039" s="9" t="str">
        <x:v>No</x:v>
      </x:c>
      <x:c r="Q1039" s="15" t="n">
        <x:v>24</x:v>
      </x:c>
      <x:c r="R1039" s="13" t="n">
        <x:f>J1039+Q1039/1440</x:f>
        <x:v>46303.40902777778</x:v>
      </x:c>
      <x:c r="S1039" s="2" t="str">
        <x:f>VLOOKUP(C1039,'MES orders'!$A$8:$H$127,6,FALSE)</x:f>
        <x:v>Normal</x:v>
      </x:c>
      <x:c r="T1039" s="9" t="str"/>
    </x:row>
    <x:row r="1040" ht="22" customHeight="1">
      <x:c r="A1040" s="2" t="str">
        <x:v>L00570-050</x:v>
      </x:c>
      <x:c r="B1040" s="2" t="str">
        <x:v>L00570</x:v>
      </x:c>
      <x:c r="C1040" s="2" t="str">
        <x:v>SO-26114</x:v>
      </x:c>
      <x:c r="D1040" s="2" t="str">
        <x:v>S-L-SS</x:v>
      </x:c>
      <x:c r="E1040" s="14" t="n">
        <x:v>5</x:v>
      </x:c>
      <x:c r="F1040" s="2" t="str">
        <x:v>Sensor installation</x:v>
      </x:c>
      <x:c r="G1040" s="9" t="str">
        <x:v>EL-02</x:v>
      </x:c>
      <x:c r="H1040" s="15" t="n">
        <x:v>16</x:v>
      </x:c>
      <x:c r="I1040" s="9" t="str">
        <x:v>P08</x:v>
      </x:c>
      <x:c r="J1040" s="11" t="n">
        <x:v>46303.39444444444</x:v>
      </x:c>
      <x:c r="K1040" s="15" t="n">
        <x:v>8</x:v>
      </x:c>
      <x:c r="L1040" s="15" t="n">
        <x:v>8</x:v>
      </x:c>
      <x:c r="M1040" s="13" t="n">
        <x:f>J1040+(K1040+L1040)/1440</x:f>
        <x:v>46303.40555555555</x:v>
      </x:c>
      <x:c r="N1040" s="13" t="n">
        <x:f>VLOOKUP(C1040,'MES orders'!$A$8:$H$127,5,FALSE)</x:f>
        <x:v>46303.666666666664</x:v>
      </x:c>
      <x:c r="O1040" s="16" t="n">
        <x:f>MAX(0,(M1040-N1040)*24)</x:f>
        <x:v>0</x:v>
      </x:c>
      <x:c r="P1040" s="9" t="str">
        <x:v>No</x:v>
      </x:c>
      <x:c r="Q1040" s="15" t="n">
        <x:v>16</x:v>
      </x:c>
      <x:c r="R1040" s="13" t="n">
        <x:f>J1040+Q1040/1440</x:f>
        <x:v>46303.40555555555</x:v>
      </x:c>
      <x:c r="S1040" s="2" t="str">
        <x:f>VLOOKUP(C1040,'MES orders'!$A$8:$H$127,6,FALSE)</x:f>
        <x:v>Normal</x:v>
      </x:c>
      <x:c r="T1040" s="9" t="str"/>
    </x:row>
    <x:row r="1041" ht="22" customHeight="1">
      <x:c r="A1041" s="2" t="str">
        <x:v>L00486-060</x:v>
      </x:c>
      <x:c r="B1041" s="2" t="str">
        <x:v>L00486</x:v>
      </x:c>
      <x:c r="C1041" s="2" t="str">
        <x:v>SO-26098</x:v>
      </x:c>
      <x:c r="D1041" s="2" t="str">
        <x:v>S-C-SS</x:v>
      </x:c>
      <x:c r="E1041" s="14" t="n">
        <x:v>10</x:v>
      </x:c>
      <x:c r="F1041" s="2" t="str">
        <x:v>Sensor calibration</x:v>
      </x:c>
      <x:c r="G1041" s="9" t="str">
        <x:v>CAL-01</x:v>
      </x:c>
      <x:c r="H1041" s="15" t="n">
        <x:v>41</x:v>
      </x:c>
      <x:c r="I1041" s="9" t="str">
        <x:v>P09</x:v>
      </x:c>
      <x:c r="J1041" s="11" t="n">
        <x:v>46303.395833333336</x:v>
      </x:c>
      <x:c r="K1041" s="15" t="n">
        <x:v>10</x:v>
      </x:c>
      <x:c r="L1041" s="15" t="n">
        <x:v>10</x:v>
      </x:c>
      <x:c r="M1041" s="13" t="n">
        <x:f>J1041+(K1041+L1041)/1440</x:f>
        <x:v>46303.409722222226</x:v>
      </x:c>
      <x:c r="N1041" s="13" t="n">
        <x:f>VLOOKUP(C1041,'MES orders'!$A$8:$H$127,5,FALSE)</x:f>
        <x:v>46303.666666666664</x:v>
      </x:c>
      <x:c r="O1041" s="16" t="n">
        <x:f>MAX(0,(M1041-N1041)*24)</x:f>
        <x:v>0</x:v>
      </x:c>
      <x:c r="P1041" s="9" t="str">
        <x:v>No</x:v>
      </x:c>
      <x:c r="Q1041" s="15" t="n">
        <x:v>20</x:v>
      </x:c>
      <x:c r="R1041" s="13" t="n">
        <x:f>J1041+Q1041/1440</x:f>
        <x:v>46303.409722222226</x:v>
      </x:c>
      <x:c r="S1041" s="2" t="str">
        <x:f>VLOOKUP(C1041,'MES orders'!$A$8:$H$127,6,FALSE)</x:f>
        <x:v>Normal</x:v>
      </x:c>
      <x:c r="T1041" s="9" t="str"/>
    </x:row>
    <x:row r="1042" ht="22" customHeight="1">
      <x:c r="A1042" s="2" t="str">
        <x:v>L00489-030</x:v>
      </x:c>
      <x:c r="B1042" s="2" t="str">
        <x:v>L00489</x:v>
      </x:c>
      <x:c r="C1042" s="2" t="str">
        <x:v>SO-26098</x:v>
      </x:c>
      <x:c r="D1042" s="2" t="str">
        <x:v>S-C-SS</x:v>
      </x:c>
      <x:c r="E1042" s="14" t="n">
        <x:v>10</x:v>
      </x:c>
      <x:c r="F1042" s="2" t="str">
        <x:v>Wash &amp; dry</x:v>
      </x:c>
      <x:c r="G1042" s="9" t="str">
        <x:v>WS-01</x:v>
      </x:c>
      <x:c r="H1042" s="15" t="n">
        <x:v>97</x:v>
      </x:c>
      <x:c r="I1042" s="9" t="str">
        <x:v>P06</x:v>
      </x:c>
      <x:c r="J1042" s="11" t="n">
        <x:v>46303.396527777775</x:v>
      </x:c>
      <x:c r="K1042" s="15" t="n">
        <x:v>12</x:v>
      </x:c>
      <x:c r="L1042" s="15" t="n">
        <x:v>3</x:v>
      </x:c>
      <x:c r="M1042" s="13" t="n">
        <x:f>J1042+(K1042+L1042)/1440</x:f>
        <x:v>46303.40694444444</x:v>
      </x:c>
      <x:c r="N1042" s="13" t="n">
        <x:f>VLOOKUP(C1042,'MES orders'!$A$8:$H$127,5,FALSE)</x:f>
        <x:v>46303.666666666664</x:v>
      </x:c>
      <x:c r="O1042" s="16" t="n">
        <x:f>MAX(0,(M1042-N1042)*24)</x:f>
        <x:v>0</x:v>
      </x:c>
      <x:c r="P1042" s="9" t="str">
        <x:v>No</x:v>
      </x:c>
      <x:c r="Q1042" s="15" t="n">
        <x:v>15</x:v>
      </x:c>
      <x:c r="R1042" s="13" t="n">
        <x:f>J1042+Q1042/1440</x:f>
        <x:v>46303.40694444444</x:v>
      </x:c>
      <x:c r="S1042" s="2" t="str">
        <x:f>VLOOKUP(C1042,'MES orders'!$A$8:$H$127,6,FALSE)</x:f>
        <x:v>Normal</x:v>
      </x:c>
      <x:c r="T1042" s="9" t="str"/>
    </x:row>
    <x:row r="1043" ht="22" customHeight="1">
      <x:c r="A1043" s="2" t="str">
        <x:v>L00488-040</x:v>
      </x:c>
      <x:c r="B1043" s="2" t="str">
        <x:v>L00488</x:v>
      </x:c>
      <x:c r="C1043" s="2" t="str">
        <x:v>SO-26098</x:v>
      </x:c>
      <x:c r="D1043" s="2" t="str">
        <x:v>S-C-SS</x:v>
      </x:c>
      <x:c r="E1043" s="14" t="n">
        <x:v>10</x:v>
      </x:c>
      <x:c r="F1043" s="2" t="str">
        <x:v>Mechanical preassembly</x:v>
      </x:c>
      <x:c r="G1043" s="9" t="str">
        <x:v>AS-02</x:v>
      </x:c>
      <x:c r="H1043" s="15" t="n">
        <x:v>66</x:v>
      </x:c>
      <x:c r="I1043" s="9" t="str">
        <x:v>P05</x:v>
      </x:c>
      <x:c r="J1043" s="11" t="n">
        <x:v>46303.39861111111</x:v>
      </x:c>
      <x:c r="K1043" s="15" t="n">
        <x:v>6</x:v>
      </x:c>
      <x:c r="L1043" s="15" t="n">
        <x:v>9</x:v>
      </x:c>
      <x:c r="M1043" s="13" t="n">
        <x:f>J1043+(K1043+L1043)/1440</x:f>
        <x:v>46303.40902777777</x:v>
      </x:c>
      <x:c r="N1043" s="13" t="n">
        <x:f>VLOOKUP(C1043,'MES orders'!$A$8:$H$127,5,FALSE)</x:f>
        <x:v>46303.666666666664</x:v>
      </x:c>
      <x:c r="O1043" s="16" t="n">
        <x:f>MAX(0,(M1043-N1043)*24)</x:f>
        <x:v>0</x:v>
      </x:c>
      <x:c r="P1043" s="9" t="str">
        <x:v>No</x:v>
      </x:c>
      <x:c r="Q1043" s="15" t="n">
        <x:v>15</x:v>
      </x:c>
      <x:c r="R1043" s="13" t="n">
        <x:f>J1043+Q1043/1440</x:f>
        <x:v>46303.40902777777</x:v>
      </x:c>
      <x:c r="S1043" s="2" t="str">
        <x:f>VLOOKUP(C1043,'MES orders'!$A$8:$H$127,6,FALSE)</x:f>
        <x:v>Normal</x:v>
      </x:c>
      <x:c r="T1043" s="9" t="str"/>
    </x:row>
    <x:row r="1044" ht="22" customHeight="1">
      <x:c r="A1044" s="2" t="str">
        <x:v>L00133-030</x:v>
      </x:c>
      <x:c r="B1044" s="2" t="str">
        <x:v>L00133</x:v>
      </x:c>
      <x:c r="C1044" s="2" t="str">
        <x:v>SO-26027</x:v>
      </x:c>
      <x:c r="D1044" s="2" t="str">
        <x:v>D-S-AL</x:v>
      </x:c>
      <x:c r="E1044" s="14" t="n">
        <x:v>15</x:v>
      </x:c>
      <x:c r="F1044" s="2" t="str">
        <x:v>Wash &amp; dry</x:v>
      </x:c>
      <x:c r="G1044" s="9" t="str">
        <x:v>WS-02</x:v>
      </x:c>
      <x:c r="H1044" s="15" t="n">
        <x:v>72</x:v>
      </x:c>
      <x:c r="I1044" s="9" t="str">
        <x:v>P01</x:v>
      </x:c>
      <x:c r="J1044" s="11" t="n">
        <x:v>46303.39861111111</x:v>
      </x:c>
      <x:c r="K1044" s="15" t="n">
        <x:v>12</x:v>
      </x:c>
      <x:c r="L1044" s="15" t="n">
        <x:v>5</x:v>
      </x:c>
      <x:c r="M1044" s="13" t="n">
        <x:f>J1044+(K1044+L1044)/1440</x:f>
        <x:v>46303.410416666666</x:v>
      </x:c>
      <x:c r="N1044" s="13" t="n">
        <x:f>VLOOKUP(C1044,'MES orders'!$A$8:$H$127,5,FALSE)</x:f>
        <x:v>46304.666666666664</x:v>
      </x:c>
      <x:c r="O1044" s="16" t="n">
        <x:f>MAX(0,(M1044-N1044)*24)</x:f>
        <x:v>0</x:v>
      </x:c>
      <x:c r="P1044" s="9" t="str">
        <x:v>No</x:v>
      </x:c>
      <x:c r="Q1044" s="15" t="n">
        <x:v>17</x:v>
      </x:c>
      <x:c r="R1044" s="13" t="n">
        <x:f>J1044+Q1044/1440</x:f>
        <x:v>46303.410416666666</x:v>
      </x:c>
      <x:c r="S1044" s="2" t="str">
        <x:f>VLOOKUP(C1044,'MES orders'!$A$8:$H$127,6,FALSE)</x:f>
        <x:v>Normal</x:v>
      </x:c>
      <x:c r="T1044" s="9" t="str"/>
    </x:row>
    <x:row r="1045" ht="22" customHeight="1">
      <x:c r="A1045" s="2" t="str">
        <x:v>L00490-020</x:v>
      </x:c>
      <x:c r="B1045" s="2" t="str">
        <x:v>L00490</x:v>
      </x:c>
      <x:c r="C1045" s="2" t="str">
        <x:v>SO-26098</x:v>
      </x:c>
      <x:c r="D1045" s="2" t="str">
        <x:v>S-C-SS</x:v>
      </x:c>
      <x:c r="E1045" s="14" t="n">
        <x:v>10</x:v>
      </x:c>
      <x:c r="F1045" s="2" t="str">
        <x:v>Deburr &amp; inspect</x:v>
      </x:c>
      <x:c r="G1045" s="9" t="str">
        <x:v>DB-01</x:v>
      </x:c>
      <x:c r="H1045" s="15" t="n">
        <x:v>102</x:v>
      </x:c>
      <x:c r="I1045" s="9" t="str">
        <x:v>P04</x:v>
      </x:c>
      <x:c r="J1045" s="11" t="n">
        <x:v>46303.4</x:v>
      </x:c>
      <x:c r="K1045" s="15" t="n">
        <x:v>4</x:v>
      </x:c>
      <x:c r="L1045" s="15" t="n">
        <x:v>6</x:v>
      </x:c>
      <x:c r="M1045" s="13" t="n">
        <x:f>J1045+(K1045+L1045)/1440</x:f>
        <x:v>46303.40694444445</x:v>
      </x:c>
      <x:c r="N1045" s="13" t="n">
        <x:f>VLOOKUP(C1045,'MES orders'!$A$8:$H$127,5,FALSE)</x:f>
        <x:v>46303.666666666664</x:v>
      </x:c>
      <x:c r="O1045" s="16" t="n">
        <x:f>MAX(0,(M1045-N1045)*24)</x:f>
        <x:v>0</x:v>
      </x:c>
      <x:c r="P1045" s="9" t="str">
        <x:v>No</x:v>
      </x:c>
      <x:c r="Q1045" s="15" t="n">
        <x:v>10</x:v>
      </x:c>
      <x:c r="R1045" s="13" t="n">
        <x:f>J1045+Q1045/1440</x:f>
        <x:v>46303.40694444445</x:v>
      </x:c>
      <x:c r="S1045" s="2" t="str">
        <x:f>VLOOKUP(C1045,'MES orders'!$A$8:$H$127,6,FALSE)</x:f>
        <x:v>Normal</x:v>
      </x:c>
      <x:c r="T1045" s="9" t="str"/>
    </x:row>
    <x:row r="1046" ht="22" customHeight="1">
      <x:c r="A1046" s="2" t="str">
        <x:v>L00487-050</x:v>
      </x:c>
      <x:c r="B1046" s="2" t="str">
        <x:v>L00487</x:v>
      </x:c>
      <x:c r="C1046" s="2" t="str">
        <x:v>SO-26098</x:v>
      </x:c>
      <x:c r="D1046" s="2" t="str">
        <x:v>S-C-SS</x:v>
      </x:c>
      <x:c r="E1046" s="14" t="n">
        <x:v>10</x:v>
      </x:c>
      <x:c r="F1046" s="2" t="str">
        <x:v>Sensor installation</x:v>
      </x:c>
      <x:c r="G1046" s="9" t="str">
        <x:v>EL-01</x:v>
      </x:c>
      <x:c r="H1046" s="15" t="n">
        <x:v>28</x:v>
      </x:c>
      <x:c r="I1046" s="9" t="str">
        <x:v>P07</x:v>
      </x:c>
      <x:c r="J1046" s="11" t="n">
        <x:v>46303.4</x:v>
      </x:c>
      <x:c r="K1046" s="15" t="n">
        <x:v>8</x:v>
      </x:c>
      <x:c r="L1046" s="15" t="n">
        <x:v>10</x:v>
      </x:c>
      <x:c r="M1046" s="13" t="n">
        <x:f>J1046+(K1046+L1046)/1440</x:f>
        <x:v>46303.4125</x:v>
      </x:c>
      <x:c r="N1046" s="13" t="n">
        <x:f>VLOOKUP(C1046,'MES orders'!$A$8:$H$127,5,FALSE)</x:f>
        <x:v>46303.666666666664</x:v>
      </x:c>
      <x:c r="O1046" s="16" t="n">
        <x:f>MAX(0,(M1046-N1046)*24)</x:f>
        <x:v>0</x:v>
      </x:c>
      <x:c r="P1046" s="9" t="str">
        <x:v>No</x:v>
      </x:c>
      <x:c r="Q1046" s="15" t="n">
        <x:v>18</x:v>
      </x:c>
      <x:c r="R1046" s="13" t="n">
        <x:f>J1046+Q1046/1440</x:f>
        <x:v>46303.4125</x:v>
      </x:c>
      <x:c r="S1046" s="2" t="str">
        <x:f>VLOOKUP(C1046,'MES orders'!$A$8:$H$127,6,FALSE)</x:f>
        <x:v>Normal</x:v>
      </x:c>
      <x:c r="T1046" s="9" t="str"/>
    </x:row>
    <x:row r="1047" ht="22" customHeight="1">
      <x:c r="A1047" s="2" t="str">
        <x:v>L00567-020</x:v>
      </x:c>
      <x:c r="B1047" s="2" t="str">
        <x:v>L00567</x:v>
      </x:c>
      <x:c r="C1047" s="2" t="str">
        <x:v>SO-26114</x:v>
      </x:c>
      <x:c r="D1047" s="2" t="str">
        <x:v>S-L-SS</x:v>
      </x:c>
      <x:c r="E1047" s="14" t="n">
        <x:v>5</x:v>
      </x:c>
      <x:c r="F1047" s="2" t="str">
        <x:v>Deburr &amp; inspect</x:v>
      </x:c>
      <x:c r="G1047" s="9" t="str">
        <x:v>DB-01</x:v>
      </x:c>
      <x:c r="H1047" s="15" t="n">
        <x:v>103</x:v>
      </x:c>
      <x:c r="I1047" s="9" t="str">
        <x:v>P06</x:v>
      </x:c>
      <x:c r="J1047" s="11" t="n">
        <x:v>46303.40694444445</x:v>
      </x:c>
      <x:c r="K1047" s="15" t="n">
        <x:v>4</x:v>
      </x:c>
      <x:c r="L1047" s="15" t="n">
        <x:v>5</x:v>
      </x:c>
      <x:c r="M1047" s="13" t="n">
        <x:f>J1047+(K1047+L1047)/1440</x:f>
        <x:v>46303.413194444445</x:v>
      </x:c>
      <x:c r="N1047" s="13" t="n">
        <x:f>VLOOKUP(C1047,'MES orders'!$A$8:$H$127,5,FALSE)</x:f>
        <x:v>46303.666666666664</x:v>
      </x:c>
      <x:c r="O1047" s="16" t="n">
        <x:f>MAX(0,(M1047-N1047)*24)</x:f>
        <x:v>0</x:v>
      </x:c>
      <x:c r="P1047" s="9" t="str">
        <x:v>No</x:v>
      </x:c>
      <x:c r="Q1047" s="15" t="n">
        <x:v>9</x:v>
      </x:c>
      <x:c r="R1047" s="13" t="n">
        <x:f>J1047+Q1047/1440</x:f>
        <x:v>46303.413194444445</x:v>
      </x:c>
      <x:c r="S1047" s="2" t="str">
        <x:f>VLOOKUP(C1047,'MES orders'!$A$8:$H$127,6,FALSE)</x:f>
        <x:v>Normal</x:v>
      </x:c>
      <x:c r="T1047" s="9" t="str"/>
    </x:row>
    <x:row r="1048" ht="22" customHeight="1">
      <x:c r="A1048" s="2" t="str">
        <x:v>L00566-030</x:v>
      </x:c>
      <x:c r="B1048" s="2" t="str">
        <x:v>L00566</x:v>
      </x:c>
      <x:c r="C1048" s="2" t="str">
        <x:v>SO-26114</x:v>
      </x:c>
      <x:c r="D1048" s="2" t="str">
        <x:v>S-L-SS</x:v>
      </x:c>
      <x:c r="E1048" s="14" t="n">
        <x:v>5</x:v>
      </x:c>
      <x:c r="F1048" s="2" t="str">
        <x:v>Wash &amp; dry</x:v>
      </x:c>
      <x:c r="G1048" s="9" t="str">
        <x:v>WS-01</x:v>
      </x:c>
      <x:c r="H1048" s="15" t="n">
        <x:v>98</x:v>
      </x:c>
      <x:c r="I1048" s="9" t="str">
        <x:v>P04</x:v>
      </x:c>
      <x:c r="J1048" s="11" t="n">
        <x:v>46303.40694444445</x:v>
      </x:c>
      <x:c r="K1048" s="15" t="n">
        <x:v>12</x:v>
      </x:c>
      <x:c r="L1048" s="15" t="n">
        <x:v>2</x:v>
      </x:c>
      <x:c r="M1048" s="13" t="n">
        <x:f>J1048+(K1048+L1048)/1440</x:f>
        <x:v>46303.41666666667</x:v>
      </x:c>
      <x:c r="N1048" s="13" t="n">
        <x:f>VLOOKUP(C1048,'MES orders'!$A$8:$H$127,5,FALSE)</x:f>
        <x:v>46303.666666666664</x:v>
      </x:c>
      <x:c r="O1048" s="16" t="n">
        <x:f>MAX(0,(M1048-N1048)*24)</x:f>
        <x:v>0</x:v>
      </x:c>
      <x:c r="P1048" s="9" t="str">
        <x:v>No</x:v>
      </x:c>
      <x:c r="Q1048" s="15" t="n">
        <x:v>14</x:v>
      </x:c>
      <x:c r="R1048" s="13" t="n">
        <x:f>J1048+Q1048/1440</x:f>
        <x:v>46303.41666666667</x:v>
      </x:c>
      <x:c r="S1048" s="2" t="str">
        <x:f>VLOOKUP(C1048,'MES orders'!$A$8:$H$127,6,FALSE)</x:f>
        <x:v>Normal</x:v>
      </x:c>
      <x:c r="T1048" s="9" t="str"/>
    </x:row>
    <x:row r="1049" ht="22" customHeight="1">
      <x:c r="A1049" s="2" t="str">
        <x:v>L00568-020</x:v>
      </x:c>
      <x:c r="B1049" s="2" t="str">
        <x:v>L00568</x:v>
      </x:c>
      <x:c r="C1049" s="2" t="str">
        <x:v>SO-26114</x:v>
      </x:c>
      <x:c r="D1049" s="2" t="str">
        <x:v>S-L-SS</x:v>
      </x:c>
      <x:c r="E1049" s="14" t="n">
        <x:v>5</x:v>
      </x:c>
      <x:c r="F1049" s="2" t="str">
        <x:v>Deburr &amp; inspect</x:v>
      </x:c>
      <x:c r="G1049" s="9" t="str">
        <x:v>DB-02</x:v>
      </x:c>
      <x:c r="H1049" s="15" t="n">
        <x:v>71</x:v>
      </x:c>
      <x:c r="I1049" s="9" t="str">
        <x:v>P05</x:v>
      </x:c>
      <x:c r="J1049" s="11" t="n">
        <x:v>46303.40902777778</x:v>
      </x:c>
      <x:c r="K1049" s="15" t="n">
        <x:v>4</x:v>
      </x:c>
      <x:c r="L1049" s="15" t="n">
        <x:v>5</x:v>
      </x:c>
      <x:c r="M1049" s="13" t="n">
        <x:f>J1049+(K1049+L1049)/1440</x:f>
        <x:v>46303.41527777778</x:v>
      </x:c>
      <x:c r="N1049" s="13" t="n">
        <x:f>VLOOKUP(C1049,'MES orders'!$A$8:$H$127,5,FALSE)</x:f>
        <x:v>46303.666666666664</x:v>
      </x:c>
      <x:c r="O1049" s="16" t="n">
        <x:f>MAX(0,(M1049-N1049)*24)</x:f>
        <x:v>0</x:v>
      </x:c>
      <x:c r="P1049" s="9" t="str">
        <x:v>No</x:v>
      </x:c>
      <x:c r="Q1049" s="15" t="n">
        <x:v>9</x:v>
      </x:c>
      <x:c r="R1049" s="13" t="n">
        <x:f>J1049+Q1049/1440</x:f>
        <x:v>46303.41527777778</x:v>
      </x:c>
      <x:c r="S1049" s="2" t="str">
        <x:f>VLOOKUP(C1049,'MES orders'!$A$8:$H$127,6,FALSE)</x:f>
        <x:v>Normal</x:v>
      </x:c>
      <x:c r="T1049" s="9" t="str"/>
    </x:row>
    <x:row r="1050" ht="22" customHeight="1">
      <x:c r="A1050" s="2" t="str">
        <x:v>L00486-070</x:v>
      </x:c>
      <x:c r="B1050" s="2" t="str">
        <x:v>L00486</x:v>
      </x:c>
      <x:c r="C1050" s="2" t="str">
        <x:v>SO-26098</x:v>
      </x:c>
      <x:c r="D1050" s="2" t="str">
        <x:v>S-C-SS</x:v>
      </x:c>
      <x:c r="E1050" s="14" t="n">
        <x:v>10</x:v>
      </x:c>
      <x:c r="F1050" s="2" t="str">
        <x:v>Final assembly</x:v>
      </x:c>
      <x:c r="G1050" s="9" t="str">
        <x:v>AS-01</x:v>
      </x:c>
      <x:c r="H1050" s="15" t="n">
        <x:v>82</x:v>
      </x:c>
      <x:c r="I1050" s="9" t="str">
        <x:v>P05</x:v>
      </x:c>
      <x:c r="J1050" s="11" t="n">
        <x:v>46303.4375</x:v>
      </x:c>
      <x:c r="K1050" s="15" t="n">
        <x:v>5</x:v>
      </x:c>
      <x:c r="L1050" s="15" t="n">
        <x:v>6</x:v>
      </x:c>
      <x:c r="M1050" s="13" t="n">
        <x:f>J1050+(K1050+L1050)/1440</x:f>
        <x:v>46303.44513888889</x:v>
      </x:c>
      <x:c r="N1050" s="13" t="n">
        <x:f>VLOOKUP(C1050,'MES orders'!$A$8:$H$127,5,FALSE)</x:f>
        <x:v>46303.666666666664</x:v>
      </x:c>
      <x:c r="O1050" s="16" t="n">
        <x:f>MAX(0,(M1050-N1050)*24)</x:f>
        <x:v>0</x:v>
      </x:c>
      <x:c r="P1050" s="9" t="str">
        <x:v>No</x:v>
      </x:c>
      <x:c r="Q1050" s="15" t="n">
        <x:v>11</x:v>
      </x:c>
      <x:c r="R1050" s="13" t="n">
        <x:f>J1050+Q1050/1440</x:f>
        <x:v>46303.44513888889</x:v>
      </x:c>
      <x:c r="S1050" s="2" t="str">
        <x:f>VLOOKUP(C1050,'MES orders'!$A$8:$H$127,6,FALSE)</x:f>
        <x:v>Normal</x:v>
      </x:c>
      <x:c r="T1050" s="9" t="str"/>
    </x:row>
    <x:row r="1051" ht="22" customHeight="1">
      <x:c r="A1051" s="2" t="str">
        <x:v>L00489-040</x:v>
      </x:c>
      <x:c r="B1051" s="2" t="str">
        <x:v>L00489</x:v>
      </x:c>
      <x:c r="C1051" s="2" t="str">
        <x:v>SO-26098</x:v>
      </x:c>
      <x:c r="D1051" s="2" t="str">
        <x:v>S-C-SS</x:v>
      </x:c>
      <x:c r="E1051" s="14" t="n">
        <x:v>10</x:v>
      </x:c>
      <x:c r="F1051" s="2" t="str">
        <x:v>Mechanical preassembly</x:v>
      </x:c>
      <x:c r="G1051" s="9" t="str">
        <x:v>AS-02</x:v>
      </x:c>
      <x:c r="H1051" s="15" t="n">
        <x:v>67</x:v>
      </x:c>
      <x:c r="I1051" s="9" t="str">
        <x:v>P04</x:v>
      </x:c>
      <x:c r="J1051" s="11" t="n">
        <x:v>46303.4375</x:v>
      </x:c>
      <x:c r="K1051" s="15" t="n">
        <x:v>6</x:v>
      </x:c>
      <x:c r="L1051" s="15" t="n">
        <x:v>9</x:v>
      </x:c>
      <x:c r="M1051" s="13" t="n">
        <x:f>J1051+(K1051+L1051)/1440</x:f>
        <x:v>46303.447916666664</x:v>
      </x:c>
      <x:c r="N1051" s="13" t="n">
        <x:f>VLOOKUP(C1051,'MES orders'!$A$8:$H$127,5,FALSE)</x:f>
        <x:v>46303.666666666664</x:v>
      </x:c>
      <x:c r="O1051" s="16" t="n">
        <x:f>MAX(0,(M1051-N1051)*24)</x:f>
        <x:v>0</x:v>
      </x:c>
      <x:c r="P1051" s="9" t="str">
        <x:v>No</x:v>
      </x:c>
      <x:c r="Q1051" s="15" t="n">
        <x:v>15</x:v>
      </x:c>
      <x:c r="R1051" s="13" t="n">
        <x:f>J1051+Q1051/1440</x:f>
        <x:v>46303.447916666664</x:v>
      </x:c>
      <x:c r="S1051" s="2" t="str">
        <x:f>VLOOKUP(C1051,'MES orders'!$A$8:$H$127,6,FALSE)</x:f>
        <x:v>Normal</x:v>
      </x:c>
      <x:c r="T1051" s="9" t="str"/>
    </x:row>
    <x:row r="1052" ht="22" customHeight="1">
      <x:c r="A1052" s="2" t="str">
        <x:v>L00133-040</x:v>
      </x:c>
      <x:c r="B1052" s="2" t="str">
        <x:v>L00133</x:v>
      </x:c>
      <x:c r="C1052" s="2" t="str">
        <x:v>SO-26027</x:v>
      </x:c>
      <x:c r="D1052" s="2" t="str">
        <x:v>D-S-AL</x:v>
      </x:c>
      <x:c r="E1052" s="14" t="n">
        <x:v>15</x:v>
      </x:c>
      <x:c r="F1052" s="2" t="str">
        <x:v>Mechanical assembly</x:v>
      </x:c>
      <x:c r="G1052" s="9" t="str">
        <x:v>AS-04</x:v>
      </x:c>
      <x:c r="H1052" s="15" t="n">
        <x:v>37</x:v>
      </x:c>
      <x:c r="I1052" s="9" t="str">
        <x:v>P03</x:v>
      </x:c>
      <x:c r="J1052" s="11" t="n">
        <x:v>46303.4375</x:v>
      </x:c>
      <x:c r="K1052" s="15" t="n">
        <x:v>8</x:v>
      </x:c>
      <x:c r="L1052" s="15" t="n">
        <x:v>27</x:v>
      </x:c>
      <x:c r="M1052" s="13" t="n">
        <x:f>J1052+(K1052+L1052)/1440</x:f>
        <x:v>46303.461805555555</x:v>
      </x:c>
      <x:c r="N1052" s="13" t="n">
        <x:f>VLOOKUP(C1052,'MES orders'!$A$8:$H$127,5,FALSE)</x:f>
        <x:v>46304.666666666664</x:v>
      </x:c>
      <x:c r="O1052" s="16" t="n">
        <x:f>MAX(0,(M1052-N1052)*24)</x:f>
        <x:v>0</x:v>
      </x:c>
      <x:c r="P1052" s="9" t="str">
        <x:v>No</x:v>
      </x:c>
      <x:c r="Q1052" s="15" t="n">
        <x:v>35</x:v>
      </x:c>
      <x:c r="R1052" s="13" t="n">
        <x:f>J1052+Q1052/1440</x:f>
        <x:v>46303.461805555555</x:v>
      </x:c>
      <x:c r="S1052" s="2" t="str">
        <x:f>VLOOKUP(C1052,'MES orders'!$A$8:$H$127,6,FALSE)</x:f>
        <x:v>Normal</x:v>
      </x:c>
      <x:c r="T1052" s="9" t="str"/>
    </x:row>
    <x:row r="1053" ht="22" customHeight="1">
      <x:c r="A1053" s="2" t="str">
        <x:v>L00487-060</x:v>
      </x:c>
      <x:c r="B1053" s="2" t="str">
        <x:v>L00487</x:v>
      </x:c>
      <x:c r="C1053" s="2" t="str">
        <x:v>SO-26098</x:v>
      </x:c>
      <x:c r="D1053" s="2" t="str">
        <x:v>S-C-SS</x:v>
      </x:c>
      <x:c r="E1053" s="14" t="n">
        <x:v>10</x:v>
      </x:c>
      <x:c r="F1053" s="2" t="str">
        <x:v>Sensor calibration</x:v>
      </x:c>
      <x:c r="G1053" s="9" t="str">
        <x:v>CAL-01</x:v>
      </x:c>
      <x:c r="H1053" s="15" t="n">
        <x:v>42</x:v>
      </x:c>
      <x:c r="I1053" s="9" t="str">
        <x:v>P09</x:v>
      </x:c>
      <x:c r="J1053" s="11" t="n">
        <x:v>46303.4375</x:v>
      </x:c>
      <x:c r="K1053" s="15" t="n">
        <x:v>10</x:v>
      </x:c>
      <x:c r="L1053" s="15" t="n">
        <x:v>10</x:v>
      </x:c>
      <x:c r="M1053" s="13" t="n">
        <x:f>J1053+(K1053+L1053)/1440</x:f>
        <x:v>46303.45138888889</x:v>
      </x:c>
      <x:c r="N1053" s="13" t="n">
        <x:f>VLOOKUP(C1053,'MES orders'!$A$8:$H$127,5,FALSE)</x:f>
        <x:v>46303.666666666664</x:v>
      </x:c>
      <x:c r="O1053" s="16" t="n">
        <x:f>MAX(0,(M1053-N1053)*24)</x:f>
        <x:v>0</x:v>
      </x:c>
      <x:c r="P1053" s="9" t="str">
        <x:v>No</x:v>
      </x:c>
      <x:c r="Q1053" s="15" t="n">
        <x:v>20</x:v>
      </x:c>
      <x:c r="R1053" s="13" t="n">
        <x:f>J1053+Q1053/1440</x:f>
        <x:v>46303.45138888889</x:v>
      </x:c>
      <x:c r="S1053" s="2" t="str">
        <x:f>VLOOKUP(C1053,'MES orders'!$A$8:$H$127,6,FALSE)</x:f>
        <x:v>Normal</x:v>
      </x:c>
      <x:c r="T1053" s="9" t="str"/>
    </x:row>
    <x:row r="1054" ht="22" customHeight="1">
      <x:c r="A1054" s="2" t="str">
        <x:v>L00053-020</x:v>
      </x:c>
      <x:c r="B1054" s="2" t="str">
        <x:v>L00053</x:v>
      </x:c>
      <x:c r="C1054" s="2" t="str">
        <x:v>SO-26011</x:v>
      </x:c>
      <x:c r="D1054" s="2" t="str">
        <x:v>S-L-AL</x:v>
      </x:c>
      <x:c r="E1054" s="14" t="n">
        <x:v>20</x:v>
      </x:c>
      <x:c r="F1054" s="2" t="str">
        <x:v>Deburr &amp; inspect</x:v>
      </x:c>
      <x:c r="G1054" s="9" t="str">
        <x:v>DB-01</x:v>
      </x:c>
      <x:c r="H1054" s="15" t="n">
        <x:v>104</x:v>
      </x:c>
      <x:c r="I1054" s="9" t="str">
        <x:v>P01</x:v>
      </x:c>
      <x:c r="J1054" s="11" t="n">
        <x:v>46303.4375</x:v>
      </x:c>
      <x:c r="K1054" s="15" t="n">
        <x:v>4</x:v>
      </x:c>
      <x:c r="L1054" s="15" t="n">
        <x:v>19</x:v>
      </x:c>
      <x:c r="M1054" s="13" t="n">
        <x:f>J1054+(K1054+L1054)/1440</x:f>
        <x:v>46303.45347222222</x:v>
      </x:c>
      <x:c r="N1054" s="13" t="n">
        <x:f>VLOOKUP(C1054,'MES orders'!$A$8:$H$127,5,FALSE)</x:f>
        <x:v>46304.666666666664</x:v>
      </x:c>
      <x:c r="O1054" s="16" t="n">
        <x:f>MAX(0,(M1054-N1054)*24)</x:f>
        <x:v>0</x:v>
      </x:c>
      <x:c r="P1054" s="9" t="str">
        <x:v>No</x:v>
      </x:c>
      <x:c r="Q1054" s="15" t="n">
        <x:v>23</x:v>
      </x:c>
      <x:c r="R1054" s="13" t="n">
        <x:f>J1054+Q1054/1440</x:f>
        <x:v>46303.45347222222</x:v>
      </x:c>
      <x:c r="S1054" s="2" t="str">
        <x:f>VLOOKUP(C1054,'MES orders'!$A$8:$H$127,6,FALSE)</x:f>
        <x:v>Normal</x:v>
      </x:c>
      <x:c r="T1054" s="9" t="str"/>
    </x:row>
    <x:row r="1055" ht="22" customHeight="1">
      <x:c r="A1055" s="2" t="str">
        <x:v>L00054-020</x:v>
      </x:c>
      <x:c r="B1055" s="2" t="str">
        <x:v>L00054</x:v>
      </x:c>
      <x:c r="C1055" s="2" t="str">
        <x:v>SO-26011</x:v>
      </x:c>
      <x:c r="D1055" s="2" t="str">
        <x:v>S-L-AL</x:v>
      </x:c>
      <x:c r="E1055" s="14" t="n">
        <x:v>20</x:v>
      </x:c>
      <x:c r="F1055" s="2" t="str">
        <x:v>Deburr &amp; inspect</x:v>
      </x:c>
      <x:c r="G1055" s="9" t="str">
        <x:v>DB-02</x:v>
      </x:c>
      <x:c r="H1055" s="15" t="n">
        <x:v>72</x:v>
      </x:c>
      <x:c r="I1055" s="9" t="str">
        <x:v>P02</x:v>
      </x:c>
      <x:c r="J1055" s="11" t="n">
        <x:v>46303.4375</x:v>
      </x:c>
      <x:c r="K1055" s="15" t="n">
        <x:v>4</x:v>
      </x:c>
      <x:c r="L1055" s="15" t="n">
        <x:v>19</x:v>
      </x:c>
      <x:c r="M1055" s="13" t="n">
        <x:f>J1055+(K1055+L1055)/1440</x:f>
        <x:v>46303.45347222222</x:v>
      </x:c>
      <x:c r="N1055" s="13" t="n">
        <x:f>VLOOKUP(C1055,'MES orders'!$A$8:$H$127,5,FALSE)</x:f>
        <x:v>46304.666666666664</x:v>
      </x:c>
      <x:c r="O1055" s="16" t="n">
        <x:f>MAX(0,(M1055-N1055)*24)</x:f>
        <x:v>0</x:v>
      </x:c>
      <x:c r="P1055" s="9" t="str">
        <x:v>No</x:v>
      </x:c>
      <x:c r="Q1055" s="15" t="n">
        <x:v>23</x:v>
      </x:c>
      <x:c r="R1055" s="13" t="n">
        <x:f>J1055+Q1055/1440</x:f>
        <x:v>46303.45347222222</x:v>
      </x:c>
      <x:c r="S1055" s="2" t="str">
        <x:f>VLOOKUP(C1055,'MES orders'!$A$8:$H$127,6,FALSE)</x:f>
        <x:v>Normal</x:v>
      </x:c>
      <x:c r="T1055" s="9" t="str"/>
    </x:row>
    <x:row r="1056" ht="22" customHeight="1">
      <x:c r="A1056" s="2" t="str">
        <x:v>L00488-050</x:v>
      </x:c>
      <x:c r="B1056" s="2" t="str">
        <x:v>L00488</x:v>
      </x:c>
      <x:c r="C1056" s="2" t="str">
        <x:v>SO-26098</x:v>
      </x:c>
      <x:c r="D1056" s="2" t="str">
        <x:v>S-C-SS</x:v>
      </x:c>
      <x:c r="E1056" s="14" t="n">
        <x:v>10</x:v>
      </x:c>
      <x:c r="F1056" s="2" t="str">
        <x:v>Sensor installation</x:v>
      </x:c>
      <x:c r="G1056" s="9" t="str">
        <x:v>EL-01</x:v>
      </x:c>
      <x:c r="H1056" s="15" t="n">
        <x:v>29</x:v>
      </x:c>
      <x:c r="I1056" s="9" t="str">
        <x:v>P07</x:v>
      </x:c>
      <x:c r="J1056" s="11" t="n">
        <x:v>46303.4375</x:v>
      </x:c>
      <x:c r="K1056" s="15" t="n">
        <x:v>8</x:v>
      </x:c>
      <x:c r="L1056" s="15" t="n">
        <x:v>10</x:v>
      </x:c>
      <x:c r="M1056" s="13" t="n">
        <x:f>J1056+(K1056+L1056)/1440</x:f>
        <x:v>46303.45</x:v>
      </x:c>
      <x:c r="N1056" s="13" t="n">
        <x:f>VLOOKUP(C1056,'MES orders'!$A$8:$H$127,5,FALSE)</x:f>
        <x:v>46303.666666666664</x:v>
      </x:c>
      <x:c r="O1056" s="16" t="n">
        <x:f>MAX(0,(M1056-N1056)*24)</x:f>
        <x:v>0</x:v>
      </x:c>
      <x:c r="P1056" s="9" t="str">
        <x:v>No</x:v>
      </x:c>
      <x:c r="Q1056" s="15" t="n">
        <x:v>18</x:v>
      </x:c>
      <x:c r="R1056" s="13" t="n">
        <x:f>J1056+Q1056/1440</x:f>
        <x:v>46303.45</x:v>
      </x:c>
      <x:c r="S1056" s="2" t="str">
        <x:f>VLOOKUP(C1056,'MES orders'!$A$8:$H$127,6,FALSE)</x:f>
        <x:v>Normal</x:v>
      </x:c>
      <x:c r="T1056" s="9" t="str"/>
    </x:row>
    <x:row r="1057" ht="22" customHeight="1">
      <x:c r="A1057" s="2" t="str">
        <x:v>L00490-030</x:v>
      </x:c>
      <x:c r="B1057" s="2" t="str">
        <x:v>L00490</x:v>
      </x:c>
      <x:c r="C1057" s="2" t="str">
        <x:v>SO-26098</x:v>
      </x:c>
      <x:c r="D1057" s="2" t="str">
        <x:v>S-C-SS</x:v>
      </x:c>
      <x:c r="E1057" s="14" t="n">
        <x:v>10</x:v>
      </x:c>
      <x:c r="F1057" s="2" t="str">
        <x:v>Wash &amp; dry</x:v>
      </x:c>
      <x:c r="G1057" s="9" t="str">
        <x:v>WS-01</x:v>
      </x:c>
      <x:c r="H1057" s="15" t="n">
        <x:v>99</x:v>
      </x:c>
      <x:c r="I1057" s="9" t="str">
        <x:v>P06</x:v>
      </x:c>
      <x:c r="J1057" s="11" t="n">
        <x:v>46303.4375</x:v>
      </x:c>
      <x:c r="K1057" s="15" t="n">
        <x:v>12</x:v>
      </x:c>
      <x:c r="L1057" s="15" t="n">
        <x:v>3</x:v>
      </x:c>
      <x:c r="M1057" s="13" t="n">
        <x:f>J1057+(K1057+L1057)/1440</x:f>
        <x:v>46303.447916666664</x:v>
      </x:c>
      <x:c r="N1057" s="13" t="n">
        <x:f>VLOOKUP(C1057,'MES orders'!$A$8:$H$127,5,FALSE)</x:f>
        <x:v>46303.666666666664</x:v>
      </x:c>
      <x:c r="O1057" s="16" t="n">
        <x:f>MAX(0,(M1057-N1057)*24)</x:f>
        <x:v>0</x:v>
      </x:c>
      <x:c r="P1057" s="9" t="str">
        <x:v>No</x:v>
      </x:c>
      <x:c r="Q1057" s="15" t="n">
        <x:v>15</x:v>
      </x:c>
      <x:c r="R1057" s="13" t="n">
        <x:f>J1057+Q1057/1440</x:f>
        <x:v>46303.447916666664</x:v>
      </x:c>
      <x:c r="S1057" s="2" t="str">
        <x:f>VLOOKUP(C1057,'MES orders'!$A$8:$H$127,6,FALSE)</x:f>
        <x:v>Normal</x:v>
      </x:c>
      <x:c r="T1057" s="9" t="str"/>
    </x:row>
    <x:row r="1058" ht="22" customHeight="1">
      <x:c r="A1058" s="2" t="str">
        <x:v>L00486-080</x:v>
      </x:c>
      <x:c r="B1058" s="2" t="str">
        <x:v>L00486</x:v>
      </x:c>
      <x:c r="C1058" s="2" t="str">
        <x:v>SO-26098</x:v>
      </x:c>
      <x:c r="D1058" s="2" t="str">
        <x:v>S-C-SS</x:v>
      </x:c>
      <x:c r="E1058" s="14" t="n">
        <x:v>10</x:v>
      </x:c>
      <x:c r="F1058" s="2" t="str">
        <x:v>Final leak / function test</x:v>
      </x:c>
      <x:c r="G1058" s="9" t="str">
        <x:v>QA-02</x:v>
      </x:c>
      <x:c r="H1058" s="15" t="n">
        <x:v>71</x:v>
      </x:c>
      <x:c r="I1058" s="9" t="str">
        <x:v>P11</x:v>
      </x:c>
      <x:c r="J1058" s="11" t="n">
        <x:v>46303.44513888889</x:v>
      </x:c>
      <x:c r="K1058" s="15" t="n">
        <x:v>10</x:v>
      </x:c>
      <x:c r="L1058" s="15" t="n">
        <x:v>7</x:v>
      </x:c>
      <x:c r="M1058" s="13" t="n">
        <x:f>J1058+(K1058+L1058)/1440</x:f>
        <x:v>46303.45694444445</x:v>
      </x:c>
      <x:c r="N1058" s="13" t="n">
        <x:f>VLOOKUP(C1058,'MES orders'!$A$8:$H$127,5,FALSE)</x:f>
        <x:v>46303.666666666664</x:v>
      </x:c>
      <x:c r="O1058" s="16" t="n">
        <x:f>MAX(0,(M1058-N1058)*24)</x:f>
        <x:v>0</x:v>
      </x:c>
      <x:c r="P1058" s="9" t="str">
        <x:v>No</x:v>
      </x:c>
      <x:c r="Q1058" s="15" t="n">
        <x:v>17</x:v>
      </x:c>
      <x:c r="R1058" s="13" t="n">
        <x:f>J1058+Q1058/1440</x:f>
        <x:v>46303.45694444445</x:v>
      </x:c>
      <x:c r="S1058" s="2" t="str">
        <x:f>VLOOKUP(C1058,'MES orders'!$A$8:$H$127,6,FALSE)</x:f>
        <x:v>Normal</x:v>
      </x:c>
      <x:c r="T1058" s="9" t="str"/>
    </x:row>
    <x:row r="1059" ht="22" customHeight="1">
      <x:c r="A1059" s="2" t="str">
        <x:v>L00490-040</x:v>
      </x:c>
      <x:c r="B1059" s="2" t="str">
        <x:v>L00490</x:v>
      </x:c>
      <x:c r="C1059" s="2" t="str">
        <x:v>SO-26098</x:v>
      </x:c>
      <x:c r="D1059" s="2" t="str">
        <x:v>S-C-SS</x:v>
      </x:c>
      <x:c r="E1059" s="14" t="n">
        <x:v>10</x:v>
      </x:c>
      <x:c r="F1059" s="2" t="str">
        <x:v>Mechanical preassembly</x:v>
      </x:c>
      <x:c r="G1059" s="9" t="str">
        <x:v>AS-02</x:v>
      </x:c>
      <x:c r="H1059" s="15" t="n">
        <x:v>68</x:v>
      </x:c>
      <x:c r="I1059" s="9" t="str">
        <x:v>P04</x:v>
      </x:c>
      <x:c r="J1059" s="11" t="n">
        <x:v>46303.447916666664</x:v>
      </x:c>
      <x:c r="K1059" s="15" t="n">
        <x:v>6</x:v>
      </x:c>
      <x:c r="L1059" s="15" t="n">
        <x:v>9</x:v>
      </x:c>
      <x:c r="M1059" s="13" t="n">
        <x:f>J1059+(K1059+L1059)/1440</x:f>
        <x:v>46303.45833333333</x:v>
      </x:c>
      <x:c r="N1059" s="13" t="n">
        <x:f>VLOOKUP(C1059,'MES orders'!$A$8:$H$127,5,FALSE)</x:f>
        <x:v>46303.666666666664</x:v>
      </x:c>
      <x:c r="O1059" s="16" t="n">
        <x:f>MAX(0,(M1059-N1059)*24)</x:f>
        <x:v>0</x:v>
      </x:c>
      <x:c r="P1059" s="9" t="str">
        <x:v>No</x:v>
      </x:c>
      <x:c r="Q1059" s="15" t="n">
        <x:v>15</x:v>
      </x:c>
      <x:c r="R1059" s="13" t="n">
        <x:f>J1059+Q1059/1440</x:f>
        <x:v>46303.45833333333</x:v>
      </x:c>
      <x:c r="S1059" s="2" t="str">
        <x:f>VLOOKUP(C1059,'MES orders'!$A$8:$H$127,6,FALSE)</x:f>
        <x:v>Normal</x:v>
      </x:c>
      <x:c r="T1059" s="9" t="str"/>
    </x:row>
    <x:row r="1060" ht="22" customHeight="1">
      <x:c r="A1060" s="2" t="str">
        <x:v>L00566-040</x:v>
      </x:c>
      <x:c r="B1060" s="2" t="str">
        <x:v>L00566</x:v>
      </x:c>
      <x:c r="C1060" s="2" t="str">
        <x:v>SO-26114</x:v>
      </x:c>
      <x:c r="D1060" s="2" t="str">
        <x:v>S-L-SS</x:v>
      </x:c>
      <x:c r="E1060" s="14" t="n">
        <x:v>5</x:v>
      </x:c>
      <x:c r="F1060" s="2" t="str">
        <x:v>Mechanical preassembly</x:v>
      </x:c>
      <x:c r="G1060" s="9" t="str">
        <x:v>AS-03</x:v>
      </x:c>
      <x:c r="H1060" s="15" t="n">
        <x:v>55</x:v>
      </x:c>
      <x:c r="I1060" s="9" t="str">
        <x:v>P06</x:v>
      </x:c>
      <x:c r="J1060" s="11" t="n">
        <x:v>46303.447916666664</x:v>
      </x:c>
      <x:c r="K1060" s="15" t="n">
        <x:v>6</x:v>
      </x:c>
      <x:c r="L1060" s="15" t="n">
        <x:v>7</x:v>
      </x:c>
      <x:c r="M1060" s="13" t="n">
        <x:f>J1060+(K1060+L1060)/1440</x:f>
        <x:v>46303.45694444444</x:v>
      </x:c>
      <x:c r="N1060" s="13" t="n">
        <x:f>VLOOKUP(C1060,'MES orders'!$A$8:$H$127,5,FALSE)</x:f>
        <x:v>46303.666666666664</x:v>
      </x:c>
      <x:c r="O1060" s="16" t="n">
        <x:f>MAX(0,(M1060-N1060)*24)</x:f>
        <x:v>0</x:v>
      </x:c>
      <x:c r="P1060" s="9" t="str">
        <x:v>No</x:v>
      </x:c>
      <x:c r="Q1060" s="15" t="n">
        <x:v>13</x:v>
      </x:c>
      <x:c r="R1060" s="13" t="n">
        <x:f>J1060+Q1060/1440</x:f>
        <x:v>46303.45694444444</x:v>
      </x:c>
      <x:c r="S1060" s="2" t="str">
        <x:f>VLOOKUP(C1060,'MES orders'!$A$8:$H$127,6,FALSE)</x:f>
        <x:v>Normal</x:v>
      </x:c>
      <x:c r="T1060" s="9" t="str"/>
    </x:row>
    <x:row r="1061" ht="22" customHeight="1">
      <x:c r="A1061" s="2" t="str">
        <x:v>L00489-050</x:v>
      </x:c>
      <x:c r="B1061" s="2" t="str">
        <x:v>L00489</x:v>
      </x:c>
      <x:c r="C1061" s="2" t="str">
        <x:v>SO-26098</x:v>
      </x:c>
      <x:c r="D1061" s="2" t="str">
        <x:v>S-C-SS</x:v>
      </x:c>
      <x:c r="E1061" s="14" t="n">
        <x:v>10</x:v>
      </x:c>
      <x:c r="F1061" s="2" t="str">
        <x:v>Sensor installation</x:v>
      </x:c>
      <x:c r="G1061" s="9" t="str">
        <x:v>EL-02</x:v>
      </x:c>
      <x:c r="H1061" s="15" t="n">
        <x:v>17</x:v>
      </x:c>
      <x:c r="I1061" s="9" t="str">
        <x:v>P08</x:v>
      </x:c>
      <x:c r="J1061" s="11" t="n">
        <x:v>46303.447916666664</x:v>
      </x:c>
      <x:c r="K1061" s="15" t="n">
        <x:v>8</x:v>
      </x:c>
      <x:c r="L1061" s="15" t="n">
        <x:v>10</x:v>
      </x:c>
      <x:c r="M1061" s="13" t="n">
        <x:f>J1061+(K1061+L1061)/1440</x:f>
        <x:v>46303.46041666666</x:v>
      </x:c>
      <x:c r="N1061" s="13" t="n">
        <x:f>VLOOKUP(C1061,'MES orders'!$A$8:$H$127,5,FALSE)</x:f>
        <x:v>46303.666666666664</x:v>
      </x:c>
      <x:c r="O1061" s="16" t="n">
        <x:f>MAX(0,(M1061-N1061)*24)</x:f>
        <x:v>0</x:v>
      </x:c>
      <x:c r="P1061" s="9" t="str">
        <x:v>No</x:v>
      </x:c>
      <x:c r="Q1061" s="15" t="n">
        <x:v>18</x:v>
      </x:c>
      <x:c r="R1061" s="13" t="n">
        <x:f>J1061+Q1061/1440</x:f>
        <x:v>46303.46041666666</x:v>
      </x:c>
      <x:c r="S1061" s="2" t="str">
        <x:f>VLOOKUP(C1061,'MES orders'!$A$8:$H$127,6,FALSE)</x:f>
        <x:v>Normal</x:v>
      </x:c>
      <x:c r="T1061" s="9" t="str"/>
    </x:row>
    <x:row r="1062" ht="22" customHeight="1">
      <x:c r="A1062" s="2" t="str">
        <x:v>L00487-070</x:v>
      </x:c>
      <x:c r="B1062" s="2" t="str">
        <x:v>L00487</x:v>
      </x:c>
      <x:c r="C1062" s="2" t="str">
        <x:v>SO-26098</x:v>
      </x:c>
      <x:c r="D1062" s="2" t="str">
        <x:v>S-C-SS</x:v>
      </x:c>
      <x:c r="E1062" s="14" t="n">
        <x:v>10</x:v>
      </x:c>
      <x:c r="F1062" s="2" t="str">
        <x:v>Final assembly</x:v>
      </x:c>
      <x:c r="G1062" s="9" t="str">
        <x:v>AS-01</x:v>
      </x:c>
      <x:c r="H1062" s="15" t="n">
        <x:v>83</x:v>
      </x:c>
      <x:c r="I1062" s="9" t="str">
        <x:v>P05</x:v>
      </x:c>
      <x:c r="J1062" s="11" t="n">
        <x:v>46303.45138888889</x:v>
      </x:c>
      <x:c r="K1062" s="15" t="n">
        <x:v>5</x:v>
      </x:c>
      <x:c r="L1062" s="15" t="n">
        <x:v>6</x:v>
      </x:c>
      <x:c r="M1062" s="13" t="n">
        <x:f>J1062+(K1062+L1062)/1440</x:f>
        <x:v>46303.45902777778</x:v>
      </x:c>
      <x:c r="N1062" s="13" t="n">
        <x:f>VLOOKUP(C1062,'MES orders'!$A$8:$H$127,5,FALSE)</x:f>
        <x:v>46303.666666666664</x:v>
      </x:c>
      <x:c r="O1062" s="16" t="n">
        <x:f>MAX(0,(M1062-N1062)*24)</x:f>
        <x:v>0</x:v>
      </x:c>
      <x:c r="P1062" s="9" t="str">
        <x:v>No</x:v>
      </x:c>
      <x:c r="Q1062" s="15" t="n">
        <x:v>11</x:v>
      </x:c>
      <x:c r="R1062" s="13" t="n">
        <x:f>J1062+Q1062/1440</x:f>
        <x:v>46303.45902777778</x:v>
      </x:c>
      <x:c r="S1062" s="2" t="str">
        <x:f>VLOOKUP(C1062,'MES orders'!$A$8:$H$127,6,FALSE)</x:f>
        <x:v>Normal</x:v>
      </x:c>
      <x:c r="T1062" s="9" t="str"/>
    </x:row>
    <x:row r="1063" ht="22" customHeight="1">
      <x:c r="A1063" s="2" t="str">
        <x:v>L00488-060</x:v>
      </x:c>
      <x:c r="B1063" s="2" t="str">
        <x:v>L00488</x:v>
      </x:c>
      <x:c r="C1063" s="2" t="str">
        <x:v>SO-26098</x:v>
      </x:c>
      <x:c r="D1063" s="2" t="str">
        <x:v>S-C-SS</x:v>
      </x:c>
      <x:c r="E1063" s="14" t="n">
        <x:v>10</x:v>
      </x:c>
      <x:c r="F1063" s="2" t="str">
        <x:v>Sensor calibration</x:v>
      </x:c>
      <x:c r="G1063" s="9" t="str">
        <x:v>CAL-01</x:v>
      </x:c>
      <x:c r="H1063" s="15" t="n">
        <x:v>43</x:v>
      </x:c>
      <x:c r="I1063" s="9" t="str">
        <x:v>P09</x:v>
      </x:c>
      <x:c r="J1063" s="11" t="n">
        <x:v>46303.45138888889</x:v>
      </x:c>
      <x:c r="K1063" s="15" t="n">
        <x:v>10</x:v>
      </x:c>
      <x:c r="L1063" s="15" t="n">
        <x:v>10</x:v>
      </x:c>
      <x:c r="M1063" s="13" t="n">
        <x:f>J1063+(K1063+L1063)/1440</x:f>
        <x:v>46303.46527777778</x:v>
      </x:c>
      <x:c r="N1063" s="13" t="n">
        <x:f>VLOOKUP(C1063,'MES orders'!$A$8:$H$127,5,FALSE)</x:f>
        <x:v>46303.666666666664</x:v>
      </x:c>
      <x:c r="O1063" s="16" t="n">
        <x:f>MAX(0,(M1063-N1063)*24)</x:f>
        <x:v>0</x:v>
      </x:c>
      <x:c r="P1063" s="9" t="str">
        <x:v>No</x:v>
      </x:c>
      <x:c r="Q1063" s="15" t="n">
        <x:v>20</x:v>
      </x:c>
      <x:c r="R1063" s="13" t="n">
        <x:f>J1063+Q1063/1440</x:f>
        <x:v>46303.46527777778</x:v>
      </x:c>
      <x:c r="S1063" s="2" t="str">
        <x:f>VLOOKUP(C1063,'MES orders'!$A$8:$H$127,6,FALSE)</x:f>
        <x:v>Normal</x:v>
      </x:c>
      <x:c r="T1063" s="9" t="str"/>
    </x:row>
    <x:row r="1064" ht="22" customHeight="1">
      <x:c r="A1064" s="2" t="str">
        <x:v>L00055-020</x:v>
      </x:c>
      <x:c r="B1064" s="2" t="str">
        <x:v>L00055</x:v>
      </x:c>
      <x:c r="C1064" s="2" t="str">
        <x:v>SO-26011</x:v>
      </x:c>
      <x:c r="D1064" s="2" t="str">
        <x:v>S-L-AL</x:v>
      </x:c>
      <x:c r="E1064" s="14" t="n">
        <x:v>20</x:v>
      </x:c>
      <x:c r="F1064" s="2" t="str">
        <x:v>Deburr &amp; inspect</x:v>
      </x:c>
      <x:c r="G1064" s="9" t="str">
        <x:v>DB-01</x:v>
      </x:c>
      <x:c r="H1064" s="15" t="n">
        <x:v>105</x:v>
      </x:c>
      <x:c r="I1064" s="9" t="str">
        <x:v>P02</x:v>
      </x:c>
      <x:c r="J1064" s="11" t="n">
        <x:v>46303.45347222222</x:v>
      </x:c>
      <x:c r="K1064" s="15" t="n">
        <x:v>4</x:v>
      </x:c>
      <x:c r="L1064" s="15" t="n">
        <x:v>19</x:v>
      </x:c>
      <x:c r="M1064" s="13" t="n">
        <x:f>J1064+(K1064+L1064)/1440</x:f>
        <x:v>46303.46944444445</x:v>
      </x:c>
      <x:c r="N1064" s="13" t="n">
        <x:f>VLOOKUP(C1064,'MES orders'!$A$8:$H$127,5,FALSE)</x:f>
        <x:v>46304.666666666664</x:v>
      </x:c>
      <x:c r="O1064" s="16" t="n">
        <x:f>MAX(0,(M1064-N1064)*24)</x:f>
        <x:v>0</x:v>
      </x:c>
      <x:c r="P1064" s="9" t="str">
        <x:v>No</x:v>
      </x:c>
      <x:c r="Q1064" s="15" t="n">
        <x:v>23</x:v>
      </x:c>
      <x:c r="R1064" s="13" t="n">
        <x:f>J1064+Q1064/1440</x:f>
        <x:v>46303.46944444445</x:v>
      </x:c>
      <x:c r="S1064" s="2" t="str">
        <x:f>VLOOKUP(C1064,'MES orders'!$A$8:$H$127,6,FALSE)</x:f>
        <x:v>Normal</x:v>
      </x:c>
      <x:c r="T1064" s="9" t="str"/>
    </x:row>
    <x:row r="1065" ht="22" customHeight="1">
      <x:c r="A1065" s="2" t="str">
        <x:v>L00054-030</x:v>
      </x:c>
      <x:c r="B1065" s="2" t="str">
        <x:v>L00054</x:v>
      </x:c>
      <x:c r="C1065" s="2" t="str">
        <x:v>SO-26011</x:v>
      </x:c>
      <x:c r="D1065" s="2" t="str">
        <x:v>S-L-AL</x:v>
      </x:c>
      <x:c r="E1065" s="14" t="n">
        <x:v>20</x:v>
      </x:c>
      <x:c r="F1065" s="2" t="str">
        <x:v>Wash &amp; dry</x:v>
      </x:c>
      <x:c r="G1065" s="9" t="str">
        <x:v>WS-02</x:v>
      </x:c>
      <x:c r="H1065" s="15" t="n">
        <x:v>73</x:v>
      </x:c>
      <x:c r="I1065" s="9" t="str">
        <x:v>P01</x:v>
      </x:c>
      <x:c r="J1065" s="11" t="n">
        <x:v>46303.45347222222</x:v>
      </x:c>
      <x:c r="K1065" s="15" t="n">
        <x:v>12</x:v>
      </x:c>
      <x:c r="L1065" s="15" t="n">
        <x:v>9</x:v>
      </x:c>
      <x:c r="M1065" s="13" t="n">
        <x:f>J1065+(K1065+L1065)/1440</x:f>
        <x:v>46303.46805555555</x:v>
      </x:c>
      <x:c r="N1065" s="13" t="n">
        <x:f>VLOOKUP(C1065,'MES orders'!$A$8:$H$127,5,FALSE)</x:f>
        <x:v>46304.666666666664</x:v>
      </x:c>
      <x:c r="O1065" s="16" t="n">
        <x:f>MAX(0,(M1065-N1065)*24)</x:f>
        <x:v>0</x:v>
      </x:c>
      <x:c r="P1065" s="9" t="str">
        <x:v>No</x:v>
      </x:c>
      <x:c r="Q1065" s="15" t="n">
        <x:v>21</x:v>
      </x:c>
      <x:c r="R1065" s="13" t="n">
        <x:f>J1065+Q1065/1440</x:f>
        <x:v>46303.46805555555</x:v>
      </x:c>
      <x:c r="S1065" s="2" t="str">
        <x:f>VLOOKUP(C1065,'MES orders'!$A$8:$H$127,6,FALSE)</x:f>
        <x:v>Normal</x:v>
      </x:c>
      <x:c r="T1065" s="9" t="str"/>
    </x:row>
    <x:row r="1066" ht="22" customHeight="1">
      <x:c r="A1066" s="2" t="str">
        <x:v>L00567-030</x:v>
      </x:c>
      <x:c r="B1066" s="2" t="str">
        <x:v>L00567</x:v>
      </x:c>
      <x:c r="C1066" s="2" t="str">
        <x:v>SO-26114</x:v>
      </x:c>
      <x:c r="D1066" s="2" t="str">
        <x:v>S-L-SS</x:v>
      </x:c>
      <x:c r="E1066" s="14" t="n">
        <x:v>5</x:v>
      </x:c>
      <x:c r="F1066" s="2" t="str">
        <x:v>Wash &amp; dry</x:v>
      </x:c>
      <x:c r="G1066" s="9" t="str">
        <x:v>WS-01</x:v>
      </x:c>
      <x:c r="H1066" s="15" t="n">
        <x:v>100</x:v>
      </x:c>
      <x:c r="I1066" s="9" t="str">
        <x:v>P06</x:v>
      </x:c>
      <x:c r="J1066" s="11" t="n">
        <x:v>46303.45694444444</x:v>
      </x:c>
      <x:c r="K1066" s="15" t="n">
        <x:v>12</x:v>
      </x:c>
      <x:c r="L1066" s="15" t="n">
        <x:v>2</x:v>
      </x:c>
      <x:c r="M1066" s="13" t="n">
        <x:f>J1066+(K1066+L1066)/1440</x:f>
        <x:v>46303.46666666667</x:v>
      </x:c>
      <x:c r="N1066" s="13" t="n">
        <x:f>VLOOKUP(C1066,'MES orders'!$A$8:$H$127,5,FALSE)</x:f>
        <x:v>46303.666666666664</x:v>
      </x:c>
      <x:c r="O1066" s="16" t="n">
        <x:f>MAX(0,(M1066-N1066)*24)</x:f>
        <x:v>0</x:v>
      </x:c>
      <x:c r="P1066" s="9" t="str">
        <x:v>No</x:v>
      </x:c>
      <x:c r="Q1066" s="15" t="n">
        <x:v>14</x:v>
      </x:c>
      <x:c r="R1066" s="13" t="n">
        <x:f>J1066+Q1066/1440</x:f>
        <x:v>46303.46666666667</x:v>
      </x:c>
      <x:c r="S1066" s="2" t="str">
        <x:f>VLOOKUP(C1066,'MES orders'!$A$8:$H$127,6,FALSE)</x:f>
        <x:v>Normal</x:v>
      </x:c>
      <x:c r="T1066" s="9" t="str"/>
    </x:row>
    <x:row r="1067" ht="22" customHeight="1">
      <x:c r="A1067" s="2" t="str">
        <x:v>L00490-050</x:v>
      </x:c>
      <x:c r="B1067" s="2" t="str">
        <x:v>L00490</x:v>
      </x:c>
      <x:c r="C1067" s="2" t="str">
        <x:v>SO-26098</x:v>
      </x:c>
      <x:c r="D1067" s="2" t="str">
        <x:v>S-C-SS</x:v>
      </x:c>
      <x:c r="E1067" s="14" t="n">
        <x:v>10</x:v>
      </x:c>
      <x:c r="F1067" s="2" t="str">
        <x:v>Sensor installation</x:v>
      </x:c>
      <x:c r="G1067" s="9" t="str">
        <x:v>EL-01</x:v>
      </x:c>
      <x:c r="H1067" s="15" t="n">
        <x:v>30</x:v>
      </x:c>
      <x:c r="I1067" s="9" t="str">
        <x:v>P07</x:v>
      </x:c>
      <x:c r="J1067" s="11" t="n">
        <x:v>46303.458333333336</x:v>
      </x:c>
      <x:c r="K1067" s="15" t="n">
        <x:v>8</x:v>
      </x:c>
      <x:c r="L1067" s="15" t="n">
        <x:v>10</x:v>
      </x:c>
      <x:c r="M1067" s="13" t="n">
        <x:f>J1067+(K1067+L1067)/1440</x:f>
        <x:v>46303.47083333333</x:v>
      </x:c>
      <x:c r="N1067" s="13" t="n">
        <x:f>VLOOKUP(C1067,'MES orders'!$A$8:$H$127,5,FALSE)</x:f>
        <x:v>46303.666666666664</x:v>
      </x:c>
      <x:c r="O1067" s="16" t="n">
        <x:f>MAX(0,(M1067-N1067)*24)</x:f>
        <x:v>0</x:v>
      </x:c>
      <x:c r="P1067" s="9" t="str">
        <x:v>No</x:v>
      </x:c>
      <x:c r="Q1067" s="15" t="n">
        <x:v>18</x:v>
      </x:c>
      <x:c r="R1067" s="13" t="n">
        <x:f>J1067+Q1067/1440</x:f>
        <x:v>46303.47083333333</x:v>
      </x:c>
      <x:c r="S1067" s="2" t="str">
        <x:f>VLOOKUP(C1067,'MES orders'!$A$8:$H$127,6,FALSE)</x:f>
        <x:v>Normal</x:v>
      </x:c>
      <x:c r="T1067" s="9" t="str"/>
    </x:row>
    <x:row r="1068" ht="22" customHeight="1">
      <x:c r="A1068" s="2" t="str">
        <x:v>L00487-080</x:v>
      </x:c>
      <x:c r="B1068" s="2" t="str">
        <x:v>L00487</x:v>
      </x:c>
      <x:c r="C1068" s="2" t="str">
        <x:v>SO-26098</x:v>
      </x:c>
      <x:c r="D1068" s="2" t="str">
        <x:v>S-C-SS</x:v>
      </x:c>
      <x:c r="E1068" s="14" t="n">
        <x:v>10</x:v>
      </x:c>
      <x:c r="F1068" s="2" t="str">
        <x:v>Final leak / function test</x:v>
      </x:c>
      <x:c r="G1068" s="9" t="str">
        <x:v>QA-02</x:v>
      </x:c>
      <x:c r="H1068" s="15" t="n">
        <x:v>72</x:v>
      </x:c>
      <x:c r="I1068" s="9" t="str">
        <x:v>P11</x:v>
      </x:c>
      <x:c r="J1068" s="11" t="n">
        <x:v>46303.459027777775</x:v>
      </x:c>
      <x:c r="K1068" s="15" t="n">
        <x:v>10</x:v>
      </x:c>
      <x:c r="L1068" s="15" t="n">
        <x:v>7</x:v>
      </x:c>
      <x:c r="M1068" s="13" t="n">
        <x:f>J1068+(K1068+L1068)/1440</x:f>
        <x:v>46303.47083333333</x:v>
      </x:c>
      <x:c r="N1068" s="13" t="n">
        <x:f>VLOOKUP(C1068,'MES orders'!$A$8:$H$127,5,FALSE)</x:f>
        <x:v>46303.666666666664</x:v>
      </x:c>
      <x:c r="O1068" s="16" t="n">
        <x:f>MAX(0,(M1068-N1068)*24)</x:f>
        <x:v>0</x:v>
      </x:c>
      <x:c r="P1068" s="9" t="str">
        <x:v>No</x:v>
      </x:c>
      <x:c r="Q1068" s="15" t="n">
        <x:v>17</x:v>
      </x:c>
      <x:c r="R1068" s="13" t="n">
        <x:f>J1068+Q1068/1440</x:f>
        <x:v>46303.47083333333</x:v>
      </x:c>
      <x:c r="S1068" s="2" t="str">
        <x:f>VLOOKUP(C1068,'MES orders'!$A$8:$H$127,6,FALSE)</x:f>
        <x:v>Normal</x:v>
      </x:c>
      <x:c r="T1068" s="9" t="str"/>
    </x:row>
    <x:row r="1069" ht="22" customHeight="1">
      <x:c r="A1069" s="2" t="str">
        <x:v>L00566-050</x:v>
      </x:c>
      <x:c r="B1069" s="2" t="str">
        <x:v>L00566</x:v>
      </x:c>
      <x:c r="C1069" s="2" t="str">
        <x:v>SO-26114</x:v>
      </x:c>
      <x:c r="D1069" s="2" t="str">
        <x:v>S-L-SS</x:v>
      </x:c>
      <x:c r="E1069" s="14" t="n">
        <x:v>5</x:v>
      </x:c>
      <x:c r="F1069" s="2" t="str">
        <x:v>Sensor installation</x:v>
      </x:c>
      <x:c r="G1069" s="9" t="str">
        <x:v>EL-02</x:v>
      </x:c>
      <x:c r="H1069" s="15" t="n">
        <x:v>18</x:v>
      </x:c>
      <x:c r="I1069" s="9" t="str">
        <x:v>P08</x:v>
      </x:c>
      <x:c r="J1069" s="11" t="n">
        <x:v>46303.46041666667</x:v>
      </x:c>
      <x:c r="K1069" s="15" t="n">
        <x:v>8</x:v>
      </x:c>
      <x:c r="L1069" s="15" t="n">
        <x:v>8</x:v>
      </x:c>
      <x:c r="M1069" s="13" t="n">
        <x:f>J1069+(K1069+L1069)/1440</x:f>
        <x:v>46303.47152777778</x:v>
      </x:c>
      <x:c r="N1069" s="13" t="n">
        <x:f>VLOOKUP(C1069,'MES orders'!$A$8:$H$127,5,FALSE)</x:f>
        <x:v>46303.666666666664</x:v>
      </x:c>
      <x:c r="O1069" s="16" t="n">
        <x:f>MAX(0,(M1069-N1069)*24)</x:f>
        <x:v>0</x:v>
      </x:c>
      <x:c r="P1069" s="9" t="str">
        <x:v>No</x:v>
      </x:c>
      <x:c r="Q1069" s="15" t="n">
        <x:v>16</x:v>
      </x:c>
      <x:c r="R1069" s="13" t="n">
        <x:f>J1069+Q1069/1440</x:f>
        <x:v>46303.47152777778</x:v>
      </x:c>
      <x:c r="S1069" s="2" t="str">
        <x:f>VLOOKUP(C1069,'MES orders'!$A$8:$H$127,6,FALSE)</x:f>
        <x:v>Normal</x:v>
      </x:c>
      <x:c r="T1069" s="9" t="str"/>
    </x:row>
    <x:row r="1070" ht="22" customHeight="1">
      <x:c r="A1070" s="2" t="str">
        <x:v>L00134-020</x:v>
      </x:c>
      <x:c r="B1070" s="2" t="str">
        <x:v>L00134</x:v>
      </x:c>
      <x:c r="C1070" s="2" t="str">
        <x:v>SO-26027</x:v>
      </x:c>
      <x:c r="D1070" s="2" t="str">
        <x:v>D-S-AL</x:v>
      </x:c>
      <x:c r="E1070" s="14" t="n">
        <x:v>15</x:v>
      </x:c>
      <x:c r="F1070" s="2" t="str">
        <x:v>Deburr &amp; inspect</x:v>
      </x:c>
      <x:c r="G1070" s="9" t="str">
        <x:v>DB-02</x:v>
      </x:c>
      <x:c r="H1070" s="15" t="n">
        <x:v>73</x:v>
      </x:c>
      <x:c r="I1070" s="9" t="str">
        <x:v>P03</x:v>
      </x:c>
      <x:c r="J1070" s="11" t="n">
        <x:v>46303.461805555555</x:v>
      </x:c>
      <x:c r="K1070" s="15" t="n">
        <x:v>4</x:v>
      </x:c>
      <x:c r="L1070" s="15" t="n">
        <x:v>10</x:v>
      </x:c>
      <x:c r="M1070" s="13" t="n">
        <x:f>J1070+(K1070+L1070)/1440</x:f>
        <x:v>46303.47152777778</x:v>
      </x:c>
      <x:c r="N1070" s="13" t="n">
        <x:f>VLOOKUP(C1070,'MES orders'!$A$8:$H$127,5,FALSE)</x:f>
        <x:v>46304.666666666664</x:v>
      </x:c>
      <x:c r="O1070" s="16" t="n">
        <x:f>MAX(0,(M1070-N1070)*24)</x:f>
        <x:v>0</x:v>
      </x:c>
      <x:c r="P1070" s="9" t="str">
        <x:v>No</x:v>
      </x:c>
      <x:c r="Q1070" s="15" t="n">
        <x:v>14</x:v>
      </x:c>
      <x:c r="R1070" s="13" t="n">
        <x:f>J1070+Q1070/1440</x:f>
        <x:v>46303.47152777778</x:v>
      </x:c>
      <x:c r="S1070" s="2" t="str">
        <x:f>VLOOKUP(C1070,'MES orders'!$A$8:$H$127,6,FALSE)</x:f>
        <x:v>Normal</x:v>
      </x:c>
      <x:c r="T1070" s="9" t="str"/>
    </x:row>
    <x:row r="1071" ht="22" customHeight="1">
      <x:c r="A1071" s="2" t="str">
        <x:v>L00133-050</x:v>
      </x:c>
      <x:c r="B1071" s="2" t="str">
        <x:v>L00133</x:v>
      </x:c>
      <x:c r="C1071" s="2" t="str">
        <x:v>SO-26027</x:v>
      </x:c>
      <x:c r="D1071" s="2" t="str">
        <x:v>D-S-AL</x:v>
      </x:c>
      <x:c r="E1071" s="14" t="n">
        <x:v>15</x:v>
      </x:c>
      <x:c r="F1071" s="2" t="str">
        <x:v>Final leak / function test</x:v>
      </x:c>
      <x:c r="G1071" s="9" t="str">
        <x:v>QA-01</x:v>
      </x:c>
      <x:c r="H1071" s="15" t="n">
        <x:v>44</x:v>
      </x:c>
      <x:c r="I1071" s="9" t="str">
        <x:v>P12</x:v>
      </x:c>
      <x:c r="J1071" s="11" t="n">
        <x:v>46303.461805555555</x:v>
      </x:c>
      <x:c r="K1071" s="15" t="n">
        <x:v>10</x:v>
      </x:c>
      <x:c r="L1071" s="15" t="n">
        <x:v>14</x:v>
      </x:c>
      <x:c r="M1071" s="13" t="n">
        <x:f>J1071+(K1071+L1071)/1440</x:f>
        <x:v>46303.478472222225</x:v>
      </x:c>
      <x:c r="N1071" s="13" t="n">
        <x:f>VLOOKUP(C1071,'MES orders'!$A$8:$H$127,5,FALSE)</x:f>
        <x:v>46304.666666666664</x:v>
      </x:c>
      <x:c r="O1071" s="16" t="n">
        <x:f>MAX(0,(M1071-N1071)*24)</x:f>
        <x:v>0</x:v>
      </x:c>
      <x:c r="P1071" s="9" t="str">
        <x:v>No</x:v>
      </x:c>
      <x:c r="Q1071" s="15" t="n">
        <x:v>24</x:v>
      </x:c>
      <x:c r="R1071" s="13" t="n">
        <x:f>J1071+Q1071/1440</x:f>
        <x:v>46303.478472222225</x:v>
      </x:c>
      <x:c r="S1071" s="2" t="str">
        <x:f>VLOOKUP(C1071,'MES orders'!$A$8:$H$127,6,FALSE)</x:f>
        <x:v>Normal</x:v>
      </x:c>
      <x:c r="T1071" s="9" t="str"/>
    </x:row>
    <x:row r="1072" ht="22" customHeight="1">
      <x:c r="A1072" s="2" t="str">
        <x:v>L00488-070</x:v>
      </x:c>
      <x:c r="B1072" s="2" t="str">
        <x:v>L00488</x:v>
      </x:c>
      <x:c r="C1072" s="2" t="str">
        <x:v>SO-26098</x:v>
      </x:c>
      <x:c r="D1072" s="2" t="str">
        <x:v>S-C-SS</x:v>
      </x:c>
      <x:c r="E1072" s="14" t="n">
        <x:v>10</x:v>
      </x:c>
      <x:c r="F1072" s="2" t="str">
        <x:v>Final assembly</x:v>
      </x:c>
      <x:c r="G1072" s="9" t="str">
        <x:v>AS-01</x:v>
      </x:c>
      <x:c r="H1072" s="15" t="n">
        <x:v>84</x:v>
      </x:c>
      <x:c r="I1072" s="9" t="str">
        <x:v>P05</x:v>
      </x:c>
      <x:c r="J1072" s="11" t="n">
        <x:v>46303.46527777778</x:v>
      </x:c>
      <x:c r="K1072" s="15" t="n">
        <x:v>5</x:v>
      </x:c>
      <x:c r="L1072" s="15" t="n">
        <x:v>6</x:v>
      </x:c>
      <x:c r="M1072" s="13" t="n">
        <x:f>J1072+(K1072+L1072)/1440</x:f>
        <x:v>46303.47291666667</x:v>
      </x:c>
      <x:c r="N1072" s="13" t="n">
        <x:f>VLOOKUP(C1072,'MES orders'!$A$8:$H$127,5,FALSE)</x:f>
        <x:v>46303.666666666664</x:v>
      </x:c>
      <x:c r="O1072" s="16" t="n">
        <x:f>MAX(0,(M1072-N1072)*24)</x:f>
        <x:v>0</x:v>
      </x:c>
      <x:c r="P1072" s="9" t="str">
        <x:v>No</x:v>
      </x:c>
      <x:c r="Q1072" s="15" t="n">
        <x:v>11</x:v>
      </x:c>
      <x:c r="R1072" s="13" t="n">
        <x:f>J1072+Q1072/1440</x:f>
        <x:v>46303.47291666667</x:v>
      </x:c>
      <x:c r="S1072" s="2" t="str">
        <x:f>VLOOKUP(C1072,'MES orders'!$A$8:$H$127,6,FALSE)</x:f>
        <x:v>Normal</x:v>
      </x:c>
      <x:c r="T1072" s="9" t="str"/>
    </x:row>
    <x:row r="1073" ht="22" customHeight="1">
      <x:c r="A1073" s="2" t="str">
        <x:v>L00489-060</x:v>
      </x:c>
      <x:c r="B1073" s="2" t="str">
        <x:v>L00489</x:v>
      </x:c>
      <x:c r="C1073" s="2" t="str">
        <x:v>SO-26098</x:v>
      </x:c>
      <x:c r="D1073" s="2" t="str">
        <x:v>S-C-SS</x:v>
      </x:c>
      <x:c r="E1073" s="14" t="n">
        <x:v>10</x:v>
      </x:c>
      <x:c r="F1073" s="2" t="str">
        <x:v>Sensor calibration</x:v>
      </x:c>
      <x:c r="G1073" s="9" t="str">
        <x:v>CAL-01</x:v>
      </x:c>
      <x:c r="H1073" s="15" t="n">
        <x:v>44</x:v>
      </x:c>
      <x:c r="I1073" s="9" t="str">
        <x:v>P09</x:v>
      </x:c>
      <x:c r="J1073" s="11" t="n">
        <x:v>46303.46527777778</x:v>
      </x:c>
      <x:c r="K1073" s="15" t="n">
        <x:v>10</x:v>
      </x:c>
      <x:c r="L1073" s="15" t="n">
        <x:v>10</x:v>
      </x:c>
      <x:c r="M1073" s="13" t="n">
        <x:f>J1073+(K1073+L1073)/1440</x:f>
        <x:v>46303.47916666667</x:v>
      </x:c>
      <x:c r="N1073" s="13" t="n">
        <x:f>VLOOKUP(C1073,'MES orders'!$A$8:$H$127,5,FALSE)</x:f>
        <x:v>46303.666666666664</x:v>
      </x:c>
      <x:c r="O1073" s="16" t="n">
        <x:f>MAX(0,(M1073-N1073)*24)</x:f>
        <x:v>0</x:v>
      </x:c>
      <x:c r="P1073" s="9" t="str">
        <x:v>No</x:v>
      </x:c>
      <x:c r="Q1073" s="15" t="n">
        <x:v>20</x:v>
      </x:c>
      <x:c r="R1073" s="13" t="n">
        <x:f>J1073+Q1073/1440</x:f>
        <x:v>46303.47916666667</x:v>
      </x:c>
      <x:c r="S1073" s="2" t="str">
        <x:f>VLOOKUP(C1073,'MES orders'!$A$8:$H$127,6,FALSE)</x:f>
        <x:v>Normal</x:v>
      </x:c>
      <x:c r="T1073" s="9" t="str"/>
    </x:row>
    <x:row r="1074" ht="22" customHeight="1">
      <x:c r="A1074" s="2" t="str">
        <x:v>L00567-040</x:v>
      </x:c>
      <x:c r="B1074" s="2" t="str">
        <x:v>L00567</x:v>
      </x:c>
      <x:c r="C1074" s="2" t="str">
        <x:v>SO-26114</x:v>
      </x:c>
      <x:c r="D1074" s="2" t="str">
        <x:v>S-L-SS</x:v>
      </x:c>
      <x:c r="E1074" s="14" t="n">
        <x:v>5</x:v>
      </x:c>
      <x:c r="F1074" s="2" t="str">
        <x:v>Mechanical preassembly</x:v>
      </x:c>
      <x:c r="G1074" s="9" t="str">
        <x:v>AS-02</x:v>
      </x:c>
      <x:c r="H1074" s="15" t="n">
        <x:v>69</x:v>
      </x:c>
      <x:c r="I1074" s="9" t="str">
        <x:v>P04</x:v>
      </x:c>
      <x:c r="J1074" s="11" t="n">
        <x:v>46303.46666666667</x:v>
      </x:c>
      <x:c r="K1074" s="15" t="n">
        <x:v>6</x:v>
      </x:c>
      <x:c r="L1074" s="15" t="n">
        <x:v>7</x:v>
      </x:c>
      <x:c r="M1074" s="13" t="n">
        <x:f>J1074+(K1074+L1074)/1440</x:f>
        <x:v>46303.475694444445</x:v>
      </x:c>
      <x:c r="N1074" s="13" t="n">
        <x:f>VLOOKUP(C1074,'MES orders'!$A$8:$H$127,5,FALSE)</x:f>
        <x:v>46303.666666666664</x:v>
      </x:c>
      <x:c r="O1074" s="16" t="n">
        <x:f>MAX(0,(M1074-N1074)*24)</x:f>
        <x:v>0</x:v>
      </x:c>
      <x:c r="P1074" s="9" t="str">
        <x:v>No</x:v>
      </x:c>
      <x:c r="Q1074" s="15" t="n">
        <x:v>13</x:v>
      </x:c>
      <x:c r="R1074" s="13" t="n">
        <x:f>J1074+Q1074/1440</x:f>
        <x:v>46303.475694444445</x:v>
      </x:c>
      <x:c r="S1074" s="2" t="str">
        <x:f>VLOOKUP(C1074,'MES orders'!$A$8:$H$127,6,FALSE)</x:f>
        <x:v>Normal</x:v>
      </x:c>
      <x:c r="T1074" s="9" t="str"/>
    </x:row>
    <x:row r="1075" ht="22" customHeight="1">
      <x:c r="A1075" s="2" t="str">
        <x:v>L00568-030</x:v>
      </x:c>
      <x:c r="B1075" s="2" t="str">
        <x:v>L00568</x:v>
      </x:c>
      <x:c r="C1075" s="2" t="str">
        <x:v>SO-26114</x:v>
      </x:c>
      <x:c r="D1075" s="2" t="str">
        <x:v>S-L-SS</x:v>
      </x:c>
      <x:c r="E1075" s="14" t="n">
        <x:v>5</x:v>
      </x:c>
      <x:c r="F1075" s="2" t="str">
        <x:v>Wash &amp; dry</x:v>
      </x:c>
      <x:c r="G1075" s="9" t="str">
        <x:v>WS-01</x:v>
      </x:c>
      <x:c r="H1075" s="15" t="n">
        <x:v>101</x:v>
      </x:c>
      <x:c r="I1075" s="9" t="str">
        <x:v>P06</x:v>
      </x:c>
      <x:c r="J1075" s="11" t="n">
        <x:v>46303.46666666667</x:v>
      </x:c>
      <x:c r="K1075" s="15" t="n">
        <x:v>12</x:v>
      </x:c>
      <x:c r="L1075" s="15" t="n">
        <x:v>2</x:v>
      </x:c>
      <x:c r="M1075" s="13" t="n">
        <x:f>J1075+(K1075+L1075)/1440</x:f>
        <x:v>46303.47638888889</x:v>
      </x:c>
      <x:c r="N1075" s="13" t="n">
        <x:f>VLOOKUP(C1075,'MES orders'!$A$8:$H$127,5,FALSE)</x:f>
        <x:v>46303.666666666664</x:v>
      </x:c>
      <x:c r="O1075" s="16" t="n">
        <x:f>MAX(0,(M1075-N1075)*24)</x:f>
        <x:v>0</x:v>
      </x:c>
      <x:c r="P1075" s="9" t="str">
        <x:v>No</x:v>
      </x:c>
      <x:c r="Q1075" s="15" t="n">
        <x:v>14</x:v>
      </x:c>
      <x:c r="R1075" s="13" t="n">
        <x:f>J1075+Q1075/1440</x:f>
        <x:v>46303.47638888889</x:v>
      </x:c>
      <x:c r="S1075" s="2" t="str">
        <x:f>VLOOKUP(C1075,'MES orders'!$A$8:$H$127,6,FALSE)</x:f>
        <x:v>Normal</x:v>
      </x:c>
      <x:c r="T1075" s="9" t="str"/>
    </x:row>
    <x:row r="1076" ht="22" customHeight="1">
      <x:c r="A1076" s="2" t="str">
        <x:v>L00135-010</x:v>
      </x:c>
      <x:c r="B1076" s="2" t="str">
        <x:v>L00135</x:v>
      </x:c>
      <x:c r="C1076" s="2" t="str">
        <x:v>SO-26027</x:v>
      </x:c>
      <x:c r="D1076" s="2" t="str">
        <x:v>D-S-AL</x:v>
      </x:c>
      <x:c r="E1076" s="14" t="n">
        <x:v>15</x:v>
      </x:c>
      <x:c r="F1076" s="2" t="str">
        <x:v>CNC machining</x:v>
      </x:c>
      <x:c r="G1076" s="9" t="str">
        <x:v>CNC-01</x:v>
      </x:c>
      <x:c r="H1076" s="15" t="n">
        <x:v>35</x:v>
      </x:c>
      <x:c r="I1076" s="9" t="str">
        <x:v>P02</x:v>
      </x:c>
      <x:c r="J1076" s="11" t="n">
        <x:v>46303.46944444445</x:v>
      </x:c>
      <x:c r="K1076" s="15" t="n">
        <x:v>18</x:v>
      </x:c>
      <x:c r="L1076" s="15" t="n">
        <x:v>36</x:v>
      </x:c>
      <x:c r="M1076" s="13" t="n">
        <x:f>J1076+(K1076+L1076)/1440</x:f>
        <x:v>46303.506944444445</x:v>
      </x:c>
      <x:c r="N1076" s="13" t="n">
        <x:f>VLOOKUP(C1076,'MES orders'!$A$8:$H$127,5,FALSE)</x:f>
        <x:v>46304.666666666664</x:v>
      </x:c>
      <x:c r="O1076" s="16" t="n">
        <x:f>MAX(0,(M1076-N1076)*24)</x:f>
        <x:v>0</x:v>
      </x:c>
      <x:c r="P1076" s="9" t="str">
        <x:v>No</x:v>
      </x:c>
      <x:c r="Q1076" s="15" t="n">
        <x:v>18</x:v>
      </x:c>
      <x:c r="R1076" s="13" t="n">
        <x:f>J1076+Q1076/1440</x:f>
        <x:v>46303.481944444444</x:v>
      </x:c>
      <x:c r="S1076" s="2" t="str">
        <x:f>VLOOKUP(C1076,'MES orders'!$A$8:$H$127,6,FALSE)</x:f>
        <x:v>Normal</x:v>
      </x:c>
      <x:c r="T1076" s="9" t="str"/>
    </x:row>
    <x:row r="1077" ht="22" customHeight="1">
      <x:c r="A1077" s="2" t="str">
        <x:v>L00055-030</x:v>
      </x:c>
      <x:c r="B1077" s="2" t="str">
        <x:v>L00055</x:v>
      </x:c>
      <x:c r="C1077" s="2" t="str">
        <x:v>SO-26011</x:v>
      </x:c>
      <x:c r="D1077" s="2" t="str">
        <x:v>S-L-AL</x:v>
      </x:c>
      <x:c r="E1077" s="14" t="n">
        <x:v>20</x:v>
      </x:c>
      <x:c r="F1077" s="2" t="str">
        <x:v>Wash &amp; dry</x:v>
      </x:c>
      <x:c r="G1077" s="9" t="str">
        <x:v>WS-02</x:v>
      </x:c>
      <x:c r="H1077" s="15" t="n">
        <x:v>74</x:v>
      </x:c>
      <x:c r="I1077" s="9" t="str">
        <x:v>P01</x:v>
      </x:c>
      <x:c r="J1077" s="11" t="n">
        <x:v>46303.46944444445</x:v>
      </x:c>
      <x:c r="K1077" s="15" t="n">
        <x:v>12</x:v>
      </x:c>
      <x:c r="L1077" s="15" t="n">
        <x:v>9</x:v>
      </x:c>
      <x:c r="M1077" s="13" t="n">
        <x:f>J1077+(K1077+L1077)/1440</x:f>
        <x:v>46303.48402777778</x:v>
      </x:c>
      <x:c r="N1077" s="13" t="n">
        <x:f>VLOOKUP(C1077,'MES orders'!$A$8:$H$127,5,FALSE)</x:f>
        <x:v>46304.666666666664</x:v>
      </x:c>
      <x:c r="O1077" s="16" t="n">
        <x:f>MAX(0,(M1077-N1077)*24)</x:f>
        <x:v>0</x:v>
      </x:c>
      <x:c r="P1077" s="9" t="str">
        <x:v>No</x:v>
      </x:c>
      <x:c r="Q1077" s="15" t="n">
        <x:v>21</x:v>
      </x:c>
      <x:c r="R1077" s="13" t="n">
        <x:f>J1077+Q1077/1440</x:f>
        <x:v>46303.48402777778</x:v>
      </x:c>
      <x:c r="S1077" s="2" t="str">
        <x:f>VLOOKUP(C1077,'MES orders'!$A$8:$H$127,6,FALSE)</x:f>
        <x:v>Normal</x:v>
      </x:c>
      <x:c r="T1077" s="9" t="str"/>
    </x:row>
    <x:row r="1078" ht="22" customHeight="1">
      <x:c r="A1078" s="2" t="str">
        <x:v>L00171-010</x:v>
      </x:c>
      <x:c r="B1078" s="2" t="str">
        <x:v>L00171</x:v>
      </x:c>
      <x:c r="C1078" s="2" t="str">
        <x:v>SO-26035</x:v>
      </x:c>
      <x:c r="D1078" s="2" t="str">
        <x:v>D-L-AL</x:v>
      </x:c>
      <x:c r="E1078" s="14" t="n">
        <x:v>15</x:v>
      </x:c>
      <x:c r="F1078" s="2" t="str">
        <x:v>CNC machining</x:v>
      </x:c>
      <x:c r="G1078" s="9" t="str">
        <x:v>CNC-03</x:v>
      </x:c>
      <x:c r="H1078" s="15" t="n">
        <x:v>33</x:v>
      </x:c>
      <x:c r="I1078" s="9" t="str">
        <x:v>P03</x:v>
      </x:c>
      <x:c r="J1078" s="11" t="n">
        <x:v>46303.47152777778</x:v>
      </x:c>
      <x:c r="K1078" s="15" t="n">
        <x:v>18</x:v>
      </x:c>
      <x:c r="L1078" s="15" t="n">
        <x:v>49</x:v>
      </x:c>
      <x:c r="M1078" s="13" t="n">
        <x:f>J1078+(K1078+L1078)/1440</x:f>
        <x:v>46303.518055555556</x:v>
      </x:c>
      <x:c r="N1078" s="13" t="n">
        <x:f>VLOOKUP(C1078,'MES orders'!$A$8:$H$127,5,FALSE)</x:f>
        <x:v>46304.666666666664</x:v>
      </x:c>
      <x:c r="O1078" s="16" t="n">
        <x:f>MAX(0,(M1078-N1078)*24)</x:f>
        <x:v>0</x:v>
      </x:c>
      <x:c r="P1078" s="9" t="str">
        <x:v>No</x:v>
      </x:c>
      <x:c r="Q1078" s="15" t="n">
        <x:v>18</x:v>
      </x:c>
      <x:c r="R1078" s="13" t="n">
        <x:f>J1078+Q1078/1440</x:f>
        <x:v>46303.48402777778</x:v>
      </x:c>
      <x:c r="S1078" s="2" t="str">
        <x:f>VLOOKUP(C1078,'MES orders'!$A$8:$H$127,6,FALSE)</x:f>
        <x:v>Normal</x:v>
      </x:c>
      <x:c r="T1078" s="9" t="str"/>
    </x:row>
    <x:row r="1079" ht="22" customHeight="1">
      <x:c r="A1079" s="2" t="str">
        <x:v>L00488-080</x:v>
      </x:c>
      <x:c r="B1079" s="2" t="str">
        <x:v>L00488</x:v>
      </x:c>
      <x:c r="C1079" s="2" t="str">
        <x:v>SO-26098</x:v>
      </x:c>
      <x:c r="D1079" s="2" t="str">
        <x:v>S-C-SS</x:v>
      </x:c>
      <x:c r="E1079" s="14" t="n">
        <x:v>10</x:v>
      </x:c>
      <x:c r="F1079" s="2" t="str">
        <x:v>Final leak / function test</x:v>
      </x:c>
      <x:c r="G1079" s="9" t="str">
        <x:v>QA-02</x:v>
      </x:c>
      <x:c r="H1079" s="15" t="n">
        <x:v>73</x:v>
      </x:c>
      <x:c r="I1079" s="9" t="str">
        <x:v>P11</x:v>
      </x:c>
      <x:c r="J1079" s="11" t="n">
        <x:v>46303.472916666666</x:v>
      </x:c>
      <x:c r="K1079" s="15" t="n">
        <x:v>10</x:v>
      </x:c>
      <x:c r="L1079" s="15" t="n">
        <x:v>7</x:v>
      </x:c>
      <x:c r="M1079" s="13" t="n">
        <x:f>J1079+(K1079+L1079)/1440</x:f>
        <x:v>46303.48472222222</x:v>
      </x:c>
      <x:c r="N1079" s="13" t="n">
        <x:f>VLOOKUP(C1079,'MES orders'!$A$8:$H$127,5,FALSE)</x:f>
        <x:v>46303.666666666664</x:v>
      </x:c>
      <x:c r="O1079" s="16" t="n">
        <x:f>MAX(0,(M1079-N1079)*24)</x:f>
        <x:v>0</x:v>
      </x:c>
      <x:c r="P1079" s="9" t="str">
        <x:v>No</x:v>
      </x:c>
      <x:c r="Q1079" s="15" t="n">
        <x:v>17</x:v>
      </x:c>
      <x:c r="R1079" s="13" t="n">
        <x:f>J1079+Q1079/1440</x:f>
        <x:v>46303.48472222222</x:v>
      </x:c>
      <x:c r="S1079" s="2" t="str">
        <x:f>VLOOKUP(C1079,'MES orders'!$A$8:$H$127,6,FALSE)</x:f>
        <x:v>Normal</x:v>
      </x:c>
      <x:c r="T1079" s="9" t="str"/>
    </x:row>
    <x:row r="1080" ht="22" customHeight="1">
      <x:c r="A1080" s="2" t="str">
        <x:v>L00567-050</x:v>
      </x:c>
      <x:c r="B1080" s="2" t="str">
        <x:v>L00567</x:v>
      </x:c>
      <x:c r="C1080" s="2" t="str">
        <x:v>SO-26114</x:v>
      </x:c>
      <x:c r="D1080" s="2" t="str">
        <x:v>S-L-SS</x:v>
      </x:c>
      <x:c r="E1080" s="14" t="n">
        <x:v>5</x:v>
      </x:c>
      <x:c r="F1080" s="2" t="str">
        <x:v>Sensor installation</x:v>
      </x:c>
      <x:c r="G1080" s="9" t="str">
        <x:v>EL-01</x:v>
      </x:c>
      <x:c r="H1080" s="15" t="n">
        <x:v>31</x:v>
      </x:c>
      <x:c r="I1080" s="9" t="str">
        <x:v>P07</x:v>
      </x:c>
      <x:c r="J1080" s="11" t="n">
        <x:v>46303.475694444445</x:v>
      </x:c>
      <x:c r="K1080" s="15" t="n">
        <x:v>8</x:v>
      </x:c>
      <x:c r="L1080" s="15" t="n">
        <x:v>8</x:v>
      </x:c>
      <x:c r="M1080" s="13" t="n">
        <x:f>J1080+(K1080+L1080)/1440</x:f>
        <x:v>46303.486805555556</x:v>
      </x:c>
      <x:c r="N1080" s="13" t="n">
        <x:f>VLOOKUP(C1080,'MES orders'!$A$8:$H$127,5,FALSE)</x:f>
        <x:v>46303.666666666664</x:v>
      </x:c>
      <x:c r="O1080" s="16" t="n">
        <x:f>MAX(0,(M1080-N1080)*24)</x:f>
        <x:v>0</x:v>
      </x:c>
      <x:c r="P1080" s="9" t="str">
        <x:v>No</x:v>
      </x:c>
      <x:c r="Q1080" s="15" t="n">
        <x:v>16</x:v>
      </x:c>
      <x:c r="R1080" s="13" t="n">
        <x:f>J1080+Q1080/1440</x:f>
        <x:v>46303.486805555556</x:v>
      </x:c>
      <x:c r="S1080" s="2" t="str">
        <x:f>VLOOKUP(C1080,'MES orders'!$A$8:$H$127,6,FALSE)</x:f>
        <x:v>Normal</x:v>
      </x:c>
      <x:c r="T1080" s="9" t="str"/>
    </x:row>
    <x:row r="1081" ht="22" customHeight="1">
      <x:c r="A1081" s="2" t="str">
        <x:v>L00568-040</x:v>
      </x:c>
      <x:c r="B1081" s="2" t="str">
        <x:v>L00568</x:v>
      </x:c>
      <x:c r="C1081" s="2" t="str">
        <x:v>SO-26114</x:v>
      </x:c>
      <x:c r="D1081" s="2" t="str">
        <x:v>S-L-SS</x:v>
      </x:c>
      <x:c r="E1081" s="14" t="n">
        <x:v>5</x:v>
      </x:c>
      <x:c r="F1081" s="2" t="str">
        <x:v>Mechanical preassembly</x:v>
      </x:c>
      <x:c r="G1081" s="9" t="str">
        <x:v>AS-02</x:v>
      </x:c>
      <x:c r="H1081" s="15" t="n">
        <x:v>70</x:v>
      </x:c>
      <x:c r="I1081" s="9" t="str">
        <x:v>P04</x:v>
      </x:c>
      <x:c r="J1081" s="11" t="n">
        <x:v>46303.47638888889</x:v>
      </x:c>
      <x:c r="K1081" s="15" t="n">
        <x:v>6</x:v>
      </x:c>
      <x:c r="L1081" s="15" t="n">
        <x:v>7</x:v>
      </x:c>
      <x:c r="M1081" s="13" t="n">
        <x:f>J1081+(K1081+L1081)/1440</x:f>
        <x:v>46303.48541666667</x:v>
      </x:c>
      <x:c r="N1081" s="13" t="n">
        <x:f>VLOOKUP(C1081,'MES orders'!$A$8:$H$127,5,FALSE)</x:f>
        <x:v>46303.666666666664</x:v>
      </x:c>
      <x:c r="O1081" s="16" t="n">
        <x:f>MAX(0,(M1081-N1081)*24)</x:f>
        <x:v>0</x:v>
      </x:c>
      <x:c r="P1081" s="9" t="str">
        <x:v>No</x:v>
      </x:c>
      <x:c r="Q1081" s="15" t="n">
        <x:v>13</x:v>
      </x:c>
      <x:c r="R1081" s="13" t="n">
        <x:f>J1081+Q1081/1440</x:f>
        <x:v>46303.48541666667</x:v>
      </x:c>
      <x:c r="S1081" s="2" t="str">
        <x:f>VLOOKUP(C1081,'MES orders'!$A$8:$H$127,6,FALSE)</x:f>
        <x:v>Normal</x:v>
      </x:c>
      <x:c r="T1081" s="9" t="str"/>
    </x:row>
    <x:row r="1082" ht="22" customHeight="1">
      <x:c r="A1082" s="2" t="str">
        <x:v>L00051-030</x:v>
      </x:c>
      <x:c r="B1082" s="2" t="str">
        <x:v>L00051</x:v>
      </x:c>
      <x:c r="C1082" s="2" t="str">
        <x:v>SO-26011</x:v>
      </x:c>
      <x:c r="D1082" s="2" t="str">
        <x:v>S-L-AL</x:v>
      </x:c>
      <x:c r="E1082" s="14" t="n">
        <x:v>20</x:v>
      </x:c>
      <x:c r="F1082" s="2" t="str">
        <x:v>Wash &amp; dry</x:v>
      </x:c>
      <x:c r="G1082" s="9" t="str">
        <x:v>WS-01</x:v>
      </x:c>
      <x:c r="H1082" s="15" t="n">
        <x:v>102</x:v>
      </x:c>
      <x:c r="I1082" s="9" t="str">
        <x:v>P06</x:v>
      </x:c>
      <x:c r="J1082" s="11" t="n">
        <x:v>46303.47638888889</x:v>
      </x:c>
      <x:c r="K1082" s="15" t="n">
        <x:v>12</x:v>
      </x:c>
      <x:c r="L1082" s="15" t="n">
        <x:v>9</x:v>
      </x:c>
      <x:c r="M1082" s="13" t="n">
        <x:f>J1082+(K1082+L1082)/1440</x:f>
        <x:v>46303.49097222222</x:v>
      </x:c>
      <x:c r="N1082" s="13" t="n">
        <x:f>VLOOKUP(C1082,'MES orders'!$A$8:$H$127,5,FALSE)</x:f>
        <x:v>46304.666666666664</x:v>
      </x:c>
      <x:c r="O1082" s="16" t="n">
        <x:f>MAX(0,(M1082-N1082)*24)</x:f>
        <x:v>0</x:v>
      </x:c>
      <x:c r="P1082" s="9" t="str">
        <x:v>No</x:v>
      </x:c>
      <x:c r="Q1082" s="15" t="n">
        <x:v>21</x:v>
      </x:c>
      <x:c r="R1082" s="13" t="n">
        <x:f>J1082+Q1082/1440</x:f>
        <x:v>46303.49097222222</x:v>
      </x:c>
      <x:c r="S1082" s="2" t="str">
        <x:f>VLOOKUP(C1082,'MES orders'!$A$8:$H$127,6,FALSE)</x:f>
        <x:v>Normal</x:v>
      </x:c>
      <x:c r="T1082" s="9" t="str"/>
    </x:row>
    <x:row r="1083" ht="22" customHeight="1">
      <x:c r="A1083" s="2" t="str">
        <x:v>L00489-070</x:v>
      </x:c>
      <x:c r="B1083" s="2" t="str">
        <x:v>L00489</x:v>
      </x:c>
      <x:c r="C1083" s="2" t="str">
        <x:v>SO-26098</x:v>
      </x:c>
      <x:c r="D1083" s="2" t="str">
        <x:v>S-C-SS</x:v>
      </x:c>
      <x:c r="E1083" s="14" t="n">
        <x:v>10</x:v>
      </x:c>
      <x:c r="F1083" s="2" t="str">
        <x:v>Final assembly</x:v>
      </x:c>
      <x:c r="G1083" s="9" t="str">
        <x:v>AS-01</x:v>
      </x:c>
      <x:c r="H1083" s="15" t="n">
        <x:v>85</x:v>
      </x:c>
      <x:c r="I1083" s="9" t="str">
        <x:v>P05</x:v>
      </x:c>
      <x:c r="J1083" s="11" t="n">
        <x:v>46303.479166666664</x:v>
      </x:c>
      <x:c r="K1083" s="15" t="n">
        <x:v>5</x:v>
      </x:c>
      <x:c r="L1083" s="15" t="n">
        <x:v>6</x:v>
      </x:c>
      <x:c r="M1083" s="13" t="n">
        <x:f>J1083+(K1083+L1083)/1440</x:f>
        <x:v>46303.486805555556</x:v>
      </x:c>
      <x:c r="N1083" s="13" t="n">
        <x:f>VLOOKUP(C1083,'MES orders'!$A$8:$H$127,5,FALSE)</x:f>
        <x:v>46303.666666666664</x:v>
      </x:c>
      <x:c r="O1083" s="16" t="n">
        <x:f>MAX(0,(M1083-N1083)*24)</x:f>
        <x:v>0</x:v>
      </x:c>
      <x:c r="P1083" s="9" t="str">
        <x:v>No</x:v>
      </x:c>
      <x:c r="Q1083" s="15" t="n">
        <x:v>11</x:v>
      </x:c>
      <x:c r="R1083" s="13" t="n">
        <x:f>J1083+Q1083/1440</x:f>
        <x:v>46303.486805555556</x:v>
      </x:c>
      <x:c r="S1083" s="2" t="str">
        <x:f>VLOOKUP(C1083,'MES orders'!$A$8:$H$127,6,FALSE)</x:f>
        <x:v>Normal</x:v>
      </x:c>
      <x:c r="T1083" s="9" t="str"/>
    </x:row>
    <x:row r="1084" ht="22" customHeight="1">
      <x:c r="A1084" s="2" t="str">
        <x:v>L00490-060</x:v>
      </x:c>
      <x:c r="B1084" s="2" t="str">
        <x:v>L00490</x:v>
      </x:c>
      <x:c r="C1084" s="2" t="str">
        <x:v>SO-26098</x:v>
      </x:c>
      <x:c r="D1084" s="2" t="str">
        <x:v>S-C-SS</x:v>
      </x:c>
      <x:c r="E1084" s="14" t="n">
        <x:v>10</x:v>
      </x:c>
      <x:c r="F1084" s="2" t="str">
        <x:v>Sensor calibration</x:v>
      </x:c>
      <x:c r="G1084" s="9" t="str">
        <x:v>CAL-01</x:v>
      </x:c>
      <x:c r="H1084" s="15" t="n">
        <x:v>45</x:v>
      </x:c>
      <x:c r="I1084" s="9" t="str">
        <x:v>P09</x:v>
      </x:c>
      <x:c r="J1084" s="11" t="n">
        <x:v>46303.479166666664</x:v>
      </x:c>
      <x:c r="K1084" s="15" t="n">
        <x:v>10</x:v>
      </x:c>
      <x:c r="L1084" s="15" t="n">
        <x:v>10</x:v>
      </x:c>
      <x:c r="M1084" s="13" t="n">
        <x:f>J1084+(K1084+L1084)/1440</x:f>
        <x:v>46303.493055555555</x:v>
      </x:c>
      <x:c r="N1084" s="13" t="n">
        <x:f>VLOOKUP(C1084,'MES orders'!$A$8:$H$127,5,FALSE)</x:f>
        <x:v>46303.666666666664</x:v>
      </x:c>
      <x:c r="O1084" s="16" t="n">
        <x:f>MAX(0,(M1084-N1084)*24)</x:f>
        <x:v>0</x:v>
      </x:c>
      <x:c r="P1084" s="9" t="str">
        <x:v>No</x:v>
      </x:c>
      <x:c r="Q1084" s="15" t="n">
        <x:v>20</x:v>
      </x:c>
      <x:c r="R1084" s="13" t="n">
        <x:f>J1084+Q1084/1440</x:f>
        <x:v>46303.493055555555</x:v>
      </x:c>
      <x:c r="S1084" s="2" t="str">
        <x:f>VLOOKUP(C1084,'MES orders'!$A$8:$H$127,6,FALSE)</x:f>
        <x:v>Normal</x:v>
      </x:c>
      <x:c r="T1084" s="9" t="str"/>
    </x:row>
    <x:row r="1085" ht="22" customHeight="1">
      <x:c r="A1085" s="2" t="str">
        <x:v>L00172-010</x:v>
      </x:c>
      <x:c r="B1085" s="2" t="str">
        <x:v>L00172</x:v>
      </x:c>
      <x:c r="C1085" s="2" t="str">
        <x:v>SO-26035</x:v>
      </x:c>
      <x:c r="D1085" s="2" t="str">
        <x:v>D-L-AL</x:v>
      </x:c>
      <x:c r="E1085" s="14" t="n">
        <x:v>15</x:v>
      </x:c>
      <x:c r="F1085" s="2" t="str">
        <x:v>CNC machining</x:v>
      </x:c>
      <x:c r="G1085" s="9" t="str">
        <x:v>CNC-04</x:v>
      </x:c>
      <x:c r="H1085" s="15" t="n">
        <x:v>34</x:v>
      </x:c>
      <x:c r="I1085" s="9" t="str">
        <x:v>P02</x:v>
      </x:c>
      <x:c r="J1085" s="11" t="n">
        <x:v>46303.481944444444</x:v>
      </x:c>
      <x:c r="K1085" s="15" t="n">
        <x:v>18</x:v>
      </x:c>
      <x:c r="L1085" s="15" t="n">
        <x:v>49</x:v>
      </x:c>
      <x:c r="M1085" s="13" t="n">
        <x:f>J1085+(K1085+L1085)/1440</x:f>
        <x:v>46303.52847222222</x:v>
      </x:c>
      <x:c r="N1085" s="13" t="n">
        <x:f>VLOOKUP(C1085,'MES orders'!$A$8:$H$127,5,FALSE)</x:f>
        <x:v>46304.666666666664</x:v>
      </x:c>
      <x:c r="O1085" s="16" t="n">
        <x:f>MAX(0,(M1085-N1085)*24)</x:f>
        <x:v>0</x:v>
      </x:c>
      <x:c r="P1085" s="9" t="str">
        <x:v>No</x:v>
      </x:c>
      <x:c r="Q1085" s="15" t="n">
        <x:v>18</x:v>
      </x:c>
      <x:c r="R1085" s="13" t="n">
        <x:f>J1085+Q1085/1440</x:f>
        <x:v>46303.49444444444</x:v>
      </x:c>
      <x:c r="S1085" s="2" t="str">
        <x:f>VLOOKUP(C1085,'MES orders'!$A$8:$H$127,6,FALSE)</x:f>
        <x:v>Normal</x:v>
      </x:c>
      <x:c r="T1085" s="9" t="str"/>
    </x:row>
    <x:row r="1086" ht="22" customHeight="1">
      <x:c r="A1086" s="2" t="str">
        <x:v>L00055-040</x:v>
      </x:c>
      <x:c r="B1086" s="2" t="str">
        <x:v>L00055</x:v>
      </x:c>
      <x:c r="C1086" s="2" t="str">
        <x:v>SO-26011</x:v>
      </x:c>
      <x:c r="D1086" s="2" t="str">
        <x:v>S-L-AL</x:v>
      </x:c>
      <x:c r="E1086" s="14" t="n">
        <x:v>20</x:v>
      </x:c>
      <x:c r="F1086" s="2" t="str">
        <x:v>Mechanical preassembly</x:v>
      </x:c>
      <x:c r="G1086" s="9" t="str">
        <x:v>AS-03</x:v>
      </x:c>
      <x:c r="H1086" s="15" t="n">
        <x:v>56</x:v>
      </x:c>
      <x:c r="I1086" s="9" t="str">
        <x:v>P01</x:v>
      </x:c>
      <x:c r="J1086" s="11" t="n">
        <x:v>46303.48402777778</x:v>
      </x:c>
      <x:c r="K1086" s="15" t="n">
        <x:v>6</x:v>
      </x:c>
      <x:c r="L1086" s="15" t="n">
        <x:v>30</x:v>
      </x:c>
      <x:c r="M1086" s="13" t="n">
        <x:f>J1086+(K1086+L1086)/1440</x:f>
        <x:v>46303.50902777778</x:v>
      </x:c>
      <x:c r="N1086" s="13" t="n">
        <x:f>VLOOKUP(C1086,'MES orders'!$A$8:$H$127,5,FALSE)</x:f>
        <x:v>46304.666666666664</x:v>
      </x:c>
      <x:c r="O1086" s="16" t="n">
        <x:f>MAX(0,(M1086-N1086)*24)</x:f>
        <x:v>0</x:v>
      </x:c>
      <x:c r="P1086" s="9" t="str">
        <x:v>No</x:v>
      </x:c>
      <x:c r="Q1086" s="15" t="n">
        <x:v>36</x:v>
      </x:c>
      <x:c r="R1086" s="13" t="n">
        <x:f>J1086+Q1086/1440</x:f>
        <x:v>46303.50902777778</x:v>
      </x:c>
      <x:c r="S1086" s="2" t="str">
        <x:f>VLOOKUP(C1086,'MES orders'!$A$8:$H$127,6,FALSE)</x:f>
        <x:v>Normal</x:v>
      </x:c>
      <x:c r="T1086" s="9" t="str"/>
    </x:row>
    <x:row r="1087" ht="22" customHeight="1">
      <x:c r="A1087" s="2" t="str">
        <x:v>L00173-010</x:v>
      </x:c>
      <x:c r="B1087" s="2" t="str">
        <x:v>L00173</x:v>
      </x:c>
      <x:c r="C1087" s="2" t="str">
        <x:v>SO-26035</x:v>
      </x:c>
      <x:c r="D1087" s="2" t="str">
        <x:v>D-L-AL</x:v>
      </x:c>
      <x:c r="E1087" s="14" t="n">
        <x:v>15</x:v>
      </x:c>
      <x:c r="F1087" s="2" t="str">
        <x:v>CNC machining</x:v>
      </x:c>
      <x:c r="G1087" s="9" t="str">
        <x:v>CNC-05</x:v>
      </x:c>
      <x:c r="H1087" s="15" t="n">
        <x:v>31</x:v>
      </x:c>
      <x:c r="I1087" s="9" t="str">
        <x:v>P03</x:v>
      </x:c>
      <x:c r="J1087" s="11" t="n">
        <x:v>46303.48402777778</x:v>
      </x:c>
      <x:c r="K1087" s="15" t="n">
        <x:v>18</x:v>
      </x:c>
      <x:c r="L1087" s="15" t="n">
        <x:v>49</x:v>
      </x:c>
      <x:c r="M1087" s="13" t="n">
        <x:f>J1087+(K1087+L1087)/1440</x:f>
        <x:v>46303.53055555555</x:v>
      </x:c>
      <x:c r="N1087" s="13" t="n">
        <x:f>VLOOKUP(C1087,'MES orders'!$A$8:$H$127,5,FALSE)</x:f>
        <x:v>46304.666666666664</x:v>
      </x:c>
      <x:c r="O1087" s="16" t="n">
        <x:f>MAX(0,(M1087-N1087)*24)</x:f>
        <x:v>0</x:v>
      </x:c>
      <x:c r="P1087" s="9" t="str">
        <x:v>No</x:v>
      </x:c>
      <x:c r="Q1087" s="15" t="n">
        <x:v>18</x:v>
      </x:c>
      <x:c r="R1087" s="13" t="n">
        <x:f>J1087+Q1087/1440</x:f>
        <x:v>46303.496527777774</x:v>
      </x:c>
      <x:c r="S1087" s="2" t="str">
        <x:f>VLOOKUP(C1087,'MES orders'!$A$8:$H$127,6,FALSE)</x:f>
        <x:v>Normal</x:v>
      </x:c>
      <x:c r="T1087" s="9" t="str"/>
    </x:row>
    <x:row r="1088" ht="22" customHeight="1">
      <x:c r="A1088" s="2" t="str">
        <x:v>L00568-050</x:v>
      </x:c>
      <x:c r="B1088" s="2" t="str">
        <x:v>L00568</x:v>
      </x:c>
      <x:c r="C1088" s="2" t="str">
        <x:v>SO-26114</x:v>
      </x:c>
      <x:c r="D1088" s="2" t="str">
        <x:v>S-L-SS</x:v>
      </x:c>
      <x:c r="E1088" s="14" t="n">
        <x:v>5</x:v>
      </x:c>
      <x:c r="F1088" s="2" t="str">
        <x:v>Sensor installation</x:v>
      </x:c>
      <x:c r="G1088" s="9" t="str">
        <x:v>EL-02</x:v>
      </x:c>
      <x:c r="H1088" s="15" t="n">
        <x:v>19</x:v>
      </x:c>
      <x:c r="I1088" s="9" t="str">
        <x:v>P08</x:v>
      </x:c>
      <x:c r="J1088" s="11" t="n">
        <x:v>46303.48541666667</x:v>
      </x:c>
      <x:c r="K1088" s="15" t="n">
        <x:v>8</x:v>
      </x:c>
      <x:c r="L1088" s="15" t="n">
        <x:v>8</x:v>
      </x:c>
      <x:c r="M1088" s="13" t="n">
        <x:f>J1088+(K1088+L1088)/1440</x:f>
        <x:v>46303.49652777778</x:v>
      </x:c>
      <x:c r="N1088" s="13" t="n">
        <x:f>VLOOKUP(C1088,'MES orders'!$A$8:$H$127,5,FALSE)</x:f>
        <x:v>46303.666666666664</x:v>
      </x:c>
      <x:c r="O1088" s="16" t="n">
        <x:f>MAX(0,(M1088-N1088)*24)</x:f>
        <x:v>0</x:v>
      </x:c>
      <x:c r="P1088" s="9" t="str">
        <x:v>No</x:v>
      </x:c>
      <x:c r="Q1088" s="15" t="n">
        <x:v>16</x:v>
      </x:c>
      <x:c r="R1088" s="13" t="n">
        <x:f>J1088+Q1088/1440</x:f>
        <x:v>46303.49652777778</x:v>
      </x:c>
      <x:c r="S1088" s="2" t="str">
        <x:f>VLOOKUP(C1088,'MES orders'!$A$8:$H$127,6,FALSE)</x:f>
        <x:v>Normal</x:v>
      </x:c>
      <x:c r="T1088" s="9" t="str"/>
    </x:row>
    <x:row r="1089" ht="22" customHeight="1">
      <x:c r="A1089" s="2" t="str">
        <x:v>L00489-080</x:v>
      </x:c>
      <x:c r="B1089" s="2" t="str">
        <x:v>L00489</x:v>
      </x:c>
      <x:c r="C1089" s="2" t="str">
        <x:v>SO-26098</x:v>
      </x:c>
      <x:c r="D1089" s="2" t="str">
        <x:v>S-C-SS</x:v>
      </x:c>
      <x:c r="E1089" s="14" t="n">
        <x:v>10</x:v>
      </x:c>
      <x:c r="F1089" s="2" t="str">
        <x:v>Final leak / function test</x:v>
      </x:c>
      <x:c r="G1089" s="9" t="str">
        <x:v>QA-02</x:v>
      </x:c>
      <x:c r="H1089" s="15" t="n">
        <x:v>74</x:v>
      </x:c>
      <x:c r="I1089" s="9" t="str">
        <x:v>P11</x:v>
      </x:c>
      <x:c r="J1089" s="11" t="n">
        <x:v>46303.486805555556</x:v>
      </x:c>
      <x:c r="K1089" s="15" t="n">
        <x:v>10</x:v>
      </x:c>
      <x:c r="L1089" s="15" t="n">
        <x:v>7</x:v>
      </x:c>
      <x:c r="M1089" s="13" t="n">
        <x:f>J1089+(K1089+L1089)/1440</x:f>
        <x:v>46303.498611111114</x:v>
      </x:c>
      <x:c r="N1089" s="13" t="n">
        <x:f>VLOOKUP(C1089,'MES orders'!$A$8:$H$127,5,FALSE)</x:f>
        <x:v>46303.666666666664</x:v>
      </x:c>
      <x:c r="O1089" s="16" t="n">
        <x:f>MAX(0,(M1089-N1089)*24)</x:f>
        <x:v>0</x:v>
      </x:c>
      <x:c r="P1089" s="9" t="str">
        <x:v>No</x:v>
      </x:c>
      <x:c r="Q1089" s="15" t="n">
        <x:v>17</x:v>
      </x:c>
      <x:c r="R1089" s="13" t="n">
        <x:f>J1089+Q1089/1440</x:f>
        <x:v>46303.498611111114</x:v>
      </x:c>
      <x:c r="S1089" s="2" t="str">
        <x:f>VLOOKUP(C1089,'MES orders'!$A$8:$H$127,6,FALSE)</x:f>
        <x:v>Normal</x:v>
      </x:c>
      <x:c r="T1089" s="9" t="str"/>
    </x:row>
    <x:row r="1090" ht="22" customHeight="1">
      <x:c r="A1090" s="2" t="str">
        <x:v>L00051-040</x:v>
      </x:c>
      <x:c r="B1090" s="2" t="str">
        <x:v>L00051</x:v>
      </x:c>
      <x:c r="C1090" s="2" t="str">
        <x:v>SO-26011</x:v>
      </x:c>
      <x:c r="D1090" s="2" t="str">
        <x:v>S-L-AL</x:v>
      </x:c>
      <x:c r="E1090" s="14" t="n">
        <x:v>20</x:v>
      </x:c>
      <x:c r="F1090" s="2" t="str">
        <x:v>Mechanical preassembly</x:v>
      </x:c>
      <x:c r="G1090" s="9" t="str">
        <x:v>AS-02</x:v>
      </x:c>
      <x:c r="H1090" s="15" t="n">
        <x:v>71</x:v>
      </x:c>
      <x:c r="I1090" s="9" t="str">
        <x:v>P04</x:v>
      </x:c>
      <x:c r="J1090" s="11" t="n">
        <x:v>46303.49097222222</x:v>
      </x:c>
      <x:c r="K1090" s="15" t="n">
        <x:v>6</x:v>
      </x:c>
      <x:c r="L1090" s="15" t="n">
        <x:v>30</x:v>
      </x:c>
      <x:c r="M1090" s="13" t="n">
        <x:f>J1090+(K1090+L1090)/1440</x:f>
        <x:v>46303.51597222222</x:v>
      </x:c>
      <x:c r="N1090" s="13" t="n">
        <x:f>VLOOKUP(C1090,'MES orders'!$A$8:$H$127,5,FALSE)</x:f>
        <x:v>46304.666666666664</x:v>
      </x:c>
      <x:c r="O1090" s="16" t="n">
        <x:f>MAX(0,(M1090-N1090)*24)</x:f>
        <x:v>0</x:v>
      </x:c>
      <x:c r="P1090" s="9" t="str">
        <x:v>No</x:v>
      </x:c>
      <x:c r="Q1090" s="15" t="n">
        <x:v>36</x:v>
      </x:c>
      <x:c r="R1090" s="13" t="n">
        <x:f>J1090+Q1090/1440</x:f>
        <x:v>46303.51597222222</x:v>
      </x:c>
      <x:c r="S1090" s="2" t="str">
        <x:f>VLOOKUP(C1090,'MES orders'!$A$8:$H$127,6,FALSE)</x:f>
        <x:v>Normal</x:v>
      </x:c>
      <x:c r="T1090" s="9" t="str"/>
    </x:row>
    <x:row r="1091" ht="22" customHeight="1">
      <x:c r="A1091" s="2" t="str">
        <x:v>L00052-020</x:v>
      </x:c>
      <x:c r="B1091" s="2" t="str">
        <x:v>L00052</x:v>
      </x:c>
      <x:c r="C1091" s="2" t="str">
        <x:v>SO-26011</x:v>
      </x:c>
      <x:c r="D1091" s="2" t="str">
        <x:v>S-L-AL</x:v>
      </x:c>
      <x:c r="E1091" s="14" t="n">
        <x:v>20</x:v>
      </x:c>
      <x:c r="F1091" s="2" t="str">
        <x:v>Deburr &amp; inspect</x:v>
      </x:c>
      <x:c r="G1091" s="9" t="str">
        <x:v>DB-01</x:v>
      </x:c>
      <x:c r="H1091" s="15" t="n">
        <x:v>106</x:v>
      </x:c>
      <x:c r="I1091" s="9" t="str">
        <x:v>P06</x:v>
      </x:c>
      <x:c r="J1091" s="11" t="n">
        <x:v>46303.49097222222</x:v>
      </x:c>
      <x:c r="K1091" s="15" t="n">
        <x:v>4</x:v>
      </x:c>
      <x:c r="L1091" s="15" t="n">
        <x:v>19</x:v>
      </x:c>
      <x:c r="M1091" s="13" t="n">
        <x:f>J1091+(K1091+L1091)/1440</x:f>
        <x:v>46303.506944444445</x:v>
      </x:c>
      <x:c r="N1091" s="13" t="n">
        <x:f>VLOOKUP(C1091,'MES orders'!$A$8:$H$127,5,FALSE)</x:f>
        <x:v>46304.666666666664</x:v>
      </x:c>
      <x:c r="O1091" s="16" t="n">
        <x:f>MAX(0,(M1091-N1091)*24)</x:f>
        <x:v>0</x:v>
      </x:c>
      <x:c r="P1091" s="9" t="str">
        <x:v>No</x:v>
      </x:c>
      <x:c r="Q1091" s="15" t="n">
        <x:v>23</x:v>
      </x:c>
      <x:c r="R1091" s="13" t="n">
        <x:f>J1091+Q1091/1440</x:f>
        <x:v>46303.506944444445</x:v>
      </x:c>
      <x:c r="S1091" s="2" t="str">
        <x:f>VLOOKUP(C1091,'MES orders'!$A$8:$H$127,6,FALSE)</x:f>
        <x:v>Normal</x:v>
      </x:c>
      <x:c r="T1091" s="9" t="str"/>
    </x:row>
    <x:row r="1092" ht="22" customHeight="1">
      <x:c r="A1092" s="2" t="str">
        <x:v>L00490-070</x:v>
      </x:c>
      <x:c r="B1092" s="2" t="str">
        <x:v>L00490</x:v>
      </x:c>
      <x:c r="C1092" s="2" t="str">
        <x:v>SO-26098</x:v>
      </x:c>
      <x:c r="D1092" s="2" t="str">
        <x:v>S-C-SS</x:v>
      </x:c>
      <x:c r="E1092" s="14" t="n">
        <x:v>10</x:v>
      </x:c>
      <x:c r="F1092" s="2" t="str">
        <x:v>Final assembly</x:v>
      </x:c>
      <x:c r="G1092" s="9" t="str">
        <x:v>AS-01</x:v>
      </x:c>
      <x:c r="H1092" s="15" t="n">
        <x:v>86</x:v>
      </x:c>
      <x:c r="I1092" s="9" t="str">
        <x:v>P05</x:v>
      </x:c>
      <x:c r="J1092" s="11" t="n">
        <x:v>46303.493055555555</x:v>
      </x:c>
      <x:c r="K1092" s="15" t="n">
        <x:v>5</x:v>
      </x:c>
      <x:c r="L1092" s="15" t="n">
        <x:v>6</x:v>
      </x:c>
      <x:c r="M1092" s="13" t="n">
        <x:f>J1092+(K1092+L1092)/1440</x:f>
        <x:v>46303.50069444445</x:v>
      </x:c>
      <x:c r="N1092" s="13" t="n">
        <x:f>VLOOKUP(C1092,'MES orders'!$A$8:$H$127,5,FALSE)</x:f>
        <x:v>46303.666666666664</x:v>
      </x:c>
      <x:c r="O1092" s="16" t="n">
        <x:f>MAX(0,(M1092-N1092)*24)</x:f>
        <x:v>0</x:v>
      </x:c>
      <x:c r="P1092" s="9" t="str">
        <x:v>No</x:v>
      </x:c>
      <x:c r="Q1092" s="15" t="n">
        <x:v>11</x:v>
      </x:c>
      <x:c r="R1092" s="13" t="n">
        <x:f>J1092+Q1092/1440</x:f>
        <x:v>46303.50069444445</x:v>
      </x:c>
      <x:c r="S1092" s="2" t="str">
        <x:f>VLOOKUP(C1092,'MES orders'!$A$8:$H$127,6,FALSE)</x:f>
        <x:v>Normal</x:v>
      </x:c>
      <x:c r="T1092" s="9" t="str"/>
    </x:row>
    <x:row r="1093" ht="22" customHeight="1">
      <x:c r="A1093" s="2" t="str">
        <x:v>L00566-060</x:v>
      </x:c>
      <x:c r="B1093" s="2" t="str">
        <x:v>L00566</x:v>
      </x:c>
      <x:c r="C1093" s="2" t="str">
        <x:v>SO-26114</x:v>
      </x:c>
      <x:c r="D1093" s="2" t="str">
        <x:v>S-L-SS</x:v>
      </x:c>
      <x:c r="E1093" s="14" t="n">
        <x:v>5</x:v>
      </x:c>
      <x:c r="F1093" s="2" t="str">
        <x:v>Sensor calibration</x:v>
      </x:c>
      <x:c r="G1093" s="9" t="str">
        <x:v>CAL-01</x:v>
      </x:c>
      <x:c r="H1093" s="15" t="n">
        <x:v>46</x:v>
      </x:c>
      <x:c r="I1093" s="9" t="str">
        <x:v>P09</x:v>
      </x:c>
      <x:c r="J1093" s="11" t="n">
        <x:v>46303.493055555555</x:v>
      </x:c>
      <x:c r="K1093" s="15" t="n">
        <x:v>10</x:v>
      </x:c>
      <x:c r="L1093" s="15" t="n">
        <x:v>9</x:v>
      </x:c>
      <x:c r="M1093" s="13" t="n">
        <x:f>J1093+(K1093+L1093)/1440</x:f>
        <x:v>46303.50625</x:v>
      </x:c>
      <x:c r="N1093" s="13" t="n">
        <x:f>VLOOKUP(C1093,'MES orders'!$A$8:$H$127,5,FALSE)</x:f>
        <x:v>46303.666666666664</x:v>
      </x:c>
      <x:c r="O1093" s="16" t="n">
        <x:f>MAX(0,(M1093-N1093)*24)</x:f>
        <x:v>0</x:v>
      </x:c>
      <x:c r="P1093" s="9" t="str">
        <x:v>No</x:v>
      </x:c>
      <x:c r="Q1093" s="15" t="n">
        <x:v>19</x:v>
      </x:c>
      <x:c r="R1093" s="13" t="n">
        <x:f>J1093+Q1093/1440</x:f>
        <x:v>46303.50625</x:v>
      </x:c>
      <x:c r="S1093" s="2" t="str">
        <x:f>VLOOKUP(C1093,'MES orders'!$A$8:$H$127,6,FALSE)</x:f>
        <x:v>Normal</x:v>
      </x:c>
      <x:c r="T1093" s="9" t="str"/>
    </x:row>
    <x:row r="1094" ht="22" customHeight="1">
      <x:c r="A1094" s="2" t="str">
        <x:v>L00174-010</x:v>
      </x:c>
      <x:c r="B1094" s="2" t="str">
        <x:v>L00174</x:v>
      </x:c>
      <x:c r="C1094" s="2" t="str">
        <x:v>SO-26035</x:v>
      </x:c>
      <x:c r="D1094" s="2" t="str">
        <x:v>D-L-AL</x:v>
      </x:c>
      <x:c r="E1094" s="14" t="n">
        <x:v>15</x:v>
      </x:c>
      <x:c r="F1094" s="2" t="str">
        <x:v>CNC machining</x:v>
      </x:c>
      <x:c r="G1094" s="9" t="str">
        <x:v>CNC-06</x:v>
      </x:c>
      <x:c r="H1094" s="15" t="n">
        <x:v>28</x:v>
      </x:c>
      <x:c r="I1094" s="9" t="str">
        <x:v>P02</x:v>
      </x:c>
      <x:c r="J1094" s="11" t="n">
        <x:v>46303.49444444444</x:v>
      </x:c>
      <x:c r="K1094" s="15" t="n">
        <x:v>18</x:v>
      </x:c>
      <x:c r="L1094" s="15" t="n">
        <x:v>49</x:v>
      </x:c>
      <x:c r="M1094" s="13" t="n">
        <x:f>J1094+(K1094+L1094)/1440</x:f>
        <x:v>46303.54097222222</x:v>
      </x:c>
      <x:c r="N1094" s="13" t="n">
        <x:f>VLOOKUP(C1094,'MES orders'!$A$8:$H$127,5,FALSE)</x:f>
        <x:v>46304.666666666664</x:v>
      </x:c>
      <x:c r="O1094" s="16" t="n">
        <x:f>MAX(0,(M1094-N1094)*24)</x:f>
        <x:v>0</x:v>
      </x:c>
      <x:c r="P1094" s="9" t="str">
        <x:v>No</x:v>
      </x:c>
      <x:c r="Q1094" s="15" t="n">
        <x:v>18</x:v>
      </x:c>
      <x:c r="R1094" s="13" t="n">
        <x:f>J1094+Q1094/1440</x:f>
        <x:v>46303.50694444444</x:v>
      </x:c>
      <x:c r="S1094" s="2" t="str">
        <x:f>VLOOKUP(C1094,'MES orders'!$A$8:$H$127,6,FALSE)</x:f>
        <x:v>Normal</x:v>
      </x:c>
      <x:c r="T1094" s="9" t="str"/>
    </x:row>
    <x:row r="1095" ht="22" customHeight="1">
      <x:c r="A1095" s="2" t="str">
        <x:v>L00251-010</x:v>
      </x:c>
      <x:c r="B1095" s="2" t="str">
        <x:v>L00251</x:v>
      </x:c>
      <x:c r="C1095" s="2" t="str">
        <x:v>SO-26051</x:v>
      </x:c>
      <x:c r="D1095" s="2" t="str">
        <x:v>R-S-AL</x:v>
      </x:c>
      <x:c r="E1095" s="14" t="n">
        <x:v>15</x:v>
      </x:c>
      <x:c r="F1095" s="2" t="str">
        <x:v>CNC machining</x:v>
      </x:c>
      <x:c r="G1095" s="9" t="str">
        <x:v>CNC-02</x:v>
      </x:c>
      <x:c r="H1095" s="15" t="n">
        <x:v>24</x:v>
      </x:c>
      <x:c r="I1095" s="9" t="str">
        <x:v>P03</x:v>
      </x:c>
      <x:c r="J1095" s="11" t="n">
        <x:v>46303.49652777778</x:v>
      </x:c>
      <x:c r="K1095" s="15" t="n">
        <x:v>18</x:v>
      </x:c>
      <x:c r="L1095" s="15" t="n">
        <x:v>36</x:v>
      </x:c>
      <x:c r="M1095" s="13" t="n">
        <x:f>J1095+(K1095+L1095)/1440</x:f>
        <x:v>46303.53402777778</x:v>
      </x:c>
      <x:c r="N1095" s="13" t="n">
        <x:f>VLOOKUP(C1095,'MES orders'!$A$8:$H$127,5,FALSE)</x:f>
        <x:v>46304.666666666664</x:v>
      </x:c>
      <x:c r="O1095" s="16" t="n">
        <x:f>MAX(0,(M1095-N1095)*24)</x:f>
        <x:v>0</x:v>
      </x:c>
      <x:c r="P1095" s="9" t="str">
        <x:v>No</x:v>
      </x:c>
      <x:c r="Q1095" s="15" t="n">
        <x:v>18</x:v>
      </x:c>
      <x:c r="R1095" s="13" t="n">
        <x:f>J1095+Q1095/1440</x:f>
        <x:v>46303.50902777778</x:v>
      </x:c>
      <x:c r="S1095" s="2" t="str">
        <x:f>VLOOKUP(C1095,'MES orders'!$A$8:$H$127,6,FALSE)</x:f>
        <x:v>Normal</x:v>
      </x:c>
      <x:c r="T1095" s="9" t="str"/>
    </x:row>
    <x:row r="1096" ht="22" customHeight="1">
      <x:c r="A1096" s="2" t="str">
        <x:v>L00490-080</x:v>
      </x:c>
      <x:c r="B1096" s="2" t="str">
        <x:v>L00490</x:v>
      </x:c>
      <x:c r="C1096" s="2" t="str">
        <x:v>SO-26098</x:v>
      </x:c>
      <x:c r="D1096" s="2" t="str">
        <x:v>S-C-SS</x:v>
      </x:c>
      <x:c r="E1096" s="14" t="n">
        <x:v>10</x:v>
      </x:c>
      <x:c r="F1096" s="2" t="str">
        <x:v>Final leak / function test</x:v>
      </x:c>
      <x:c r="G1096" s="9" t="str">
        <x:v>QA-02</x:v>
      </x:c>
      <x:c r="H1096" s="15" t="n">
        <x:v>75</x:v>
      </x:c>
      <x:c r="I1096" s="9" t="str">
        <x:v>P11</x:v>
      </x:c>
      <x:c r="J1096" s="11" t="n">
        <x:v>46303.50069444445</x:v>
      </x:c>
      <x:c r="K1096" s="15" t="n">
        <x:v>10</x:v>
      </x:c>
      <x:c r="L1096" s="15" t="n">
        <x:v>7</x:v>
      </x:c>
      <x:c r="M1096" s="13" t="n">
        <x:f>J1096+(K1096+L1096)/1440</x:f>
        <x:v>46303.512500000004</x:v>
      </x:c>
      <x:c r="N1096" s="13" t="n">
        <x:f>VLOOKUP(C1096,'MES orders'!$A$8:$H$127,5,FALSE)</x:f>
        <x:v>46303.666666666664</x:v>
      </x:c>
      <x:c r="O1096" s="16" t="n">
        <x:f>MAX(0,(M1096-N1096)*24)</x:f>
        <x:v>0</x:v>
      </x:c>
      <x:c r="P1096" s="9" t="str">
        <x:v>No</x:v>
      </x:c>
      <x:c r="Q1096" s="15" t="n">
        <x:v>17</x:v>
      </x:c>
      <x:c r="R1096" s="13" t="n">
        <x:f>J1096+Q1096/1440</x:f>
        <x:v>46303.512500000004</x:v>
      </x:c>
      <x:c r="S1096" s="2" t="str">
        <x:f>VLOOKUP(C1096,'MES orders'!$A$8:$H$127,6,FALSE)</x:f>
        <x:v>Normal</x:v>
      </x:c>
      <x:c r="T1096" s="9" t="str"/>
    </x:row>
    <x:row r="1097" ht="22" customHeight="1">
      <x:c r="A1097" s="2" t="str">
        <x:v>L00566-070</x:v>
      </x:c>
      <x:c r="B1097" s="2" t="str">
        <x:v>L00566</x:v>
      </x:c>
      <x:c r="C1097" s="2" t="str">
        <x:v>SO-26114</x:v>
      </x:c>
      <x:c r="D1097" s="2" t="str">
        <x:v>S-L-SS</x:v>
      </x:c>
      <x:c r="E1097" s="14" t="n">
        <x:v>5</x:v>
      </x:c>
      <x:c r="F1097" s="2" t="str">
        <x:v>Final assembly</x:v>
      </x:c>
      <x:c r="G1097" s="9" t="str">
        <x:v>AS-01</x:v>
      </x:c>
      <x:c r="H1097" s="15" t="n">
        <x:v>87</x:v>
      </x:c>
      <x:c r="I1097" s="9" t="str">
        <x:v>P05</x:v>
      </x:c>
      <x:c r="J1097" s="11" t="n">
        <x:v>46303.50625</x:v>
      </x:c>
      <x:c r="K1097" s="15" t="n">
        <x:v>5</x:v>
      </x:c>
      <x:c r="L1097" s="15" t="n">
        <x:v>5</x:v>
      </x:c>
      <x:c r="M1097" s="13" t="n">
        <x:f>J1097+(K1097+L1097)/1440</x:f>
        <x:v>46303.513194444444</x:v>
      </x:c>
      <x:c r="N1097" s="13" t="n">
        <x:f>VLOOKUP(C1097,'MES orders'!$A$8:$H$127,5,FALSE)</x:f>
        <x:v>46303.666666666664</x:v>
      </x:c>
      <x:c r="O1097" s="16" t="n">
        <x:f>MAX(0,(M1097-N1097)*24)</x:f>
        <x:v>0</x:v>
      </x:c>
      <x:c r="P1097" s="9" t="str">
        <x:v>No</x:v>
      </x:c>
      <x:c r="Q1097" s="15" t="n">
        <x:v>10</x:v>
      </x:c>
      <x:c r="R1097" s="13" t="n">
        <x:f>J1097+Q1097/1440</x:f>
        <x:v>46303.513194444444</x:v>
      </x:c>
      <x:c r="S1097" s="2" t="str">
        <x:f>VLOOKUP(C1097,'MES orders'!$A$8:$H$127,6,FALSE)</x:f>
        <x:v>Normal</x:v>
      </x:c>
      <x:c r="T1097" s="9" t="str"/>
    </x:row>
    <x:row r="1098" ht="22" customHeight="1">
      <x:c r="A1098" s="2" t="str">
        <x:v>L00567-060</x:v>
      </x:c>
      <x:c r="B1098" s="2" t="str">
        <x:v>L00567</x:v>
      </x:c>
      <x:c r="C1098" s="2" t="str">
        <x:v>SO-26114</x:v>
      </x:c>
      <x:c r="D1098" s="2" t="str">
        <x:v>S-L-SS</x:v>
      </x:c>
      <x:c r="E1098" s="14" t="n">
        <x:v>5</x:v>
      </x:c>
      <x:c r="F1098" s="2" t="str">
        <x:v>Sensor calibration</x:v>
      </x:c>
      <x:c r="G1098" s="9" t="str">
        <x:v>CAL-01</x:v>
      </x:c>
      <x:c r="H1098" s="15" t="n">
        <x:v>47</x:v>
      </x:c>
      <x:c r="I1098" s="9" t="str">
        <x:v>P09</x:v>
      </x:c>
      <x:c r="J1098" s="11" t="n">
        <x:v>46303.50625</x:v>
      </x:c>
      <x:c r="K1098" s="15" t="n">
        <x:v>10</x:v>
      </x:c>
      <x:c r="L1098" s="15" t="n">
        <x:v>9</x:v>
      </x:c>
      <x:c r="M1098" s="13" t="n">
        <x:f>J1098+(K1098+L1098)/1440</x:f>
        <x:v>46303.51944444444</x:v>
      </x:c>
      <x:c r="N1098" s="13" t="n">
        <x:f>VLOOKUP(C1098,'MES orders'!$A$8:$H$127,5,FALSE)</x:f>
        <x:v>46303.666666666664</x:v>
      </x:c>
      <x:c r="O1098" s="16" t="n">
        <x:f>MAX(0,(M1098-N1098)*24)</x:f>
        <x:v>0</x:v>
      </x:c>
      <x:c r="P1098" s="9" t="str">
        <x:v>No</x:v>
      </x:c>
      <x:c r="Q1098" s="15" t="n">
        <x:v>19</x:v>
      </x:c>
      <x:c r="R1098" s="13" t="n">
        <x:f>J1098+Q1098/1440</x:f>
        <x:v>46303.51944444444</x:v>
      </x:c>
      <x:c r="S1098" s="2" t="str">
        <x:f>VLOOKUP(C1098,'MES orders'!$A$8:$H$127,6,FALSE)</x:f>
        <x:v>Normal</x:v>
      </x:c>
      <x:c r="T1098" s="9" t="str"/>
    </x:row>
    <x:row r="1099" ht="22" customHeight="1">
      <x:c r="A1099" s="2" t="str">
        <x:v>L00052-030</x:v>
      </x:c>
      <x:c r="B1099" s="2" t="str">
        <x:v>L00052</x:v>
      </x:c>
      <x:c r="C1099" s="2" t="str">
        <x:v>SO-26011</x:v>
      </x:c>
      <x:c r="D1099" s="2" t="str">
        <x:v>S-L-AL</x:v>
      </x:c>
      <x:c r="E1099" s="14" t="n">
        <x:v>20</x:v>
      </x:c>
      <x:c r="F1099" s="2" t="str">
        <x:v>Wash &amp; dry</x:v>
      </x:c>
      <x:c r="G1099" s="9" t="str">
        <x:v>WS-01</x:v>
      </x:c>
      <x:c r="H1099" s="15" t="n">
        <x:v>103</x:v>
      </x:c>
      <x:c r="I1099" s="9" t="str">
        <x:v>P06</x:v>
      </x:c>
      <x:c r="J1099" s="11" t="n">
        <x:v>46303.506944444445</x:v>
      </x:c>
      <x:c r="K1099" s="15" t="n">
        <x:v>12</x:v>
      </x:c>
      <x:c r="L1099" s="15" t="n">
        <x:v>9</x:v>
      </x:c>
      <x:c r="M1099" s="13" t="n">
        <x:f>J1099+(K1099+L1099)/1440</x:f>
        <x:v>46303.521527777775</x:v>
      </x:c>
      <x:c r="N1099" s="13" t="n">
        <x:f>VLOOKUP(C1099,'MES orders'!$A$8:$H$127,5,FALSE)</x:f>
        <x:v>46304.666666666664</x:v>
      </x:c>
      <x:c r="O1099" s="16" t="n">
        <x:f>MAX(0,(M1099-N1099)*24)</x:f>
        <x:v>0</x:v>
      </x:c>
      <x:c r="P1099" s="9" t="str">
        <x:v>No</x:v>
      </x:c>
      <x:c r="Q1099" s="15" t="n">
        <x:v>21</x:v>
      </x:c>
      <x:c r="R1099" s="13" t="n">
        <x:f>J1099+Q1099/1440</x:f>
        <x:v>46303.521527777775</x:v>
      </x:c>
      <x:c r="S1099" s="2" t="str">
        <x:f>VLOOKUP(C1099,'MES orders'!$A$8:$H$127,6,FALSE)</x:f>
        <x:v>Normal</x:v>
      </x:c>
      <x:c r="T1099" s="9" t="str"/>
    </x:row>
    <x:row r="1100" ht="22" customHeight="1">
      <x:c r="A1100" s="2" t="str">
        <x:v>L00252-010</x:v>
      </x:c>
      <x:c r="B1100" s="2" t="str">
        <x:v>L00252</x:v>
      </x:c>
      <x:c r="C1100" s="2" t="str">
        <x:v>SO-26051</x:v>
      </x:c>
      <x:c r="D1100" s="2" t="str">
        <x:v>R-S-AL</x:v>
      </x:c>
      <x:c r="E1100" s="14" t="n">
        <x:v>15</x:v>
      </x:c>
      <x:c r="F1100" s="2" t="str">
        <x:v>CNC machining</x:v>
      </x:c>
      <x:c r="G1100" s="9" t="str">
        <x:v>CNC-01</x:v>
      </x:c>
      <x:c r="H1100" s="15" t="n">
        <x:v>36</x:v>
      </x:c>
      <x:c r="I1100" s="9" t="str">
        <x:v>P01</x:v>
      </x:c>
      <x:c r="J1100" s="11" t="n">
        <x:v>46303.50902777778</x:v>
      </x:c>
      <x:c r="K1100" s="15" t="n">
        <x:v>18</x:v>
      </x:c>
      <x:c r="L1100" s="15" t="n">
        <x:v>36</x:v>
      </x:c>
      <x:c r="M1100" s="13" t="n">
        <x:f>J1100+(K1100+L1100)/1440</x:f>
        <x:v>46303.54652777778</x:v>
      </x:c>
      <x:c r="N1100" s="13" t="n">
        <x:f>VLOOKUP(C1100,'MES orders'!$A$8:$H$127,5,FALSE)</x:f>
        <x:v>46304.666666666664</x:v>
      </x:c>
      <x:c r="O1100" s="16" t="n">
        <x:f>MAX(0,(M1100-N1100)*24)</x:f>
        <x:v>0</x:v>
      </x:c>
      <x:c r="P1100" s="9" t="str">
        <x:v>No</x:v>
      </x:c>
      <x:c r="Q1100" s="15" t="n">
        <x:v>18</x:v>
      </x:c>
      <x:c r="R1100" s="13" t="n">
        <x:f>J1100+Q1100/1440</x:f>
        <x:v>46303.521527777775</x:v>
      </x:c>
      <x:c r="S1100" s="2" t="str">
        <x:f>VLOOKUP(C1100,'MES orders'!$A$8:$H$127,6,FALSE)</x:f>
        <x:v>Normal</x:v>
      </x:c>
      <x:c r="T1100" s="9" t="str"/>
    </x:row>
    <x:row r="1101" ht="22" customHeight="1">
      <x:c r="A1101" s="2" t="str">
        <x:v>L00055-050</x:v>
      </x:c>
      <x:c r="B1101" s="2" t="str">
        <x:v>L00055</x:v>
      </x:c>
      <x:c r="C1101" s="2" t="str">
        <x:v>SO-26011</x:v>
      </x:c>
      <x:c r="D1101" s="2" t="str">
        <x:v>S-L-AL</x:v>
      </x:c>
      <x:c r="E1101" s="14" t="n">
        <x:v>20</x:v>
      </x:c>
      <x:c r="F1101" s="2" t="str">
        <x:v>Sensor installation</x:v>
      </x:c>
      <x:c r="G1101" s="9" t="str">
        <x:v>EL-02</x:v>
      </x:c>
      <x:c r="H1101" s="15" t="n">
        <x:v>20</x:v>
      </x:c>
      <x:c r="I1101" s="9" t="str">
        <x:v>P08</x:v>
      </x:c>
      <x:c r="J1101" s="11" t="n">
        <x:v>46303.50902777778</x:v>
      </x:c>
      <x:c r="K1101" s="15" t="n">
        <x:v>8</x:v>
      </x:c>
      <x:c r="L1101" s="15" t="n">
        <x:v>32</x:v>
      </x:c>
      <x:c r="M1101" s="13" t="n">
        <x:f>J1101+(K1101+L1101)/1440</x:f>
        <x:v>46303.53680555556</x:v>
      </x:c>
      <x:c r="N1101" s="13" t="n">
        <x:f>VLOOKUP(C1101,'MES orders'!$A$8:$H$127,5,FALSE)</x:f>
        <x:v>46304.666666666664</x:v>
      </x:c>
      <x:c r="O1101" s="16" t="n">
        <x:f>MAX(0,(M1101-N1101)*24)</x:f>
        <x:v>0</x:v>
      </x:c>
      <x:c r="P1101" s="9" t="str">
        <x:v>No</x:v>
      </x:c>
      <x:c r="Q1101" s="15" t="n">
        <x:v>40</x:v>
      </x:c>
      <x:c r="R1101" s="13" t="n">
        <x:f>J1101+Q1101/1440</x:f>
        <x:v>46303.53680555556</x:v>
      </x:c>
      <x:c r="S1101" s="2" t="str">
        <x:f>VLOOKUP(C1101,'MES orders'!$A$8:$H$127,6,FALSE)</x:f>
        <x:v>Normal</x:v>
      </x:c>
      <x:c r="T1101" s="9" t="str"/>
    </x:row>
    <x:row r="1102" ht="22" customHeight="1">
      <x:c r="A1102" s="2" t="str">
        <x:v>L00566-080</x:v>
      </x:c>
      <x:c r="B1102" s="2" t="str">
        <x:v>L00566</x:v>
      </x:c>
      <x:c r="C1102" s="2" t="str">
        <x:v>SO-26114</x:v>
      </x:c>
      <x:c r="D1102" s="2" t="str">
        <x:v>S-L-SS</x:v>
      </x:c>
      <x:c r="E1102" s="14" t="n">
        <x:v>5</x:v>
      </x:c>
      <x:c r="F1102" s="2" t="str">
        <x:v>Final leak / function test</x:v>
      </x:c>
      <x:c r="G1102" s="9" t="str">
        <x:v>QA-02</x:v>
      </x:c>
      <x:c r="H1102" s="15" t="n">
        <x:v>76</x:v>
      </x:c>
      <x:c r="I1102" s="9" t="str">
        <x:v>P11</x:v>
      </x:c>
      <x:c r="J1102" s="11" t="n">
        <x:v>46303.513194444444</x:v>
      </x:c>
      <x:c r="K1102" s="15" t="n">
        <x:v>10</x:v>
      </x:c>
      <x:c r="L1102" s="15" t="n">
        <x:v>6</x:v>
      </x:c>
      <x:c r="M1102" s="13" t="n">
        <x:f>J1102+(K1102+L1102)/1440</x:f>
        <x:v>46303.524305555555</x:v>
      </x:c>
      <x:c r="N1102" s="13" t="n">
        <x:f>VLOOKUP(C1102,'MES orders'!$A$8:$H$127,5,FALSE)</x:f>
        <x:v>46303.666666666664</x:v>
      </x:c>
      <x:c r="O1102" s="16" t="n">
        <x:f>MAX(0,(M1102-N1102)*24)</x:f>
        <x:v>0</x:v>
      </x:c>
      <x:c r="P1102" s="9" t="str">
        <x:v>No</x:v>
      </x:c>
      <x:c r="Q1102" s="15" t="n">
        <x:v>16</x:v>
      </x:c>
      <x:c r="R1102" s="13" t="n">
        <x:f>J1102+Q1102/1440</x:f>
        <x:v>46303.524305555555</x:v>
      </x:c>
      <x:c r="S1102" s="2" t="str">
        <x:f>VLOOKUP(C1102,'MES orders'!$A$8:$H$127,6,FALSE)</x:f>
        <x:v>Normal</x:v>
      </x:c>
      <x:c r="T1102" s="9" t="str"/>
    </x:row>
    <x:row r="1103" ht="22" customHeight="1">
      <x:c r="A1103" s="2" t="str">
        <x:v>L00051-050</x:v>
      </x:c>
      <x:c r="B1103" s="2" t="str">
        <x:v>L00051</x:v>
      </x:c>
      <x:c r="C1103" s="2" t="str">
        <x:v>SO-26011</x:v>
      </x:c>
      <x:c r="D1103" s="2" t="str">
        <x:v>S-L-AL</x:v>
      </x:c>
      <x:c r="E1103" s="14" t="n">
        <x:v>20</x:v>
      </x:c>
      <x:c r="F1103" s="2" t="str">
        <x:v>Sensor installation</x:v>
      </x:c>
      <x:c r="G1103" s="9" t="str">
        <x:v>EL-01</x:v>
      </x:c>
      <x:c r="H1103" s="15" t="n">
        <x:v>32</x:v>
      </x:c>
      <x:c r="I1103" s="9" t="str">
        <x:v>P07</x:v>
      </x:c>
      <x:c r="J1103" s="11" t="n">
        <x:v>46303.51597222222</x:v>
      </x:c>
      <x:c r="K1103" s="15" t="n">
        <x:v>8</x:v>
      </x:c>
      <x:c r="L1103" s="15" t="n">
        <x:v>32</x:v>
      </x:c>
      <x:c r="M1103" s="13" t="n">
        <x:f>J1103+(K1103+L1103)/1440</x:f>
        <x:v>46303.543750000004</x:v>
      </x:c>
      <x:c r="N1103" s="13" t="n">
        <x:f>VLOOKUP(C1103,'MES orders'!$A$8:$H$127,5,FALSE)</x:f>
        <x:v>46304.666666666664</x:v>
      </x:c>
      <x:c r="O1103" s="16" t="n">
        <x:f>MAX(0,(M1103-N1103)*24)</x:f>
        <x:v>0</x:v>
      </x:c>
      <x:c r="P1103" s="9" t="str">
        <x:v>No</x:v>
      </x:c>
      <x:c r="Q1103" s="15" t="n">
        <x:v>40</x:v>
      </x:c>
      <x:c r="R1103" s="13" t="n">
        <x:f>J1103+Q1103/1440</x:f>
        <x:v>46303.543750000004</x:v>
      </x:c>
      <x:c r="S1103" s="2" t="str">
        <x:f>VLOOKUP(C1103,'MES orders'!$A$8:$H$127,6,FALSE)</x:f>
        <x:v>Normal</x:v>
      </x:c>
      <x:c r="T1103" s="9" t="str"/>
    </x:row>
    <x:row r="1104" ht="22" customHeight="1">
      <x:c r="A1104" s="2" t="str">
        <x:v>L00175-010</x:v>
      </x:c>
      <x:c r="B1104" s="2" t="str">
        <x:v>L00175</x:v>
      </x:c>
      <x:c r="C1104" s="2" t="str">
        <x:v>SO-26035</x:v>
      </x:c>
      <x:c r="D1104" s="2" t="str">
        <x:v>D-L-AL</x:v>
      </x:c>
      <x:c r="E1104" s="14" t="n">
        <x:v>15</x:v>
      </x:c>
      <x:c r="F1104" s="2" t="str">
        <x:v>CNC machining</x:v>
      </x:c>
      <x:c r="G1104" s="9" t="str">
        <x:v>CNC-03</x:v>
      </x:c>
      <x:c r="H1104" s="15" t="n">
        <x:v>34</x:v>
      </x:c>
      <x:c r="I1104" s="9" t="str">
        <x:v>P02</x:v>
      </x:c>
      <x:c r="J1104" s="11" t="n">
        <x:v>46303.518055555556</x:v>
      </x:c>
      <x:c r="K1104" s="15" t="n">
        <x:v>18</x:v>
      </x:c>
      <x:c r="L1104" s="15" t="n">
        <x:v>49</x:v>
      </x:c>
      <x:c r="M1104" s="13" t="n">
        <x:f>J1104+(K1104+L1104)/1440</x:f>
        <x:v>46303.56458333333</x:v>
      </x:c>
      <x:c r="N1104" s="13" t="n">
        <x:f>VLOOKUP(C1104,'MES orders'!$A$8:$H$127,5,FALSE)</x:f>
        <x:v>46304.666666666664</x:v>
      </x:c>
      <x:c r="O1104" s="16" t="n">
        <x:f>MAX(0,(M1104-N1104)*24)</x:f>
        <x:v>0</x:v>
      </x:c>
      <x:c r="P1104" s="9" t="str">
        <x:v>No</x:v>
      </x:c>
      <x:c r="Q1104" s="15" t="n">
        <x:v>18</x:v>
      </x:c>
      <x:c r="R1104" s="13" t="n">
        <x:f>J1104+Q1104/1440</x:f>
        <x:v>46303.53055555555</x:v>
      </x:c>
      <x:c r="S1104" s="2" t="str">
        <x:f>VLOOKUP(C1104,'MES orders'!$A$8:$H$127,6,FALSE)</x:f>
        <x:v>Normal</x:v>
      </x:c>
      <x:c r="T1104" s="9" t="str"/>
    </x:row>
    <x:row r="1105" ht="22" customHeight="1">
      <x:c r="A1105" s="2" t="str">
        <x:v>L00567-070</x:v>
      </x:c>
      <x:c r="B1105" s="2" t="str">
        <x:v>L00567</x:v>
      </x:c>
      <x:c r="C1105" s="2" t="str">
        <x:v>SO-26114</x:v>
      </x:c>
      <x:c r="D1105" s="2" t="str">
        <x:v>S-L-SS</x:v>
      </x:c>
      <x:c r="E1105" s="14" t="n">
        <x:v>5</x:v>
      </x:c>
      <x:c r="F1105" s="2" t="str">
        <x:v>Final assembly</x:v>
      </x:c>
      <x:c r="G1105" s="9" t="str">
        <x:v>AS-01</x:v>
      </x:c>
      <x:c r="H1105" s="15" t="n">
        <x:v>88</x:v>
      </x:c>
      <x:c r="I1105" s="9" t="str">
        <x:v>P05</x:v>
      </x:c>
      <x:c r="J1105" s="11" t="n">
        <x:v>46303.51944444444</x:v>
      </x:c>
      <x:c r="K1105" s="15" t="n">
        <x:v>5</x:v>
      </x:c>
      <x:c r="L1105" s="15" t="n">
        <x:v>5</x:v>
      </x:c>
      <x:c r="M1105" s="13" t="n">
        <x:f>J1105+(K1105+L1105)/1440</x:f>
        <x:v>46303.52638888889</x:v>
      </x:c>
      <x:c r="N1105" s="13" t="n">
        <x:f>VLOOKUP(C1105,'MES orders'!$A$8:$H$127,5,FALSE)</x:f>
        <x:v>46303.666666666664</x:v>
      </x:c>
      <x:c r="O1105" s="16" t="n">
        <x:f>MAX(0,(M1105-N1105)*24)</x:f>
        <x:v>0</x:v>
      </x:c>
      <x:c r="P1105" s="9" t="str">
        <x:v>No</x:v>
      </x:c>
      <x:c r="Q1105" s="15" t="n">
        <x:v>10</x:v>
      </x:c>
      <x:c r="R1105" s="13" t="n">
        <x:f>J1105+Q1105/1440</x:f>
        <x:v>46303.52638888889</x:v>
      </x:c>
      <x:c r="S1105" s="2" t="str">
        <x:f>VLOOKUP(C1105,'MES orders'!$A$8:$H$127,6,FALSE)</x:f>
        <x:v>Normal</x:v>
      </x:c>
      <x:c r="T1105" s="9" t="str"/>
    </x:row>
    <x:row r="1106" ht="22" customHeight="1">
      <x:c r="A1106" s="2" t="str">
        <x:v>L00568-060</x:v>
      </x:c>
      <x:c r="B1106" s="2" t="str">
        <x:v>L00568</x:v>
      </x:c>
      <x:c r="C1106" s="2" t="str">
        <x:v>SO-26114</x:v>
      </x:c>
      <x:c r="D1106" s="2" t="str">
        <x:v>S-L-SS</x:v>
      </x:c>
      <x:c r="E1106" s="14" t="n">
        <x:v>5</x:v>
      </x:c>
      <x:c r="F1106" s="2" t="str">
        <x:v>Sensor calibration</x:v>
      </x:c>
      <x:c r="G1106" s="9" t="str">
        <x:v>CAL-01</x:v>
      </x:c>
      <x:c r="H1106" s="15" t="n">
        <x:v>48</x:v>
      </x:c>
      <x:c r="I1106" s="9" t="str">
        <x:v>P09</x:v>
      </x:c>
      <x:c r="J1106" s="11" t="n">
        <x:v>46303.51944444444</x:v>
      </x:c>
      <x:c r="K1106" s="15" t="n">
        <x:v>10</x:v>
      </x:c>
      <x:c r="L1106" s="15" t="n">
        <x:v>9</x:v>
      </x:c>
      <x:c r="M1106" s="13" t="n">
        <x:f>J1106+(K1106+L1106)/1440</x:f>
        <x:v>46303.532638888886</x:v>
      </x:c>
      <x:c r="N1106" s="13" t="n">
        <x:f>VLOOKUP(C1106,'MES orders'!$A$8:$H$127,5,FALSE)</x:f>
        <x:v>46303.666666666664</x:v>
      </x:c>
      <x:c r="O1106" s="16" t="n">
        <x:f>MAX(0,(M1106-N1106)*24)</x:f>
        <x:v>0</x:v>
      </x:c>
      <x:c r="P1106" s="9" t="str">
        <x:v>No</x:v>
      </x:c>
      <x:c r="Q1106" s="15" t="n">
        <x:v>19</x:v>
      </x:c>
      <x:c r="R1106" s="13" t="n">
        <x:f>J1106+Q1106/1440</x:f>
        <x:v>46303.532638888886</x:v>
      </x:c>
      <x:c r="S1106" s="2" t="str">
        <x:f>VLOOKUP(C1106,'MES orders'!$A$8:$H$127,6,FALSE)</x:f>
        <x:v>Normal</x:v>
      </x:c>
      <x:c r="T1106" s="9" t="str"/>
    </x:row>
    <x:row r="1107" ht="22" customHeight="1">
      <x:c r="A1107" s="2" t="str">
        <x:v>L00052-040</x:v>
      </x:c>
      <x:c r="B1107" s="2" t="str">
        <x:v>L00052</x:v>
      </x:c>
      <x:c r="C1107" s="2" t="str">
        <x:v>SO-26011</x:v>
      </x:c>
      <x:c r="D1107" s="2" t="str">
        <x:v>S-L-AL</x:v>
      </x:c>
      <x:c r="E1107" s="14" t="n">
        <x:v>20</x:v>
      </x:c>
      <x:c r="F1107" s="2" t="str">
        <x:v>Mechanical preassembly</x:v>
      </x:c>
      <x:c r="G1107" s="9" t="str">
        <x:v>AS-02</x:v>
      </x:c>
      <x:c r="H1107" s="15" t="n">
        <x:v>72</x:v>
      </x:c>
      <x:c r="I1107" s="9" t="str">
        <x:v>P04</x:v>
      </x:c>
      <x:c r="J1107" s="11" t="n">
        <x:v>46303.521527777775</x:v>
      </x:c>
      <x:c r="K1107" s="15" t="n">
        <x:v>6</x:v>
      </x:c>
      <x:c r="L1107" s="15" t="n">
        <x:v>30</x:v>
      </x:c>
      <x:c r="M1107" s="13" t="n">
        <x:f>J1107+(K1107+L1107)/1440</x:f>
        <x:v>46303.54652777778</x:v>
      </x:c>
      <x:c r="N1107" s="13" t="n">
        <x:f>VLOOKUP(C1107,'MES orders'!$A$8:$H$127,5,FALSE)</x:f>
        <x:v>46304.666666666664</x:v>
      </x:c>
      <x:c r="O1107" s="16" t="n">
        <x:f>MAX(0,(M1107-N1107)*24)</x:f>
        <x:v>0</x:v>
      </x:c>
      <x:c r="P1107" s="9" t="str">
        <x:v>No</x:v>
      </x:c>
      <x:c r="Q1107" s="15" t="n">
        <x:v>36</x:v>
      </x:c>
      <x:c r="R1107" s="13" t="n">
        <x:f>J1107+Q1107/1440</x:f>
        <x:v>46303.54652777778</x:v>
      </x:c>
      <x:c r="S1107" s="2" t="str">
        <x:f>VLOOKUP(C1107,'MES orders'!$A$8:$H$127,6,FALSE)</x:f>
        <x:v>Normal</x:v>
      </x:c>
      <x:c r="T1107" s="9" t="str"/>
    </x:row>
    <x:row r="1108" ht="22" customHeight="1">
      <x:c r="A1108" s="2" t="str">
        <x:v>L00053-030</x:v>
      </x:c>
      <x:c r="B1108" s="2" t="str">
        <x:v>L00053</x:v>
      </x:c>
      <x:c r="C1108" s="2" t="str">
        <x:v>SO-26011</x:v>
      </x:c>
      <x:c r="D1108" s="2" t="str">
        <x:v>S-L-AL</x:v>
      </x:c>
      <x:c r="E1108" s="14" t="n">
        <x:v>20</x:v>
      </x:c>
      <x:c r="F1108" s="2" t="str">
        <x:v>Wash &amp; dry</x:v>
      </x:c>
      <x:c r="G1108" s="9" t="str">
        <x:v>WS-01</x:v>
      </x:c>
      <x:c r="H1108" s="15" t="n">
        <x:v>104</x:v>
      </x:c>
      <x:c r="I1108" s="9" t="str">
        <x:v>P06</x:v>
      </x:c>
      <x:c r="J1108" s="11" t="n">
        <x:v>46303.521527777775</x:v>
      </x:c>
      <x:c r="K1108" s="15" t="n">
        <x:v>12</x:v>
      </x:c>
      <x:c r="L1108" s="15" t="n">
        <x:v>9</x:v>
      </x:c>
      <x:c r="M1108" s="13" t="n">
        <x:f>J1108+(K1108+L1108)/1440</x:f>
        <x:v>46303.536111111105</x:v>
      </x:c>
      <x:c r="N1108" s="13" t="n">
        <x:f>VLOOKUP(C1108,'MES orders'!$A$8:$H$127,5,FALSE)</x:f>
        <x:v>46304.666666666664</x:v>
      </x:c>
      <x:c r="O1108" s="16" t="n">
        <x:f>MAX(0,(M1108-N1108)*24)</x:f>
        <x:v>0</x:v>
      </x:c>
      <x:c r="P1108" s="9" t="str">
        <x:v>No</x:v>
      </x:c>
      <x:c r="Q1108" s="15" t="n">
        <x:v>21</x:v>
      </x:c>
      <x:c r="R1108" s="13" t="n">
        <x:f>J1108+Q1108/1440</x:f>
        <x:v>46303.536111111105</x:v>
      </x:c>
      <x:c r="S1108" s="2" t="str">
        <x:f>VLOOKUP(C1108,'MES orders'!$A$8:$H$127,6,FALSE)</x:f>
        <x:v>Normal</x:v>
      </x:c>
      <x:c r="T1108" s="9" t="str"/>
    </x:row>
    <x:row r="1109" ht="22" customHeight="1">
      <x:c r="A1109" s="2" t="str">
        <x:v>L00567-080</x:v>
      </x:c>
      <x:c r="B1109" s="2" t="str">
        <x:v>L00567</x:v>
      </x:c>
      <x:c r="C1109" s="2" t="str">
        <x:v>SO-26114</x:v>
      </x:c>
      <x:c r="D1109" s="2" t="str">
        <x:v>S-L-SS</x:v>
      </x:c>
      <x:c r="E1109" s="14" t="n">
        <x:v>5</x:v>
      </x:c>
      <x:c r="F1109" s="2" t="str">
        <x:v>Final leak / function test</x:v>
      </x:c>
      <x:c r="G1109" s="9" t="str">
        <x:v>QA-02</x:v>
      </x:c>
      <x:c r="H1109" s="15" t="n">
        <x:v>77</x:v>
      </x:c>
      <x:c r="I1109" s="9" t="str">
        <x:v>P11</x:v>
      </x:c>
      <x:c r="J1109" s="11" t="n">
        <x:v>46303.52638888889</x:v>
      </x:c>
      <x:c r="K1109" s="15" t="n">
        <x:v>10</x:v>
      </x:c>
      <x:c r="L1109" s="15" t="n">
        <x:v>6</x:v>
      </x:c>
      <x:c r="M1109" s="13" t="n">
        <x:f>J1109+(K1109+L1109)/1440</x:f>
        <x:v>46303.5375</x:v>
      </x:c>
      <x:c r="N1109" s="13" t="n">
        <x:f>VLOOKUP(C1109,'MES orders'!$A$8:$H$127,5,FALSE)</x:f>
        <x:v>46303.666666666664</x:v>
      </x:c>
      <x:c r="O1109" s="16" t="n">
        <x:f>MAX(0,(M1109-N1109)*24)</x:f>
        <x:v>0</x:v>
      </x:c>
      <x:c r="P1109" s="9" t="str">
        <x:v>No</x:v>
      </x:c>
      <x:c r="Q1109" s="15" t="n">
        <x:v>16</x:v>
      </x:c>
      <x:c r="R1109" s="13" t="n">
        <x:f>J1109+Q1109/1440</x:f>
        <x:v>46303.5375</x:v>
      </x:c>
      <x:c r="S1109" s="2" t="str">
        <x:f>VLOOKUP(C1109,'MES orders'!$A$8:$H$127,6,FALSE)</x:f>
        <x:v>Normal</x:v>
      </x:c>
      <x:c r="T1109" s="9" t="str"/>
    </x:row>
    <x:row r="1110" ht="22" customHeight="1">
      <x:c r="A1110" s="2" t="str">
        <x:v>L00253-010</x:v>
      </x:c>
      <x:c r="B1110" s="2" t="str">
        <x:v>L00253</x:v>
      </x:c>
      <x:c r="C1110" s="2" t="str">
        <x:v>SO-26051</x:v>
      </x:c>
      <x:c r="D1110" s="2" t="str">
        <x:v>R-S-AL</x:v>
      </x:c>
      <x:c r="E1110" s="14" t="n">
        <x:v>15</x:v>
      </x:c>
      <x:c r="F1110" s="2" t="str">
        <x:v>CNC machining</x:v>
      </x:c>
      <x:c r="G1110" s="9" t="str">
        <x:v>CNC-04</x:v>
      </x:c>
      <x:c r="H1110" s="15" t="n">
        <x:v>35</x:v>
      </x:c>
      <x:c r="I1110" s="9" t="str">
        <x:v>P03</x:v>
      </x:c>
      <x:c r="J1110" s="11" t="n">
        <x:v>46303.52847222222</x:v>
      </x:c>
      <x:c r="K1110" s="15" t="n">
        <x:v>18</x:v>
      </x:c>
      <x:c r="L1110" s="15" t="n">
        <x:v>36</x:v>
      </x:c>
      <x:c r="M1110" s="13" t="n">
        <x:f>J1110+(K1110+L1110)/1440</x:f>
        <x:v>46303.56597222222</x:v>
      </x:c>
      <x:c r="N1110" s="13" t="n">
        <x:f>VLOOKUP(C1110,'MES orders'!$A$8:$H$127,5,FALSE)</x:f>
        <x:v>46304.666666666664</x:v>
      </x:c>
      <x:c r="O1110" s="16" t="n">
        <x:f>MAX(0,(M1110-N1110)*24)</x:f>
        <x:v>0</x:v>
      </x:c>
      <x:c r="P1110" s="9" t="str">
        <x:v>No</x:v>
      </x:c>
      <x:c r="Q1110" s="15" t="n">
        <x:v>18</x:v>
      </x:c>
      <x:c r="R1110" s="13" t="n">
        <x:f>J1110+Q1110/1440</x:f>
        <x:v>46303.54097222222</x:v>
      </x:c>
      <x:c r="S1110" s="2" t="str">
        <x:f>VLOOKUP(C1110,'MES orders'!$A$8:$H$127,6,FALSE)</x:f>
        <x:v>Normal</x:v>
      </x:c>
      <x:c r="T1110" s="9" t="str"/>
    </x:row>
    <x:row r="1111" ht="22" customHeight="1">
      <x:c r="A1111" s="2" t="str">
        <x:v>L00172-020</x:v>
      </x:c>
      <x:c r="B1111" s="2" t="str">
        <x:v>L00172</x:v>
      </x:c>
      <x:c r="C1111" s="2" t="str">
        <x:v>SO-26035</x:v>
      </x:c>
      <x:c r="D1111" s="2" t="str">
        <x:v>D-L-AL</x:v>
      </x:c>
      <x:c r="E1111" s="14" t="n">
        <x:v>15</x:v>
      </x:c>
      <x:c r="F1111" s="2" t="str">
        <x:v>Deburr &amp; inspect</x:v>
      </x:c>
      <x:c r="G1111" s="9" t="str">
        <x:v>DB-01</x:v>
      </x:c>
      <x:c r="H1111" s="15" t="n">
        <x:v>107</x:v>
      </x:c>
      <x:c r="I1111" s="9" t="str">
        <x:v>P01</x:v>
      </x:c>
      <x:c r="J1111" s="11" t="n">
        <x:v>46303.52847222222</x:v>
      </x:c>
      <x:c r="K1111" s="15" t="n">
        <x:v>4</x:v>
      </x:c>
      <x:c r="L1111" s="15" t="n">
        <x:v>14</x:v>
      </x:c>
      <x:c r="M1111" s="13" t="n">
        <x:f>J1111+(K1111+L1111)/1440</x:f>
        <x:v>46303.54097222222</x:v>
      </x:c>
      <x:c r="N1111" s="13" t="n">
        <x:f>VLOOKUP(C1111,'MES orders'!$A$8:$H$127,5,FALSE)</x:f>
        <x:v>46304.666666666664</x:v>
      </x:c>
      <x:c r="O1111" s="16" t="n">
        <x:f>MAX(0,(M1111-N1111)*24)</x:f>
        <x:v>0</x:v>
      </x:c>
      <x:c r="P1111" s="9" t="str">
        <x:v>No</x:v>
      </x:c>
      <x:c r="Q1111" s="15" t="n">
        <x:v>18</x:v>
      </x:c>
      <x:c r="R1111" s="13" t="n">
        <x:f>J1111+Q1111/1440</x:f>
        <x:v>46303.54097222222</x:v>
      </x:c>
      <x:c r="S1111" s="2" t="str">
        <x:f>VLOOKUP(C1111,'MES orders'!$A$8:$H$127,6,FALSE)</x:f>
        <x:v>Normal</x:v>
      </x:c>
      <x:c r="T1111" s="9" t="str"/>
    </x:row>
    <x:row r="1112" ht="22" customHeight="1">
      <x:c r="A1112" s="2" t="str">
        <x:v>L00173-020</x:v>
      </x:c>
      <x:c r="B1112" s="2" t="str">
        <x:v>L00173</x:v>
      </x:c>
      <x:c r="C1112" s="2" t="str">
        <x:v>SO-26035</x:v>
      </x:c>
      <x:c r="D1112" s="2" t="str">
        <x:v>D-L-AL</x:v>
      </x:c>
      <x:c r="E1112" s="14" t="n">
        <x:v>15</x:v>
      </x:c>
      <x:c r="F1112" s="2" t="str">
        <x:v>Deburr &amp; inspect</x:v>
      </x:c>
      <x:c r="G1112" s="9" t="str">
        <x:v>DB-02</x:v>
      </x:c>
      <x:c r="H1112" s="15" t="n">
        <x:v>74</x:v>
      </x:c>
      <x:c r="I1112" s="9" t="str">
        <x:v>P02</x:v>
      </x:c>
      <x:c r="J1112" s="11" t="n">
        <x:v>46303.53055555555</x:v>
      </x:c>
      <x:c r="K1112" s="15" t="n">
        <x:v>4</x:v>
      </x:c>
      <x:c r="L1112" s="15" t="n">
        <x:v>14</x:v>
      </x:c>
      <x:c r="M1112" s="13" t="n">
        <x:f>J1112+(K1112+L1112)/1440</x:f>
        <x:v>46303.54305555555</x:v>
      </x:c>
      <x:c r="N1112" s="13" t="n">
        <x:f>VLOOKUP(C1112,'MES orders'!$A$8:$H$127,5,FALSE)</x:f>
        <x:v>46304.666666666664</x:v>
      </x:c>
      <x:c r="O1112" s="16" t="n">
        <x:f>MAX(0,(M1112-N1112)*24)</x:f>
        <x:v>0</x:v>
      </x:c>
      <x:c r="P1112" s="9" t="str">
        <x:v>No</x:v>
      </x:c>
      <x:c r="Q1112" s="15" t="n">
        <x:v>18</x:v>
      </x:c>
      <x:c r="R1112" s="13" t="n">
        <x:f>J1112+Q1112/1440</x:f>
        <x:v>46303.54305555555</x:v>
      </x:c>
      <x:c r="S1112" s="2" t="str">
        <x:f>VLOOKUP(C1112,'MES orders'!$A$8:$H$127,6,FALSE)</x:f>
        <x:v>Normal</x:v>
      </x:c>
      <x:c r="T1112" s="9" t="str"/>
    </x:row>
    <x:row r="1113" ht="22" customHeight="1">
      <x:c r="A1113" s="2" t="str">
        <x:v>L00568-070</x:v>
      </x:c>
      <x:c r="B1113" s="2" t="str">
        <x:v>L00568</x:v>
      </x:c>
      <x:c r="C1113" s="2" t="str">
        <x:v>SO-26114</x:v>
      </x:c>
      <x:c r="D1113" s="2" t="str">
        <x:v>S-L-SS</x:v>
      </x:c>
      <x:c r="E1113" s="14" t="n">
        <x:v>5</x:v>
      </x:c>
      <x:c r="F1113" s="2" t="str">
        <x:v>Final assembly</x:v>
      </x:c>
      <x:c r="G1113" s="9" t="str">
        <x:v>AS-01</x:v>
      </x:c>
      <x:c r="H1113" s="15" t="n">
        <x:v>89</x:v>
      </x:c>
      <x:c r="I1113" s="9" t="str">
        <x:v>P05</x:v>
      </x:c>
      <x:c r="J1113" s="11" t="n">
        <x:v>46303.532638888886</x:v>
      </x:c>
      <x:c r="K1113" s="15" t="n">
        <x:v>5</x:v>
      </x:c>
      <x:c r="L1113" s="15" t="n">
        <x:v>5</x:v>
      </x:c>
      <x:c r="M1113" s="13" t="n">
        <x:f>J1113+(K1113+L1113)/1440</x:f>
        <x:v>46303.53958333333</x:v>
      </x:c>
      <x:c r="N1113" s="13" t="n">
        <x:f>VLOOKUP(C1113,'MES orders'!$A$8:$H$127,5,FALSE)</x:f>
        <x:v>46303.666666666664</x:v>
      </x:c>
      <x:c r="O1113" s="16" t="n">
        <x:f>MAX(0,(M1113-N1113)*24)</x:f>
        <x:v>0</x:v>
      </x:c>
      <x:c r="P1113" s="9" t="str">
        <x:v>No</x:v>
      </x:c>
      <x:c r="Q1113" s="15" t="n">
        <x:v>10</x:v>
      </x:c>
      <x:c r="R1113" s="13" t="n">
        <x:f>J1113+Q1113/1440</x:f>
        <x:v>46303.53958333333</x:v>
      </x:c>
      <x:c r="S1113" s="2" t="str">
        <x:f>VLOOKUP(C1113,'MES orders'!$A$8:$H$127,6,FALSE)</x:f>
        <x:v>Normal</x:v>
      </x:c>
      <x:c r="T1113" s="9" t="str"/>
    </x:row>
    <x:row r="1114" ht="22" customHeight="1">
      <x:c r="A1114" s="2" t="str">
        <x:v>L00569-060</x:v>
      </x:c>
      <x:c r="B1114" s="2" t="str">
        <x:v>L00569</x:v>
      </x:c>
      <x:c r="C1114" s="2" t="str">
        <x:v>SO-26114</x:v>
      </x:c>
      <x:c r="D1114" s="2" t="str">
        <x:v>S-L-SS</x:v>
      </x:c>
      <x:c r="E1114" s="14" t="n">
        <x:v>5</x:v>
      </x:c>
      <x:c r="F1114" s="2" t="str">
        <x:v>Sensor calibration</x:v>
      </x:c>
      <x:c r="G1114" s="9" t="str">
        <x:v>CAL-01</x:v>
      </x:c>
      <x:c r="H1114" s="15" t="n">
        <x:v>49</x:v>
      </x:c>
      <x:c r="I1114" s="9" t="str">
        <x:v>P09</x:v>
      </x:c>
      <x:c r="J1114" s="11" t="n">
        <x:v>46303.532638888886</x:v>
      </x:c>
      <x:c r="K1114" s="15" t="n">
        <x:v>10</x:v>
      </x:c>
      <x:c r="L1114" s="15" t="n">
        <x:v>9</x:v>
      </x:c>
      <x:c r="M1114" s="13" t="n">
        <x:f>J1114+(K1114+L1114)/1440</x:f>
        <x:v>46303.54583333333</x:v>
      </x:c>
      <x:c r="N1114" s="13" t="n">
        <x:f>VLOOKUP(C1114,'MES orders'!$A$8:$H$127,5,FALSE)</x:f>
        <x:v>46303.666666666664</x:v>
      </x:c>
      <x:c r="O1114" s="16" t="n">
        <x:f>MAX(0,(M1114-N1114)*24)</x:f>
        <x:v>0</x:v>
      </x:c>
      <x:c r="P1114" s="9" t="str">
        <x:v>No</x:v>
      </x:c>
      <x:c r="Q1114" s="15" t="n">
        <x:v>19</x:v>
      </x:c>
      <x:c r="R1114" s="13" t="n">
        <x:f>J1114+Q1114/1440</x:f>
        <x:v>46303.54583333333</x:v>
      </x:c>
      <x:c r="S1114" s="2" t="str">
        <x:f>VLOOKUP(C1114,'MES orders'!$A$8:$H$127,6,FALSE)</x:f>
        <x:v>Normal</x:v>
      </x:c>
      <x:c r="T1114" s="9" t="str"/>
    </x:row>
    <x:row r="1115" ht="22" customHeight="1">
      <x:c r="A1115" s="2" t="str">
        <x:v>L00053-040</x:v>
      </x:c>
      <x:c r="B1115" s="2" t="str">
        <x:v>L00053</x:v>
      </x:c>
      <x:c r="C1115" s="2" t="str">
        <x:v>SO-26011</x:v>
      </x:c>
      <x:c r="D1115" s="2" t="str">
        <x:v>S-L-AL</x:v>
      </x:c>
      <x:c r="E1115" s="14" t="n">
        <x:v>20</x:v>
      </x:c>
      <x:c r="F1115" s="2" t="str">
        <x:v>Mechanical preassembly</x:v>
      </x:c>
      <x:c r="G1115" s="9" t="str">
        <x:v>AS-03</x:v>
      </x:c>
      <x:c r="H1115" s="15" t="n">
        <x:v>57</x:v>
      </x:c>
      <x:c r="I1115" s="9" t="str">
        <x:v>P06</x:v>
      </x:c>
      <x:c r="J1115" s="11" t="n">
        <x:v>46303.53611111111</x:v>
      </x:c>
      <x:c r="K1115" s="15" t="n">
        <x:v>6</x:v>
      </x:c>
      <x:c r="L1115" s="15" t="n">
        <x:v>30</x:v>
      </x:c>
      <x:c r="M1115" s="13" t="n">
        <x:f>J1115+(K1115+L1115)/1440</x:f>
        <x:v>46303.561111111114</x:v>
      </x:c>
      <x:c r="N1115" s="13" t="n">
        <x:f>VLOOKUP(C1115,'MES orders'!$A$8:$H$127,5,FALSE)</x:f>
        <x:v>46304.666666666664</x:v>
      </x:c>
      <x:c r="O1115" s="16" t="n">
        <x:f>MAX(0,(M1115-N1115)*24)</x:f>
        <x:v>0</x:v>
      </x:c>
      <x:c r="P1115" s="9" t="str">
        <x:v>No</x:v>
      </x:c>
      <x:c r="Q1115" s="15" t="n">
        <x:v>36</x:v>
      </x:c>
      <x:c r="R1115" s="13" t="n">
        <x:f>J1115+Q1115/1440</x:f>
        <x:v>46303.561111111114</x:v>
      </x:c>
      <x:c r="S1115" s="2" t="str">
        <x:f>VLOOKUP(C1115,'MES orders'!$A$8:$H$127,6,FALSE)</x:f>
        <x:v>Normal</x:v>
      </x:c>
      <x:c r="T1115" s="9" t="str"/>
    </x:row>
    <x:row r="1116" ht="22" customHeight="1">
      <x:c r="A1116" s="2" t="str">
        <x:v>L00568-080</x:v>
      </x:c>
      <x:c r="B1116" s="2" t="str">
        <x:v>L00568</x:v>
      </x:c>
      <x:c r="C1116" s="2" t="str">
        <x:v>SO-26114</x:v>
      </x:c>
      <x:c r="D1116" s="2" t="str">
        <x:v>S-L-SS</x:v>
      </x:c>
      <x:c r="E1116" s="14" t="n">
        <x:v>5</x:v>
      </x:c>
      <x:c r="F1116" s="2" t="str">
        <x:v>Final leak / function test</x:v>
      </x:c>
      <x:c r="G1116" s="9" t="str">
        <x:v>QA-02</x:v>
      </x:c>
      <x:c r="H1116" s="15" t="n">
        <x:v>78</x:v>
      </x:c>
      <x:c r="I1116" s="9" t="str">
        <x:v>P11</x:v>
      </x:c>
      <x:c r="J1116" s="11" t="n">
        <x:v>46303.53958333333</x:v>
      </x:c>
      <x:c r="K1116" s="15" t="n">
        <x:v>10</x:v>
      </x:c>
      <x:c r="L1116" s="15" t="n">
        <x:v>6</x:v>
      </x:c>
      <x:c r="M1116" s="13" t="n">
        <x:f>J1116+(K1116+L1116)/1440</x:f>
        <x:v>46303.55069444444</x:v>
      </x:c>
      <x:c r="N1116" s="13" t="n">
        <x:f>VLOOKUP(C1116,'MES orders'!$A$8:$H$127,5,FALSE)</x:f>
        <x:v>46303.666666666664</x:v>
      </x:c>
      <x:c r="O1116" s="16" t="n">
        <x:f>MAX(0,(M1116-N1116)*24)</x:f>
        <x:v>0</x:v>
      </x:c>
      <x:c r="P1116" s="9" t="str">
        <x:v>No</x:v>
      </x:c>
      <x:c r="Q1116" s="15" t="n">
        <x:v>16</x:v>
      </x:c>
      <x:c r="R1116" s="13" t="n">
        <x:f>J1116+Q1116/1440</x:f>
        <x:v>46303.55069444444</x:v>
      </x:c>
      <x:c r="S1116" s="2" t="str">
        <x:f>VLOOKUP(C1116,'MES orders'!$A$8:$H$127,6,FALSE)</x:f>
        <x:v>Normal</x:v>
      </x:c>
      <x:c r="T1116" s="9" t="str"/>
    </x:row>
    <x:row r="1117" ht="22" customHeight="1">
      <x:c r="A1117" s="2" t="str">
        <x:v>L00174-020</x:v>
      </x:c>
      <x:c r="B1117" s="2" t="str">
        <x:v>L00174</x:v>
      </x:c>
      <x:c r="C1117" s="2" t="str">
        <x:v>SO-26035</x:v>
      </x:c>
      <x:c r="D1117" s="2" t="str">
        <x:v>D-L-AL</x:v>
      </x:c>
      <x:c r="E1117" s="14" t="n">
        <x:v>15</x:v>
      </x:c>
      <x:c r="F1117" s="2" t="str">
        <x:v>Deburr &amp; inspect</x:v>
      </x:c>
      <x:c r="G1117" s="9" t="str">
        <x:v>DB-01</x:v>
      </x:c>
      <x:c r="H1117" s="15" t="n">
        <x:v>108</x:v>
      </x:c>
      <x:c r="I1117" s="9" t="str">
        <x:v>P03</x:v>
      </x:c>
      <x:c r="J1117" s="11" t="n">
        <x:v>46303.540972222225</x:v>
      </x:c>
      <x:c r="K1117" s="15" t="n">
        <x:v>4</x:v>
      </x:c>
      <x:c r="L1117" s="15" t="n">
        <x:v>14</x:v>
      </x:c>
      <x:c r="M1117" s="13" t="n">
        <x:f>J1117+(K1117+L1117)/1440</x:f>
        <x:v>46303.55347222222</x:v>
      </x:c>
      <x:c r="N1117" s="13" t="n">
        <x:f>VLOOKUP(C1117,'MES orders'!$A$8:$H$127,5,FALSE)</x:f>
        <x:v>46304.666666666664</x:v>
      </x:c>
      <x:c r="O1117" s="16" t="n">
        <x:f>MAX(0,(M1117-N1117)*24)</x:f>
        <x:v>0</x:v>
      </x:c>
      <x:c r="P1117" s="9" t="str">
        <x:v>No</x:v>
      </x:c>
      <x:c r="Q1117" s="15" t="n">
        <x:v>18</x:v>
      </x:c>
      <x:c r="R1117" s="13" t="n">
        <x:f>J1117+Q1117/1440</x:f>
        <x:v>46303.55347222222</x:v>
      </x:c>
      <x:c r="S1117" s="2" t="str">
        <x:f>VLOOKUP(C1117,'MES orders'!$A$8:$H$127,6,FALSE)</x:f>
        <x:v>Normal</x:v>
      </x:c>
      <x:c r="T1117" s="9" t="str"/>
    </x:row>
    <x:row r="1118" ht="22" customHeight="1">
      <x:c r="A1118" s="2" t="str">
        <x:v>L00173-030</x:v>
      </x:c>
      <x:c r="B1118" s="2" t="str">
        <x:v>L00173</x:v>
      </x:c>
      <x:c r="C1118" s="2" t="str">
        <x:v>SO-26035</x:v>
      </x:c>
      <x:c r="D1118" s="2" t="str">
        <x:v>D-L-AL</x:v>
      </x:c>
      <x:c r="E1118" s="14" t="n">
        <x:v>15</x:v>
      </x:c>
      <x:c r="F1118" s="2" t="str">
        <x:v>Wash &amp; dry</x:v>
      </x:c>
      <x:c r="G1118" s="9" t="str">
        <x:v>WS-01</x:v>
      </x:c>
      <x:c r="H1118" s="15" t="n">
        <x:v>105</x:v>
      </x:c>
      <x:c r="I1118" s="9" t="str">
        <x:v>P01</x:v>
      </x:c>
      <x:c r="J1118" s="11" t="n">
        <x:v>46303.54305555556</x:v>
      </x:c>
      <x:c r="K1118" s="15" t="n">
        <x:v>12</x:v>
      </x:c>
      <x:c r="L1118" s="15" t="n">
        <x:v>7</x:v>
      </x:c>
      <x:c r="M1118" s="13" t="n">
        <x:f>J1118+(K1118+L1118)/1440</x:f>
        <x:v>46303.55625</x:v>
      </x:c>
      <x:c r="N1118" s="13" t="n">
        <x:f>VLOOKUP(C1118,'MES orders'!$A$8:$H$127,5,FALSE)</x:f>
        <x:v>46304.666666666664</x:v>
      </x:c>
      <x:c r="O1118" s="16" t="n">
        <x:f>MAX(0,(M1118-N1118)*24)</x:f>
        <x:v>0</x:v>
      </x:c>
      <x:c r="P1118" s="9" t="str">
        <x:v>No</x:v>
      </x:c>
      <x:c r="Q1118" s="15" t="n">
        <x:v>19</x:v>
      </x:c>
      <x:c r="R1118" s="13" t="n">
        <x:f>J1118+Q1118/1440</x:f>
        <x:v>46303.55625</x:v>
      </x:c>
      <x:c r="S1118" s="2" t="str">
        <x:f>VLOOKUP(C1118,'MES orders'!$A$8:$H$127,6,FALSE)</x:f>
        <x:v>Normal</x:v>
      </x:c>
      <x:c r="T1118" s="9" t="str"/>
    </x:row>
    <x:row r="1119" ht="22" customHeight="1">
      <x:c r="A1119" s="2" t="str">
        <x:v>L00569-070</x:v>
      </x:c>
      <x:c r="B1119" s="2" t="str">
        <x:v>L00569</x:v>
      </x:c>
      <x:c r="C1119" s="2" t="str">
        <x:v>SO-26114</x:v>
      </x:c>
      <x:c r="D1119" s="2" t="str">
        <x:v>S-L-SS</x:v>
      </x:c>
      <x:c r="E1119" s="14" t="n">
        <x:v>5</x:v>
      </x:c>
      <x:c r="F1119" s="2" t="str">
        <x:v>Final assembly</x:v>
      </x:c>
      <x:c r="G1119" s="9" t="str">
        <x:v>AS-01</x:v>
      </x:c>
      <x:c r="H1119" s="15" t="n">
        <x:v>90</x:v>
      </x:c>
      <x:c r="I1119" s="9" t="str">
        <x:v>P05</x:v>
      </x:c>
      <x:c r="J1119" s="11" t="n">
        <x:v>46303.54583333333</x:v>
      </x:c>
      <x:c r="K1119" s="15" t="n">
        <x:v>5</x:v>
      </x:c>
      <x:c r="L1119" s="15" t="n">
        <x:v>5</x:v>
      </x:c>
      <x:c r="M1119" s="13" t="n">
        <x:f>J1119+(K1119+L1119)/1440</x:f>
        <x:v>46303.552777777775</x:v>
      </x:c>
      <x:c r="N1119" s="13" t="n">
        <x:f>VLOOKUP(C1119,'MES orders'!$A$8:$H$127,5,FALSE)</x:f>
        <x:v>46303.666666666664</x:v>
      </x:c>
      <x:c r="O1119" s="16" t="n">
        <x:f>MAX(0,(M1119-N1119)*24)</x:f>
        <x:v>0</x:v>
      </x:c>
      <x:c r="P1119" s="9" t="str">
        <x:v>No</x:v>
      </x:c>
      <x:c r="Q1119" s="15" t="n">
        <x:v>10</x:v>
      </x:c>
      <x:c r="R1119" s="13" t="n">
        <x:f>J1119+Q1119/1440</x:f>
        <x:v>46303.552777777775</x:v>
      </x:c>
      <x:c r="S1119" s="2" t="str">
        <x:f>VLOOKUP(C1119,'MES orders'!$A$8:$H$127,6,FALSE)</x:f>
        <x:v>Normal</x:v>
      </x:c>
      <x:c r="T1119" s="9" t="str"/>
    </x:row>
    <x:row r="1120" ht="22" customHeight="1">
      <x:c r="A1120" s="2" t="str">
        <x:v>L00570-060</x:v>
      </x:c>
      <x:c r="B1120" s="2" t="str">
        <x:v>L00570</x:v>
      </x:c>
      <x:c r="C1120" s="2" t="str">
        <x:v>SO-26114</x:v>
      </x:c>
      <x:c r="D1120" s="2" t="str">
        <x:v>S-L-SS</x:v>
      </x:c>
      <x:c r="E1120" s="14" t="n">
        <x:v>5</x:v>
      </x:c>
      <x:c r="F1120" s="2" t="str">
        <x:v>Sensor calibration</x:v>
      </x:c>
      <x:c r="G1120" s="9" t="str">
        <x:v>CAL-01</x:v>
      </x:c>
      <x:c r="H1120" s="15" t="n">
        <x:v>50</x:v>
      </x:c>
      <x:c r="I1120" s="9" t="str">
        <x:v>P09</x:v>
      </x:c>
      <x:c r="J1120" s="11" t="n">
        <x:v>46303.54583333333</x:v>
      </x:c>
      <x:c r="K1120" s="15" t="n">
        <x:v>10</x:v>
      </x:c>
      <x:c r="L1120" s="15" t="n">
        <x:v>9</x:v>
      </x:c>
      <x:c r="M1120" s="13" t="n">
        <x:f>J1120+(K1120+L1120)/1440</x:f>
        <x:v>46303.559027777774</x:v>
      </x:c>
      <x:c r="N1120" s="13" t="n">
        <x:f>VLOOKUP(C1120,'MES orders'!$A$8:$H$127,5,FALSE)</x:f>
        <x:v>46303.666666666664</x:v>
      </x:c>
      <x:c r="O1120" s="16" t="n">
        <x:f>MAX(0,(M1120-N1120)*24)</x:f>
        <x:v>0</x:v>
      </x:c>
      <x:c r="P1120" s="9" t="str">
        <x:v>No</x:v>
      </x:c>
      <x:c r="Q1120" s="15" t="n">
        <x:v>19</x:v>
      </x:c>
      <x:c r="R1120" s="13" t="n">
        <x:f>J1120+Q1120/1440</x:f>
        <x:v>46303.559027777774</x:v>
      </x:c>
      <x:c r="S1120" s="2" t="str">
        <x:f>VLOOKUP(C1120,'MES orders'!$A$8:$H$127,6,FALSE)</x:f>
        <x:v>Normal</x:v>
      </x:c>
      <x:c r="T1120" s="9" t="str"/>
    </x:row>
    <x:row r="1121" ht="22" customHeight="1">
      <x:c r="A1121" s="2" t="str">
        <x:v>L00054-040</x:v>
      </x:c>
      <x:c r="B1121" s="2" t="str">
        <x:v>L00054</x:v>
      </x:c>
      <x:c r="C1121" s="2" t="str">
        <x:v>SO-26011</x:v>
      </x:c>
      <x:c r="D1121" s="2" t="str">
        <x:v>S-L-AL</x:v>
      </x:c>
      <x:c r="E1121" s="14" t="n">
        <x:v>20</x:v>
      </x:c>
      <x:c r="F1121" s="2" t="str">
        <x:v>Mechanical preassembly</x:v>
      </x:c>
      <x:c r="G1121" s="9" t="str">
        <x:v>AS-02</x:v>
      </x:c>
      <x:c r="H1121" s="15" t="n">
        <x:v>73</x:v>
      </x:c>
      <x:c r="I1121" s="9" t="str">
        <x:v>P04</x:v>
      </x:c>
      <x:c r="J1121" s="11" t="n">
        <x:v>46303.54652777778</x:v>
      </x:c>
      <x:c r="K1121" s="15" t="n">
        <x:v>6</x:v>
      </x:c>
      <x:c r="L1121" s="15" t="n">
        <x:v>30</x:v>
      </x:c>
      <x:c r="M1121" s="13" t="n">
        <x:f>J1121+(K1121+L1121)/1440</x:f>
        <x:v>46303.57152777778</x:v>
      </x:c>
      <x:c r="N1121" s="13" t="n">
        <x:f>VLOOKUP(C1121,'MES orders'!$A$8:$H$127,5,FALSE)</x:f>
        <x:v>46304.666666666664</x:v>
      </x:c>
      <x:c r="O1121" s="16" t="n">
        <x:f>MAX(0,(M1121-N1121)*24)</x:f>
        <x:v>0</x:v>
      </x:c>
      <x:c r="P1121" s="9" t="str">
        <x:v>No</x:v>
      </x:c>
      <x:c r="Q1121" s="15" t="n">
        <x:v>36</x:v>
      </x:c>
      <x:c r="R1121" s="13" t="n">
        <x:f>J1121+Q1121/1440</x:f>
        <x:v>46303.57152777778</x:v>
      </x:c>
      <x:c r="S1121" s="2" t="str">
        <x:f>VLOOKUP(C1121,'MES orders'!$A$8:$H$127,6,FALSE)</x:f>
        <x:v>Normal</x:v>
      </x:c>
      <x:c r="T1121" s="9" t="str"/>
    </x:row>
    <x:row r="1122" ht="22" customHeight="1">
      <x:c r="A1122" s="2" t="str">
        <x:v>L00252-020</x:v>
      </x:c>
      <x:c r="B1122" s="2" t="str">
        <x:v>L00252</x:v>
      </x:c>
      <x:c r="C1122" s="2" t="str">
        <x:v>SO-26051</x:v>
      </x:c>
      <x:c r="D1122" s="2" t="str">
        <x:v>R-S-AL</x:v>
      </x:c>
      <x:c r="E1122" s="14" t="n">
        <x:v>15</x:v>
      </x:c>
      <x:c r="F1122" s="2" t="str">
        <x:v>Deburr &amp; inspect</x:v>
      </x:c>
      <x:c r="G1122" s="9" t="str">
        <x:v>DB-02</x:v>
      </x:c>
      <x:c r="H1122" s="15" t="n">
        <x:v>75</x:v>
      </x:c>
      <x:c r="I1122" s="9" t="str">
        <x:v>P08</x:v>
      </x:c>
      <x:c r="J1122" s="11" t="n">
        <x:v>46303.54652777778</x:v>
      </x:c>
      <x:c r="K1122" s="15" t="n">
        <x:v>4</x:v>
      </x:c>
      <x:c r="L1122" s="15" t="n">
        <x:v>10</x:v>
      </x:c>
      <x:c r="M1122" s="13" t="n">
        <x:f>J1122+(K1122+L1122)/1440</x:f>
        <x:v>46303.55625</x:v>
      </x:c>
      <x:c r="N1122" s="13" t="n">
        <x:f>VLOOKUP(C1122,'MES orders'!$A$8:$H$127,5,FALSE)</x:f>
        <x:v>46304.666666666664</x:v>
      </x:c>
      <x:c r="O1122" s="16" t="n">
        <x:f>MAX(0,(M1122-N1122)*24)</x:f>
        <x:v>0</x:v>
      </x:c>
      <x:c r="P1122" s="9" t="str">
        <x:v>No</x:v>
      </x:c>
      <x:c r="Q1122" s="15" t="n">
        <x:v>14</x:v>
      </x:c>
      <x:c r="R1122" s="13" t="n">
        <x:f>J1122+Q1122/1440</x:f>
        <x:v>46303.55625</x:v>
      </x:c>
      <x:c r="S1122" s="2" t="str">
        <x:f>VLOOKUP(C1122,'MES orders'!$A$8:$H$127,6,FALSE)</x:f>
        <x:v>Normal</x:v>
      </x:c>
      <x:c r="T1122" s="9" t="str"/>
    </x:row>
    <x:row r="1123" ht="22" customHeight="1">
      <x:c r="A1123" s="2" t="str">
        <x:v>L00052-050</x:v>
      </x:c>
      <x:c r="B1123" s="2" t="str">
        <x:v>L00052</x:v>
      </x:c>
      <x:c r="C1123" s="2" t="str">
        <x:v>SO-26011</x:v>
      </x:c>
      <x:c r="D1123" s="2" t="str">
        <x:v>S-L-AL</x:v>
      </x:c>
      <x:c r="E1123" s="14" t="n">
        <x:v>20</x:v>
      </x:c>
      <x:c r="F1123" s="2" t="str">
        <x:v>Sensor installation</x:v>
      </x:c>
      <x:c r="G1123" s="9" t="str">
        <x:v>EL-01</x:v>
      </x:c>
      <x:c r="H1123" s="15" t="n">
        <x:v>33</x:v>
      </x:c>
      <x:c r="I1123" s="9" t="str">
        <x:v>P07</x:v>
      </x:c>
      <x:c r="J1123" s="11" t="n">
        <x:v>46303.54652777778</x:v>
      </x:c>
      <x:c r="K1123" s="15" t="n">
        <x:v>8</x:v>
      </x:c>
      <x:c r="L1123" s="15" t="n">
        <x:v>32</x:v>
      </x:c>
      <x:c r="M1123" s="13" t="n">
        <x:f>J1123+(K1123+L1123)/1440</x:f>
        <x:v>46303.57430555556</x:v>
      </x:c>
      <x:c r="N1123" s="13" t="n">
        <x:f>VLOOKUP(C1123,'MES orders'!$A$8:$H$127,5,FALSE)</x:f>
        <x:v>46304.666666666664</x:v>
      </x:c>
      <x:c r="O1123" s="16" t="n">
        <x:f>MAX(0,(M1123-N1123)*24)</x:f>
        <x:v>0</x:v>
      </x:c>
      <x:c r="P1123" s="9" t="str">
        <x:v>No</x:v>
      </x:c>
      <x:c r="Q1123" s="15" t="n">
        <x:v>40</x:v>
      </x:c>
      <x:c r="R1123" s="13" t="n">
        <x:f>J1123+Q1123/1440</x:f>
        <x:v>46303.57430555556</x:v>
      </x:c>
      <x:c r="S1123" s="2" t="str">
        <x:f>VLOOKUP(C1123,'MES orders'!$A$8:$H$127,6,FALSE)</x:f>
        <x:v>Normal</x:v>
      </x:c>
      <x:c r="T1123" s="9" t="str"/>
    </x:row>
    <x:row r="1124" ht="22" customHeight="1">
      <x:c r="A1124" s="2" t="str">
        <x:v>L00569-080</x:v>
      </x:c>
      <x:c r="B1124" s="2" t="str">
        <x:v>L00569</x:v>
      </x:c>
      <x:c r="C1124" s="2" t="str">
        <x:v>SO-26114</x:v>
      </x:c>
      <x:c r="D1124" s="2" t="str">
        <x:v>S-L-SS</x:v>
      </x:c>
      <x:c r="E1124" s="14" t="n">
        <x:v>5</x:v>
      </x:c>
      <x:c r="F1124" s="2" t="str">
        <x:v>Final leak / function test</x:v>
      </x:c>
      <x:c r="G1124" s="9" t="str">
        <x:v>QA-02</x:v>
      </x:c>
      <x:c r="H1124" s="15" t="n">
        <x:v>79</x:v>
      </x:c>
      <x:c r="I1124" s="9" t="str">
        <x:v>P11</x:v>
      </x:c>
      <x:c r="J1124" s="11" t="n">
        <x:v>46303.552777777775</x:v>
      </x:c>
      <x:c r="K1124" s="15" t="n">
        <x:v>10</x:v>
      </x:c>
      <x:c r="L1124" s="15" t="n">
        <x:v>6</x:v>
      </x:c>
      <x:c r="M1124" s="13" t="n">
        <x:f>J1124+(K1124+L1124)/1440</x:f>
        <x:v>46303.563888888886</x:v>
      </x:c>
      <x:c r="N1124" s="13" t="n">
        <x:f>VLOOKUP(C1124,'MES orders'!$A$8:$H$127,5,FALSE)</x:f>
        <x:v>46303.666666666664</x:v>
      </x:c>
      <x:c r="O1124" s="16" t="n">
        <x:f>MAX(0,(M1124-N1124)*24)</x:f>
        <x:v>0</x:v>
      </x:c>
      <x:c r="P1124" s="9" t="str">
        <x:v>No</x:v>
      </x:c>
      <x:c r="Q1124" s="15" t="n">
        <x:v>16</x:v>
      </x:c>
      <x:c r="R1124" s="13" t="n">
        <x:f>J1124+Q1124/1440</x:f>
        <x:v>46303.563888888886</x:v>
      </x:c>
      <x:c r="S1124" s="2" t="str">
        <x:f>VLOOKUP(C1124,'MES orders'!$A$8:$H$127,6,FALSE)</x:f>
        <x:v>Normal</x:v>
      </x:c>
      <x:c r="T1124" s="9" t="str"/>
    </x:row>
    <x:row r="1125" ht="22" customHeight="1">
      <x:c r="A1125" s="2" t="str">
        <x:v>L00254-010</x:v>
      </x:c>
      <x:c r="B1125" s="2" t="str">
        <x:v>L00254</x:v>
      </x:c>
      <x:c r="C1125" s="2" t="str">
        <x:v>SO-26051</x:v>
      </x:c>
      <x:c r="D1125" s="2" t="str">
        <x:v>R-S-AL</x:v>
      </x:c>
      <x:c r="E1125" s="14" t="n">
        <x:v>15</x:v>
      </x:c>
      <x:c r="F1125" s="2" t="str">
        <x:v>CNC machining</x:v>
      </x:c>
      <x:c r="G1125" s="9" t="str">
        <x:v>CNC-01</x:v>
      </x:c>
      <x:c r="H1125" s="15" t="n">
        <x:v>37</x:v>
      </x:c>
      <x:c r="I1125" s="9" t="str">
        <x:v>P03</x:v>
      </x:c>
      <x:c r="J1125" s="11" t="n">
        <x:v>46303.55347222222</x:v>
      </x:c>
      <x:c r="K1125" s="15" t="n">
        <x:v>18</x:v>
      </x:c>
      <x:c r="L1125" s="15" t="n">
        <x:v>36</x:v>
      </x:c>
      <x:c r="M1125" s="13" t="n">
        <x:f>J1125+(K1125+L1125)/1440</x:f>
        <x:v>46303.59097222222</x:v>
      </x:c>
      <x:c r="N1125" s="13" t="n">
        <x:f>VLOOKUP(C1125,'MES orders'!$A$8:$H$127,5,FALSE)</x:f>
        <x:v>46304.666666666664</x:v>
      </x:c>
      <x:c r="O1125" s="16" t="n">
        <x:f>MAX(0,(M1125-N1125)*24)</x:f>
        <x:v>0</x:v>
      </x:c>
      <x:c r="P1125" s="9" t="str">
        <x:v>No</x:v>
      </x:c>
      <x:c r="Q1125" s="15" t="n">
        <x:v>18</x:v>
      </x:c>
      <x:c r="R1125" s="13" t="n">
        <x:f>J1125+Q1125/1440</x:f>
        <x:v>46303.56597222222</x:v>
      </x:c>
      <x:c r="S1125" s="2" t="str">
        <x:f>VLOOKUP(C1125,'MES orders'!$A$8:$H$127,6,FALSE)</x:f>
        <x:v>Normal</x:v>
      </x:c>
      <x:c r="T1125" s="9" t="str"/>
    </x:row>
    <x:row r="1126" ht="22" customHeight="1">
      <x:c r="A1126" s="2" t="str">
        <x:v>L00174-030</x:v>
      </x:c>
      <x:c r="B1126" s="2" t="str">
        <x:v>L00174</x:v>
      </x:c>
      <x:c r="C1126" s="2" t="str">
        <x:v>SO-26035</x:v>
      </x:c>
      <x:c r="D1126" s="2" t="str">
        <x:v>D-L-AL</x:v>
      </x:c>
      <x:c r="E1126" s="14" t="n">
        <x:v>15</x:v>
      </x:c>
      <x:c r="F1126" s="2" t="str">
        <x:v>Wash &amp; dry</x:v>
      </x:c>
      <x:c r="G1126" s="9" t="str">
        <x:v>WS-02</x:v>
      </x:c>
      <x:c r="H1126" s="15" t="n">
        <x:v>75</x:v>
      </x:c>
      <x:c r="I1126" s="9" t="str">
        <x:v>P02</x:v>
      </x:c>
      <x:c r="J1126" s="11" t="n">
        <x:v>46303.55347222222</x:v>
      </x:c>
      <x:c r="K1126" s="15" t="n">
        <x:v>12</x:v>
      </x:c>
      <x:c r="L1126" s="15" t="n">
        <x:v>7</x:v>
      </x:c>
      <x:c r="M1126" s="13" t="n">
        <x:f>J1126+(K1126+L1126)/1440</x:f>
        <x:v>46303.566666666666</x:v>
      </x:c>
      <x:c r="N1126" s="13" t="n">
        <x:f>VLOOKUP(C1126,'MES orders'!$A$8:$H$127,5,FALSE)</x:f>
        <x:v>46304.666666666664</x:v>
      </x:c>
      <x:c r="O1126" s="16" t="n">
        <x:f>MAX(0,(M1126-N1126)*24)</x:f>
        <x:v>0</x:v>
      </x:c>
      <x:c r="P1126" s="9" t="str">
        <x:v>No</x:v>
      </x:c>
      <x:c r="Q1126" s="15" t="n">
        <x:v>19</x:v>
      </x:c>
      <x:c r="R1126" s="13" t="n">
        <x:f>J1126+Q1126/1440</x:f>
        <x:v>46303.566666666666</x:v>
      </x:c>
      <x:c r="S1126" s="2" t="str">
        <x:f>VLOOKUP(C1126,'MES orders'!$A$8:$H$127,6,FALSE)</x:f>
        <x:v>Normal</x:v>
      </x:c>
      <x:c r="T1126" s="9" t="str"/>
    </x:row>
    <x:row r="1127" ht="22" customHeight="1">
      <x:c r="A1127" s="2" t="str">
        <x:v>L00570-070</x:v>
      </x:c>
      <x:c r="B1127" s="2" t="str">
        <x:v>L00570</x:v>
      </x:c>
      <x:c r="C1127" s="2" t="str">
        <x:v>SO-26114</x:v>
      </x:c>
      <x:c r="D1127" s="2" t="str">
        <x:v>S-L-SS</x:v>
      </x:c>
      <x:c r="E1127" s="14" t="n">
        <x:v>5</x:v>
      </x:c>
      <x:c r="F1127" s="2" t="str">
        <x:v>Final assembly</x:v>
      </x:c>
      <x:c r="G1127" s="9" t="str">
        <x:v>AS-01</x:v>
      </x:c>
      <x:c r="H1127" s="15" t="n">
        <x:v>91</x:v>
      </x:c>
      <x:c r="I1127" s="9" t="str">
        <x:v>P05</x:v>
      </x:c>
      <x:c r="J1127" s="11" t="n">
        <x:v>46303.55902777778</x:v>
      </x:c>
      <x:c r="K1127" s="15" t="n">
        <x:v>5</x:v>
      </x:c>
      <x:c r="L1127" s="15" t="n">
        <x:v>5</x:v>
      </x:c>
      <x:c r="M1127" s="13" t="n">
        <x:f>J1127+(K1127+L1127)/1440</x:f>
        <x:v>46303.565972222226</x:v>
      </x:c>
      <x:c r="N1127" s="13" t="n">
        <x:f>VLOOKUP(C1127,'MES orders'!$A$8:$H$127,5,FALSE)</x:f>
        <x:v>46303.666666666664</x:v>
      </x:c>
      <x:c r="O1127" s="16" t="n">
        <x:f>MAX(0,(M1127-N1127)*24)</x:f>
        <x:v>0</x:v>
      </x:c>
      <x:c r="P1127" s="9" t="str">
        <x:v>No</x:v>
      </x:c>
      <x:c r="Q1127" s="15" t="n">
        <x:v>10</x:v>
      </x:c>
      <x:c r="R1127" s="13" t="n">
        <x:f>J1127+Q1127/1440</x:f>
        <x:v>46303.565972222226</x:v>
      </x:c>
      <x:c r="S1127" s="2" t="str">
        <x:f>VLOOKUP(C1127,'MES orders'!$A$8:$H$127,6,FALSE)</x:f>
        <x:v>Normal</x:v>
      </x:c>
      <x:c r="T1127" s="9" t="str"/>
    </x:row>
    <x:row r="1128" ht="22" customHeight="1">
      <x:c r="A1128" s="2" t="str">
        <x:v>L00134-030</x:v>
      </x:c>
      <x:c r="B1128" s="2" t="str">
        <x:v>L00134</x:v>
      </x:c>
      <x:c r="C1128" s="2" t="str">
        <x:v>SO-26027</x:v>
      </x:c>
      <x:c r="D1128" s="2" t="str">
        <x:v>D-S-AL</x:v>
      </x:c>
      <x:c r="E1128" s="14" t="n">
        <x:v>15</x:v>
      </x:c>
      <x:c r="F1128" s="2" t="str">
        <x:v>Wash &amp; dry</x:v>
      </x:c>
      <x:c r="G1128" s="9" t="str">
        <x:v>WS-01</x:v>
      </x:c>
      <x:c r="H1128" s="15" t="n">
        <x:v>106</x:v>
      </x:c>
      <x:c r="I1128" s="9" t="str">
        <x:v>P06</x:v>
      </x:c>
      <x:c r="J1128" s="11" t="n">
        <x:v>46303.561111111114</x:v>
      </x:c>
      <x:c r="K1128" s="15" t="n">
        <x:v>12</x:v>
      </x:c>
      <x:c r="L1128" s="15" t="n">
        <x:v>5</x:v>
      </x:c>
      <x:c r="M1128" s="13" t="n">
        <x:f>J1128+(K1128+L1128)/1440</x:f>
        <x:v>46303.57291666667</x:v>
      </x:c>
      <x:c r="N1128" s="13" t="n">
        <x:f>VLOOKUP(C1128,'MES orders'!$A$8:$H$127,5,FALSE)</x:f>
        <x:v>46304.666666666664</x:v>
      </x:c>
      <x:c r="O1128" s="16" t="n">
        <x:f>MAX(0,(M1128-N1128)*24)</x:f>
        <x:v>0</x:v>
      </x:c>
      <x:c r="P1128" s="9" t="str">
        <x:v>No</x:v>
      </x:c>
      <x:c r="Q1128" s="15" t="n">
        <x:v>17</x:v>
      </x:c>
      <x:c r="R1128" s="13" t="n">
        <x:f>J1128+Q1128/1440</x:f>
        <x:v>46303.57291666667</x:v>
      </x:c>
      <x:c r="S1128" s="2" t="str">
        <x:f>VLOOKUP(C1128,'MES orders'!$A$8:$H$127,6,FALSE)</x:f>
        <x:v>Normal</x:v>
      </x:c>
      <x:c r="T1128" s="9" t="str"/>
    </x:row>
    <x:row r="1129" ht="22" customHeight="1">
      <x:c r="A1129" s="2" t="str">
        <x:v>L00255-010</x:v>
      </x:c>
      <x:c r="B1129" s="2" t="str">
        <x:v>L00255</x:v>
      </x:c>
      <x:c r="C1129" s="2" t="str">
        <x:v>SO-26051</x:v>
      </x:c>
      <x:c r="D1129" s="2" t="str">
        <x:v>R-S-AL</x:v>
      </x:c>
      <x:c r="E1129" s="14" t="n">
        <x:v>15</x:v>
      </x:c>
      <x:c r="F1129" s="2" t="str">
        <x:v>CNC machining</x:v>
      </x:c>
      <x:c r="G1129" s="9" t="str">
        <x:v>CNC-02</x:v>
      </x:c>
      <x:c r="H1129" s="15" t="n">
        <x:v>25</x:v>
      </x:c>
      <x:c r="I1129" s="9" t="str">
        <x:v>P03</x:v>
      </x:c>
      <x:c r="J1129" s="11" t="n">
        <x:v>46303.56597222222</x:v>
      </x:c>
      <x:c r="K1129" s="15" t="n">
        <x:v>18</x:v>
      </x:c>
      <x:c r="L1129" s="15" t="n">
        <x:v>36</x:v>
      </x:c>
      <x:c r="M1129" s="13" t="n">
        <x:f>J1129+(K1129+L1129)/1440</x:f>
        <x:v>46303.60347222222</x:v>
      </x:c>
      <x:c r="N1129" s="13" t="n">
        <x:f>VLOOKUP(C1129,'MES orders'!$A$8:$H$127,5,FALSE)</x:f>
        <x:v>46304.666666666664</x:v>
      </x:c>
      <x:c r="O1129" s="16" t="n">
        <x:f>MAX(0,(M1129-N1129)*24)</x:f>
        <x:v>0</x:v>
      </x:c>
      <x:c r="P1129" s="9" t="str">
        <x:v>No</x:v>
      </x:c>
      <x:c r="Q1129" s="15" t="n">
        <x:v>18</x:v>
      </x:c>
      <x:c r="R1129" s="13" t="n">
        <x:f>J1129+Q1129/1440</x:f>
        <x:v>46303.578472222216</x:v>
      </x:c>
      <x:c r="S1129" s="2" t="str">
        <x:f>VLOOKUP(C1129,'MES orders'!$A$8:$H$127,6,FALSE)</x:f>
        <x:v>Normal</x:v>
      </x:c>
      <x:c r="T1129" s="9" t="str"/>
    </x:row>
    <x:row r="1130" ht="22" customHeight="1">
      <x:c r="A1130" s="2" t="str">
        <x:v>L00135-020</x:v>
      </x:c>
      <x:c r="B1130" s="2" t="str">
        <x:v>L00135</x:v>
      </x:c>
      <x:c r="C1130" s="2" t="str">
        <x:v>SO-26027</x:v>
      </x:c>
      <x:c r="D1130" s="2" t="str">
        <x:v>D-S-AL</x:v>
      </x:c>
      <x:c r="E1130" s="14" t="n">
        <x:v>15</x:v>
      </x:c>
      <x:c r="F1130" s="2" t="str">
        <x:v>Deburr &amp; inspect</x:v>
      </x:c>
      <x:c r="G1130" s="9" t="str">
        <x:v>DB-01</x:v>
      </x:c>
      <x:c r="H1130" s="15" t="n">
        <x:v>109</x:v>
      </x:c>
      <x:c r="I1130" s="9" t="str">
        <x:v>P05</x:v>
      </x:c>
      <x:c r="J1130" s="11" t="n">
        <x:v>46303.56597222222</x:v>
      </x:c>
      <x:c r="K1130" s="15" t="n">
        <x:v>4</x:v>
      </x:c>
      <x:c r="L1130" s="15" t="n">
        <x:v>10</x:v>
      </x:c>
      <x:c r="M1130" s="13" t="n">
        <x:f>J1130+(K1130+L1130)/1440</x:f>
        <x:v>46303.575694444444</x:v>
      </x:c>
      <x:c r="N1130" s="13" t="n">
        <x:f>VLOOKUP(C1130,'MES orders'!$A$8:$H$127,5,FALSE)</x:f>
        <x:v>46304.666666666664</x:v>
      </x:c>
      <x:c r="O1130" s="16" t="n">
        <x:f>MAX(0,(M1130-N1130)*24)</x:f>
        <x:v>0</x:v>
      </x:c>
      <x:c r="P1130" s="9" t="str">
        <x:v>No</x:v>
      </x:c>
      <x:c r="Q1130" s="15" t="n">
        <x:v>14</x:v>
      </x:c>
      <x:c r="R1130" s="13" t="n">
        <x:f>J1130+Q1130/1440</x:f>
        <x:v>46303.575694444444</x:v>
      </x:c>
      <x:c r="S1130" s="2" t="str">
        <x:f>VLOOKUP(C1130,'MES orders'!$A$8:$H$127,6,FALSE)</x:f>
        <x:v>Normal</x:v>
      </x:c>
      <x:c r="T1130" s="9" t="str"/>
    </x:row>
    <x:row r="1131" ht="22" customHeight="1">
      <x:c r="A1131" s="2" t="str">
        <x:v>L00570-080</x:v>
      </x:c>
      <x:c r="B1131" s="2" t="str">
        <x:v>L00570</x:v>
      </x:c>
      <x:c r="C1131" s="2" t="str">
        <x:v>SO-26114</x:v>
      </x:c>
      <x:c r="D1131" s="2" t="str">
        <x:v>S-L-SS</x:v>
      </x:c>
      <x:c r="E1131" s="14" t="n">
        <x:v>5</x:v>
      </x:c>
      <x:c r="F1131" s="2" t="str">
        <x:v>Final leak / function test</x:v>
      </x:c>
      <x:c r="G1131" s="9" t="str">
        <x:v>QA-02</x:v>
      </x:c>
      <x:c r="H1131" s="15" t="n">
        <x:v>80</x:v>
      </x:c>
      <x:c r="I1131" s="9" t="str">
        <x:v>P11</x:v>
      </x:c>
      <x:c r="J1131" s="11" t="n">
        <x:v>46303.56597222222</x:v>
      </x:c>
      <x:c r="K1131" s="15" t="n">
        <x:v>10</x:v>
      </x:c>
      <x:c r="L1131" s="15" t="n">
        <x:v>6</x:v>
      </x:c>
      <x:c r="M1131" s="13" t="n">
        <x:f>J1131+(K1131+L1131)/1440</x:f>
        <x:v>46303.57708333333</x:v>
      </x:c>
      <x:c r="N1131" s="13" t="n">
        <x:f>VLOOKUP(C1131,'MES orders'!$A$8:$H$127,5,FALSE)</x:f>
        <x:v>46303.666666666664</x:v>
      </x:c>
      <x:c r="O1131" s="16" t="n">
        <x:f>MAX(0,(M1131-N1131)*24)</x:f>
        <x:v>0</x:v>
      </x:c>
      <x:c r="P1131" s="9" t="str">
        <x:v>No</x:v>
      </x:c>
      <x:c r="Q1131" s="15" t="n">
        <x:v>16</x:v>
      </x:c>
      <x:c r="R1131" s="13" t="n">
        <x:f>J1131+Q1131/1440</x:f>
        <x:v>46303.57708333333</x:v>
      </x:c>
      <x:c r="S1131" s="2" t="str">
        <x:f>VLOOKUP(C1131,'MES orders'!$A$8:$H$127,6,FALSE)</x:f>
        <x:v>Normal</x:v>
      </x:c>
      <x:c r="T1131" s="9" t="str"/>
    </x:row>
    <x:row r="1132" ht="22" customHeight="1">
      <x:c r="A1132" s="2" t="str">
        <x:v>L00291-010</x:v>
      </x:c>
      <x:c r="B1132" s="2" t="str">
        <x:v>L00291</x:v>
      </x:c>
      <x:c r="C1132" s="2" t="str">
        <x:v>SO-26059</x:v>
      </x:c>
      <x:c r="D1132" s="2" t="str">
        <x:v>R-L-AL</x:v>
      </x:c>
      <x:c r="E1132" s="14" t="n">
        <x:v>15</x:v>
      </x:c>
      <x:c r="F1132" s="2" t="str">
        <x:v>CNC machining</x:v>
      </x:c>
      <x:c r="G1132" s="9" t="str">
        <x:v>CNC-03</x:v>
      </x:c>
      <x:c r="H1132" s="15" t="n">
        <x:v>35</x:v>
      </x:c>
      <x:c r="I1132" s="9" t="str">
        <x:v>P02</x:v>
      </x:c>
      <x:c r="J1132" s="11" t="n">
        <x:v>46303.566666666666</x:v>
      </x:c>
      <x:c r="K1132" s="15" t="n">
        <x:v>18</x:v>
      </x:c>
      <x:c r="L1132" s="15" t="n">
        <x:v>49</x:v>
      </x:c>
      <x:c r="M1132" s="13" t="n">
        <x:f>J1132+(K1132+L1132)/1440</x:f>
        <x:v>46303.61319444444</x:v>
      </x:c>
      <x:c r="N1132" s="13" t="n">
        <x:f>VLOOKUP(C1132,'MES orders'!$A$8:$H$127,5,FALSE)</x:f>
        <x:v>46304.666666666664</x:v>
      </x:c>
      <x:c r="O1132" s="16" t="n">
        <x:f>MAX(0,(M1132-N1132)*24)</x:f>
        <x:v>0</x:v>
      </x:c>
      <x:c r="P1132" s="9" t="str">
        <x:v>No</x:v>
      </x:c>
      <x:c r="Q1132" s="15" t="n">
        <x:v>18</x:v>
      </x:c>
      <x:c r="R1132" s="13" t="n">
        <x:f>J1132+Q1132/1440</x:f>
        <x:v>46303.57916666666</x:v>
      </x:c>
      <x:c r="S1132" s="2" t="str">
        <x:f>VLOOKUP(C1132,'MES orders'!$A$8:$H$127,6,FALSE)</x:f>
        <x:v>Normal</x:v>
      </x:c>
      <x:c r="T1132" s="9" t="str"/>
    </x:row>
    <x:row r="1133" ht="22" customHeight="1">
      <x:c r="A1133" s="2" t="str">
        <x:v>L00252-030</x:v>
      </x:c>
      <x:c r="B1133" s="2" t="str">
        <x:v>L00252</x:v>
      </x:c>
      <x:c r="C1133" s="2" t="str">
        <x:v>SO-26051</x:v>
      </x:c>
      <x:c r="D1133" s="2" t="str">
        <x:v>R-S-AL</x:v>
      </x:c>
      <x:c r="E1133" s="14" t="n">
        <x:v>15</x:v>
      </x:c>
      <x:c r="F1133" s="2" t="str">
        <x:v>Wash &amp; dry</x:v>
      </x:c>
      <x:c r="G1133" s="9" t="str">
        <x:v>WS-02</x:v>
      </x:c>
      <x:c r="H1133" s="15" t="n">
        <x:v>76</x:v>
      </x:c>
      <x:c r="I1133" s="9" t="str">
        <x:v>P01</x:v>
      </x:c>
      <x:c r="J1133" s="11" t="n">
        <x:v>46303.566666666666</x:v>
      </x:c>
      <x:c r="K1133" s="15" t="n">
        <x:v>12</x:v>
      </x:c>
      <x:c r="L1133" s="15" t="n">
        <x:v>5</x:v>
      </x:c>
      <x:c r="M1133" s="13" t="n">
        <x:f>J1133+(K1133+L1133)/1440</x:f>
        <x:v>46303.57847222222</x:v>
      </x:c>
      <x:c r="N1133" s="13" t="n">
        <x:f>VLOOKUP(C1133,'MES orders'!$A$8:$H$127,5,FALSE)</x:f>
        <x:v>46304.666666666664</x:v>
      </x:c>
      <x:c r="O1133" s="16" t="n">
        <x:f>MAX(0,(M1133-N1133)*24)</x:f>
        <x:v>0</x:v>
      </x:c>
      <x:c r="P1133" s="9" t="str">
        <x:v>No</x:v>
      </x:c>
      <x:c r="Q1133" s="15" t="n">
        <x:v>17</x:v>
      </x:c>
      <x:c r="R1133" s="13" t="n">
        <x:f>J1133+Q1133/1440</x:f>
        <x:v>46303.57847222222</x:v>
      </x:c>
      <x:c r="S1133" s="2" t="str">
        <x:f>VLOOKUP(C1133,'MES orders'!$A$8:$H$127,6,FALSE)</x:f>
        <x:v>Normal</x:v>
      </x:c>
      <x:c r="T1133" s="9" t="str"/>
    </x:row>
    <x:row r="1134" ht="22" customHeight="1">
      <x:c r="A1134" s="2" t="str">
        <x:v>L00251-020</x:v>
      </x:c>
      <x:c r="B1134" s="2" t="str">
        <x:v>L00251</x:v>
      </x:c>
      <x:c r="C1134" s="2" t="str">
        <x:v>SO-26051</x:v>
      </x:c>
      <x:c r="D1134" s="2" t="str">
        <x:v>R-S-AL</x:v>
      </x:c>
      <x:c r="E1134" s="14" t="n">
        <x:v>15</x:v>
      </x:c>
      <x:c r="F1134" s="2" t="str">
        <x:v>Deburr &amp; inspect</x:v>
      </x:c>
      <x:c r="G1134" s="9" t="str">
        <x:v>DB-02</x:v>
      </x:c>
      <x:c r="H1134" s="15" t="n">
        <x:v>76</x:v>
      </x:c>
      <x:c r="I1134" s="9" t="str">
        <x:v>P04</x:v>
      </x:c>
      <x:c r="J1134" s="11" t="n">
        <x:v>46303.57152777778</x:v>
      </x:c>
      <x:c r="K1134" s="15" t="n">
        <x:v>4</x:v>
      </x:c>
      <x:c r="L1134" s="15" t="n">
        <x:v>10</x:v>
      </x:c>
      <x:c r="M1134" s="13" t="n">
        <x:f>J1134+(K1134+L1134)/1440</x:f>
        <x:v>46303.58125</x:v>
      </x:c>
      <x:c r="N1134" s="13" t="n">
        <x:f>VLOOKUP(C1134,'MES orders'!$A$8:$H$127,5,FALSE)</x:f>
        <x:v>46304.666666666664</x:v>
      </x:c>
      <x:c r="O1134" s="16" t="n">
        <x:f>MAX(0,(M1134-N1134)*24)</x:f>
        <x:v>0</x:v>
      </x:c>
      <x:c r="P1134" s="9" t="str">
        <x:v>No</x:v>
      </x:c>
      <x:c r="Q1134" s="15" t="n">
        <x:v>14</x:v>
      </x:c>
      <x:c r="R1134" s="13" t="n">
        <x:f>J1134+Q1134/1440</x:f>
        <x:v>46303.58125</x:v>
      </x:c>
      <x:c r="S1134" s="2" t="str">
        <x:f>VLOOKUP(C1134,'MES orders'!$A$8:$H$127,6,FALSE)</x:f>
        <x:v>Normal</x:v>
      </x:c>
      <x:c r="T1134" s="9" t="str"/>
    </x:row>
    <x:row r="1135" ht="22" customHeight="1">
      <x:c r="A1135" s="2" t="str">
        <x:v>L00134-040</x:v>
      </x:c>
      <x:c r="B1135" s="2" t="str">
        <x:v>L00134</x:v>
      </x:c>
      <x:c r="C1135" s="2" t="str">
        <x:v>SO-26027</x:v>
      </x:c>
      <x:c r="D1135" s="2" t="str">
        <x:v>D-S-AL</x:v>
      </x:c>
      <x:c r="E1135" s="14" t="n">
        <x:v>15</x:v>
      </x:c>
      <x:c r="F1135" s="2" t="str">
        <x:v>Mechanical assembly</x:v>
      </x:c>
      <x:c r="G1135" s="9" t="str">
        <x:v>AS-01</x:v>
      </x:c>
      <x:c r="H1135" s="15" t="n">
        <x:v>92</x:v>
      </x:c>
      <x:c r="I1135" s="9" t="str">
        <x:v>P16</x:v>
      </x:c>
      <x:c r="J1135" s="11" t="n">
        <x:v>46303.583333333336</x:v>
      </x:c>
      <x:c r="K1135" s="15" t="n">
        <x:v>8</x:v>
      </x:c>
      <x:c r="L1135" s="15" t="n">
        <x:v>27</x:v>
      </x:c>
      <x:c r="M1135" s="13" t="n">
        <x:f>J1135+(K1135+L1135)/1440</x:f>
        <x:v>46303.60763888889</x:v>
      </x:c>
      <x:c r="N1135" s="13" t="n">
        <x:f>VLOOKUP(C1135,'MES orders'!$A$8:$H$127,5,FALSE)</x:f>
        <x:v>46304.666666666664</x:v>
      </x:c>
      <x:c r="O1135" s="16" t="n">
        <x:f>MAX(0,(M1135-N1135)*24)</x:f>
        <x:v>0</x:v>
      </x:c>
      <x:c r="P1135" s="9" t="str">
        <x:v>No</x:v>
      </x:c>
      <x:c r="Q1135" s="15" t="n">
        <x:v>35</x:v>
      </x:c>
      <x:c r="R1135" s="13" t="n">
        <x:f>J1135+Q1135/1440</x:f>
        <x:v>46303.60763888889</x:v>
      </x:c>
      <x:c r="S1135" s="2" t="str">
        <x:f>VLOOKUP(C1135,'MES orders'!$A$8:$H$127,6,FALSE)</x:f>
        <x:v>Normal</x:v>
      </x:c>
      <x:c r="T1135" s="9" t="str"/>
    </x:row>
    <x:row r="1136" ht="22" customHeight="1">
      <x:c r="A1136" s="2" t="str">
        <x:v>L00252-040</x:v>
      </x:c>
      <x:c r="B1136" s="2" t="str">
        <x:v>L00252</x:v>
      </x:c>
      <x:c r="C1136" s="2" t="str">
        <x:v>SO-26051</x:v>
      </x:c>
      <x:c r="D1136" s="2" t="str">
        <x:v>R-S-AL</x:v>
      </x:c>
      <x:c r="E1136" s="14" t="n">
        <x:v>15</x:v>
      </x:c>
      <x:c r="F1136" s="2" t="str">
        <x:v>Mechanical assembly</x:v>
      </x:c>
      <x:c r="G1136" s="9" t="str">
        <x:v>AS-04</x:v>
      </x:c>
      <x:c r="H1136" s="15" t="n">
        <x:v>38</x:v>
      </x:c>
      <x:c r="I1136" s="9" t="str">
        <x:v>P14</x:v>
      </x:c>
      <x:c r="J1136" s="11" t="n">
        <x:v>46303.583333333336</x:v>
      </x:c>
      <x:c r="K1136" s="15" t="n">
        <x:v>8</x:v>
      </x:c>
      <x:c r="L1136" s="15" t="n">
        <x:v>27</x:v>
      </x:c>
      <x:c r="M1136" s="13" t="n">
        <x:f>J1136+(K1136+L1136)/1440</x:f>
        <x:v>46303.60763888889</x:v>
      </x:c>
      <x:c r="N1136" s="13" t="n">
        <x:f>VLOOKUP(C1136,'MES orders'!$A$8:$H$127,5,FALSE)</x:f>
        <x:v>46304.666666666664</x:v>
      </x:c>
      <x:c r="O1136" s="16" t="n">
        <x:f>MAX(0,(M1136-N1136)*24)</x:f>
        <x:v>0</x:v>
      </x:c>
      <x:c r="P1136" s="9" t="str">
        <x:v>No</x:v>
      </x:c>
      <x:c r="Q1136" s="15" t="n">
        <x:v>35</x:v>
      </x:c>
      <x:c r="R1136" s="13" t="n">
        <x:f>J1136+Q1136/1440</x:f>
        <x:v>46303.60763888889</x:v>
      </x:c>
      <x:c r="S1136" s="2" t="str">
        <x:f>VLOOKUP(C1136,'MES orders'!$A$8:$H$127,6,FALSE)</x:f>
        <x:v>Normal</x:v>
      </x:c>
      <x:c r="T1136" s="9" t="str"/>
    </x:row>
    <x:row r="1137" ht="22" customHeight="1">
      <x:c r="A1137" s="2" t="str">
        <x:v>L00051-060</x:v>
      </x:c>
      <x:c r="B1137" s="2" t="str">
        <x:v>L00051</x:v>
      </x:c>
      <x:c r="C1137" s="2" t="str">
        <x:v>SO-26011</x:v>
      </x:c>
      <x:c r="D1137" s="2" t="str">
        <x:v>S-L-AL</x:v>
      </x:c>
      <x:c r="E1137" s="14" t="n">
        <x:v>20</x:v>
      </x:c>
      <x:c r="F1137" s="2" t="str">
        <x:v>Sensor calibration</x:v>
      </x:c>
      <x:c r="G1137" s="9" t="str">
        <x:v>CAL-01</x:v>
      </x:c>
      <x:c r="H1137" s="15" t="n">
        <x:v>51</x:v>
      </x:c>
      <x:c r="I1137" s="9" t="str">
        <x:v>P21</x:v>
      </x:c>
      <x:c r="J1137" s="11" t="n">
        <x:v>46303.583333333336</x:v>
      </x:c>
      <x:c r="K1137" s="15" t="n">
        <x:v>10</x:v>
      </x:c>
      <x:c r="L1137" s="15" t="n">
        <x:v>35</x:v>
      </x:c>
      <x:c r="M1137" s="13" t="n">
        <x:f>J1137+(K1137+L1137)/1440</x:f>
        <x:v>46303.614583333336</x:v>
      </x:c>
      <x:c r="N1137" s="13" t="n">
        <x:f>VLOOKUP(C1137,'MES orders'!$A$8:$H$127,5,FALSE)</x:f>
        <x:v>46304.666666666664</x:v>
      </x:c>
      <x:c r="O1137" s="16" t="n">
        <x:f>MAX(0,(M1137-N1137)*24)</x:f>
        <x:v>0</x:v>
      </x:c>
      <x:c r="P1137" s="9" t="str">
        <x:v>No</x:v>
      </x:c>
      <x:c r="Q1137" s="15" t="n">
        <x:v>45</x:v>
      </x:c>
      <x:c r="R1137" s="13" t="n">
        <x:f>J1137+Q1137/1440</x:f>
        <x:v>46303.614583333336</x:v>
      </x:c>
      <x:c r="S1137" s="2" t="str">
        <x:f>VLOOKUP(C1137,'MES orders'!$A$8:$H$127,6,FALSE)</x:f>
        <x:v>Normal</x:v>
      </x:c>
      <x:c r="T1137" s="9" t="str"/>
    </x:row>
    <x:row r="1138" ht="22" customHeight="1">
      <x:c r="A1138" s="2" t="str">
        <x:v>L00053-050</x:v>
      </x:c>
      <x:c r="B1138" s="2" t="str">
        <x:v>L00053</x:v>
      </x:c>
      <x:c r="C1138" s="2" t="str">
        <x:v>SO-26011</x:v>
      </x:c>
      <x:c r="D1138" s="2" t="str">
        <x:v>S-L-AL</x:v>
      </x:c>
      <x:c r="E1138" s="14" t="n">
        <x:v>20</x:v>
      </x:c>
      <x:c r="F1138" s="2" t="str">
        <x:v>Sensor installation</x:v>
      </x:c>
      <x:c r="G1138" s="9" t="str">
        <x:v>EL-01</x:v>
      </x:c>
      <x:c r="H1138" s="15" t="n">
        <x:v>34</x:v>
      </x:c>
      <x:c r="I1138" s="9" t="str">
        <x:v>P19</x:v>
      </x:c>
      <x:c r="J1138" s="11" t="n">
        <x:v>46303.583333333336</x:v>
      </x:c>
      <x:c r="K1138" s="15" t="n">
        <x:v>8</x:v>
      </x:c>
      <x:c r="L1138" s="15" t="n">
        <x:v>32</x:v>
      </x:c>
      <x:c r="M1138" s="13" t="n">
        <x:f>J1138+(K1138+L1138)/1440</x:f>
        <x:v>46303.61111111112</x:v>
      </x:c>
      <x:c r="N1138" s="13" t="n">
        <x:f>VLOOKUP(C1138,'MES orders'!$A$8:$H$127,5,FALSE)</x:f>
        <x:v>46304.666666666664</x:v>
      </x:c>
      <x:c r="O1138" s="16" t="n">
        <x:f>MAX(0,(M1138-N1138)*24)</x:f>
        <x:v>0</x:v>
      </x:c>
      <x:c r="P1138" s="9" t="str">
        <x:v>No</x:v>
      </x:c>
      <x:c r="Q1138" s="15" t="n">
        <x:v>40</x:v>
      </x:c>
      <x:c r="R1138" s="13" t="n">
        <x:f>J1138+Q1138/1440</x:f>
        <x:v>46303.61111111112</x:v>
      </x:c>
      <x:c r="S1138" s="2" t="str">
        <x:f>VLOOKUP(C1138,'MES orders'!$A$8:$H$127,6,FALSE)</x:f>
        <x:v>Normal</x:v>
      </x:c>
      <x:c r="T1138" s="9" t="str"/>
    </x:row>
    <x:row r="1139" ht="22" customHeight="1">
      <x:c r="A1139" s="2" t="str">
        <x:v>L00054-050</x:v>
      </x:c>
      <x:c r="B1139" s="2" t="str">
        <x:v>L00054</x:v>
      </x:c>
      <x:c r="C1139" s="2" t="str">
        <x:v>SO-26011</x:v>
      </x:c>
      <x:c r="D1139" s="2" t="str">
        <x:v>S-L-AL</x:v>
      </x:c>
      <x:c r="E1139" s="14" t="n">
        <x:v>20</x:v>
      </x:c>
      <x:c r="F1139" s="2" t="str">
        <x:v>Sensor installation</x:v>
      </x:c>
      <x:c r="G1139" s="9" t="str">
        <x:v>EL-02</x:v>
      </x:c>
      <x:c r="H1139" s="15" t="n">
        <x:v>21</x:v>
      </x:c>
      <x:c r="I1139" s="9" t="str">
        <x:v>P20</x:v>
      </x:c>
      <x:c r="J1139" s="11" t="n">
        <x:v>46303.583333333336</x:v>
      </x:c>
      <x:c r="K1139" s="15" t="n">
        <x:v>8</x:v>
      </x:c>
      <x:c r="L1139" s="15" t="n">
        <x:v>32</x:v>
      </x:c>
      <x:c r="M1139" s="13" t="n">
        <x:f>J1139+(K1139+L1139)/1440</x:f>
        <x:v>46303.61111111112</x:v>
      </x:c>
      <x:c r="N1139" s="13" t="n">
        <x:f>VLOOKUP(C1139,'MES orders'!$A$8:$H$127,5,FALSE)</x:f>
        <x:v>46304.666666666664</x:v>
      </x:c>
      <x:c r="O1139" s="16" t="n">
        <x:f>MAX(0,(M1139-N1139)*24)</x:f>
        <x:v>0</x:v>
      </x:c>
      <x:c r="P1139" s="9" t="str">
        <x:v>No</x:v>
      </x:c>
      <x:c r="Q1139" s="15" t="n">
        <x:v>40</x:v>
      </x:c>
      <x:c r="R1139" s="13" t="n">
        <x:f>J1139+Q1139/1440</x:f>
        <x:v>46303.61111111112</x:v>
      </x:c>
      <x:c r="S1139" s="2" t="str">
        <x:f>VLOOKUP(C1139,'MES orders'!$A$8:$H$127,6,FALSE)</x:f>
        <x:v>Normal</x:v>
      </x:c>
      <x:c r="T1139" s="9" t="str"/>
    </x:row>
    <x:row r="1140" ht="22" customHeight="1">
      <x:c r="A1140" s="2" t="str">
        <x:v>L00135-030</x:v>
      </x:c>
      <x:c r="B1140" s="2" t="str">
        <x:v>L00135</x:v>
      </x:c>
      <x:c r="C1140" s="2" t="str">
        <x:v>SO-26027</x:v>
      </x:c>
      <x:c r="D1140" s="2" t="str">
        <x:v>D-S-AL</x:v>
      </x:c>
      <x:c r="E1140" s="14" t="n">
        <x:v>15</x:v>
      </x:c>
      <x:c r="F1140" s="2" t="str">
        <x:v>Wash &amp; dry</x:v>
      </x:c>
      <x:c r="G1140" s="9" t="str">
        <x:v>WS-01</x:v>
      </x:c>
      <x:c r="H1140" s="15" t="n">
        <x:v>107</x:v>
      </x:c>
      <x:c r="I1140" s="9" t="str">
        <x:v>P17</x:v>
      </x:c>
      <x:c r="J1140" s="11" t="n">
        <x:v>46303.583333333336</x:v>
      </x:c>
      <x:c r="K1140" s="15" t="n">
        <x:v>12</x:v>
      </x:c>
      <x:c r="L1140" s="15" t="n">
        <x:v>5</x:v>
      </x:c>
      <x:c r="M1140" s="13" t="n">
        <x:f>J1140+(K1140+L1140)/1440</x:f>
        <x:v>46303.59513888889</x:v>
      </x:c>
      <x:c r="N1140" s="13" t="n">
        <x:f>VLOOKUP(C1140,'MES orders'!$A$8:$H$127,5,FALSE)</x:f>
        <x:v>46304.666666666664</x:v>
      </x:c>
      <x:c r="O1140" s="16" t="n">
        <x:f>MAX(0,(M1140-N1140)*24)</x:f>
        <x:v>0</x:v>
      </x:c>
      <x:c r="P1140" s="9" t="str">
        <x:v>No</x:v>
      </x:c>
      <x:c r="Q1140" s="15" t="n">
        <x:v>17</x:v>
      </x:c>
      <x:c r="R1140" s="13" t="n">
        <x:f>J1140+Q1140/1440</x:f>
        <x:v>46303.59513888889</x:v>
      </x:c>
      <x:c r="S1140" s="2" t="str">
        <x:f>VLOOKUP(C1140,'MES orders'!$A$8:$H$127,6,FALSE)</x:f>
        <x:v>Normal</x:v>
      </x:c>
      <x:c r="T1140" s="9" t="str"/>
    </x:row>
    <x:row r="1141" ht="22" customHeight="1">
      <x:c r="A1141" s="2" t="str">
        <x:v>L00251-030</x:v>
      </x:c>
      <x:c r="B1141" s="2" t="str">
        <x:v>L00251</x:v>
      </x:c>
      <x:c r="C1141" s="2" t="str">
        <x:v>SO-26051</x:v>
      </x:c>
      <x:c r="D1141" s="2" t="str">
        <x:v>R-S-AL</x:v>
      </x:c>
      <x:c r="E1141" s="14" t="n">
        <x:v>15</x:v>
      </x:c>
      <x:c r="F1141" s="2" t="str">
        <x:v>Wash &amp; dry</x:v>
      </x:c>
      <x:c r="G1141" s="9" t="str">
        <x:v>WS-02</x:v>
      </x:c>
      <x:c r="H1141" s="15" t="n">
        <x:v>77</x:v>
      </x:c>
      <x:c r="I1141" s="9" t="str">
        <x:v>P18</x:v>
      </x:c>
      <x:c r="J1141" s="11" t="n">
        <x:v>46303.583333333336</x:v>
      </x:c>
      <x:c r="K1141" s="15" t="n">
        <x:v>12</x:v>
      </x:c>
      <x:c r="L1141" s="15" t="n">
        <x:v>5</x:v>
      </x:c>
      <x:c r="M1141" s="13" t="n">
        <x:f>J1141+(K1141+L1141)/1440</x:f>
        <x:v>46303.59513888889</x:v>
      </x:c>
      <x:c r="N1141" s="13" t="n">
        <x:f>VLOOKUP(C1141,'MES orders'!$A$8:$H$127,5,FALSE)</x:f>
        <x:v>46304.666666666664</x:v>
      </x:c>
      <x:c r="O1141" s="16" t="n">
        <x:f>MAX(0,(M1141-N1141)*24)</x:f>
        <x:v>0</x:v>
      </x:c>
      <x:c r="P1141" s="9" t="str">
        <x:v>No</x:v>
      </x:c>
      <x:c r="Q1141" s="15" t="n">
        <x:v>17</x:v>
      </x:c>
      <x:c r="R1141" s="13" t="n">
        <x:f>J1141+Q1141/1440</x:f>
        <x:v>46303.59513888889</x:v>
      </x:c>
      <x:c r="S1141" s="2" t="str">
        <x:f>VLOOKUP(C1141,'MES orders'!$A$8:$H$127,6,FALSE)</x:f>
        <x:v>Normal</x:v>
      </x:c>
      <x:c r="T1141" s="9" t="str"/>
    </x:row>
    <x:row r="1142" ht="22" customHeight="1">
      <x:c r="A1142" s="2" t="str">
        <x:v>L00254-020</x:v>
      </x:c>
      <x:c r="B1142" s="2" t="str">
        <x:v>L00254</x:v>
      </x:c>
      <x:c r="C1142" s="2" t="str">
        <x:v>SO-26051</x:v>
      </x:c>
      <x:c r="D1142" s="2" t="str">
        <x:v>R-S-AL</x:v>
      </x:c>
      <x:c r="E1142" s="14" t="n">
        <x:v>15</x:v>
      </x:c>
      <x:c r="F1142" s="2" t="str">
        <x:v>Deburr &amp; inspect</x:v>
      </x:c>
      <x:c r="G1142" s="9" t="str">
        <x:v>DB-02</x:v>
      </x:c>
      <x:c r="H1142" s="15" t="n">
        <x:v>77</x:v>
      </x:c>
      <x:c r="I1142" s="9" t="str">
        <x:v>P15</x:v>
      </x:c>
      <x:c r="J1142" s="11" t="n">
        <x:v>46303.59097222222</x:v>
      </x:c>
      <x:c r="K1142" s="15" t="n">
        <x:v>4</x:v>
      </x:c>
      <x:c r="L1142" s="15" t="n">
        <x:v>10</x:v>
      </x:c>
      <x:c r="M1142" s="13" t="n">
        <x:f>J1142+(K1142+L1142)/1440</x:f>
        <x:v>46303.600694444445</x:v>
      </x:c>
      <x:c r="N1142" s="13" t="n">
        <x:f>VLOOKUP(C1142,'MES orders'!$A$8:$H$127,5,FALSE)</x:f>
        <x:v>46304.666666666664</x:v>
      </x:c>
      <x:c r="O1142" s="16" t="n">
        <x:f>MAX(0,(M1142-N1142)*24)</x:f>
        <x:v>0</x:v>
      </x:c>
      <x:c r="P1142" s="9" t="str">
        <x:v>No</x:v>
      </x:c>
      <x:c r="Q1142" s="15" t="n">
        <x:v>14</x:v>
      </x:c>
      <x:c r="R1142" s="13" t="n">
        <x:f>J1142+Q1142/1440</x:f>
        <x:v>46303.600694444445</x:v>
      </x:c>
      <x:c r="S1142" s="2" t="str">
        <x:f>VLOOKUP(C1142,'MES orders'!$A$8:$H$127,6,FALSE)</x:f>
        <x:v>Normal</x:v>
      </x:c>
      <x:c r="T1142" s="9" t="str"/>
    </x:row>
    <x:row r="1143" ht="22" customHeight="1">
      <x:c r="A1143" s="2" t="str">
        <x:v>L00135-040</x:v>
      </x:c>
      <x:c r="B1143" s="2" t="str">
        <x:v>L00135</x:v>
      </x:c>
      <x:c r="C1143" s="2" t="str">
        <x:v>SO-26027</x:v>
      </x:c>
      <x:c r="D1143" s="2" t="str">
        <x:v>D-S-AL</x:v>
      </x:c>
      <x:c r="E1143" s="14" t="n">
        <x:v>15</x:v>
      </x:c>
      <x:c r="F1143" s="2" t="str">
        <x:v>Mechanical assembly</x:v>
      </x:c>
      <x:c r="G1143" s="9" t="str">
        <x:v>AS-02</x:v>
      </x:c>
      <x:c r="H1143" s="15" t="n">
        <x:v>74</x:v>
      </x:c>
      <x:c r="I1143" s="9" t="str">
        <x:v>P18</x:v>
      </x:c>
      <x:c r="J1143" s="11" t="n">
        <x:v>46303.595138888886</x:v>
      </x:c>
      <x:c r="K1143" s="15" t="n">
        <x:v>8</x:v>
      </x:c>
      <x:c r="L1143" s="15" t="n">
        <x:v>27</x:v>
      </x:c>
      <x:c r="M1143" s="13" t="n">
        <x:f>J1143+(K1143+L1143)/1440</x:f>
        <x:v>46303.61944444444</x:v>
      </x:c>
      <x:c r="N1143" s="13" t="n">
        <x:f>VLOOKUP(C1143,'MES orders'!$A$8:$H$127,5,FALSE)</x:f>
        <x:v>46304.666666666664</x:v>
      </x:c>
      <x:c r="O1143" s="16" t="n">
        <x:f>MAX(0,(M1143-N1143)*24)</x:f>
        <x:v>0</x:v>
      </x:c>
      <x:c r="P1143" s="9" t="str">
        <x:v>No</x:v>
      </x:c>
      <x:c r="Q1143" s="15" t="n">
        <x:v>35</x:v>
      </x:c>
      <x:c r="R1143" s="13" t="n">
        <x:f>J1143+Q1143/1440</x:f>
        <x:v>46303.61944444444</x:v>
      </x:c>
      <x:c r="S1143" s="2" t="str">
        <x:f>VLOOKUP(C1143,'MES orders'!$A$8:$H$127,6,FALSE)</x:f>
        <x:v>Normal</x:v>
      </x:c>
      <x:c r="T1143" s="9" t="str"/>
    </x:row>
    <x:row r="1144" ht="22" customHeight="1">
      <x:c r="A1144" s="2" t="str">
        <x:v>L00251-040</x:v>
      </x:c>
      <x:c r="B1144" s="2" t="str">
        <x:v>L00251</x:v>
      </x:c>
      <x:c r="C1144" s="2" t="str">
        <x:v>SO-26051</x:v>
      </x:c>
      <x:c r="D1144" s="2" t="str">
        <x:v>R-S-AL</x:v>
      </x:c>
      <x:c r="E1144" s="14" t="n">
        <x:v>15</x:v>
      </x:c>
      <x:c r="F1144" s="2" t="str">
        <x:v>Mechanical assembly</x:v>
      </x:c>
      <x:c r="G1144" s="9" t="str">
        <x:v>AS-03</x:v>
      </x:c>
      <x:c r="H1144" s="15" t="n">
        <x:v>58</x:v>
      </x:c>
      <x:c r="I1144" s="9" t="str">
        <x:v>P13</x:v>
      </x:c>
      <x:c r="J1144" s="11" t="n">
        <x:v>46303.595138888886</x:v>
      </x:c>
      <x:c r="K1144" s="15" t="n">
        <x:v>8</x:v>
      </x:c>
      <x:c r="L1144" s="15" t="n">
        <x:v>27</x:v>
      </x:c>
      <x:c r="M1144" s="13" t="n">
        <x:f>J1144+(K1144+L1144)/1440</x:f>
        <x:v>46303.61944444444</x:v>
      </x:c>
      <x:c r="N1144" s="13" t="n">
        <x:f>VLOOKUP(C1144,'MES orders'!$A$8:$H$127,5,FALSE)</x:f>
        <x:v>46304.666666666664</x:v>
      </x:c>
      <x:c r="O1144" s="16" t="n">
        <x:f>MAX(0,(M1144-N1144)*24)</x:f>
        <x:v>0</x:v>
      </x:c>
      <x:c r="P1144" s="9" t="str">
        <x:v>No</x:v>
      </x:c>
      <x:c r="Q1144" s="15" t="n">
        <x:v>35</x:v>
      </x:c>
      <x:c r="R1144" s="13" t="n">
        <x:f>J1144+Q1144/1440</x:f>
        <x:v>46303.61944444444</x:v>
      </x:c>
      <x:c r="S1144" s="2" t="str">
        <x:f>VLOOKUP(C1144,'MES orders'!$A$8:$H$127,6,FALSE)</x:f>
        <x:v>Normal</x:v>
      </x:c>
      <x:c r="T1144" s="9" t="str"/>
    </x:row>
    <x:row r="1145" ht="22" customHeight="1">
      <x:c r="A1145" s="2" t="str">
        <x:v>L00171-020</x:v>
      </x:c>
      <x:c r="B1145" s="2" t="str">
        <x:v>L00171</x:v>
      </x:c>
      <x:c r="C1145" s="2" t="str">
        <x:v>SO-26035</x:v>
      </x:c>
      <x:c r="D1145" s="2" t="str">
        <x:v>D-L-AL</x:v>
      </x:c>
      <x:c r="E1145" s="14" t="n">
        <x:v>15</x:v>
      </x:c>
      <x:c r="F1145" s="2" t="str">
        <x:v>Deburr &amp; inspect</x:v>
      </x:c>
      <x:c r="G1145" s="9" t="str">
        <x:v>DB-01</x:v>
      </x:c>
      <x:c r="H1145" s="15" t="n">
        <x:v>110</x:v>
      </x:c>
      <x:c r="I1145" s="9" t="str">
        <x:v>P17</x:v>
      </x:c>
      <x:c r="J1145" s="11" t="n">
        <x:v>46303.595138888886</x:v>
      </x:c>
      <x:c r="K1145" s="15" t="n">
        <x:v>4</x:v>
      </x:c>
      <x:c r="L1145" s="15" t="n">
        <x:v>14</x:v>
      </x:c>
      <x:c r="M1145" s="13" t="n">
        <x:f>J1145+(K1145+L1145)/1440</x:f>
        <x:v>46303.60763888888</x:v>
      </x:c>
      <x:c r="N1145" s="13" t="n">
        <x:f>VLOOKUP(C1145,'MES orders'!$A$8:$H$127,5,FALSE)</x:f>
        <x:v>46304.666666666664</x:v>
      </x:c>
      <x:c r="O1145" s="16" t="n">
        <x:f>MAX(0,(M1145-N1145)*24)</x:f>
        <x:v>0</x:v>
      </x:c>
      <x:c r="P1145" s="9" t="str">
        <x:v>No</x:v>
      </x:c>
      <x:c r="Q1145" s="15" t="n">
        <x:v>18</x:v>
      </x:c>
      <x:c r="R1145" s="13" t="n">
        <x:f>J1145+Q1145/1440</x:f>
        <x:v>46303.60763888888</x:v>
      </x:c>
      <x:c r="S1145" s="2" t="str">
        <x:f>VLOOKUP(C1145,'MES orders'!$A$8:$H$127,6,FALSE)</x:f>
        <x:v>Normal</x:v>
      </x:c>
      <x:c r="T1145" s="9" t="str"/>
    </x:row>
    <x:row r="1146" ht="22" customHeight="1">
      <x:c r="A1146" s="2" t="str">
        <x:v>L00254-030</x:v>
      </x:c>
      <x:c r="B1146" s="2" t="str">
        <x:v>L00254</x:v>
      </x:c>
      <x:c r="C1146" s="2" t="str">
        <x:v>SO-26051</x:v>
      </x:c>
      <x:c r="D1146" s="2" t="str">
        <x:v>R-S-AL</x:v>
      </x:c>
      <x:c r="E1146" s="14" t="n">
        <x:v>15</x:v>
      </x:c>
      <x:c r="F1146" s="2" t="str">
        <x:v>Wash &amp; dry</x:v>
      </x:c>
      <x:c r="G1146" s="9" t="str">
        <x:v>WS-02</x:v>
      </x:c>
      <x:c r="H1146" s="15" t="n">
        <x:v>78</x:v>
      </x:c>
      <x:c r="I1146" s="9" t="str">
        <x:v>P15</x:v>
      </x:c>
      <x:c r="J1146" s="11" t="n">
        <x:v>46303.600694444445</x:v>
      </x:c>
      <x:c r="K1146" s="15" t="n">
        <x:v>12</x:v>
      </x:c>
      <x:c r="L1146" s="15" t="n">
        <x:v>5</x:v>
      </x:c>
      <x:c r="M1146" s="13" t="n">
        <x:f>J1146+(K1146+L1146)/1440</x:f>
        <x:v>46303.6125</x:v>
      </x:c>
      <x:c r="N1146" s="13" t="n">
        <x:f>VLOOKUP(C1146,'MES orders'!$A$8:$H$127,5,FALSE)</x:f>
        <x:v>46304.666666666664</x:v>
      </x:c>
      <x:c r="O1146" s="16" t="n">
        <x:f>MAX(0,(M1146-N1146)*24)</x:f>
        <x:v>0</x:v>
      </x:c>
      <x:c r="P1146" s="9" t="str">
        <x:v>No</x:v>
      </x:c>
      <x:c r="Q1146" s="15" t="n">
        <x:v>17</x:v>
      </x:c>
      <x:c r="R1146" s="13" t="n">
        <x:f>J1146+Q1146/1440</x:f>
        <x:v>46303.6125</x:v>
      </x:c>
      <x:c r="S1146" s="2" t="str">
        <x:f>VLOOKUP(C1146,'MES orders'!$A$8:$H$127,6,FALSE)</x:f>
        <x:v>Normal</x:v>
      </x:c>
      <x:c r="T1146" s="9" t="str"/>
    </x:row>
    <x:row r="1147" ht="22" customHeight="1">
      <x:c r="A1147" s="2" t="str">
        <x:v>L00255-020</x:v>
      </x:c>
      <x:c r="B1147" s="2" t="str">
        <x:v>L00255</x:v>
      </x:c>
      <x:c r="C1147" s="2" t="str">
        <x:v>SO-26051</x:v>
      </x:c>
      <x:c r="D1147" s="2" t="str">
        <x:v>R-S-AL</x:v>
      </x:c>
      <x:c r="E1147" s="14" t="n">
        <x:v>15</x:v>
      </x:c>
      <x:c r="F1147" s="2" t="str">
        <x:v>Deburr &amp; inspect</x:v>
      </x:c>
      <x:c r="G1147" s="9" t="str">
        <x:v>DB-02</x:v>
      </x:c>
      <x:c r="H1147" s="15" t="n">
        <x:v>78</x:v>
      </x:c>
      <x:c r="I1147" s="9" t="str">
        <x:v>P24</x:v>
      </x:c>
      <x:c r="J1147" s="11" t="n">
        <x:v>46303.603472222225</x:v>
      </x:c>
      <x:c r="K1147" s="15" t="n">
        <x:v>4</x:v>
      </x:c>
      <x:c r="L1147" s="15" t="n">
        <x:v>10</x:v>
      </x:c>
      <x:c r="M1147" s="13" t="n">
        <x:f>J1147+(K1147+L1147)/1440</x:f>
        <x:v>46303.61319444445</x:v>
      </x:c>
      <x:c r="N1147" s="13" t="n">
        <x:f>VLOOKUP(C1147,'MES orders'!$A$8:$H$127,5,FALSE)</x:f>
        <x:v>46304.666666666664</x:v>
      </x:c>
      <x:c r="O1147" s="16" t="n">
        <x:f>MAX(0,(M1147-N1147)*24)</x:f>
        <x:v>0</x:v>
      </x:c>
      <x:c r="P1147" s="9" t="str">
        <x:v>No</x:v>
      </x:c>
      <x:c r="Q1147" s="15" t="n">
        <x:v>14</x:v>
      </x:c>
      <x:c r="R1147" s="13" t="n">
        <x:f>J1147+Q1147/1440</x:f>
        <x:v>46303.61319444445</x:v>
      </x:c>
      <x:c r="S1147" s="2" t="str">
        <x:f>VLOOKUP(C1147,'MES orders'!$A$8:$H$127,6,FALSE)</x:f>
        <x:v>Normal</x:v>
      </x:c>
      <x:c r="T1147" s="9" t="str"/>
    </x:row>
    <x:row r="1148" ht="22" customHeight="1">
      <x:c r="A1148" s="2" t="str">
        <x:v>L00134-050</x:v>
      </x:c>
      <x:c r="B1148" s="2" t="str">
        <x:v>L00134</x:v>
      </x:c>
      <x:c r="C1148" s="2" t="str">
        <x:v>SO-26027</x:v>
      </x:c>
      <x:c r="D1148" s="2" t="str">
        <x:v>D-S-AL</x:v>
      </x:c>
      <x:c r="E1148" s="14" t="n">
        <x:v>15</x:v>
      </x:c>
      <x:c r="F1148" s="2" t="str">
        <x:v>Final leak / function test</x:v>
      </x:c>
      <x:c r="G1148" s="9" t="str">
        <x:v>QA-01</x:v>
      </x:c>
      <x:c r="H1148" s="15" t="n">
        <x:v>45</x:v>
      </x:c>
      <x:c r="I1148" s="9" t="str">
        <x:v>P23</x:v>
      </x:c>
      <x:c r="J1148" s="11" t="n">
        <x:v>46303.60763888889</x:v>
      </x:c>
      <x:c r="K1148" s="15" t="n">
        <x:v>10</x:v>
      </x:c>
      <x:c r="L1148" s="15" t="n">
        <x:v>14</x:v>
      </x:c>
      <x:c r="M1148" s="13" t="n">
        <x:f>J1148+(K1148+L1148)/1440</x:f>
        <x:v>46303.62430555556</x:v>
      </x:c>
      <x:c r="N1148" s="13" t="n">
        <x:f>VLOOKUP(C1148,'MES orders'!$A$8:$H$127,5,FALSE)</x:f>
        <x:v>46304.666666666664</x:v>
      </x:c>
      <x:c r="O1148" s="16" t="n">
        <x:f>MAX(0,(M1148-N1148)*24)</x:f>
        <x:v>0</x:v>
      </x:c>
      <x:c r="P1148" s="9" t="str">
        <x:v>No</x:v>
      </x:c>
      <x:c r="Q1148" s="15" t="n">
        <x:v>24</x:v>
      </x:c>
      <x:c r="R1148" s="13" t="n">
        <x:f>J1148+Q1148/1440</x:f>
        <x:v>46303.62430555556</x:v>
      </x:c>
      <x:c r="S1148" s="2" t="str">
        <x:f>VLOOKUP(C1148,'MES orders'!$A$8:$H$127,6,FALSE)</x:f>
        <x:v>Normal</x:v>
      </x:c>
      <x:c r="T1148" s="9" t="str"/>
    </x:row>
    <x:row r="1149" ht="22" customHeight="1">
      <x:c r="A1149" s="2" t="str">
        <x:v>L00171-030</x:v>
      </x:c>
      <x:c r="B1149" s="2" t="str">
        <x:v>L00171</x:v>
      </x:c>
      <x:c r="C1149" s="2" t="str">
        <x:v>SO-26035</x:v>
      </x:c>
      <x:c r="D1149" s="2" t="str">
        <x:v>D-L-AL</x:v>
      </x:c>
      <x:c r="E1149" s="14" t="n">
        <x:v>15</x:v>
      </x:c>
      <x:c r="F1149" s="2" t="str">
        <x:v>Wash &amp; dry</x:v>
      </x:c>
      <x:c r="G1149" s="9" t="str">
        <x:v>WS-01</x:v>
      </x:c>
      <x:c r="H1149" s="15" t="n">
        <x:v>108</x:v>
      </x:c>
      <x:c r="I1149" s="9" t="str">
        <x:v>P16</x:v>
      </x:c>
      <x:c r="J1149" s="11" t="n">
        <x:v>46303.60763888889</x:v>
      </x:c>
      <x:c r="K1149" s="15" t="n">
        <x:v>12</x:v>
      </x:c>
      <x:c r="L1149" s="15" t="n">
        <x:v>7</x:v>
      </x:c>
      <x:c r="M1149" s="13" t="n">
        <x:f>J1149+(K1149+L1149)/1440</x:f>
        <x:v>46303.620833333334</x:v>
      </x:c>
      <x:c r="N1149" s="13" t="n">
        <x:f>VLOOKUP(C1149,'MES orders'!$A$8:$H$127,5,FALSE)</x:f>
        <x:v>46304.666666666664</x:v>
      </x:c>
      <x:c r="O1149" s="16" t="n">
        <x:f>MAX(0,(M1149-N1149)*24)</x:f>
        <x:v>0</x:v>
      </x:c>
      <x:c r="P1149" s="9" t="str">
        <x:v>No</x:v>
      </x:c>
      <x:c r="Q1149" s="15" t="n">
        <x:v>19</x:v>
      </x:c>
      <x:c r="R1149" s="13" t="n">
        <x:f>J1149+Q1149/1440</x:f>
        <x:v>46303.620833333334</x:v>
      </x:c>
      <x:c r="S1149" s="2" t="str">
        <x:f>VLOOKUP(C1149,'MES orders'!$A$8:$H$127,6,FALSE)</x:f>
        <x:v>Normal</x:v>
      </x:c>
      <x:c r="T1149" s="9" t="str"/>
    </x:row>
    <x:row r="1150" ht="22" customHeight="1">
      <x:c r="A1150" s="2" t="str">
        <x:v>L00252-050</x:v>
      </x:c>
      <x:c r="B1150" s="2" t="str">
        <x:v>L00252</x:v>
      </x:c>
      <x:c r="C1150" s="2" t="str">
        <x:v>SO-26051</x:v>
      </x:c>
      <x:c r="D1150" s="2" t="str">
        <x:v>R-S-AL</x:v>
      </x:c>
      <x:c r="E1150" s="14" t="n">
        <x:v>15</x:v>
      </x:c>
      <x:c r="F1150" s="2" t="str">
        <x:v>Valve adjustment</x:v>
      </x:c>
      <x:c r="G1150" s="9" t="str">
        <x:v>AS-04</x:v>
      </x:c>
      <x:c r="H1150" s="15" t="n">
        <x:v>39</x:v>
      </x:c>
      <x:c r="I1150" s="9" t="str">
        <x:v>P20</x:v>
      </x:c>
      <x:c r="J1150" s="11" t="n">
        <x:v>46303.61111111111</x:v>
      </x:c>
      <x:c r="K1150" s="15" t="n">
        <x:v>6</x:v>
      </x:c>
      <x:c r="L1150" s="15" t="n">
        <x:v>16</x:v>
      </x:c>
      <x:c r="M1150" s="13" t="n">
        <x:f>J1150+(K1150+L1150)/1440</x:f>
        <x:v>46303.626388888886</x:v>
      </x:c>
      <x:c r="N1150" s="13" t="n">
        <x:f>VLOOKUP(C1150,'MES orders'!$A$8:$H$127,5,FALSE)</x:f>
        <x:v>46304.666666666664</x:v>
      </x:c>
      <x:c r="O1150" s="16" t="n">
        <x:f>MAX(0,(M1150-N1150)*24)</x:f>
        <x:v>0</x:v>
      </x:c>
      <x:c r="P1150" s="9" t="str">
        <x:v>No</x:v>
      </x:c>
      <x:c r="Q1150" s="15" t="n">
        <x:v>22</x:v>
      </x:c>
      <x:c r="R1150" s="13" t="n">
        <x:f>J1150+Q1150/1440</x:f>
        <x:v>46303.626388888886</x:v>
      </x:c>
      <x:c r="S1150" s="2" t="str">
        <x:f>VLOOKUP(C1150,'MES orders'!$A$8:$H$127,6,FALSE)</x:f>
        <x:v>Normal</x:v>
      </x:c>
      <x:c r="T1150" s="9" t="str"/>
    </x:row>
    <x:row r="1151" ht="22" customHeight="1">
      <x:c r="A1151" s="2" t="str">
        <x:v>L00254-040</x:v>
      </x:c>
      <x:c r="B1151" s="2" t="str">
        <x:v>L00254</x:v>
      </x:c>
      <x:c r="C1151" s="2" t="str">
        <x:v>SO-26051</x:v>
      </x:c>
      <x:c r="D1151" s="2" t="str">
        <x:v>R-S-AL</x:v>
      </x:c>
      <x:c r="E1151" s="14" t="n">
        <x:v>15</x:v>
      </x:c>
      <x:c r="F1151" s="2" t="str">
        <x:v>Mechanical assembly</x:v>
      </x:c>
      <x:c r="G1151" s="9" t="str">
        <x:v>AS-05</x:v>
      </x:c>
      <x:c r="H1151" s="15" t="n">
        <x:v>26</x:v>
      </x:c>
      <x:c r="I1151" s="9" t="str">
        <x:v>P14</x:v>
      </x:c>
      <x:c r="J1151" s="11" t="n">
        <x:v>46303.6125</x:v>
      </x:c>
      <x:c r="K1151" s="15" t="n">
        <x:v>8</x:v>
      </x:c>
      <x:c r="L1151" s="15" t="n">
        <x:v>27</x:v>
      </x:c>
      <x:c r="M1151" s="13" t="n">
        <x:f>J1151+(K1151+L1151)/1440</x:f>
        <x:v>46303.63680555556</x:v>
      </x:c>
      <x:c r="N1151" s="13" t="n">
        <x:f>VLOOKUP(C1151,'MES orders'!$A$8:$H$127,5,FALSE)</x:f>
        <x:v>46304.666666666664</x:v>
      </x:c>
      <x:c r="O1151" s="16" t="n">
        <x:f>MAX(0,(M1151-N1151)*24)</x:f>
        <x:v>0</x:v>
      </x:c>
      <x:c r="P1151" s="9" t="str">
        <x:v>No</x:v>
      </x:c>
      <x:c r="Q1151" s="15" t="n">
        <x:v>35</x:v>
      </x:c>
      <x:c r="R1151" s="13" t="n">
        <x:f>J1151+Q1151/1440</x:f>
        <x:v>46303.63680555556</x:v>
      </x:c>
      <x:c r="S1151" s="2" t="str">
        <x:f>VLOOKUP(C1151,'MES orders'!$A$8:$H$127,6,FALSE)</x:f>
        <x:v>Normal</x:v>
      </x:c>
      <x:c r="T1151" s="9" t="str"/>
    </x:row>
    <x:row r="1152" ht="22" customHeight="1">
      <x:c r="A1152" s="2" t="str">
        <x:v>L00291-020</x:v>
      </x:c>
      <x:c r="B1152" s="2" t="str">
        <x:v>L00291</x:v>
      </x:c>
      <x:c r="C1152" s="2" t="str">
        <x:v>SO-26059</x:v>
      </x:c>
      <x:c r="D1152" s="2" t="str">
        <x:v>R-L-AL</x:v>
      </x:c>
      <x:c r="E1152" s="14" t="n">
        <x:v>15</x:v>
      </x:c>
      <x:c r="F1152" s="2" t="str">
        <x:v>Deburr &amp; inspect</x:v>
      </x:c>
      <x:c r="G1152" s="9" t="str">
        <x:v>DB-01</x:v>
      </x:c>
      <x:c r="H1152" s="15" t="n">
        <x:v>111</x:v>
      </x:c>
      <x:c r="I1152" s="9" t="str">
        <x:v>P15</x:v>
      </x:c>
      <x:c r="J1152" s="11" t="n">
        <x:v>46303.61319444444</x:v>
      </x:c>
      <x:c r="K1152" s="15" t="n">
        <x:v>4</x:v>
      </x:c>
      <x:c r="L1152" s="15" t="n">
        <x:v>14</x:v>
      </x:c>
      <x:c r="M1152" s="13" t="n">
        <x:f>J1152+(K1152+L1152)/1440</x:f>
        <x:v>46303.62569444444</x:v>
      </x:c>
      <x:c r="N1152" s="13" t="n">
        <x:f>VLOOKUP(C1152,'MES orders'!$A$8:$H$127,5,FALSE)</x:f>
        <x:v>46304.666666666664</x:v>
      </x:c>
      <x:c r="O1152" s="16" t="n">
        <x:f>MAX(0,(M1152-N1152)*24)</x:f>
        <x:v>0</x:v>
      </x:c>
      <x:c r="P1152" s="9" t="str">
        <x:v>No</x:v>
      </x:c>
      <x:c r="Q1152" s="15" t="n">
        <x:v>18</x:v>
      </x:c>
      <x:c r="R1152" s="13" t="n">
        <x:f>J1152+Q1152/1440</x:f>
        <x:v>46303.62569444444</x:v>
      </x:c>
      <x:c r="S1152" s="2" t="str">
        <x:f>VLOOKUP(C1152,'MES orders'!$A$8:$H$127,6,FALSE)</x:f>
        <x:v>Normal</x:v>
      </x:c>
      <x:c r="T1152" s="9" t="str"/>
    </x:row>
    <x:row r="1153" ht="22" customHeight="1">
      <x:c r="A1153" s="2" t="str">
        <x:v>L00051-070</x:v>
      </x:c>
      <x:c r="B1153" s="2" t="str">
        <x:v>L00051</x:v>
      </x:c>
      <x:c r="C1153" s="2" t="str">
        <x:v>SO-26011</x:v>
      </x:c>
      <x:c r="D1153" s="2" t="str">
        <x:v>S-L-AL</x:v>
      </x:c>
      <x:c r="E1153" s="14" t="n">
        <x:v>20</x:v>
      </x:c>
      <x:c r="F1153" s="2" t="str">
        <x:v>Final assembly</x:v>
      </x:c>
      <x:c r="G1153" s="9" t="str">
        <x:v>AS-01</x:v>
      </x:c>
      <x:c r="H1153" s="15" t="n">
        <x:v>93</x:v>
      </x:c>
      <x:c r="I1153" s="9" t="str">
        <x:v>P17</x:v>
      </x:c>
      <x:c r="J1153" s="11" t="n">
        <x:v>46303.614583333336</x:v>
      </x:c>
      <x:c r="K1153" s="15" t="n">
        <x:v>5</x:v>
      </x:c>
      <x:c r="L1153" s="15" t="n">
        <x:v>22</x:v>
      </x:c>
      <x:c r="M1153" s="13" t="n">
        <x:f>J1153+(K1153+L1153)/1440</x:f>
        <x:v>46303.63333333334</x:v>
      </x:c>
      <x:c r="N1153" s="13" t="n">
        <x:f>VLOOKUP(C1153,'MES orders'!$A$8:$H$127,5,FALSE)</x:f>
        <x:v>46304.666666666664</x:v>
      </x:c>
      <x:c r="O1153" s="16" t="n">
        <x:f>MAX(0,(M1153-N1153)*24)</x:f>
        <x:v>0</x:v>
      </x:c>
      <x:c r="P1153" s="9" t="str">
        <x:v>No</x:v>
      </x:c>
      <x:c r="Q1153" s="15" t="n">
        <x:v>27</x:v>
      </x:c>
      <x:c r="R1153" s="13" t="n">
        <x:f>J1153+Q1153/1440</x:f>
        <x:v>46303.63333333334</x:v>
      </x:c>
      <x:c r="S1153" s="2" t="str">
        <x:f>VLOOKUP(C1153,'MES orders'!$A$8:$H$127,6,FALSE)</x:f>
        <x:v>Normal</x:v>
      </x:c>
      <x:c r="T1153" s="9" t="str"/>
    </x:row>
    <x:row r="1154" ht="22" customHeight="1">
      <x:c r="A1154" s="2" t="str">
        <x:v>L00052-060</x:v>
      </x:c>
      <x:c r="B1154" s="2" t="str">
        <x:v>L00052</x:v>
      </x:c>
      <x:c r="C1154" s="2" t="str">
        <x:v>SO-26011</x:v>
      </x:c>
      <x:c r="D1154" s="2" t="str">
        <x:v>S-L-AL</x:v>
      </x:c>
      <x:c r="E1154" s="14" t="n">
        <x:v>20</x:v>
      </x:c>
      <x:c r="F1154" s="2" t="str">
        <x:v>Sensor calibration</x:v>
      </x:c>
      <x:c r="G1154" s="9" t="str">
        <x:v>CAL-01</x:v>
      </x:c>
      <x:c r="H1154" s="15" t="n">
        <x:v>52</x:v>
      </x:c>
      <x:c r="I1154" s="9" t="str">
        <x:v>P21</x:v>
      </x:c>
      <x:c r="J1154" s="11" t="n">
        <x:v>46303.614583333336</x:v>
      </x:c>
      <x:c r="K1154" s="15" t="n">
        <x:v>10</x:v>
      </x:c>
      <x:c r="L1154" s="15" t="n">
        <x:v>35</x:v>
      </x:c>
      <x:c r="M1154" s="13" t="n">
        <x:f>J1154+(K1154+L1154)/1440</x:f>
        <x:v>46303.645833333336</x:v>
      </x:c>
      <x:c r="N1154" s="13" t="n">
        <x:f>VLOOKUP(C1154,'MES orders'!$A$8:$H$127,5,FALSE)</x:f>
        <x:v>46304.666666666664</x:v>
      </x:c>
      <x:c r="O1154" s="16" t="n">
        <x:f>MAX(0,(M1154-N1154)*24)</x:f>
        <x:v>0</x:v>
      </x:c>
      <x:c r="P1154" s="9" t="str">
        <x:v>No</x:v>
      </x:c>
      <x:c r="Q1154" s="15" t="n">
        <x:v>45</x:v>
      </x:c>
      <x:c r="R1154" s="13" t="n">
        <x:f>J1154+Q1154/1440</x:f>
        <x:v>46303.645833333336</x:v>
      </x:c>
      <x:c r="S1154" s="2" t="str">
        <x:f>VLOOKUP(C1154,'MES orders'!$A$8:$H$127,6,FALSE)</x:f>
        <x:v>Normal</x:v>
      </x:c>
      <x:c r="T1154" s="9" t="str"/>
    </x:row>
    <x:row r="1155" ht="22" customHeight="1">
      <x:c r="A1155" s="2" t="str">
        <x:v>L00172-030</x:v>
      </x:c>
      <x:c r="B1155" s="2" t="str">
        <x:v>L00172</x:v>
      </x:c>
      <x:c r="C1155" s="2" t="str">
        <x:v>SO-26035</x:v>
      </x:c>
      <x:c r="D1155" s="2" t="str">
        <x:v>D-L-AL</x:v>
      </x:c>
      <x:c r="E1155" s="14" t="n">
        <x:v>15</x:v>
      </x:c>
      <x:c r="F1155" s="2" t="str">
        <x:v>Wash &amp; dry</x:v>
      </x:c>
      <x:c r="G1155" s="9" t="str">
        <x:v>WS-02</x:v>
      </x:c>
      <x:c r="H1155" s="15" t="n">
        <x:v>79</x:v>
      </x:c>
      <x:c r="I1155" s="9" t="str">
        <x:v>P18</x:v>
      </x:c>
      <x:c r="J1155" s="11" t="n">
        <x:v>46303.61944444444</x:v>
      </x:c>
      <x:c r="K1155" s="15" t="n">
        <x:v>12</x:v>
      </x:c>
      <x:c r="L1155" s="15" t="n">
        <x:v>7</x:v>
      </x:c>
      <x:c r="M1155" s="13" t="n">
        <x:f>J1155+(K1155+L1155)/1440</x:f>
        <x:v>46303.632638888885</x:v>
      </x:c>
      <x:c r="N1155" s="13" t="n">
        <x:f>VLOOKUP(C1155,'MES orders'!$A$8:$H$127,5,FALSE)</x:f>
        <x:v>46304.666666666664</x:v>
      </x:c>
      <x:c r="O1155" s="16" t="n">
        <x:f>MAX(0,(M1155-N1155)*24)</x:f>
        <x:v>0</x:v>
      </x:c>
      <x:c r="P1155" s="9" t="str">
        <x:v>No</x:v>
      </x:c>
      <x:c r="Q1155" s="15" t="n">
        <x:v>19</x:v>
      </x:c>
      <x:c r="R1155" s="13" t="n">
        <x:f>J1155+Q1155/1440</x:f>
        <x:v>46303.632638888885</x:v>
      </x:c>
      <x:c r="S1155" s="2" t="str">
        <x:f>VLOOKUP(C1155,'MES orders'!$A$8:$H$127,6,FALSE)</x:f>
        <x:v>Normal</x:v>
      </x:c>
      <x:c r="T1155" s="9" t="str"/>
    </x:row>
    <x:row r="1156" ht="22" customHeight="1">
      <x:c r="A1156" s="2" t="str">
        <x:v>L00171-040</x:v>
      </x:c>
      <x:c r="B1156" s="2" t="str">
        <x:v>L00171</x:v>
      </x:c>
      <x:c r="C1156" s="2" t="str">
        <x:v>SO-26035</x:v>
      </x:c>
      <x:c r="D1156" s="2" t="str">
        <x:v>D-L-AL</x:v>
      </x:c>
      <x:c r="E1156" s="14" t="n">
        <x:v>15</x:v>
      </x:c>
      <x:c r="F1156" s="2" t="str">
        <x:v>Mechanical assembly</x:v>
      </x:c>
      <x:c r="G1156" s="9" t="str">
        <x:v>AS-02</x:v>
      </x:c>
      <x:c r="H1156" s="15" t="n">
        <x:v>75</x:v>
      </x:c>
      <x:c r="I1156" s="9" t="str">
        <x:v>P16</x:v>
      </x:c>
      <x:c r="J1156" s="11" t="n">
        <x:v>46303.620833333334</x:v>
      </x:c>
      <x:c r="K1156" s="15" t="n">
        <x:v>8</x:v>
      </x:c>
      <x:c r="L1156" s="15" t="n">
        <x:v>36</x:v>
      </x:c>
      <x:c r="M1156" s="13" t="n">
        <x:f>J1156+(K1156+L1156)/1440</x:f>
        <x:v>46303.65138888889</x:v>
      </x:c>
      <x:c r="N1156" s="13" t="n">
        <x:f>VLOOKUP(C1156,'MES orders'!$A$8:$H$127,5,FALSE)</x:f>
        <x:v>46304.666666666664</x:v>
      </x:c>
      <x:c r="O1156" s="16" t="n">
        <x:f>MAX(0,(M1156-N1156)*24)</x:f>
        <x:v>0</x:v>
      </x:c>
      <x:c r="P1156" s="9" t="str">
        <x:v>No</x:v>
      </x:c>
      <x:c r="Q1156" s="15" t="n">
        <x:v>44</x:v>
      </x:c>
      <x:c r="R1156" s="13" t="n">
        <x:f>J1156+Q1156/1440</x:f>
        <x:v>46303.65138888889</x:v>
      </x:c>
      <x:c r="S1156" s="2" t="str">
        <x:f>VLOOKUP(C1156,'MES orders'!$A$8:$H$127,6,FALSE)</x:f>
        <x:v>Normal</x:v>
      </x:c>
      <x:c r="T1156" s="9" t="str"/>
    </x:row>
    <x:row r="1157" ht="22" customHeight="1">
      <x:c r="A1157" s="2" t="str">
        <x:v>L00255-030</x:v>
      </x:c>
      <x:c r="B1157" s="2" t="str">
        <x:v>L00255</x:v>
      </x:c>
      <x:c r="C1157" s="2" t="str">
        <x:v>SO-26051</x:v>
      </x:c>
      <x:c r="D1157" s="2" t="str">
        <x:v>R-S-AL</x:v>
      </x:c>
      <x:c r="E1157" s="14" t="n">
        <x:v>15</x:v>
      </x:c>
      <x:c r="F1157" s="2" t="str">
        <x:v>Wash &amp; dry</x:v>
      </x:c>
      <x:c r="G1157" s="9" t="str">
        <x:v>WS-01</x:v>
      </x:c>
      <x:c r="H1157" s="15" t="n">
        <x:v>109</x:v>
      </x:c>
      <x:c r="I1157" s="9" t="str">
        <x:v>P13</x:v>
      </x:c>
      <x:c r="J1157" s="11" t="n">
        <x:v>46303.620833333334</x:v>
      </x:c>
      <x:c r="K1157" s="15" t="n">
        <x:v>12</x:v>
      </x:c>
      <x:c r="L1157" s="15" t="n">
        <x:v>5</x:v>
      </x:c>
      <x:c r="M1157" s="13" t="n">
        <x:f>J1157+(K1157+L1157)/1440</x:f>
        <x:v>46303.63263888889</x:v>
      </x:c>
      <x:c r="N1157" s="13" t="n">
        <x:f>VLOOKUP(C1157,'MES orders'!$A$8:$H$127,5,FALSE)</x:f>
        <x:v>46304.666666666664</x:v>
      </x:c>
      <x:c r="O1157" s="16" t="n">
        <x:f>MAX(0,(M1157-N1157)*24)</x:f>
        <x:v>0</x:v>
      </x:c>
      <x:c r="P1157" s="9" t="str">
        <x:v>No</x:v>
      </x:c>
      <x:c r="Q1157" s="15" t="n">
        <x:v>17</x:v>
      </x:c>
      <x:c r="R1157" s="13" t="n">
        <x:f>J1157+Q1157/1440</x:f>
        <x:v>46303.63263888889</x:v>
      </x:c>
      <x:c r="S1157" s="2" t="str">
        <x:f>VLOOKUP(C1157,'MES orders'!$A$8:$H$127,6,FALSE)</x:f>
        <x:v>Normal</x:v>
      </x:c>
      <x:c r="T1157" s="9" t="str"/>
    </x:row>
    <x:row r="1158" ht="22" customHeight="1">
      <x:c r="A1158" s="2" t="str">
        <x:v>L00135-050</x:v>
      </x:c>
      <x:c r="B1158" s="2" t="str">
        <x:v>L00135</x:v>
      </x:c>
      <x:c r="C1158" s="2" t="str">
        <x:v>SO-26027</x:v>
      </x:c>
      <x:c r="D1158" s="2" t="str">
        <x:v>D-S-AL</x:v>
      </x:c>
      <x:c r="E1158" s="14" t="n">
        <x:v>15</x:v>
      </x:c>
      <x:c r="F1158" s="2" t="str">
        <x:v>Final leak / function test</x:v>
      </x:c>
      <x:c r="G1158" s="9" t="str">
        <x:v>QA-01</x:v>
      </x:c>
      <x:c r="H1158" s="15" t="n">
        <x:v>46</x:v>
      </x:c>
      <x:c r="I1158" s="9" t="str">
        <x:v>P24</x:v>
      </x:c>
      <x:c r="J1158" s="11" t="n">
        <x:v>46303.62430555555</x:v>
      </x:c>
      <x:c r="K1158" s="15" t="n">
        <x:v>10</x:v>
      </x:c>
      <x:c r="L1158" s="15" t="n">
        <x:v>14</x:v>
      </x:c>
      <x:c r="M1158" s="13" t="n">
        <x:f>J1158+(K1158+L1158)/1440</x:f>
        <x:v>46303.64097222222</x:v>
      </x:c>
      <x:c r="N1158" s="13" t="n">
        <x:f>VLOOKUP(C1158,'MES orders'!$A$8:$H$127,5,FALSE)</x:f>
        <x:v>46304.666666666664</x:v>
      </x:c>
      <x:c r="O1158" s="16" t="n">
        <x:f>MAX(0,(M1158-N1158)*24)</x:f>
        <x:v>0</x:v>
      </x:c>
      <x:c r="P1158" s="9" t="str">
        <x:v>No</x:v>
      </x:c>
      <x:c r="Q1158" s="15" t="n">
        <x:v>24</x:v>
      </x:c>
      <x:c r="R1158" s="13" t="n">
        <x:f>J1158+Q1158/1440</x:f>
        <x:v>46303.64097222222</x:v>
      </x:c>
      <x:c r="S1158" s="2" t="str">
        <x:f>VLOOKUP(C1158,'MES orders'!$A$8:$H$127,6,FALSE)</x:f>
        <x:v>Normal</x:v>
      </x:c>
      <x:c r="T1158" s="9" t="str"/>
    </x:row>
    <x:row r="1159" ht="22" customHeight="1">
      <x:c r="A1159" s="2" t="str">
        <x:v>L00172-040</x:v>
      </x:c>
      <x:c r="B1159" s="2" t="str">
        <x:v>L00172</x:v>
      </x:c>
      <x:c r="C1159" s="2" t="str">
        <x:v>SO-26035</x:v>
      </x:c>
      <x:c r="D1159" s="2" t="str">
        <x:v>D-L-AL</x:v>
      </x:c>
      <x:c r="E1159" s="14" t="n">
        <x:v>15</x:v>
      </x:c>
      <x:c r="F1159" s="2" t="str">
        <x:v>Mechanical assembly</x:v>
      </x:c>
      <x:c r="G1159" s="9" t="str">
        <x:v>AS-03</x:v>
      </x:c>
      <x:c r="H1159" s="15" t="n">
        <x:v>59</x:v>
      </x:c>
      <x:c r="I1159" s="9" t="str">
        <x:v>P18</x:v>
      </x:c>
      <x:c r="J1159" s="11" t="n">
        <x:v>46303.63263888889</x:v>
      </x:c>
      <x:c r="K1159" s="15" t="n">
        <x:v>8</x:v>
      </x:c>
      <x:c r="L1159" s="15" t="n">
        <x:v>36</x:v>
      </x:c>
      <x:c r="M1159" s="13" t="n">
        <x:f>J1159+(K1159+L1159)/1440</x:f>
        <x:v>46303.663194444445</x:v>
      </x:c>
      <x:c r="N1159" s="13" t="n">
        <x:f>VLOOKUP(C1159,'MES orders'!$A$8:$H$127,5,FALSE)</x:f>
        <x:v>46304.666666666664</x:v>
      </x:c>
      <x:c r="O1159" s="16" t="n">
        <x:f>MAX(0,(M1159-N1159)*24)</x:f>
        <x:v>0</x:v>
      </x:c>
      <x:c r="P1159" s="9" t="str">
        <x:v>No</x:v>
      </x:c>
      <x:c r="Q1159" s="15" t="n">
        <x:v>44</x:v>
      </x:c>
      <x:c r="R1159" s="13" t="n">
        <x:f>J1159+Q1159/1440</x:f>
        <x:v>46303.663194444445</x:v>
      </x:c>
      <x:c r="S1159" s="2" t="str">
        <x:f>VLOOKUP(C1159,'MES orders'!$A$8:$H$127,6,FALSE)</x:f>
        <x:v>Normal</x:v>
      </x:c>
      <x:c r="T1159" s="9" t="str"/>
    </x:row>
    <x:row r="1160" ht="22" customHeight="1">
      <x:c r="A1160" s="2" t="str">
        <x:v>L00255-040</x:v>
      </x:c>
      <x:c r="B1160" s="2" t="str">
        <x:v>L00255</x:v>
      </x:c>
      <x:c r="C1160" s="2" t="str">
        <x:v>SO-26051</x:v>
      </x:c>
      <x:c r="D1160" s="2" t="str">
        <x:v>R-S-AL</x:v>
      </x:c>
      <x:c r="E1160" s="14" t="n">
        <x:v>15</x:v>
      </x:c>
      <x:c r="F1160" s="2" t="str">
        <x:v>Mechanical assembly</x:v>
      </x:c>
      <x:c r="G1160" s="9" t="str">
        <x:v>AS-06</x:v>
      </x:c>
      <x:c r="H1160" s="15" t="n">
        <x:v>10</x:v>
      </x:c>
      <x:c r="I1160" s="9" t="str">
        <x:v>P13</x:v>
      </x:c>
      <x:c r="J1160" s="11" t="n">
        <x:v>46303.63263888889</x:v>
      </x:c>
      <x:c r="K1160" s="15" t="n">
        <x:v>8</x:v>
      </x:c>
      <x:c r="L1160" s="15" t="n">
        <x:v>27</x:v>
      </x:c>
      <x:c r="M1160" s="13" t="n">
        <x:f>J1160+(K1160+L1160)/1440</x:f>
        <x:v>46303.65694444445</x:v>
      </x:c>
      <x:c r="N1160" s="13" t="n">
        <x:f>VLOOKUP(C1160,'MES orders'!$A$8:$H$127,5,FALSE)</x:f>
        <x:v>46304.666666666664</x:v>
      </x:c>
      <x:c r="O1160" s="16" t="n">
        <x:f>MAX(0,(M1160-N1160)*24)</x:f>
        <x:v>0</x:v>
      </x:c>
      <x:c r="P1160" s="9" t="str">
        <x:v>No</x:v>
      </x:c>
      <x:c r="Q1160" s="15" t="n">
        <x:v>35</x:v>
      </x:c>
      <x:c r="R1160" s="13" t="n">
        <x:f>J1160+Q1160/1440</x:f>
        <x:v>46303.65694444445</x:v>
      </x:c>
      <x:c r="S1160" s="2" t="str">
        <x:f>VLOOKUP(C1160,'MES orders'!$A$8:$H$127,6,FALSE)</x:f>
        <x:v>Normal</x:v>
      </x:c>
      <x:c r="T1160" s="9" t="str"/>
    </x:row>
    <x:row r="1161" ht="22" customHeight="1">
      <x:c r="A1161" s="2" t="str">
        <x:v>L00291-030</x:v>
      </x:c>
      <x:c r="B1161" s="2" t="str">
        <x:v>L00291</x:v>
      </x:c>
      <x:c r="C1161" s="2" t="str">
        <x:v>SO-26059</x:v>
      </x:c>
      <x:c r="D1161" s="2" t="str">
        <x:v>R-L-AL</x:v>
      </x:c>
      <x:c r="E1161" s="14" t="n">
        <x:v>15</x:v>
      </x:c>
      <x:c r="F1161" s="2" t="str">
        <x:v>Wash &amp; dry</x:v>
      </x:c>
      <x:c r="G1161" s="9" t="str">
        <x:v>WS-01</x:v>
      </x:c>
      <x:c r="H1161" s="15" t="n">
        <x:v>110</x:v>
      </x:c>
      <x:c r="I1161" s="9" t="str">
        <x:v>P15</x:v>
      </x:c>
      <x:c r="J1161" s="11" t="n">
        <x:v>46303.63263888889</x:v>
      </x:c>
      <x:c r="K1161" s="15" t="n">
        <x:v>12</x:v>
      </x:c>
      <x:c r="L1161" s="15" t="n">
        <x:v>7</x:v>
      </x:c>
      <x:c r="M1161" s="13" t="n">
        <x:f>J1161+(K1161+L1161)/1440</x:f>
        <x:v>46303.645833333336</x:v>
      </x:c>
      <x:c r="N1161" s="13" t="n">
        <x:f>VLOOKUP(C1161,'MES orders'!$A$8:$H$127,5,FALSE)</x:f>
        <x:v>46304.666666666664</x:v>
      </x:c>
      <x:c r="O1161" s="16" t="n">
        <x:f>MAX(0,(M1161-N1161)*24)</x:f>
        <x:v>0</x:v>
      </x:c>
      <x:c r="P1161" s="9" t="str">
        <x:v>No</x:v>
      </x:c>
      <x:c r="Q1161" s="15" t="n">
        <x:v>19</x:v>
      </x:c>
      <x:c r="R1161" s="13" t="n">
        <x:f>J1161+Q1161/1440</x:f>
        <x:v>46303.645833333336</x:v>
      </x:c>
      <x:c r="S1161" s="2" t="str">
        <x:f>VLOOKUP(C1161,'MES orders'!$A$8:$H$127,6,FALSE)</x:f>
        <x:v>Normal</x:v>
      </x:c>
      <x:c r="T1161" s="9" t="str"/>
    </x:row>
    <x:row r="1162" ht="22" customHeight="1">
      <x:c r="A1162" s="2" t="str">
        <x:v>L00175-020</x:v>
      </x:c>
      <x:c r="B1162" s="2" t="str">
        <x:v>L00175</x:v>
      </x:c>
      <x:c r="C1162" s="2" t="str">
        <x:v>SO-26035</x:v>
      </x:c>
      <x:c r="D1162" s="2" t="str">
        <x:v>D-L-AL</x:v>
      </x:c>
      <x:c r="E1162" s="14" t="n">
        <x:v>15</x:v>
      </x:c>
      <x:c r="F1162" s="2" t="str">
        <x:v>Deburr &amp; inspect</x:v>
      </x:c>
      <x:c r="G1162" s="9" t="str">
        <x:v>DB-01</x:v>
      </x:c>
      <x:c r="H1162" s="15" t="n">
        <x:v>112</x:v>
      </x:c>
      <x:c r="I1162" s="9" t="str">
        <x:v>P17</x:v>
      </x:c>
      <x:c r="J1162" s="11" t="n">
        <x:v>46303.63333333333</x:v>
      </x:c>
      <x:c r="K1162" s="15" t="n">
        <x:v>4</x:v>
      </x:c>
      <x:c r="L1162" s="15" t="n">
        <x:v>14</x:v>
      </x:c>
      <x:c r="M1162" s="13" t="n">
        <x:f>J1162+(K1162+L1162)/1440</x:f>
        <x:v>46303.64583333333</x:v>
      </x:c>
      <x:c r="N1162" s="13" t="n">
        <x:f>VLOOKUP(C1162,'MES orders'!$A$8:$H$127,5,FALSE)</x:f>
        <x:v>46304.666666666664</x:v>
      </x:c>
      <x:c r="O1162" s="16" t="n">
        <x:f>MAX(0,(M1162-N1162)*24)</x:f>
        <x:v>0</x:v>
      </x:c>
      <x:c r="P1162" s="9" t="str">
        <x:v>No</x:v>
      </x:c>
      <x:c r="Q1162" s="15" t="n">
        <x:v>18</x:v>
      </x:c>
      <x:c r="R1162" s="13" t="n">
        <x:f>J1162+Q1162/1440</x:f>
        <x:v>46303.64583333333</x:v>
      </x:c>
      <x:c r="S1162" s="2" t="str">
        <x:f>VLOOKUP(C1162,'MES orders'!$A$8:$H$127,6,FALSE)</x:f>
        <x:v>Normal</x:v>
      </x:c>
      <x:c r="T1162" s="9" t="str"/>
    </x:row>
    <x:row r="1163" ht="22" customHeight="1">
      <x:c r="A1163" s="2" t="str">
        <x:v>L00051-080</x:v>
      </x:c>
      <x:c r="B1163" s="2" t="str">
        <x:v>L00051</x:v>
      </x:c>
      <x:c r="C1163" s="2" t="str">
        <x:v>SO-26011</x:v>
      </x:c>
      <x:c r="D1163" s="2" t="str">
        <x:v>S-L-AL</x:v>
      </x:c>
      <x:c r="E1163" s="14" t="n">
        <x:v>20</x:v>
      </x:c>
      <x:c r="F1163" s="2" t="str">
        <x:v>Final leak / function test</x:v>
      </x:c>
      <x:c r="G1163" s="9" t="str">
        <x:v>QA-02</x:v>
      </x:c>
      <x:c r="H1163" s="15" t="n">
        <x:v>81</x:v>
      </x:c>
      <x:c r="I1163" s="9" t="str">
        <x:v>P23</x:v>
      </x:c>
      <x:c r="J1163" s="11" t="n">
        <x:v>46303.63333333333</x:v>
      </x:c>
      <x:c r="K1163" s="15" t="n">
        <x:v>10</x:v>
      </x:c>
      <x:c r="L1163" s="15" t="n">
        <x:v>24</x:v>
      </x:c>
      <x:c r="M1163" s="13" t="n">
        <x:f>J1163+(K1163+L1163)/1440</x:f>
        <x:v>46303.65694444444</x:v>
      </x:c>
      <x:c r="N1163" s="13" t="n">
        <x:f>VLOOKUP(C1163,'MES orders'!$A$8:$H$127,5,FALSE)</x:f>
        <x:v>46304.666666666664</x:v>
      </x:c>
      <x:c r="O1163" s="16" t="n">
        <x:f>MAX(0,(M1163-N1163)*24)</x:f>
        <x:v>0</x:v>
      </x:c>
      <x:c r="P1163" s="9" t="str">
        <x:v>No</x:v>
      </x:c>
      <x:c r="Q1163" s="15" t="n">
        <x:v>34</x:v>
      </x:c>
      <x:c r="R1163" s="13" t="n">
        <x:f>J1163+Q1163/1440</x:f>
        <x:v>46303.65694444444</x:v>
      </x:c>
      <x:c r="S1163" s="2" t="str">
        <x:f>VLOOKUP(C1163,'MES orders'!$A$8:$H$127,6,FALSE)</x:f>
        <x:v>Normal</x:v>
      </x:c>
      <x:c r="T1163" s="9" t="str"/>
    </x:row>
    <x:row r="1164" ht="22" customHeight="1">
      <x:c r="A1164" s="2" t="str">
        <x:v>L00254-050</x:v>
      </x:c>
      <x:c r="B1164" s="2" t="str">
        <x:v>L00254</x:v>
      </x:c>
      <x:c r="C1164" s="2" t="str">
        <x:v>SO-26051</x:v>
      </x:c>
      <x:c r="D1164" s="2" t="str">
        <x:v>R-S-AL</x:v>
      </x:c>
      <x:c r="E1164" s="14" t="n">
        <x:v>15</x:v>
      </x:c>
      <x:c r="F1164" s="2" t="str">
        <x:v>Valve adjustment</x:v>
      </x:c>
      <x:c r="G1164" s="9" t="str">
        <x:v>AS-04</x:v>
      </x:c>
      <x:c r="H1164" s="15" t="n">
        <x:v>40</x:v>
      </x:c>
      <x:c r="I1164" s="9" t="str">
        <x:v>P20</x:v>
      </x:c>
      <x:c r="J1164" s="11" t="n">
        <x:v>46303.63680555556</x:v>
      </x:c>
      <x:c r="K1164" s="15" t="n">
        <x:v>6</x:v>
      </x:c>
      <x:c r="L1164" s="15" t="n">
        <x:v>16</x:v>
      </x:c>
      <x:c r="M1164" s="13" t="n">
        <x:f>J1164+(K1164+L1164)/1440</x:f>
        <x:v>46303.652083333334</x:v>
      </x:c>
      <x:c r="N1164" s="13" t="n">
        <x:f>VLOOKUP(C1164,'MES orders'!$A$8:$H$127,5,FALSE)</x:f>
        <x:v>46304.666666666664</x:v>
      </x:c>
      <x:c r="O1164" s="16" t="n">
        <x:f>MAX(0,(M1164-N1164)*24)</x:f>
        <x:v>0</x:v>
      </x:c>
      <x:c r="P1164" s="9" t="str">
        <x:v>No</x:v>
      </x:c>
      <x:c r="Q1164" s="15" t="n">
        <x:v>22</x:v>
      </x:c>
      <x:c r="R1164" s="13" t="n">
        <x:f>J1164+Q1164/1440</x:f>
        <x:v>46303.652083333334</x:v>
      </x:c>
      <x:c r="S1164" s="2" t="str">
        <x:f>VLOOKUP(C1164,'MES orders'!$A$8:$H$127,6,FALSE)</x:f>
        <x:v>Normal</x:v>
      </x:c>
      <x:c r="T1164" s="9" t="str"/>
    </x:row>
    <x:row r="1165" ht="22" customHeight="1">
      <x:c r="A1165" s="2" t="str">
        <x:v>L00052-070</x:v>
      </x:c>
      <x:c r="B1165" s="2" t="str">
        <x:v>L00052</x:v>
      </x:c>
      <x:c r="C1165" s="2" t="str">
        <x:v>SO-26011</x:v>
      </x:c>
      <x:c r="D1165" s="2" t="str">
        <x:v>S-L-AL</x:v>
      </x:c>
      <x:c r="E1165" s="14" t="n">
        <x:v>20</x:v>
      </x:c>
      <x:c r="F1165" s="2" t="str">
        <x:v>Final assembly</x:v>
      </x:c>
      <x:c r="G1165" s="9" t="str">
        <x:v>AS-01</x:v>
      </x:c>
      <x:c r="H1165" s="15" t="n">
        <x:v>94</x:v>
      </x:c>
      <x:c r="I1165" s="9" t="str">
        <x:v>P17</x:v>
      </x:c>
      <x:c r="J1165" s="11" t="n">
        <x:v>46303.645833333336</x:v>
      </x:c>
      <x:c r="K1165" s="15" t="n">
        <x:v>5</x:v>
      </x:c>
      <x:c r="L1165" s="15" t="n">
        <x:v>22</x:v>
      </x:c>
      <x:c r="M1165" s="13" t="n">
        <x:f>J1165+(K1165+L1165)/1440</x:f>
        <x:v>46303.66458333334</x:v>
      </x:c>
      <x:c r="N1165" s="13" t="n">
        <x:f>VLOOKUP(C1165,'MES orders'!$A$8:$H$127,5,FALSE)</x:f>
        <x:v>46304.666666666664</x:v>
      </x:c>
      <x:c r="O1165" s="16" t="n">
        <x:f>MAX(0,(M1165-N1165)*24)</x:f>
        <x:v>0</x:v>
      </x:c>
      <x:c r="P1165" s="9" t="str">
        <x:v>No</x:v>
      </x:c>
      <x:c r="Q1165" s="15" t="n">
        <x:v>27</x:v>
      </x:c>
      <x:c r="R1165" s="13" t="n">
        <x:f>J1165+Q1165/1440</x:f>
        <x:v>46303.66458333334</x:v>
      </x:c>
      <x:c r="S1165" s="2" t="str">
        <x:f>VLOOKUP(C1165,'MES orders'!$A$8:$H$127,6,FALSE)</x:f>
        <x:v>Normal</x:v>
      </x:c>
      <x:c r="T1165" s="9" t="str"/>
    </x:row>
    <x:row r="1166" ht="22" customHeight="1">
      <x:c r="A1166" s="2" t="str">
        <x:v>L00291-040</x:v>
      </x:c>
      <x:c r="B1166" s="2" t="str">
        <x:v>L00291</x:v>
      </x:c>
      <x:c r="C1166" s="2" t="str">
        <x:v>SO-26059</x:v>
      </x:c>
      <x:c r="D1166" s="2" t="str">
        <x:v>R-L-AL</x:v>
      </x:c>
      <x:c r="E1166" s="14" t="n">
        <x:v>15</x:v>
      </x:c>
      <x:c r="F1166" s="2" t="str">
        <x:v>Mechanical assembly</x:v>
      </x:c>
      <x:c r="G1166" s="9" t="str">
        <x:v>AS-05</x:v>
      </x:c>
      <x:c r="H1166" s="15" t="n">
        <x:v>27</x:v>
      </x:c>
      <x:c r="I1166" s="9" t="str">
        <x:v>P14</x:v>
      </x:c>
      <x:c r="J1166" s="11" t="n">
        <x:v>46303.645833333336</x:v>
      </x:c>
      <x:c r="K1166" s="15" t="n">
        <x:v>8</x:v>
      </x:c>
      <x:c r="L1166" s="15" t="n">
        <x:v>36</x:v>
      </x:c>
      <x:c r="M1166" s="13" t="n">
        <x:f>J1166+(K1166+L1166)/1440</x:f>
        <x:v>46303.67638888889</x:v>
      </x:c>
      <x:c r="N1166" s="13" t="n">
        <x:f>VLOOKUP(C1166,'MES orders'!$A$8:$H$127,5,FALSE)</x:f>
        <x:v>46304.666666666664</x:v>
      </x:c>
      <x:c r="O1166" s="16" t="n">
        <x:f>MAX(0,(M1166-N1166)*24)</x:f>
        <x:v>0</x:v>
      </x:c>
      <x:c r="P1166" s="9" t="str">
        <x:v>No</x:v>
      </x:c>
      <x:c r="Q1166" s="15" t="n">
        <x:v>44</x:v>
      </x:c>
      <x:c r="R1166" s="13" t="n">
        <x:f>J1166+Q1166/1440</x:f>
        <x:v>46303.67638888889</x:v>
      </x:c>
      <x:c r="S1166" s="2" t="str">
        <x:f>VLOOKUP(C1166,'MES orders'!$A$8:$H$127,6,FALSE)</x:f>
        <x:v>Normal</x:v>
      </x:c>
      <x:c r="T1166" s="9" t="str"/>
    </x:row>
    <x:row r="1167" ht="22" customHeight="1">
      <x:c r="A1167" s="2" t="str">
        <x:v>L00053-060</x:v>
      </x:c>
      <x:c r="B1167" s="2" t="str">
        <x:v>L00053</x:v>
      </x:c>
      <x:c r="C1167" s="2" t="str">
        <x:v>SO-26011</x:v>
      </x:c>
      <x:c r="D1167" s="2" t="str">
        <x:v>S-L-AL</x:v>
      </x:c>
      <x:c r="E1167" s="14" t="n">
        <x:v>20</x:v>
      </x:c>
      <x:c r="F1167" s="2" t="str">
        <x:v>Sensor calibration</x:v>
      </x:c>
      <x:c r="G1167" s="9" t="str">
        <x:v>CAL-01</x:v>
      </x:c>
      <x:c r="H1167" s="15" t="n">
        <x:v>53</x:v>
      </x:c>
      <x:c r="I1167" s="9" t="str">
        <x:v>P21</x:v>
      </x:c>
      <x:c r="J1167" s="11" t="n">
        <x:v>46303.645833333336</x:v>
      </x:c>
      <x:c r="K1167" s="15" t="n">
        <x:v>10</x:v>
      </x:c>
      <x:c r="L1167" s="15" t="n">
        <x:v>35</x:v>
      </x:c>
      <x:c r="M1167" s="13" t="n">
        <x:f>J1167+(K1167+L1167)/1440</x:f>
        <x:v>46303.677083333336</x:v>
      </x:c>
      <x:c r="N1167" s="13" t="n">
        <x:f>VLOOKUP(C1167,'MES orders'!$A$8:$H$127,5,FALSE)</x:f>
        <x:v>46304.666666666664</x:v>
      </x:c>
      <x:c r="O1167" s="16" t="n">
        <x:f>MAX(0,(M1167-N1167)*24)</x:f>
        <x:v>0</x:v>
      </x:c>
      <x:c r="P1167" s="9" t="str">
        <x:v>No</x:v>
      </x:c>
      <x:c r="Q1167" s="15" t="n">
        <x:v>45</x:v>
      </x:c>
      <x:c r="R1167" s="13" t="n">
        <x:f>J1167+Q1167/1440</x:f>
        <x:v>46303.677083333336</x:v>
      </x:c>
      <x:c r="S1167" s="2" t="str">
        <x:f>VLOOKUP(C1167,'MES orders'!$A$8:$H$127,6,FALSE)</x:f>
        <x:v>Normal</x:v>
      </x:c>
      <x:c r="T1167" s="9" t="str"/>
    </x:row>
    <x:row r="1168" ht="22" customHeight="1">
      <x:c r="A1168" s="2" t="str">
        <x:v>L00292-010</x:v>
      </x:c>
      <x:c r="B1168" s="2" t="str">
        <x:v>L00292</x:v>
      </x:c>
      <x:c r="C1168" s="2" t="str">
        <x:v>SO-26059</x:v>
      </x:c>
      <x:c r="D1168" s="2" t="str">
        <x:v>R-L-AL</x:v>
      </x:c>
      <x:c r="E1168" s="14" t="n">
        <x:v>15</x:v>
      </x:c>
      <x:c r="F1168" s="2" t="str">
        <x:v>CNC machining</x:v>
      </x:c>
      <x:c r="G1168" s="9" t="str">
        <x:v>CNC-03</x:v>
      </x:c>
      <x:c r="H1168" s="15" t="n">
        <x:v>36</x:v>
      </x:c>
      <x:c r="I1168" s="9" t="str">
        <x:v>P15</x:v>
      </x:c>
      <x:c r="J1168" s="11" t="n">
        <x:v>46303.645833333336</x:v>
      </x:c>
      <x:c r="K1168" s="15" t="n">
        <x:v>18</x:v>
      </x:c>
      <x:c r="L1168" s="15" t="n">
        <x:v>49</x:v>
      </x:c>
      <x:c r="M1168" s="13" t="n">
        <x:f>J1168+(K1168+L1168)/1440</x:f>
        <x:v>46303.69236111111</x:v>
      </x:c>
      <x:c r="N1168" s="13" t="n">
        <x:f>VLOOKUP(C1168,'MES orders'!$A$8:$H$127,5,FALSE)</x:f>
        <x:v>46304.666666666664</x:v>
      </x:c>
      <x:c r="O1168" s="16" t="n">
        <x:f>MAX(0,(M1168-N1168)*24)</x:f>
        <x:v>0</x:v>
      </x:c>
      <x:c r="P1168" s="9" t="str">
        <x:v>No</x:v>
      </x:c>
      <x:c r="Q1168" s="15" t="n">
        <x:v>18</x:v>
      </x:c>
      <x:c r="R1168" s="13" t="n">
        <x:f>J1168+Q1168/1440</x:f>
        <x:v>46303.65833333333</x:v>
      </x:c>
      <x:c r="S1168" s="2" t="str">
        <x:f>VLOOKUP(C1168,'MES orders'!$A$8:$H$127,6,FALSE)</x:f>
        <x:v>Normal</x:v>
      </x:c>
      <x:c r="T1168" s="9" t="str"/>
    </x:row>
    <x:row r="1169" ht="22" customHeight="1">
      <x:c r="A1169" s="2" t="str">
        <x:v>L00173-040</x:v>
      </x:c>
      <x:c r="B1169" s="2" t="str">
        <x:v>L00173</x:v>
      </x:c>
      <x:c r="C1169" s="2" t="str">
        <x:v>SO-26035</x:v>
      </x:c>
      <x:c r="D1169" s="2" t="str">
        <x:v>D-L-AL</x:v>
      </x:c>
      <x:c r="E1169" s="14" t="n">
        <x:v>15</x:v>
      </x:c>
      <x:c r="F1169" s="2" t="str">
        <x:v>Mechanical assembly</x:v>
      </x:c>
      <x:c r="G1169" s="9" t="str">
        <x:v>AS-02</x:v>
      </x:c>
      <x:c r="H1169" s="15" t="n">
        <x:v>76</x:v>
      </x:c>
      <x:c r="I1169" s="9" t="str">
        <x:v>P16</x:v>
      </x:c>
      <x:c r="J1169" s="11" t="n">
        <x:v>46303.65138888889</x:v>
      </x:c>
      <x:c r="K1169" s="15" t="n">
        <x:v>8</x:v>
      </x:c>
      <x:c r="L1169" s="15" t="n">
        <x:v>36</x:v>
      </x:c>
      <x:c r="M1169" s="13" t="n">
        <x:f>J1169+(K1169+L1169)/1440</x:f>
        <x:v>46303.68194444444</x:v>
      </x:c>
      <x:c r="N1169" s="13" t="n">
        <x:f>VLOOKUP(C1169,'MES orders'!$A$8:$H$127,5,FALSE)</x:f>
        <x:v>46304.666666666664</x:v>
      </x:c>
      <x:c r="O1169" s="16" t="n">
        <x:f>MAX(0,(M1169-N1169)*24)</x:f>
        <x:v>0</x:v>
      </x:c>
      <x:c r="P1169" s="9" t="str">
        <x:v>No</x:v>
      </x:c>
      <x:c r="Q1169" s="15" t="n">
        <x:v>44</x:v>
      </x:c>
      <x:c r="R1169" s="13" t="n">
        <x:f>J1169+Q1169/1440</x:f>
        <x:v>46303.68194444444</x:v>
      </x:c>
      <x:c r="S1169" s="2" t="str">
        <x:f>VLOOKUP(C1169,'MES orders'!$A$8:$H$127,6,FALSE)</x:f>
        <x:v>Normal</x:v>
      </x:c>
      <x:c r="T1169" s="9" t="str"/>
    </x:row>
    <x:row r="1170" ht="22" customHeight="1">
      <x:c r="A1170" s="2" t="str">
        <x:v>L00171-050</x:v>
      </x:c>
      <x:c r="B1170" s="2" t="str">
        <x:v>L00171</x:v>
      </x:c>
      <x:c r="C1170" s="2" t="str">
        <x:v>SO-26035</x:v>
      </x:c>
      <x:c r="D1170" s="2" t="str">
        <x:v>D-L-AL</x:v>
      </x:c>
      <x:c r="E1170" s="14" t="n">
        <x:v>15</x:v>
      </x:c>
      <x:c r="F1170" s="2" t="str">
        <x:v>Final leak / function test</x:v>
      </x:c>
      <x:c r="G1170" s="9" t="str">
        <x:v>QA-01</x:v>
      </x:c>
      <x:c r="H1170" s="15" t="n">
        <x:v>47</x:v>
      </x:c>
      <x:c r="I1170" s="9" t="str">
        <x:v>P24</x:v>
      </x:c>
      <x:c r="J1170" s="11" t="n">
        <x:v>46303.65138888889</x:v>
      </x:c>
      <x:c r="K1170" s="15" t="n">
        <x:v>10</x:v>
      </x:c>
      <x:c r="L1170" s="15" t="n">
        <x:v>18</x:v>
      </x:c>
      <x:c r="M1170" s="13" t="n">
        <x:f>J1170+(K1170+L1170)/1440</x:f>
        <x:v>46303.67083333333</x:v>
      </x:c>
      <x:c r="N1170" s="13" t="n">
        <x:f>VLOOKUP(C1170,'MES orders'!$A$8:$H$127,5,FALSE)</x:f>
        <x:v>46304.666666666664</x:v>
      </x:c>
      <x:c r="O1170" s="16" t="n">
        <x:f>MAX(0,(M1170-N1170)*24)</x:f>
        <x:v>0</x:v>
      </x:c>
      <x:c r="P1170" s="9" t="str">
        <x:v>No</x:v>
      </x:c>
      <x:c r="Q1170" s="15" t="n">
        <x:v>28</x:v>
      </x:c>
      <x:c r="R1170" s="13" t="n">
        <x:f>J1170+Q1170/1440</x:f>
        <x:v>46303.67083333333</x:v>
      </x:c>
      <x:c r="S1170" s="2" t="str">
        <x:f>VLOOKUP(C1170,'MES orders'!$A$8:$H$127,6,FALSE)</x:f>
        <x:v>Normal</x:v>
      </x:c>
      <x:c r="T1170" s="9" t="str"/>
    </x:row>
    <x:row r="1171" ht="22" customHeight="1">
      <x:c r="A1171" s="2" t="str">
        <x:v>L00293-010</x:v>
      </x:c>
      <x:c r="B1171" s="2" t="str">
        <x:v>L00293</x:v>
      </x:c>
      <x:c r="C1171" s="2" t="str">
        <x:v>SO-26059</x:v>
      </x:c>
      <x:c r="D1171" s="2" t="str">
        <x:v>R-L-AL</x:v>
      </x:c>
      <x:c r="E1171" s="14" t="n">
        <x:v>15</x:v>
      </x:c>
      <x:c r="F1171" s="2" t="str">
        <x:v>CNC machining</x:v>
      </x:c>
      <x:c r="G1171" s="9" t="str">
        <x:v>CNC-04</x:v>
      </x:c>
      <x:c r="H1171" s="15" t="n">
        <x:v>36</x:v>
      </x:c>
      <x:c r="I1171" s="9" t="str">
        <x:v>P13</x:v>
      </x:c>
      <x:c r="J1171" s="11" t="n">
        <x:v>46303.65694444445</x:v>
      </x:c>
      <x:c r="K1171" s="15" t="n">
        <x:v>18</x:v>
      </x:c>
      <x:c r="L1171" s="15" t="n">
        <x:v>49</x:v>
      </x:c>
      <x:c r="M1171" s="13" t="n">
        <x:f>J1171+(K1171+L1171)/1440</x:f>
        <x:v>46303.70347222222</x:v>
      </x:c>
      <x:c r="N1171" s="13" t="n">
        <x:f>VLOOKUP(C1171,'MES orders'!$A$8:$H$127,5,FALSE)</x:f>
        <x:v>46304.666666666664</x:v>
      </x:c>
      <x:c r="O1171" s="16" t="n">
        <x:f>MAX(0,(M1171-N1171)*24)</x:f>
        <x:v>0</x:v>
      </x:c>
      <x:c r="P1171" s="9" t="str">
        <x:v>No</x:v>
      </x:c>
      <x:c r="Q1171" s="15" t="n">
        <x:v>18</x:v>
      </x:c>
      <x:c r="R1171" s="13" t="n">
        <x:f>J1171+Q1171/1440</x:f>
        <x:v>46303.669444444444</x:v>
      </x:c>
      <x:c r="S1171" s="2" t="str">
        <x:f>VLOOKUP(C1171,'MES orders'!$A$8:$H$127,6,FALSE)</x:f>
        <x:v>Normal</x:v>
      </x:c>
      <x:c r="T1171" s="9" t="str"/>
    </x:row>
    <x:row r="1172" ht="22" customHeight="1">
      <x:c r="A1172" s="2" t="str">
        <x:v>L00294-010</x:v>
      </x:c>
      <x:c r="B1172" s="2" t="str">
        <x:v>L00294</x:v>
      </x:c>
      <x:c r="C1172" s="2" t="str">
        <x:v>SO-26059</x:v>
      </x:c>
      <x:c r="D1172" s="2" t="str">
        <x:v>R-L-AL</x:v>
      </x:c>
      <x:c r="E1172" s="14" t="n">
        <x:v>15</x:v>
      </x:c>
      <x:c r="F1172" s="2" t="str">
        <x:v>CNC machining</x:v>
      </x:c>
      <x:c r="G1172" s="9" t="str">
        <x:v>CNC-05</x:v>
      </x:c>
      <x:c r="H1172" s="15" t="n">
        <x:v>32</x:v>
      </x:c>
      <x:c r="I1172" s="9" t="str">
        <x:v>P15</x:v>
      </x:c>
      <x:c r="J1172" s="11" t="n">
        <x:v>46303.65833333333</x:v>
      </x:c>
      <x:c r="K1172" s="15" t="n">
        <x:v>18</x:v>
      </x:c>
      <x:c r="L1172" s="15" t="n">
        <x:v>49</x:v>
      </x:c>
      <x:c r="M1172" s="13" t="n">
        <x:f>J1172+(K1172+L1172)/1440</x:f>
        <x:v>46303.70486111111</x:v>
      </x:c>
      <x:c r="N1172" s="13" t="n">
        <x:f>VLOOKUP(C1172,'MES orders'!$A$8:$H$127,5,FALSE)</x:f>
        <x:v>46304.666666666664</x:v>
      </x:c>
      <x:c r="O1172" s="16" t="n">
        <x:f>MAX(0,(M1172-N1172)*24)</x:f>
        <x:v>0</x:v>
      </x:c>
      <x:c r="P1172" s="9" t="str">
        <x:v>No</x:v>
      </x:c>
      <x:c r="Q1172" s="15" t="n">
        <x:v>18</x:v>
      </x:c>
      <x:c r="R1172" s="13" t="n">
        <x:f>J1172+Q1172/1440</x:f>
        <x:v>46303.67083333333</x:v>
      </x:c>
      <x:c r="S1172" s="2" t="str">
        <x:f>VLOOKUP(C1172,'MES orders'!$A$8:$H$127,6,FALSE)</x:f>
        <x:v>Normal</x:v>
      </x:c>
      <x:c r="T1172" s="9" t="str"/>
    </x:row>
    <x:row r="1173" ht="22" customHeight="1">
      <x:c r="A1173" s="2" t="str">
        <x:v>L00174-040</x:v>
      </x:c>
      <x:c r="B1173" s="2" t="str">
        <x:v>L00174</x:v>
      </x:c>
      <x:c r="C1173" s="2" t="str">
        <x:v>SO-26035</x:v>
      </x:c>
      <x:c r="D1173" s="2" t="str">
        <x:v>D-L-AL</x:v>
      </x:c>
      <x:c r="E1173" s="14" t="n">
        <x:v>15</x:v>
      </x:c>
      <x:c r="F1173" s="2" t="str">
        <x:v>Mechanical assembly</x:v>
      </x:c>
      <x:c r="G1173" s="9" t="str">
        <x:v>AS-03</x:v>
      </x:c>
      <x:c r="H1173" s="15" t="n">
        <x:v>60</x:v>
      </x:c>
      <x:c r="I1173" s="9" t="str">
        <x:v>P18</x:v>
      </x:c>
      <x:c r="J1173" s="11" t="n">
        <x:v>46303.663194444445</x:v>
      </x:c>
      <x:c r="K1173" s="15" t="n">
        <x:v>8</x:v>
      </x:c>
      <x:c r="L1173" s="15" t="n">
        <x:v>36</x:v>
      </x:c>
      <x:c r="M1173" s="13" t="n">
        <x:f>J1173+(K1173+L1173)/1440</x:f>
        <x:v>46303.69375</x:v>
      </x:c>
      <x:c r="N1173" s="13" t="n">
        <x:f>VLOOKUP(C1173,'MES orders'!$A$8:$H$127,5,FALSE)</x:f>
        <x:v>46304.666666666664</x:v>
      </x:c>
      <x:c r="O1173" s="16" t="n">
        <x:f>MAX(0,(M1173-N1173)*24)</x:f>
        <x:v>0</x:v>
      </x:c>
      <x:c r="P1173" s="9" t="str">
        <x:v>No</x:v>
      </x:c>
      <x:c r="Q1173" s="15" t="n">
        <x:v>44</x:v>
      </x:c>
      <x:c r="R1173" s="13" t="n">
        <x:f>J1173+Q1173/1440</x:f>
        <x:v>46303.69375</x:v>
      </x:c>
      <x:c r="S1173" s="2" t="str">
        <x:f>VLOOKUP(C1173,'MES orders'!$A$8:$H$127,6,FALSE)</x:f>
        <x:v>Normal</x:v>
      </x:c>
      <x:c r="T1173" s="9" t="str"/>
    </x:row>
    <x:row r="1174" ht="22" customHeight="1">
      <x:c r="A1174" s="2" t="str">
        <x:v>L00253-020</x:v>
      </x:c>
      <x:c r="B1174" s="2" t="str">
        <x:v>L00253</x:v>
      </x:c>
      <x:c r="C1174" s="2" t="str">
        <x:v>SO-26051</x:v>
      </x:c>
      <x:c r="D1174" s="2" t="str">
        <x:v>R-S-AL</x:v>
      </x:c>
      <x:c r="E1174" s="14" t="n">
        <x:v>15</x:v>
      </x:c>
      <x:c r="F1174" s="2" t="str">
        <x:v>Deburr &amp; inspect</x:v>
      </x:c>
      <x:c r="G1174" s="9" t="str">
        <x:v>DB-01</x:v>
      </x:c>
      <x:c r="H1174" s="15" t="n">
        <x:v>113</x:v>
      </x:c>
      <x:c r="I1174" s="9" t="str">
        <x:v>P17</x:v>
      </x:c>
      <x:c r="J1174" s="11" t="n">
        <x:v>46303.66458333333</x:v>
      </x:c>
      <x:c r="K1174" s="15" t="n">
        <x:v>4</x:v>
      </x:c>
      <x:c r="L1174" s="15" t="n">
        <x:v>10</x:v>
      </x:c>
      <x:c r="M1174" s="13" t="n">
        <x:f>J1174+(K1174+L1174)/1440</x:f>
        <x:v>46303.674305555556</x:v>
      </x:c>
      <x:c r="N1174" s="13" t="n">
        <x:f>VLOOKUP(C1174,'MES orders'!$A$8:$H$127,5,FALSE)</x:f>
        <x:v>46304.666666666664</x:v>
      </x:c>
      <x:c r="O1174" s="16" t="n">
        <x:f>MAX(0,(M1174-N1174)*24)</x:f>
        <x:v>0</x:v>
      </x:c>
      <x:c r="P1174" s="9" t="str">
        <x:v>No</x:v>
      </x:c>
      <x:c r="Q1174" s="15" t="n">
        <x:v>14</x:v>
      </x:c>
      <x:c r="R1174" s="13" t="n">
        <x:f>J1174+Q1174/1440</x:f>
        <x:v>46303.674305555556</x:v>
      </x:c>
      <x:c r="S1174" s="2" t="str">
        <x:f>VLOOKUP(C1174,'MES orders'!$A$8:$H$127,6,FALSE)</x:f>
        <x:v>Normal</x:v>
      </x:c>
      <x:c r="T1174" s="9" t="str"/>
    </x:row>
    <x:row r="1175" ht="22" customHeight="1">
      <x:c r="A1175" s="2" t="str">
        <x:v>L00052-080</x:v>
      </x:c>
      <x:c r="B1175" s="2" t="str">
        <x:v>L00052</x:v>
      </x:c>
      <x:c r="C1175" s="2" t="str">
        <x:v>SO-26011</x:v>
      </x:c>
      <x:c r="D1175" s="2" t="str">
        <x:v>S-L-AL</x:v>
      </x:c>
      <x:c r="E1175" s="14" t="n">
        <x:v>20</x:v>
      </x:c>
      <x:c r="F1175" s="2" t="str">
        <x:v>Final leak / function test</x:v>
      </x:c>
      <x:c r="G1175" s="9" t="str">
        <x:v>QA-02</x:v>
      </x:c>
      <x:c r="H1175" s="15" t="n">
        <x:v>82</x:v>
      </x:c>
      <x:c r="I1175" s="9" t="str">
        <x:v>P23</x:v>
      </x:c>
      <x:c r="J1175" s="11" t="n">
        <x:v>46303.66458333333</x:v>
      </x:c>
      <x:c r="K1175" s="15" t="n">
        <x:v>10</x:v>
      </x:c>
      <x:c r="L1175" s="15" t="n">
        <x:v>24</x:v>
      </x:c>
      <x:c r="M1175" s="13" t="n">
        <x:f>J1175+(K1175+L1175)/1440</x:f>
        <x:v>46303.68819444444</x:v>
      </x:c>
      <x:c r="N1175" s="13" t="n">
        <x:f>VLOOKUP(C1175,'MES orders'!$A$8:$H$127,5,FALSE)</x:f>
        <x:v>46304.666666666664</x:v>
      </x:c>
      <x:c r="O1175" s="16" t="n">
        <x:f>MAX(0,(M1175-N1175)*24)</x:f>
        <x:v>0</x:v>
      </x:c>
      <x:c r="P1175" s="9" t="str">
        <x:v>No</x:v>
      </x:c>
      <x:c r="Q1175" s="15" t="n">
        <x:v>34</x:v>
      </x:c>
      <x:c r="R1175" s="13" t="n">
        <x:f>J1175+Q1175/1440</x:f>
        <x:v>46303.68819444444</x:v>
      </x:c>
      <x:c r="S1175" s="2" t="str">
        <x:f>VLOOKUP(C1175,'MES orders'!$A$8:$H$127,6,FALSE)</x:f>
        <x:v>Normal</x:v>
      </x:c>
      <x:c r="T1175" s="9" t="str"/>
    </x:row>
    <x:row r="1176" ht="22" customHeight="1">
      <x:c r="A1176" s="2" t="str">
        <x:v>L00295-010</x:v>
      </x:c>
      <x:c r="B1176" s="2" t="str">
        <x:v>L00295</x:v>
      </x:c>
      <x:c r="C1176" s="2" t="str">
        <x:v>SO-26059</x:v>
      </x:c>
      <x:c r="D1176" s="2" t="str">
        <x:v>R-L-AL</x:v>
      </x:c>
      <x:c r="E1176" s="14" t="n">
        <x:v>15</x:v>
      </x:c>
      <x:c r="F1176" s="2" t="str">
        <x:v>CNC machining</x:v>
      </x:c>
      <x:c r="G1176" s="9" t="str">
        <x:v>CNC-06</x:v>
      </x:c>
      <x:c r="H1176" s="15" t="n">
        <x:v>29</x:v>
      </x:c>
      <x:c r="I1176" s="9" t="str">
        <x:v>P13</x:v>
      </x:c>
      <x:c r="J1176" s="11" t="n">
        <x:v>46303.669444444444</x:v>
      </x:c>
      <x:c r="K1176" s="15" t="n">
        <x:v>18</x:v>
      </x:c>
      <x:c r="L1176" s="15" t="n">
        <x:v>49</x:v>
      </x:c>
      <x:c r="M1176" s="13" t="n">
        <x:f>J1176+(K1176+L1176)/1440</x:f>
        <x:v>46303.71597222222</x:v>
      </x:c>
      <x:c r="N1176" s="13" t="n">
        <x:f>VLOOKUP(C1176,'MES orders'!$A$8:$H$127,5,FALSE)</x:f>
        <x:v>46304.666666666664</x:v>
      </x:c>
      <x:c r="O1176" s="16" t="n">
        <x:f>MAX(0,(M1176-N1176)*24)</x:f>
        <x:v>0</x:v>
      </x:c>
      <x:c r="P1176" s="9" t="str">
        <x:v>No</x:v>
      </x:c>
      <x:c r="Q1176" s="15" t="n">
        <x:v>18</x:v>
      </x:c>
      <x:c r="R1176" s="13" t="n">
        <x:f>J1176+Q1176/1440</x:f>
        <x:v>46303.68194444444</x:v>
      </x:c>
      <x:c r="S1176" s="2" t="str">
        <x:f>VLOOKUP(C1176,'MES orders'!$A$8:$H$127,6,FALSE)</x:f>
        <x:v>Normal</x:v>
      </x:c>
      <x:c r="T1176" s="9" t="str"/>
    </x:row>
    <x:row r="1177" ht="22" customHeight="1">
      <x:c r="A1177" s="2" t="str">
        <x:v>L00331-010</x:v>
      </x:c>
      <x:c r="B1177" s="2" t="str">
        <x:v>L00331</x:v>
      </x:c>
      <x:c r="C1177" s="2" t="str">
        <x:v>SO-26067</x:v>
      </x:c>
      <x:c r="D1177" s="2" t="str">
        <x:v>S-C-AL</x:v>
      </x:c>
      <x:c r="E1177" s="14" t="n">
        <x:v>10</x:v>
      </x:c>
      <x:c r="F1177" s="2" t="str">
        <x:v>CNC machining</x:v>
      </x:c>
      <x:c r="G1177" s="9" t="str">
        <x:v>CNC-01</x:v>
      </x:c>
      <x:c r="H1177" s="15" t="n">
        <x:v>38</x:v>
      </x:c>
      <x:c r="I1177" s="9" t="str">
        <x:v>P15</x:v>
      </x:c>
      <x:c r="J1177" s="11" t="n">
        <x:v>46303.67083333333</x:v>
      </x:c>
      <x:c r="K1177" s="15" t="n">
        <x:v>18</x:v>
      </x:c>
      <x:c r="L1177" s="15" t="n">
        <x:v>19</x:v>
      </x:c>
      <x:c r="M1177" s="13" t="n">
        <x:f>J1177+(K1177+L1177)/1440</x:f>
        <x:v>46303.69652777777</x:v>
      </x:c>
      <x:c r="N1177" s="13" t="n">
        <x:f>VLOOKUP(C1177,'MES orders'!$A$8:$H$127,5,FALSE)</x:f>
        <x:v>46304.666666666664</x:v>
      </x:c>
      <x:c r="O1177" s="16" t="n">
        <x:f>MAX(0,(M1177-N1177)*24)</x:f>
        <x:v>0</x:v>
      </x:c>
      <x:c r="P1177" s="9" t="str">
        <x:v>No</x:v>
      </x:c>
      <x:c r="Q1177" s="15" t="n">
        <x:v>18</x:v>
      </x:c>
      <x:c r="R1177" s="13" t="n">
        <x:f>J1177+Q1177/1440</x:f>
        <x:v>46303.68333333333</x:v>
      </x:c>
      <x:c r="S1177" s="2" t="str">
        <x:f>VLOOKUP(C1177,'MES orders'!$A$8:$H$127,6,FALSE)</x:f>
        <x:v>Normal</x:v>
      </x:c>
      <x:c r="T1177" s="9" t="str"/>
    </x:row>
    <x:row r="1178" ht="22" customHeight="1">
      <x:c r="A1178" s="2" t="str">
        <x:v>L00172-050</x:v>
      </x:c>
      <x:c r="B1178" s="2" t="str">
        <x:v>L00172</x:v>
      </x:c>
      <x:c r="C1178" s="2" t="str">
        <x:v>SO-26035</x:v>
      </x:c>
      <x:c r="D1178" s="2" t="str">
        <x:v>D-L-AL</x:v>
      </x:c>
      <x:c r="E1178" s="14" t="n">
        <x:v>15</x:v>
      </x:c>
      <x:c r="F1178" s="2" t="str">
        <x:v>Final leak / function test</x:v>
      </x:c>
      <x:c r="G1178" s="9" t="str">
        <x:v>QA-01</x:v>
      </x:c>
      <x:c r="H1178" s="15" t="n">
        <x:v>48</x:v>
      </x:c>
      <x:c r="I1178" s="9" t="str">
        <x:v>P24</x:v>
      </x:c>
      <x:c r="J1178" s="11" t="n">
        <x:v>46303.67083333333</x:v>
      </x:c>
      <x:c r="K1178" s="15" t="n">
        <x:v>10</x:v>
      </x:c>
      <x:c r="L1178" s="15" t="n">
        <x:v>18</x:v>
      </x:c>
      <x:c r="M1178" s="13" t="n">
        <x:f>J1178+(K1178+L1178)/1440</x:f>
        <x:v>46303.69027777777</x:v>
      </x:c>
      <x:c r="N1178" s="13" t="n">
        <x:f>VLOOKUP(C1178,'MES orders'!$A$8:$H$127,5,FALSE)</x:f>
        <x:v>46304.666666666664</x:v>
      </x:c>
      <x:c r="O1178" s="16" t="n">
        <x:f>MAX(0,(M1178-N1178)*24)</x:f>
        <x:v>0</x:v>
      </x:c>
      <x:c r="P1178" s="9" t="str">
        <x:v>No</x:v>
      </x:c>
      <x:c r="Q1178" s="15" t="n">
        <x:v>28</x:v>
      </x:c>
      <x:c r="R1178" s="13" t="n">
        <x:f>J1178+Q1178/1440</x:f>
        <x:v>46303.69027777777</x:v>
      </x:c>
      <x:c r="S1178" s="2" t="str">
        <x:f>VLOOKUP(C1178,'MES orders'!$A$8:$H$127,6,FALSE)</x:f>
        <x:v>Normal</x:v>
      </x:c>
      <x:c r="T1178" s="9" t="str"/>
    </x:row>
    <x:row r="1179" ht="22" customHeight="1">
      <x:c r="A1179" s="2" t="str">
        <x:v>L00291-050</x:v>
      </x:c>
      <x:c r="B1179" s="2" t="str">
        <x:v>L00291</x:v>
      </x:c>
      <x:c r="C1179" s="2" t="str">
        <x:v>SO-26059</x:v>
      </x:c>
      <x:c r="D1179" s="2" t="str">
        <x:v>R-L-AL</x:v>
      </x:c>
      <x:c r="E1179" s="14" t="n">
        <x:v>15</x:v>
      </x:c>
      <x:c r="F1179" s="2" t="str">
        <x:v>Valve adjustment</x:v>
      </x:c>
      <x:c r="G1179" s="9" t="str">
        <x:v>AS-04</x:v>
      </x:c>
      <x:c r="H1179" s="15" t="n">
        <x:v>41</x:v>
      </x:c>
      <x:c r="I1179" s="9" t="str">
        <x:v>P20</x:v>
      </x:c>
      <x:c r="J1179" s="11" t="n">
        <x:v>46303.67638888889</x:v>
      </x:c>
      <x:c r="K1179" s="15" t="n">
        <x:v>6</x:v>
      </x:c>
      <x:c r="L1179" s="15" t="n">
        <x:v>22</x:v>
      </x:c>
      <x:c r="M1179" s="13" t="n">
        <x:f>J1179+(K1179+L1179)/1440</x:f>
        <x:v>46303.69583333333</x:v>
      </x:c>
      <x:c r="N1179" s="13" t="n">
        <x:f>VLOOKUP(C1179,'MES orders'!$A$8:$H$127,5,FALSE)</x:f>
        <x:v>46304.666666666664</x:v>
      </x:c>
      <x:c r="O1179" s="16" t="n">
        <x:f>MAX(0,(M1179-N1179)*24)</x:f>
        <x:v>0</x:v>
      </x:c>
      <x:c r="P1179" s="9" t="str">
        <x:v>No</x:v>
      </x:c>
      <x:c r="Q1179" s="15" t="n">
        <x:v>28</x:v>
      </x:c>
      <x:c r="R1179" s="13" t="n">
        <x:f>J1179+Q1179/1440</x:f>
        <x:v>46303.69583333333</x:v>
      </x:c>
      <x:c r="S1179" s="2" t="str">
        <x:f>VLOOKUP(C1179,'MES orders'!$A$8:$H$127,6,FALSE)</x:f>
        <x:v>Normal</x:v>
      </x:c>
      <x:c r="T1179" s="9" t="str"/>
    </x:row>
    <x:row r="1180" ht="22" customHeight="1">
      <x:c r="A1180" s="2" t="str">
        <x:v>L00332-010</x:v>
      </x:c>
      <x:c r="B1180" s="2" t="str">
        <x:v>L00332</x:v>
      </x:c>
      <x:c r="C1180" s="2" t="str">
        <x:v>SO-26067</x:v>
      </x:c>
      <x:c r="D1180" s="2" t="str">
        <x:v>S-C-AL</x:v>
      </x:c>
      <x:c r="E1180" s="14" t="n">
        <x:v>10</x:v>
      </x:c>
      <x:c r="F1180" s="2" t="str">
        <x:v>CNC machining</x:v>
      </x:c>
      <x:c r="G1180" s="9" t="str">
        <x:v>CNC-02</x:v>
      </x:c>
      <x:c r="H1180" s="15" t="n">
        <x:v>26</x:v>
      </x:c>
      <x:c r="I1180" s="9" t="str">
        <x:v>P14</x:v>
      </x:c>
      <x:c r="J1180" s="11" t="n">
        <x:v>46303.67638888889</x:v>
      </x:c>
      <x:c r="K1180" s="15" t="n">
        <x:v>18</x:v>
      </x:c>
      <x:c r="L1180" s="15" t="n">
        <x:v>19</x:v>
      </x:c>
      <x:c r="M1180" s="13" t="n">
        <x:f>J1180+(K1180+L1180)/1440</x:f>
        <x:v>46303.70208333333</x:v>
      </x:c>
      <x:c r="N1180" s="13" t="n">
        <x:f>VLOOKUP(C1180,'MES orders'!$A$8:$H$127,5,FALSE)</x:f>
        <x:v>46304.666666666664</x:v>
      </x:c>
      <x:c r="O1180" s="16" t="n">
        <x:f>MAX(0,(M1180-N1180)*24)</x:f>
        <x:v>0</x:v>
      </x:c>
      <x:c r="P1180" s="9" t="str">
        <x:v>No</x:v>
      </x:c>
      <x:c r="Q1180" s="15" t="n">
        <x:v>18</x:v>
      </x:c>
      <x:c r="R1180" s="13" t="n">
        <x:f>J1180+Q1180/1440</x:f>
        <x:v>46303.688888888886</x:v>
      </x:c>
      <x:c r="S1180" s="2" t="str">
        <x:f>VLOOKUP(C1180,'MES orders'!$A$8:$H$127,6,FALSE)</x:f>
        <x:v>Normal</x:v>
      </x:c>
      <x:c r="T1180" s="9" t="str"/>
    </x:row>
    <x:row r="1181" ht="22" customHeight="1">
      <x:c r="A1181" s="2" t="str">
        <x:v>L00053-070</x:v>
      </x:c>
      <x:c r="B1181" s="2" t="str">
        <x:v>L00053</x:v>
      </x:c>
      <x:c r="C1181" s="2" t="str">
        <x:v>SO-26011</x:v>
      </x:c>
      <x:c r="D1181" s="2" t="str">
        <x:v>S-L-AL</x:v>
      </x:c>
      <x:c r="E1181" s="14" t="n">
        <x:v>20</x:v>
      </x:c>
      <x:c r="F1181" s="2" t="str">
        <x:v>Final assembly</x:v>
      </x:c>
      <x:c r="G1181" s="9" t="str">
        <x:v>AS-01</x:v>
      </x:c>
      <x:c r="H1181" s="15" t="n">
        <x:v>95</x:v>
      </x:c>
      <x:c r="I1181" s="9" t="str">
        <x:v>P17</x:v>
      </x:c>
      <x:c r="J1181" s="11" t="n">
        <x:v>46303.677083333336</x:v>
      </x:c>
      <x:c r="K1181" s="15" t="n">
        <x:v>5</x:v>
      </x:c>
      <x:c r="L1181" s="15" t="n">
        <x:v>22</x:v>
      </x:c>
      <x:c r="M1181" s="13" t="n">
        <x:f>J1181+(K1181+L1181)/1440</x:f>
        <x:v>46303.69583333334</x:v>
      </x:c>
      <x:c r="N1181" s="13" t="n">
        <x:f>VLOOKUP(C1181,'MES orders'!$A$8:$H$127,5,FALSE)</x:f>
        <x:v>46304.666666666664</x:v>
      </x:c>
      <x:c r="O1181" s="16" t="n">
        <x:f>MAX(0,(M1181-N1181)*24)</x:f>
        <x:v>0</x:v>
      </x:c>
      <x:c r="P1181" s="9" t="str">
        <x:v>No</x:v>
      </x:c>
      <x:c r="Q1181" s="15" t="n">
        <x:v>27</x:v>
      </x:c>
      <x:c r="R1181" s="13" t="n">
        <x:f>J1181+Q1181/1440</x:f>
        <x:v>46303.69583333334</x:v>
      </x:c>
      <x:c r="S1181" s="2" t="str">
        <x:f>VLOOKUP(C1181,'MES orders'!$A$8:$H$127,6,FALSE)</x:f>
        <x:v>Normal</x:v>
      </x:c>
      <x:c r="T1181" s="9" t="str"/>
    </x:row>
    <x:row r="1182" ht="22" customHeight="1">
      <x:c r="A1182" s="2" t="str">
        <x:v>L00054-060</x:v>
      </x:c>
      <x:c r="B1182" s="2" t="str">
        <x:v>L00054</x:v>
      </x:c>
      <x:c r="C1182" s="2" t="str">
        <x:v>SO-26011</x:v>
      </x:c>
      <x:c r="D1182" s="2" t="str">
        <x:v>S-L-AL</x:v>
      </x:c>
      <x:c r="E1182" s="14" t="n">
        <x:v>20</x:v>
      </x:c>
      <x:c r="F1182" s="2" t="str">
        <x:v>Sensor calibration</x:v>
      </x:c>
      <x:c r="G1182" s="9" t="str">
        <x:v>CAL-01</x:v>
      </x:c>
      <x:c r="H1182" s="15" t="n">
        <x:v>54</x:v>
      </x:c>
      <x:c r="I1182" s="9" t="str">
        <x:v>P21</x:v>
      </x:c>
      <x:c r="J1182" s="11" t="n">
        <x:v>46303.677083333336</x:v>
      </x:c>
      <x:c r="K1182" s="15" t="n">
        <x:v>10</x:v>
      </x:c>
      <x:c r="L1182" s="15" t="n">
        <x:v>35</x:v>
      </x:c>
      <x:c r="M1182" s="13" t="n">
        <x:f>J1182+(K1182+L1182)/1440</x:f>
        <x:v>46303.708333333336</x:v>
      </x:c>
      <x:c r="N1182" s="13" t="n">
        <x:f>VLOOKUP(C1182,'MES orders'!$A$8:$H$127,5,FALSE)</x:f>
        <x:v>46304.666666666664</x:v>
      </x:c>
      <x:c r="O1182" s="16" t="n">
        <x:f>MAX(0,(M1182-N1182)*24)</x:f>
        <x:v>0</x:v>
      </x:c>
      <x:c r="P1182" s="9" t="str">
        <x:v>No</x:v>
      </x:c>
      <x:c r="Q1182" s="15" t="n">
        <x:v>45</x:v>
      </x:c>
      <x:c r="R1182" s="13" t="n">
        <x:f>J1182+Q1182/1440</x:f>
        <x:v>46303.708333333336</x:v>
      </x:c>
      <x:c r="S1182" s="2" t="str">
        <x:f>VLOOKUP(C1182,'MES orders'!$A$8:$H$127,6,FALSE)</x:f>
        <x:v>Normal</x:v>
      </x:c>
      <x:c r="T1182" s="9" t="str"/>
    </x:row>
    <x:row r="1183" ht="22" customHeight="1">
      <x:c r="A1183" s="2" t="str">
        <x:v>L00175-030</x:v>
      </x:c>
      <x:c r="B1183" s="2" t="str">
        <x:v>L00175</x:v>
      </x:c>
      <x:c r="C1183" s="2" t="str">
        <x:v>SO-26035</x:v>
      </x:c>
      <x:c r="D1183" s="2" t="str">
        <x:v>D-L-AL</x:v>
      </x:c>
      <x:c r="E1183" s="14" t="n">
        <x:v>15</x:v>
      </x:c>
      <x:c r="F1183" s="2" t="str">
        <x:v>Wash &amp; dry</x:v>
      </x:c>
      <x:c r="G1183" s="9" t="str">
        <x:v>WS-01</x:v>
      </x:c>
      <x:c r="H1183" s="15" t="n">
        <x:v>111</x:v>
      </x:c>
      <x:c r="I1183" s="9" t="str">
        <x:v>P16</x:v>
      </x:c>
      <x:c r="J1183" s="11" t="n">
        <x:v>46303.68194444444</x:v>
      </x:c>
      <x:c r="K1183" s="15" t="n">
        <x:v>12</x:v>
      </x:c>
      <x:c r="L1183" s="15" t="n">
        <x:v>7</x:v>
      </x:c>
      <x:c r="M1183" s="13" t="n">
        <x:f>J1183+(K1183+L1183)/1440</x:f>
        <x:v>46303.695138888885</x:v>
      </x:c>
      <x:c r="N1183" s="13" t="n">
        <x:f>VLOOKUP(C1183,'MES orders'!$A$8:$H$127,5,FALSE)</x:f>
        <x:v>46304.666666666664</x:v>
      </x:c>
      <x:c r="O1183" s="16" t="n">
        <x:f>MAX(0,(M1183-N1183)*24)</x:f>
        <x:v>0</x:v>
      </x:c>
      <x:c r="P1183" s="9" t="str">
        <x:v>No</x:v>
      </x:c>
      <x:c r="Q1183" s="15" t="n">
        <x:v>19</x:v>
      </x:c>
      <x:c r="R1183" s="13" t="n">
        <x:f>J1183+Q1183/1440</x:f>
        <x:v>46303.695138888885</x:v>
      </x:c>
      <x:c r="S1183" s="2" t="str">
        <x:f>VLOOKUP(C1183,'MES orders'!$A$8:$H$127,6,FALSE)</x:f>
        <x:v>Normal</x:v>
      </x:c>
      <x:c r="T1183" s="9" t="str"/>
    </x:row>
    <x:row r="1184" ht="22" customHeight="1">
      <x:c r="A1184" s="2" t="str">
        <x:v>L00173-050</x:v>
      </x:c>
      <x:c r="B1184" s="2" t="str">
        <x:v>L00173</x:v>
      </x:c>
      <x:c r="C1184" s="2" t="str">
        <x:v>SO-26035</x:v>
      </x:c>
      <x:c r="D1184" s="2" t="str">
        <x:v>D-L-AL</x:v>
      </x:c>
      <x:c r="E1184" s="14" t="n">
        <x:v>15</x:v>
      </x:c>
      <x:c r="F1184" s="2" t="str">
        <x:v>Final leak / function test</x:v>
      </x:c>
      <x:c r="G1184" s="9" t="str">
        <x:v>QA-01</x:v>
      </x:c>
      <x:c r="H1184" s="15" t="n">
        <x:v>49</x:v>
      </x:c>
      <x:c r="I1184" s="9" t="str">
        <x:v>P24</x:v>
      </x:c>
      <x:c r="J1184" s="11" t="n">
        <x:v>46303.69027777778</x:v>
      </x:c>
      <x:c r="K1184" s="15" t="n">
        <x:v>10</x:v>
      </x:c>
      <x:c r="L1184" s="15" t="n">
        <x:v>18</x:v>
      </x:c>
      <x:c r="M1184" s="13" t="n">
        <x:f>J1184+(K1184+L1184)/1440</x:f>
        <x:v>46303.70972222222</x:v>
      </x:c>
      <x:c r="N1184" s="13" t="n">
        <x:f>VLOOKUP(C1184,'MES orders'!$A$8:$H$127,5,FALSE)</x:f>
        <x:v>46304.666666666664</x:v>
      </x:c>
      <x:c r="O1184" s="16" t="n">
        <x:f>MAX(0,(M1184-N1184)*24)</x:f>
        <x:v>0</x:v>
      </x:c>
      <x:c r="P1184" s="9" t="str">
        <x:v>No</x:v>
      </x:c>
      <x:c r="Q1184" s="15" t="n">
        <x:v>28</x:v>
      </x:c>
      <x:c r="R1184" s="13" t="n">
        <x:f>J1184+Q1184/1440</x:f>
        <x:v>46303.70972222222</x:v>
      </x:c>
      <x:c r="S1184" s="2" t="str">
        <x:f>VLOOKUP(C1184,'MES orders'!$A$8:$H$127,6,FALSE)</x:f>
        <x:v>Normal</x:v>
      </x:c>
      <x:c r="T1184" s="9" t="str"/>
    </x:row>
    <x:row r="1185" ht="22" customHeight="1">
      <x:c r="A1185" s="2" t="str">
        <x:v>L00333-010</x:v>
      </x:c>
      <x:c r="B1185" s="2" t="str">
        <x:v>L00333</x:v>
      </x:c>
      <x:c r="C1185" s="2" t="str">
        <x:v>SO-26067</x:v>
      </x:c>
      <x:c r="D1185" s="2" t="str">
        <x:v>S-C-AL</x:v>
      </x:c>
      <x:c r="E1185" s="14" t="n">
        <x:v>10</x:v>
      </x:c>
      <x:c r="F1185" s="2" t="str">
        <x:v>CNC machining</x:v>
      </x:c>
      <x:c r="G1185" s="9" t="str">
        <x:v>CNC-03</x:v>
      </x:c>
      <x:c r="H1185" s="15" t="n">
        <x:v>37</x:v>
      </x:c>
      <x:c r="I1185" s="9" t="str">
        <x:v>P13</x:v>
      </x:c>
      <x:c r="J1185" s="11" t="n">
        <x:v>46303.69236111111</x:v>
      </x:c>
      <x:c r="K1185" s="15" t="n">
        <x:v>18</x:v>
      </x:c>
      <x:c r="L1185" s="15" t="n">
        <x:v>19</x:v>
      </x:c>
      <x:c r="M1185" s="13" t="n">
        <x:f>J1185+(K1185+L1185)/1440</x:f>
        <x:v>46303.71805555555</x:v>
      </x:c>
      <x:c r="N1185" s="13" t="n">
        <x:f>VLOOKUP(C1185,'MES orders'!$A$8:$H$127,5,FALSE)</x:f>
        <x:v>46304.666666666664</x:v>
      </x:c>
      <x:c r="O1185" s="16" t="n">
        <x:f>MAX(0,(M1185-N1185)*24)</x:f>
        <x:v>0</x:v>
      </x:c>
      <x:c r="P1185" s="9" t="str">
        <x:v>No</x:v>
      </x:c>
      <x:c r="Q1185" s="15" t="n">
        <x:v>18</x:v>
      </x:c>
      <x:c r="R1185" s="13" t="n">
        <x:f>J1185+Q1185/1440</x:f>
        <x:v>46303.70486111111</x:v>
      </x:c>
      <x:c r="S1185" s="2" t="str">
        <x:f>VLOOKUP(C1185,'MES orders'!$A$8:$H$127,6,FALSE)</x:f>
        <x:v>Normal</x:v>
      </x:c>
      <x:c r="T1185" s="9" t="str"/>
    </x:row>
    <x:row r="1186" ht="22" customHeight="1">
      <x:c r="A1186" s="2" t="str">
        <x:v>L00251-050</x:v>
      </x:c>
      <x:c r="B1186" s="2" t="str">
        <x:v>L00251</x:v>
      </x:c>
      <x:c r="C1186" s="2" t="str">
        <x:v>SO-26051</x:v>
      </x:c>
      <x:c r="D1186" s="2" t="str">
        <x:v>R-S-AL</x:v>
      </x:c>
      <x:c r="E1186" s="14" t="n">
        <x:v>15</x:v>
      </x:c>
      <x:c r="F1186" s="2" t="str">
        <x:v>Valve adjustment</x:v>
      </x:c>
      <x:c r="G1186" s="9" t="str">
        <x:v>AS-03</x:v>
      </x:c>
      <x:c r="H1186" s="15" t="n">
        <x:v>61</x:v>
      </x:c>
      <x:c r="I1186" s="9" t="str">
        <x:v>P18</x:v>
      </x:c>
      <x:c r="J1186" s="11" t="n">
        <x:v>46303.69375</x:v>
      </x:c>
      <x:c r="K1186" s="15" t="n">
        <x:v>6</x:v>
      </x:c>
      <x:c r="L1186" s="15" t="n">
        <x:v>16</x:v>
      </x:c>
      <x:c r="M1186" s="13" t="n">
        <x:f>J1186+(K1186+L1186)/1440</x:f>
        <x:v>46303.709027777775</x:v>
      </x:c>
      <x:c r="N1186" s="13" t="n">
        <x:f>VLOOKUP(C1186,'MES orders'!$A$8:$H$127,5,FALSE)</x:f>
        <x:v>46304.666666666664</x:v>
      </x:c>
      <x:c r="O1186" s="16" t="n">
        <x:f>MAX(0,(M1186-N1186)*24)</x:f>
        <x:v>0</x:v>
      </x:c>
      <x:c r="P1186" s="9" t="str">
        <x:v>No</x:v>
      </x:c>
      <x:c r="Q1186" s="15" t="n">
        <x:v>22</x:v>
      </x:c>
      <x:c r="R1186" s="13" t="n">
        <x:f>J1186+Q1186/1440</x:f>
        <x:v>46303.709027777775</x:v>
      </x:c>
      <x:c r="S1186" s="2" t="str">
        <x:f>VLOOKUP(C1186,'MES orders'!$A$8:$H$127,6,FALSE)</x:f>
        <x:v>Normal</x:v>
      </x:c>
      <x:c r="T1186" s="9" t="str"/>
    </x:row>
    <x:row r="1187" ht="22" customHeight="1">
      <x:c r="A1187" s="2" t="str">
        <x:v>L00175-040</x:v>
      </x:c>
      <x:c r="B1187" s="2" t="str">
        <x:v>L00175</x:v>
      </x:c>
      <x:c r="C1187" s="2" t="str">
        <x:v>SO-26035</x:v>
      </x:c>
      <x:c r="D1187" s="2" t="str">
        <x:v>D-L-AL</x:v>
      </x:c>
      <x:c r="E1187" s="14" t="n">
        <x:v>15</x:v>
      </x:c>
      <x:c r="F1187" s="2" t="str">
        <x:v>Mechanical assembly</x:v>
      </x:c>
      <x:c r="G1187" s="9" t="str">
        <x:v>AS-02</x:v>
      </x:c>
      <x:c r="H1187" s="15" t="n">
        <x:v>77</x:v>
      </x:c>
      <x:c r="I1187" s="9" t="str">
        <x:v>P16</x:v>
      </x:c>
      <x:c r="J1187" s="11" t="n">
        <x:v>46303.69513888889</x:v>
      </x:c>
      <x:c r="K1187" s="15" t="n">
        <x:v>8</x:v>
      </x:c>
      <x:c r="L1187" s="15" t="n">
        <x:v>36</x:v>
      </x:c>
      <x:c r="M1187" s="13" t="n">
        <x:f>J1187+(K1187+L1187)/1440</x:f>
        <x:v>46303.725694444445</x:v>
      </x:c>
      <x:c r="N1187" s="13" t="n">
        <x:f>VLOOKUP(C1187,'MES orders'!$A$8:$H$127,5,FALSE)</x:f>
        <x:v>46304.666666666664</x:v>
      </x:c>
      <x:c r="O1187" s="16" t="n">
        <x:f>MAX(0,(M1187-N1187)*24)</x:f>
        <x:v>0</x:v>
      </x:c>
      <x:c r="P1187" s="9" t="str">
        <x:v>No</x:v>
      </x:c>
      <x:c r="Q1187" s="15" t="n">
        <x:v>44</x:v>
      </x:c>
      <x:c r="R1187" s="13" t="n">
        <x:f>J1187+Q1187/1440</x:f>
        <x:v>46303.725694444445</x:v>
      </x:c>
      <x:c r="S1187" s="2" t="str">
        <x:f>VLOOKUP(C1187,'MES orders'!$A$8:$H$127,6,FALSE)</x:f>
        <x:v>Normal</x:v>
      </x:c>
      <x:c r="T1187" s="9" t="str"/>
    </x:row>
    <x:row r="1188" ht="22" customHeight="1">
      <x:c r="A1188" s="2" t="str">
        <x:v>L00053-080</x:v>
      </x:c>
      <x:c r="B1188" s="2" t="str">
        <x:v>L00053</x:v>
      </x:c>
      <x:c r="C1188" s="2" t="str">
        <x:v>SO-26011</x:v>
      </x:c>
      <x:c r="D1188" s="2" t="str">
        <x:v>S-L-AL</x:v>
      </x:c>
      <x:c r="E1188" s="14" t="n">
        <x:v>20</x:v>
      </x:c>
      <x:c r="F1188" s="2" t="str">
        <x:v>Final leak / function test</x:v>
      </x:c>
      <x:c r="G1188" s="9" t="str">
        <x:v>QA-02</x:v>
      </x:c>
      <x:c r="H1188" s="15" t="n">
        <x:v>83</x:v>
      </x:c>
      <x:c r="I1188" s="9" t="str">
        <x:v>P23</x:v>
      </x:c>
      <x:c r="J1188" s="11" t="n">
        <x:v>46303.69583333333</x:v>
      </x:c>
      <x:c r="K1188" s="15" t="n">
        <x:v>10</x:v>
      </x:c>
      <x:c r="L1188" s="15" t="n">
        <x:v>24</x:v>
      </x:c>
      <x:c r="M1188" s="13" t="n">
        <x:f>J1188+(K1188+L1188)/1440</x:f>
        <x:v>46303.71944444444</x:v>
      </x:c>
      <x:c r="N1188" s="13" t="n">
        <x:f>VLOOKUP(C1188,'MES orders'!$A$8:$H$127,5,FALSE)</x:f>
        <x:v>46304.666666666664</x:v>
      </x:c>
      <x:c r="O1188" s="16" t="n">
        <x:f>MAX(0,(M1188-N1188)*24)</x:f>
        <x:v>0</x:v>
      </x:c>
      <x:c r="P1188" s="9" t="str">
        <x:v>No</x:v>
      </x:c>
      <x:c r="Q1188" s="15" t="n">
        <x:v>34</x:v>
      </x:c>
      <x:c r="R1188" s="13" t="n">
        <x:f>J1188+Q1188/1440</x:f>
        <x:v>46303.71944444444</x:v>
      </x:c>
      <x:c r="S1188" s="2" t="str">
        <x:f>VLOOKUP(C1188,'MES orders'!$A$8:$H$127,6,FALSE)</x:f>
        <x:v>Normal</x:v>
      </x:c>
      <x:c r="T1188" s="9" t="str"/>
    </x:row>
    <x:row r="1189" ht="22" customHeight="1">
      <x:c r="A1189" s="2" t="str">
        <x:v>L00253-030</x:v>
      </x:c>
      <x:c r="B1189" s="2" t="str">
        <x:v>L00253</x:v>
      </x:c>
      <x:c r="C1189" s="2" t="str">
        <x:v>SO-26051</x:v>
      </x:c>
      <x:c r="D1189" s="2" t="str">
        <x:v>R-S-AL</x:v>
      </x:c>
      <x:c r="E1189" s="14" t="n">
        <x:v>15</x:v>
      </x:c>
      <x:c r="F1189" s="2" t="str">
        <x:v>Wash &amp; dry</x:v>
      </x:c>
      <x:c r="G1189" s="9" t="str">
        <x:v>WS-01</x:v>
      </x:c>
      <x:c r="H1189" s="15" t="n">
        <x:v>112</x:v>
      </x:c>
      <x:c r="I1189" s="9" t="str">
        <x:v>P17</x:v>
      </x:c>
      <x:c r="J1189" s="11" t="n">
        <x:v>46303.69583333333</x:v>
      </x:c>
      <x:c r="K1189" s="15" t="n">
        <x:v>12</x:v>
      </x:c>
      <x:c r="L1189" s="15" t="n">
        <x:v>5</x:v>
      </x:c>
      <x:c r="M1189" s="13" t="n">
        <x:f>J1189+(K1189+L1189)/1440</x:f>
        <x:v>46303.70763888889</x:v>
      </x:c>
      <x:c r="N1189" s="13" t="n">
        <x:f>VLOOKUP(C1189,'MES orders'!$A$8:$H$127,5,FALSE)</x:f>
        <x:v>46304.666666666664</x:v>
      </x:c>
      <x:c r="O1189" s="16" t="n">
        <x:f>MAX(0,(M1189-N1189)*24)</x:f>
        <x:v>0</x:v>
      </x:c>
      <x:c r="P1189" s="9" t="str">
        <x:v>No</x:v>
      </x:c>
      <x:c r="Q1189" s="15" t="n">
        <x:v>17</x:v>
      </x:c>
      <x:c r="R1189" s="13" t="n">
        <x:f>J1189+Q1189/1440</x:f>
        <x:v>46303.70763888889</x:v>
      </x:c>
      <x:c r="S1189" s="2" t="str">
        <x:f>VLOOKUP(C1189,'MES orders'!$A$8:$H$127,6,FALSE)</x:f>
        <x:v>Normal</x:v>
      </x:c>
      <x:c r="T1189" s="9" t="str"/>
    </x:row>
    <x:row r="1190" ht="22" customHeight="1">
      <x:c r="A1190" s="2" t="str">
        <x:v>L00334-010</x:v>
      </x:c>
      <x:c r="B1190" s="2" t="str">
        <x:v>L00334</x:v>
      </x:c>
      <x:c r="C1190" s="2" t="str">
        <x:v>SO-26067</x:v>
      </x:c>
      <x:c r="D1190" s="2" t="str">
        <x:v>S-C-AL</x:v>
      </x:c>
      <x:c r="E1190" s="14" t="n">
        <x:v>10</x:v>
      </x:c>
      <x:c r="F1190" s="2" t="str">
        <x:v>CNC machining</x:v>
      </x:c>
      <x:c r="G1190" s="9" t="str">
        <x:v>CNC-01</x:v>
      </x:c>
      <x:c r="H1190" s="15" t="n">
        <x:v>39</x:v>
      </x:c>
      <x:c r="I1190" s="9" t="str">
        <x:v>P15</x:v>
      </x:c>
      <x:c r="J1190" s="11" t="n">
        <x:v>46303.69652777778</x:v>
      </x:c>
      <x:c r="K1190" s="15" t="n">
        <x:v>18</x:v>
      </x:c>
      <x:c r="L1190" s="15" t="n">
        <x:v>19</x:v>
      </x:c>
      <x:c r="M1190" s="13" t="n">
        <x:f>J1190+(K1190+L1190)/1440</x:f>
        <x:v>46303.72222222222</x:v>
      </x:c>
      <x:c r="N1190" s="13" t="n">
        <x:f>VLOOKUP(C1190,'MES orders'!$A$8:$H$127,5,FALSE)</x:f>
        <x:v>46304.666666666664</x:v>
      </x:c>
      <x:c r="O1190" s="16" t="n">
        <x:f>MAX(0,(M1190-N1190)*24)</x:f>
        <x:v>0</x:v>
      </x:c>
      <x:c r="P1190" s="9" t="str">
        <x:v>No</x:v>
      </x:c>
      <x:c r="Q1190" s="15" t="n">
        <x:v>18</x:v>
      </x:c>
      <x:c r="R1190" s="13" t="n">
        <x:f>J1190+Q1190/1440</x:f>
        <x:v>46303.709027777775</x:v>
      </x:c>
      <x:c r="S1190" s="2" t="str">
        <x:f>VLOOKUP(C1190,'MES orders'!$A$8:$H$127,6,FALSE)</x:f>
        <x:v>Normal</x:v>
      </x:c>
      <x:c r="T1190" s="9" t="str"/>
    </x:row>
    <x:row r="1191" ht="22" customHeight="1">
      <x:c r="A1191" s="2" t="str">
        <x:v>L00332-020</x:v>
      </x:c>
      <x:c r="B1191" s="2" t="str">
        <x:v>L00332</x:v>
      </x:c>
      <x:c r="C1191" s="2" t="str">
        <x:v>SO-26067</x:v>
      </x:c>
      <x:c r="D1191" s="2" t="str">
        <x:v>S-C-AL</x:v>
      </x:c>
      <x:c r="E1191" s="14" t="n">
        <x:v>10</x:v>
      </x:c>
      <x:c r="F1191" s="2" t="str">
        <x:v>Deburr &amp; inspect</x:v>
      </x:c>
      <x:c r="G1191" s="9" t="str">
        <x:v>DB-02</x:v>
      </x:c>
      <x:c r="H1191" s="15" t="n">
        <x:v>79</x:v>
      </x:c>
      <x:c r="I1191" s="9" t="str">
        <x:v>P14</x:v>
      </x:c>
      <x:c r="J1191" s="11" t="n">
        <x:v>46303.70208333333</x:v>
      </x:c>
      <x:c r="K1191" s="15" t="n">
        <x:v>4</x:v>
      </x:c>
      <x:c r="L1191" s="15" t="n">
        <x:v>6</x:v>
      </x:c>
      <x:c r="M1191" s="13" t="n">
        <x:f>J1191+(K1191+L1191)/1440</x:f>
        <x:v>46303.709027777775</x:v>
      </x:c>
      <x:c r="N1191" s="13" t="n">
        <x:f>VLOOKUP(C1191,'MES orders'!$A$8:$H$127,5,FALSE)</x:f>
        <x:v>46304.666666666664</x:v>
      </x:c>
      <x:c r="O1191" s="16" t="n">
        <x:f>MAX(0,(M1191-N1191)*24)</x:f>
        <x:v>0</x:v>
      </x:c>
      <x:c r="P1191" s="9" t="str">
        <x:v>No</x:v>
      </x:c>
      <x:c r="Q1191" s="15" t="n">
        <x:v>10</x:v>
      </x:c>
      <x:c r="R1191" s="13" t="n">
        <x:f>J1191+Q1191/1440</x:f>
        <x:v>46303.709027777775</x:v>
      </x:c>
      <x:c r="S1191" s="2" t="str">
        <x:f>VLOOKUP(C1191,'MES orders'!$A$8:$H$127,6,FALSE)</x:f>
        <x:v>Normal</x:v>
      </x:c>
      <x:c r="T1191" s="9" t="str"/>
    </x:row>
    <x:row r="1192" ht="22" customHeight="1">
      <x:c r="A1192" s="2" t="str">
        <x:v>L00294-020</x:v>
      </x:c>
      <x:c r="B1192" s="2" t="str">
        <x:v>L00294</x:v>
      </x:c>
      <x:c r="C1192" s="2" t="str">
        <x:v>SO-26059</x:v>
      </x:c>
      <x:c r="D1192" s="2" t="str">
        <x:v>R-L-AL</x:v>
      </x:c>
      <x:c r="E1192" s="14" t="n">
        <x:v>15</x:v>
      </x:c>
      <x:c r="F1192" s="2" t="str">
        <x:v>Deburr &amp; inspect</x:v>
      </x:c>
      <x:c r="G1192" s="9" t="str">
        <x:v>DB-01</x:v>
      </x:c>
      <x:c r="H1192" s="15" t="n">
        <x:v>114</x:v>
      </x:c>
      <x:c r="I1192" s="9" t="str">
        <x:v>P13</x:v>
      </x:c>
      <x:c r="J1192" s="11" t="n">
        <x:v>46303.70486111111</x:v>
      </x:c>
      <x:c r="K1192" s="15" t="n">
        <x:v>4</x:v>
      </x:c>
      <x:c r="L1192" s="15" t="n">
        <x:v>14</x:v>
      </x:c>
      <x:c r="M1192" s="13" t="n">
        <x:f>J1192+(K1192+L1192)/1440</x:f>
        <x:v>46303.71736111111</x:v>
      </x:c>
      <x:c r="N1192" s="13" t="n">
        <x:f>VLOOKUP(C1192,'MES orders'!$A$8:$H$127,5,FALSE)</x:f>
        <x:v>46304.666666666664</x:v>
      </x:c>
      <x:c r="O1192" s="16" t="n">
        <x:f>MAX(0,(M1192-N1192)*24)</x:f>
        <x:v>0</x:v>
      </x:c>
      <x:c r="P1192" s="9" t="str">
        <x:v>No</x:v>
      </x:c>
      <x:c r="Q1192" s="15" t="n">
        <x:v>18</x:v>
      </x:c>
      <x:c r="R1192" s="13" t="n">
        <x:f>J1192+Q1192/1440</x:f>
        <x:v>46303.71736111111</x:v>
      </x:c>
      <x:c r="S1192" s="2" t="str">
        <x:f>VLOOKUP(C1192,'MES orders'!$A$8:$H$127,6,FALSE)</x:f>
        <x:v>Normal</x:v>
      </x:c>
      <x:c r="T1192" s="9" t="str"/>
    </x:row>
    <x:row r="1193" ht="22" customHeight="1">
      <x:c r="A1193" s="2" t="str">
        <x:v>L00054-070</x:v>
      </x:c>
      <x:c r="B1193" s="2" t="str">
        <x:v>L00054</x:v>
      </x:c>
      <x:c r="C1193" s="2" t="str">
        <x:v>SO-26011</x:v>
      </x:c>
      <x:c r="D1193" s="2" t="str">
        <x:v>S-L-AL</x:v>
      </x:c>
      <x:c r="E1193" s="14" t="n">
        <x:v>20</x:v>
      </x:c>
      <x:c r="F1193" s="2" t="str">
        <x:v>Final assembly</x:v>
      </x:c>
      <x:c r="G1193" s="9" t="str">
        <x:v>AS-01</x:v>
      </x:c>
      <x:c r="H1193" s="15" t="n">
        <x:v>96</x:v>
      </x:c>
      <x:c r="I1193" s="9" t="str">
        <x:v>P17</x:v>
      </x:c>
      <x:c r="J1193" s="11" t="n">
        <x:v>46303.708333333336</x:v>
      </x:c>
      <x:c r="K1193" s="15" t="n">
        <x:v>5</x:v>
      </x:c>
      <x:c r="L1193" s="15" t="n">
        <x:v>22</x:v>
      </x:c>
      <x:c r="M1193" s="13" t="n">
        <x:f>J1193+(K1193+L1193)/1440</x:f>
        <x:v>46303.72708333334</x:v>
      </x:c>
      <x:c r="N1193" s="13" t="n">
        <x:f>VLOOKUP(C1193,'MES orders'!$A$8:$H$127,5,FALSE)</x:f>
        <x:v>46304.666666666664</x:v>
      </x:c>
      <x:c r="O1193" s="16" t="n">
        <x:f>MAX(0,(M1193-N1193)*24)</x:f>
        <x:v>0</x:v>
      </x:c>
      <x:c r="P1193" s="9" t="str">
        <x:v>No</x:v>
      </x:c>
      <x:c r="Q1193" s="15" t="n">
        <x:v>27</x:v>
      </x:c>
      <x:c r="R1193" s="13" t="n">
        <x:f>J1193+Q1193/1440</x:f>
        <x:v>46303.72708333334</x:v>
      </x:c>
      <x:c r="S1193" s="2" t="str">
        <x:f>VLOOKUP(C1193,'MES orders'!$A$8:$H$127,6,FALSE)</x:f>
        <x:v>Normal</x:v>
      </x:c>
      <x:c r="T1193" s="9" t="str"/>
    </x:row>
    <x:row r="1194" ht="22" customHeight="1">
      <x:c r="A1194" s="2" t="str">
        <x:v>L00055-060</x:v>
      </x:c>
      <x:c r="B1194" s="2" t="str">
        <x:v>L00055</x:v>
      </x:c>
      <x:c r="C1194" s="2" t="str">
        <x:v>SO-26011</x:v>
      </x:c>
      <x:c r="D1194" s="2" t="str">
        <x:v>S-L-AL</x:v>
      </x:c>
      <x:c r="E1194" s="14" t="n">
        <x:v>20</x:v>
      </x:c>
      <x:c r="F1194" s="2" t="str">
        <x:v>Sensor calibration</x:v>
      </x:c>
      <x:c r="G1194" s="9" t="str">
        <x:v>CAL-01</x:v>
      </x:c>
      <x:c r="H1194" s="15" t="n">
        <x:v>55</x:v>
      </x:c>
      <x:c r="I1194" s="9" t="str">
        <x:v>P21</x:v>
      </x:c>
      <x:c r="J1194" s="11" t="n">
        <x:v>46303.708333333336</x:v>
      </x:c>
      <x:c r="K1194" s="15" t="n">
        <x:v>10</x:v>
      </x:c>
      <x:c r="L1194" s="15" t="n">
        <x:v>35</x:v>
      </x:c>
      <x:c r="M1194" s="13" t="n">
        <x:f>J1194+(K1194+L1194)/1440</x:f>
        <x:v>46303.739583333336</x:v>
      </x:c>
      <x:c r="N1194" s="13" t="n">
        <x:f>VLOOKUP(C1194,'MES orders'!$A$8:$H$127,5,FALSE)</x:f>
        <x:v>46304.666666666664</x:v>
      </x:c>
      <x:c r="O1194" s="16" t="n">
        <x:f>MAX(0,(M1194-N1194)*24)</x:f>
        <x:v>0</x:v>
      </x:c>
      <x:c r="P1194" s="9" t="str">
        <x:v>No</x:v>
      </x:c>
      <x:c r="Q1194" s="15" t="n">
        <x:v>45</x:v>
      </x:c>
      <x:c r="R1194" s="13" t="n">
        <x:f>J1194+Q1194/1440</x:f>
        <x:v>46303.739583333336</x:v>
      </x:c>
      <x:c r="S1194" s="2" t="str">
        <x:f>VLOOKUP(C1194,'MES orders'!$A$8:$H$127,6,FALSE)</x:f>
        <x:v>Normal</x:v>
      </x:c>
      <x:c r="T1194" s="9" t="str"/>
    </x:row>
    <x:row r="1195" ht="22" customHeight="1">
      <x:c r="A1195" s="2" t="str">
        <x:v>L00254-060</x:v>
      </x:c>
      <x:c r="B1195" s="2" t="str">
        <x:v>L00254</x:v>
      </x:c>
      <x:c r="C1195" s="2" t="str">
        <x:v>SO-26051</x:v>
      </x:c>
      <x:c r="D1195" s="2" t="str">
        <x:v>R-S-AL</x:v>
      </x:c>
      <x:c r="E1195" s="14" t="n">
        <x:v>15</x:v>
      </x:c>
      <x:c r="F1195" s="2" t="str">
        <x:v>Final leak / function test</x:v>
      </x:c>
      <x:c r="G1195" s="9" t="str">
        <x:v>QA-03</x:v>
      </x:c>
      <x:c r="H1195" s="15" t="n">
        <x:v>50</x:v>
      </x:c>
      <x:c r="I1195" s="9" t="str">
        <x:v>P22</x:v>
      </x:c>
      <x:c r="J1195" s="11" t="n">
        <x:v>46303.708333333336</x:v>
      </x:c>
      <x:c r="K1195" s="15" t="n">
        <x:v>10</x:v>
      </x:c>
      <x:c r="L1195" s="15" t="n">
        <x:v>14</x:v>
      </x:c>
      <x:c r="M1195" s="13" t="n">
        <x:f>J1195+(K1195+L1195)/1440</x:f>
        <x:v>46303.725000000006</x:v>
      </x:c>
      <x:c r="N1195" s="13" t="n">
        <x:f>VLOOKUP(C1195,'MES orders'!$A$8:$H$127,5,FALSE)</x:f>
        <x:v>46304.666666666664</x:v>
      </x:c>
      <x:c r="O1195" s="16" t="n">
        <x:f>MAX(0,(M1195-N1195)*24)</x:f>
        <x:v>0</x:v>
      </x:c>
      <x:c r="P1195" s="9" t="str">
        <x:v>No</x:v>
      </x:c>
      <x:c r="Q1195" s="15" t="n">
        <x:v>24</x:v>
      </x:c>
      <x:c r="R1195" s="13" t="n">
        <x:f>J1195+Q1195/1440</x:f>
        <x:v>46303.725000000006</x:v>
      </x:c>
      <x:c r="S1195" s="2" t="str">
        <x:f>VLOOKUP(C1195,'MES orders'!$A$8:$H$127,6,FALSE)</x:f>
        <x:v>Normal</x:v>
      </x:c>
      <x:c r="T1195" s="9" t="str"/>
    </x:row>
    <x:row r="1196" ht="22" customHeight="1">
      <x:c r="A1196" s="2" t="str">
        <x:v>L00253-040</x:v>
      </x:c>
      <x:c r="B1196" s="2" t="str">
        <x:v>L00253</x:v>
      </x:c>
      <x:c r="C1196" s="2" t="str">
        <x:v>SO-26051</x:v>
      </x:c>
      <x:c r="D1196" s="2" t="str">
        <x:v>R-S-AL</x:v>
      </x:c>
      <x:c r="E1196" s="14" t="n">
        <x:v>15</x:v>
      </x:c>
      <x:c r="F1196" s="2" t="str">
        <x:v>Mechanical assembly</x:v>
      </x:c>
      <x:c r="G1196" s="9" t="str">
        <x:v>AS-03</x:v>
      </x:c>
      <x:c r="H1196" s="15" t="n">
        <x:v>62</x:v>
      </x:c>
      <x:c r="I1196" s="9" t="str">
        <x:v>P18</x:v>
      </x:c>
      <x:c r="J1196" s="11" t="n">
        <x:v>46303.709027777775</x:v>
      </x:c>
      <x:c r="K1196" s="15" t="n">
        <x:v>8</x:v>
      </x:c>
      <x:c r="L1196" s="15" t="n">
        <x:v>27</x:v>
      </x:c>
      <x:c r="M1196" s="13" t="n">
        <x:f>J1196+(K1196+L1196)/1440</x:f>
        <x:v>46303.73333333333</x:v>
      </x:c>
      <x:c r="N1196" s="13" t="n">
        <x:f>VLOOKUP(C1196,'MES orders'!$A$8:$H$127,5,FALSE)</x:f>
        <x:v>46304.666666666664</x:v>
      </x:c>
      <x:c r="O1196" s="16" t="n">
        <x:f>MAX(0,(M1196-N1196)*24)</x:f>
        <x:v>0</x:v>
      </x:c>
      <x:c r="P1196" s="9" t="str">
        <x:v>No</x:v>
      </x:c>
      <x:c r="Q1196" s="15" t="n">
        <x:v>35</x:v>
      </x:c>
      <x:c r="R1196" s="13" t="n">
        <x:f>J1196+Q1196/1440</x:f>
        <x:v>46303.73333333333</x:v>
      </x:c>
      <x:c r="S1196" s="2" t="str">
        <x:f>VLOOKUP(C1196,'MES orders'!$A$8:$H$127,6,FALSE)</x:f>
        <x:v>Normal</x:v>
      </x:c>
      <x:c r="T1196" s="9" t="str"/>
    </x:row>
    <x:row r="1197" ht="22" customHeight="1">
      <x:c r="A1197" s="2" t="str">
        <x:v>L00332-030</x:v>
      </x:c>
      <x:c r="B1197" s="2" t="str">
        <x:v>L00332</x:v>
      </x:c>
      <x:c r="C1197" s="2" t="str">
        <x:v>SO-26067</x:v>
      </x:c>
      <x:c r="D1197" s="2" t="str">
        <x:v>S-C-AL</x:v>
      </x:c>
      <x:c r="E1197" s="14" t="n">
        <x:v>10</x:v>
      </x:c>
      <x:c r="F1197" s="2" t="str">
        <x:v>Wash &amp; dry</x:v>
      </x:c>
      <x:c r="G1197" s="9" t="str">
        <x:v>WS-01</x:v>
      </x:c>
      <x:c r="H1197" s="15" t="n">
        <x:v>113</x:v>
      </x:c>
      <x:c r="I1197" s="9" t="str">
        <x:v>P15</x:v>
      </x:c>
      <x:c r="J1197" s="11" t="n">
        <x:v>46303.709027777775</x:v>
      </x:c>
      <x:c r="K1197" s="15" t="n">
        <x:v>12</x:v>
      </x:c>
      <x:c r="L1197" s="15" t="n">
        <x:v>3</x:v>
      </x:c>
      <x:c r="M1197" s="13" t="n">
        <x:f>J1197+(K1197+L1197)/1440</x:f>
        <x:v>46303.71944444444</x:v>
      </x:c>
      <x:c r="N1197" s="13" t="n">
        <x:f>VLOOKUP(C1197,'MES orders'!$A$8:$H$127,5,FALSE)</x:f>
        <x:v>46304.666666666664</x:v>
      </x:c>
      <x:c r="O1197" s="16" t="n">
        <x:f>MAX(0,(M1197-N1197)*24)</x:f>
        <x:v>0</x:v>
      </x:c>
      <x:c r="P1197" s="9" t="str">
        <x:v>No</x:v>
      </x:c>
      <x:c r="Q1197" s="15" t="n">
        <x:v>15</x:v>
      </x:c>
      <x:c r="R1197" s="13" t="n">
        <x:f>J1197+Q1197/1440</x:f>
        <x:v>46303.71944444444</x:v>
      </x:c>
      <x:c r="S1197" s="2" t="str">
        <x:f>VLOOKUP(C1197,'MES orders'!$A$8:$H$127,6,FALSE)</x:f>
        <x:v>Normal</x:v>
      </x:c>
      <x:c r="T1197" s="9" t="str"/>
    </x:row>
    <x:row r="1198" ht="22" customHeight="1">
      <x:c r="A1198" s="2" t="str">
        <x:v>L00174-050</x:v>
      </x:c>
      <x:c r="B1198" s="2" t="str">
        <x:v>L00174</x:v>
      </x:c>
      <x:c r="C1198" s="2" t="str">
        <x:v>SO-26035</x:v>
      </x:c>
      <x:c r="D1198" s="2" t="str">
        <x:v>D-L-AL</x:v>
      </x:c>
      <x:c r="E1198" s="14" t="n">
        <x:v>15</x:v>
      </x:c>
      <x:c r="F1198" s="2" t="str">
        <x:v>Final leak / function test</x:v>
      </x:c>
      <x:c r="G1198" s="9" t="str">
        <x:v>QA-01</x:v>
      </x:c>
      <x:c r="H1198" s="15" t="n">
        <x:v>50</x:v>
      </x:c>
      <x:c r="I1198" s="9" t="str">
        <x:v>P24</x:v>
      </x:c>
      <x:c r="J1198" s="11" t="n">
        <x:v>46303.70972222222</x:v>
      </x:c>
      <x:c r="K1198" s="15" t="n">
        <x:v>10</x:v>
      </x:c>
      <x:c r="L1198" s="15" t="n">
        <x:v>18</x:v>
      </x:c>
      <x:c r="M1198" s="13" t="n">
        <x:f>J1198+(K1198+L1198)/1440</x:f>
        <x:v>46303.729166666664</x:v>
      </x:c>
      <x:c r="N1198" s="13" t="n">
        <x:f>VLOOKUP(C1198,'MES orders'!$A$8:$H$127,5,FALSE)</x:f>
        <x:v>46304.666666666664</x:v>
      </x:c>
      <x:c r="O1198" s="16" t="n">
        <x:f>MAX(0,(M1198-N1198)*24)</x:f>
        <x:v>0</x:v>
      </x:c>
      <x:c r="P1198" s="9" t="str">
        <x:v>No</x:v>
      </x:c>
      <x:c r="Q1198" s="15" t="n">
        <x:v>28</x:v>
      </x:c>
      <x:c r="R1198" s="13" t="n">
        <x:f>J1198+Q1198/1440</x:f>
        <x:v>46303.729166666664</x:v>
      </x:c>
      <x:c r="S1198" s="2" t="str">
        <x:f>VLOOKUP(C1198,'MES orders'!$A$8:$H$127,6,FALSE)</x:f>
        <x:v>Normal</x:v>
      </x:c>
      <x:c r="T1198" s="9" t="str"/>
    </x:row>
    <x:row r="1199" ht="22" customHeight="1">
      <x:c r="A1199" s="2" t="str">
        <x:v>L00295-020</x:v>
      </x:c>
      <x:c r="B1199" s="2" t="str">
        <x:v>L00295</x:v>
      </x:c>
      <x:c r="C1199" s="2" t="str">
        <x:v>SO-26059</x:v>
      </x:c>
      <x:c r="D1199" s="2" t="str">
        <x:v>R-L-AL</x:v>
      </x:c>
      <x:c r="E1199" s="14" t="n">
        <x:v>15</x:v>
      </x:c>
      <x:c r="F1199" s="2" t="str">
        <x:v>Deburr &amp; inspect</x:v>
      </x:c>
      <x:c r="G1199" s="9" t="str">
        <x:v>DB-02</x:v>
      </x:c>
      <x:c r="H1199" s="15" t="n">
        <x:v>80</x:v>
      </x:c>
      <x:c r="I1199" s="9" t="str">
        <x:v>P14</x:v>
      </x:c>
      <x:c r="J1199" s="11" t="n">
        <x:v>46303.71597222222</x:v>
      </x:c>
      <x:c r="K1199" s="15" t="n">
        <x:v>4</x:v>
      </x:c>
      <x:c r="L1199" s="15" t="n">
        <x:v>14</x:v>
      </x:c>
      <x:c r="M1199" s="13" t="n">
        <x:f>J1199+(K1199+L1199)/1440</x:f>
        <x:v>46303.72847222222</x:v>
      </x:c>
      <x:c r="N1199" s="13" t="n">
        <x:f>VLOOKUP(C1199,'MES orders'!$A$8:$H$127,5,FALSE)</x:f>
        <x:v>46304.666666666664</x:v>
      </x:c>
      <x:c r="O1199" s="16" t="n">
        <x:f>MAX(0,(M1199-N1199)*24)</x:f>
        <x:v>0</x:v>
      </x:c>
      <x:c r="P1199" s="9" t="str">
        <x:v>No</x:v>
      </x:c>
      <x:c r="Q1199" s="15" t="n">
        <x:v>18</x:v>
      </x:c>
      <x:c r="R1199" s="13" t="n">
        <x:f>J1199+Q1199/1440</x:f>
        <x:v>46303.72847222222</x:v>
      </x:c>
      <x:c r="S1199" s="2" t="str">
        <x:f>VLOOKUP(C1199,'MES orders'!$A$8:$H$127,6,FALSE)</x:f>
        <x:v>Normal</x:v>
      </x:c>
      <x:c r="T1199" s="9" t="str"/>
    </x:row>
    <x:row r="1200" ht="22" customHeight="1">
      <x:c r="A1200" s="2" t="str">
        <x:v>L00333-020</x:v>
      </x:c>
      <x:c r="B1200" s="2" t="str">
        <x:v>L00333</x:v>
      </x:c>
      <x:c r="C1200" s="2" t="str">
        <x:v>SO-26067</x:v>
      </x:c>
      <x:c r="D1200" s="2" t="str">
        <x:v>S-C-AL</x:v>
      </x:c>
      <x:c r="E1200" s="14" t="n">
        <x:v>10</x:v>
      </x:c>
      <x:c r="F1200" s="2" t="str">
        <x:v>Deburr &amp; inspect</x:v>
      </x:c>
      <x:c r="G1200" s="9" t="str">
        <x:v>DB-01</x:v>
      </x:c>
      <x:c r="H1200" s="15" t="n">
        <x:v>115</x:v>
      </x:c>
      <x:c r="I1200" s="9" t="str">
        <x:v>P13</x:v>
      </x:c>
      <x:c r="J1200" s="11" t="n">
        <x:v>46303.71805555555</x:v>
      </x:c>
      <x:c r="K1200" s="15" t="n">
        <x:v>4</x:v>
      </x:c>
      <x:c r="L1200" s="15" t="n">
        <x:v>6</x:v>
      </x:c>
      <x:c r="M1200" s="13" t="n">
        <x:f>J1200+(K1200+L1200)/1440</x:f>
        <x:v>46303.725</x:v>
      </x:c>
      <x:c r="N1200" s="13" t="n">
        <x:f>VLOOKUP(C1200,'MES orders'!$A$8:$H$127,5,FALSE)</x:f>
        <x:v>46304.666666666664</x:v>
      </x:c>
      <x:c r="O1200" s="16" t="n">
        <x:f>MAX(0,(M1200-N1200)*24)</x:f>
        <x:v>0</x:v>
      </x:c>
      <x:c r="P1200" s="9" t="str">
        <x:v>No</x:v>
      </x:c>
      <x:c r="Q1200" s="15" t="n">
        <x:v>10</x:v>
      </x:c>
      <x:c r="R1200" s="13" t="n">
        <x:f>J1200+Q1200/1440</x:f>
        <x:v>46303.725</x:v>
      </x:c>
      <x:c r="S1200" s="2" t="str">
        <x:f>VLOOKUP(C1200,'MES orders'!$A$8:$H$127,6,FALSE)</x:f>
        <x:v>Normal</x:v>
      </x:c>
      <x:c r="T1200" s="9" t="str"/>
    </x:row>
    <x:row r="1201" ht="22" customHeight="1">
      <x:c r="A1201" s="2" t="str">
        <x:v>L00332-040</x:v>
      </x:c>
      <x:c r="B1201" s="2" t="str">
        <x:v>L00332</x:v>
      </x:c>
      <x:c r="C1201" s="2" t="str">
        <x:v>SO-26067</x:v>
      </x:c>
      <x:c r="D1201" s="2" t="str">
        <x:v>S-C-AL</x:v>
      </x:c>
      <x:c r="E1201" s="14" t="n">
        <x:v>10</x:v>
      </x:c>
      <x:c r="F1201" s="2" t="str">
        <x:v>Mechanical preassembly</x:v>
      </x:c>
      <x:c r="G1201" s="9" t="str">
        <x:v>AS-04</x:v>
      </x:c>
      <x:c r="H1201" s="15" t="n">
        <x:v>42</x:v>
      </x:c>
      <x:c r="I1201" s="9" t="str">
        <x:v>P15</x:v>
      </x:c>
      <x:c r="J1201" s="11" t="n">
        <x:v>46303.71944444445</x:v>
      </x:c>
      <x:c r="K1201" s="15" t="n">
        <x:v>6</x:v>
      </x:c>
      <x:c r="L1201" s="15" t="n">
        <x:v>9</x:v>
      </x:c>
      <x:c r="M1201" s="13" t="n">
        <x:f>J1201+(K1201+L1201)/1440</x:f>
        <x:v>46303.72986111111</x:v>
      </x:c>
      <x:c r="N1201" s="13" t="n">
        <x:f>VLOOKUP(C1201,'MES orders'!$A$8:$H$127,5,FALSE)</x:f>
        <x:v>46304.666666666664</x:v>
      </x:c>
      <x:c r="O1201" s="16" t="n">
        <x:f>MAX(0,(M1201-N1201)*24)</x:f>
        <x:v>0</x:v>
      </x:c>
      <x:c r="P1201" s="9" t="str">
        <x:v>No</x:v>
      </x:c>
      <x:c r="Q1201" s="15" t="n">
        <x:v>15</x:v>
      </x:c>
      <x:c r="R1201" s="13" t="n">
        <x:f>J1201+Q1201/1440</x:f>
        <x:v>46303.72986111111</x:v>
      </x:c>
      <x:c r="S1201" s="2" t="str">
        <x:f>VLOOKUP(C1201,'MES orders'!$A$8:$H$127,6,FALSE)</x:f>
        <x:v>Normal</x:v>
      </x:c>
      <x:c r="T1201" s="9" t="str"/>
    </x:row>
    <x:row r="1202" ht="22" customHeight="1">
      <x:c r="A1202" s="2" t="str">
        <x:v>L00333-030</x:v>
      </x:c>
      <x:c r="B1202" s="2" t="str">
        <x:v>L00333</x:v>
      </x:c>
      <x:c r="C1202" s="2" t="str">
        <x:v>SO-26067</x:v>
      </x:c>
      <x:c r="D1202" s="2" t="str">
        <x:v>S-C-AL</x:v>
      </x:c>
      <x:c r="E1202" s="14" t="n">
        <x:v>10</x:v>
      </x:c>
      <x:c r="F1202" s="2" t="str">
        <x:v>Wash &amp; dry</x:v>
      </x:c>
      <x:c r="G1202" s="9" t="str">
        <x:v>WS-02</x:v>
      </x:c>
      <x:c r="H1202" s="15" t="n">
        <x:v>80</x:v>
      </x:c>
      <x:c r="I1202" s="9" t="str">
        <x:v>P20</x:v>
      </x:c>
      <x:c r="J1202" s="11" t="n">
        <x:v>46303.725</x:v>
      </x:c>
      <x:c r="K1202" s="15" t="n">
        <x:v>12</x:v>
      </x:c>
      <x:c r="L1202" s="15" t="n">
        <x:v>3</x:v>
      </x:c>
      <x:c r="M1202" s="13" t="n">
        <x:f>J1202+(K1202+L1202)/1440</x:f>
        <x:v>46303.73541666666</x:v>
      </x:c>
      <x:c r="N1202" s="13" t="n">
        <x:f>VLOOKUP(C1202,'MES orders'!$A$8:$H$127,5,FALSE)</x:f>
        <x:v>46304.666666666664</x:v>
      </x:c>
      <x:c r="O1202" s="16" t="n">
        <x:f>MAX(0,(M1202-N1202)*24)</x:f>
        <x:v>0</x:v>
      </x:c>
      <x:c r="P1202" s="9" t="str">
        <x:v>No</x:v>
      </x:c>
      <x:c r="Q1202" s="15" t="n">
        <x:v>15</x:v>
      </x:c>
      <x:c r="R1202" s="13" t="n">
        <x:f>J1202+Q1202/1440</x:f>
        <x:v>46303.73541666666</x:v>
      </x:c>
      <x:c r="S1202" s="2" t="str">
        <x:f>VLOOKUP(C1202,'MES orders'!$A$8:$H$127,6,FALSE)</x:f>
        <x:v>Normal</x:v>
      </x:c>
      <x:c r="T1202" s="9" t="str"/>
    </x:row>
    <x:row r="1203" ht="22" customHeight="1">
      <x:c r="A1203" s="2" t="str">
        <x:v>L00292-020</x:v>
      </x:c>
      <x:c r="B1203" s="2" t="str">
        <x:v>L00292</x:v>
      </x:c>
      <x:c r="C1203" s="2" t="str">
        <x:v>SO-26059</x:v>
      </x:c>
      <x:c r="D1203" s="2" t="str">
        <x:v>R-L-AL</x:v>
      </x:c>
      <x:c r="E1203" s="14" t="n">
        <x:v>15</x:v>
      </x:c>
      <x:c r="F1203" s="2" t="str">
        <x:v>Deburr &amp; inspect</x:v>
      </x:c>
      <x:c r="G1203" s="9" t="str">
        <x:v>DB-01</x:v>
      </x:c>
      <x:c r="H1203" s="15" t="n">
        <x:v>116</x:v>
      </x:c>
      <x:c r="I1203" s="9" t="str">
        <x:v>P16</x:v>
      </x:c>
      <x:c r="J1203" s="11" t="n">
        <x:v>46303.725694444445</x:v>
      </x:c>
      <x:c r="K1203" s="15" t="n">
        <x:v>4</x:v>
      </x:c>
      <x:c r="L1203" s="15" t="n">
        <x:v>14</x:v>
      </x:c>
      <x:c r="M1203" s="13" t="n">
        <x:f>J1203+(K1203+L1203)/1440</x:f>
        <x:v>46303.73819444444</x:v>
      </x:c>
      <x:c r="N1203" s="13" t="n">
        <x:f>VLOOKUP(C1203,'MES orders'!$A$8:$H$127,5,FALSE)</x:f>
        <x:v>46304.666666666664</x:v>
      </x:c>
      <x:c r="O1203" s="16" t="n">
        <x:f>MAX(0,(M1203-N1203)*24)</x:f>
        <x:v>0</x:v>
      </x:c>
      <x:c r="P1203" s="9" t="str">
        <x:v>No</x:v>
      </x:c>
      <x:c r="Q1203" s="15" t="n">
        <x:v>18</x:v>
      </x:c>
      <x:c r="R1203" s="13" t="n">
        <x:f>J1203+Q1203/1440</x:f>
        <x:v>46303.73819444444</x:v>
      </x:c>
      <x:c r="S1203" s="2" t="str">
        <x:f>VLOOKUP(C1203,'MES orders'!$A$8:$H$127,6,FALSE)</x:f>
        <x:v>Normal</x:v>
      </x:c>
      <x:c r="T1203" s="9" t="str"/>
    </x:row>
    <x:row r="1204" ht="22" customHeight="1">
      <x:c r="A1204" s="2" t="str">
        <x:v>L00175-050</x:v>
      </x:c>
      <x:c r="B1204" s="2" t="str">
        <x:v>L00175</x:v>
      </x:c>
      <x:c r="C1204" s="2" t="str">
        <x:v>SO-26035</x:v>
      </x:c>
      <x:c r="D1204" s="2" t="str">
        <x:v>D-L-AL</x:v>
      </x:c>
      <x:c r="E1204" s="14" t="n">
        <x:v>15</x:v>
      </x:c>
      <x:c r="F1204" s="2" t="str">
        <x:v>Final leak / function test</x:v>
      </x:c>
      <x:c r="G1204" s="9" t="str">
        <x:v>QA-02</x:v>
      </x:c>
      <x:c r="H1204" s="15" t="n">
        <x:v>84</x:v>
      </x:c>
      <x:c r="I1204" s="9" t="str">
        <x:v>P23</x:v>
      </x:c>
      <x:c r="J1204" s="11" t="n">
        <x:v>46303.725694444445</x:v>
      </x:c>
      <x:c r="K1204" s="15" t="n">
        <x:v>10</x:v>
      </x:c>
      <x:c r="L1204" s="15" t="n">
        <x:v>18</x:v>
      </x:c>
      <x:c r="M1204" s="13" t="n">
        <x:f>J1204+(K1204+L1204)/1440</x:f>
        <x:v>46303.74513888889</x:v>
      </x:c>
      <x:c r="N1204" s="13" t="n">
        <x:f>VLOOKUP(C1204,'MES orders'!$A$8:$H$127,5,FALSE)</x:f>
        <x:v>46304.666666666664</x:v>
      </x:c>
      <x:c r="O1204" s="16" t="n">
        <x:f>MAX(0,(M1204-N1204)*24)</x:f>
        <x:v>0</x:v>
      </x:c>
      <x:c r="P1204" s="9" t="str">
        <x:v>No</x:v>
      </x:c>
      <x:c r="Q1204" s="15" t="n">
        <x:v>28</x:v>
      </x:c>
      <x:c r="R1204" s="13" t="n">
        <x:f>J1204+Q1204/1440</x:f>
        <x:v>46303.74513888889</x:v>
      </x:c>
      <x:c r="S1204" s="2" t="str">
        <x:f>VLOOKUP(C1204,'MES orders'!$A$8:$H$127,6,FALSE)</x:f>
        <x:v>Normal</x:v>
      </x:c>
      <x:c r="T1204" s="9" t="str"/>
    </x:row>
    <x:row r="1205" ht="22" customHeight="1">
      <x:c r="A1205" s="2" t="str">
        <x:v>L00334-020</x:v>
      </x:c>
      <x:c r="B1205" s="2" t="str">
        <x:v>L00334</x:v>
      </x:c>
      <x:c r="C1205" s="2" t="str">
        <x:v>SO-26067</x:v>
      </x:c>
      <x:c r="D1205" s="2" t="str">
        <x:v>S-C-AL</x:v>
      </x:c>
      <x:c r="E1205" s="14" t="n">
        <x:v>10</x:v>
      </x:c>
      <x:c r="F1205" s="2" t="str">
        <x:v>Deburr &amp; inspect</x:v>
      </x:c>
      <x:c r="G1205" s="9" t="str">
        <x:v>DB-02</x:v>
      </x:c>
      <x:c r="H1205" s="15" t="n">
        <x:v>81</x:v>
      </x:c>
      <x:c r="I1205" s="9" t="str">
        <x:v>P14</x:v>
      </x:c>
      <x:c r="J1205" s="11" t="n">
        <x:v>46303.728472222225</x:v>
      </x:c>
      <x:c r="K1205" s="15" t="n">
        <x:v>4</x:v>
      </x:c>
      <x:c r="L1205" s="15" t="n">
        <x:v>6</x:v>
      </x:c>
      <x:c r="M1205" s="13" t="n">
        <x:f>J1205+(K1205+L1205)/1440</x:f>
        <x:v>46303.73541666667</x:v>
      </x:c>
      <x:c r="N1205" s="13" t="n">
        <x:f>VLOOKUP(C1205,'MES orders'!$A$8:$H$127,5,FALSE)</x:f>
        <x:v>46304.666666666664</x:v>
      </x:c>
      <x:c r="O1205" s="16" t="n">
        <x:f>MAX(0,(M1205-N1205)*24)</x:f>
        <x:v>0</x:v>
      </x:c>
      <x:c r="P1205" s="9" t="str">
        <x:v>No</x:v>
      </x:c>
      <x:c r="Q1205" s="15" t="n">
        <x:v>10</x:v>
      </x:c>
      <x:c r="R1205" s="13" t="n">
        <x:f>J1205+Q1205/1440</x:f>
        <x:v>46303.73541666667</x:v>
      </x:c>
      <x:c r="S1205" s="2" t="str">
        <x:f>VLOOKUP(C1205,'MES orders'!$A$8:$H$127,6,FALSE)</x:f>
        <x:v>Normal</x:v>
      </x:c>
      <x:c r="T1205" s="9" t="str"/>
    </x:row>
    <x:row r="1206" ht="22" customHeight="1">
      <x:c r="A1206" s="2" t="str">
        <x:v>L00295-030</x:v>
      </x:c>
      <x:c r="B1206" s="2" t="str">
        <x:v>L00295</x:v>
      </x:c>
      <x:c r="C1206" s="2" t="str">
        <x:v>SO-26059</x:v>
      </x:c>
      <x:c r="D1206" s="2" t="str">
        <x:v>R-L-AL</x:v>
      </x:c>
      <x:c r="E1206" s="14" t="n">
        <x:v>15</x:v>
      </x:c>
      <x:c r="F1206" s="2" t="str">
        <x:v>Wash &amp; dry</x:v>
      </x:c>
      <x:c r="G1206" s="9" t="str">
        <x:v>WS-01</x:v>
      </x:c>
      <x:c r="H1206" s="15" t="n">
        <x:v>114</x:v>
      </x:c>
      <x:c r="I1206" s="9" t="str">
        <x:v>P13</x:v>
      </x:c>
      <x:c r="J1206" s="11" t="n">
        <x:v>46303.728472222225</x:v>
      </x:c>
      <x:c r="K1206" s="15" t="n">
        <x:v>12</x:v>
      </x:c>
      <x:c r="L1206" s="15" t="n">
        <x:v>7</x:v>
      </x:c>
      <x:c r="M1206" s="13" t="n">
        <x:f>J1206+(K1206+L1206)/1440</x:f>
        <x:v>46303.74166666667</x:v>
      </x:c>
      <x:c r="N1206" s="13" t="n">
        <x:f>VLOOKUP(C1206,'MES orders'!$A$8:$H$127,5,FALSE)</x:f>
        <x:v>46304.666666666664</x:v>
      </x:c>
      <x:c r="O1206" s="16" t="n">
        <x:f>MAX(0,(M1206-N1206)*24)</x:f>
        <x:v>0</x:v>
      </x:c>
      <x:c r="P1206" s="9" t="str">
        <x:v>No</x:v>
      </x:c>
      <x:c r="Q1206" s="15" t="n">
        <x:v>19</x:v>
      </x:c>
      <x:c r="R1206" s="13" t="n">
        <x:f>J1206+Q1206/1440</x:f>
        <x:v>46303.74166666667</x:v>
      </x:c>
      <x:c r="S1206" s="2" t="str">
        <x:f>VLOOKUP(C1206,'MES orders'!$A$8:$H$127,6,FALSE)</x:f>
        <x:v>Normal</x:v>
      </x:c>
      <x:c r="T1206" s="9" t="str"/>
    </x:row>
    <x:row r="1207" ht="22" customHeight="1">
      <x:c r="A1207" s="2" t="str">
        <x:v>L00251-060</x:v>
      </x:c>
      <x:c r="B1207" s="2" t="str">
        <x:v>L00251</x:v>
      </x:c>
      <x:c r="C1207" s="2" t="str">
        <x:v>SO-26051</x:v>
      </x:c>
      <x:c r="D1207" s="2" t="str">
        <x:v>R-S-AL</x:v>
      </x:c>
      <x:c r="E1207" s="14" t="n">
        <x:v>15</x:v>
      </x:c>
      <x:c r="F1207" s="2" t="str">
        <x:v>Final leak / function test</x:v>
      </x:c>
      <x:c r="G1207" s="9" t="str">
        <x:v>QA-03</x:v>
      </x:c>
      <x:c r="H1207" s="15" t="n">
        <x:v>51</x:v>
      </x:c>
      <x:c r="I1207" s="9" t="str">
        <x:v>P24</x:v>
      </x:c>
      <x:c r="J1207" s="11" t="n">
        <x:v>46303.729166666664</x:v>
      </x:c>
      <x:c r="K1207" s="15" t="n">
        <x:v>10</x:v>
      </x:c>
      <x:c r="L1207" s="15" t="n">
        <x:v>14</x:v>
      </x:c>
      <x:c r="M1207" s="13" t="n">
        <x:f>J1207+(K1207+L1207)/1440</x:f>
        <x:v>46303.745833333334</x:v>
      </x:c>
      <x:c r="N1207" s="13" t="n">
        <x:f>VLOOKUP(C1207,'MES orders'!$A$8:$H$127,5,FALSE)</x:f>
        <x:v>46304.666666666664</x:v>
      </x:c>
      <x:c r="O1207" s="16" t="n">
        <x:f>MAX(0,(M1207-N1207)*24)</x:f>
        <x:v>0</x:v>
      </x:c>
      <x:c r="P1207" s="9" t="str">
        <x:v>No</x:v>
      </x:c>
      <x:c r="Q1207" s="15" t="n">
        <x:v>24</x:v>
      </x:c>
      <x:c r="R1207" s="13" t="n">
        <x:f>J1207+Q1207/1440</x:f>
        <x:v>46303.745833333334</x:v>
      </x:c>
      <x:c r="S1207" s="2" t="str">
        <x:f>VLOOKUP(C1207,'MES orders'!$A$8:$H$127,6,FALSE)</x:f>
        <x:v>Normal</x:v>
      </x:c>
      <x:c r="T1207" s="9" t="str"/>
    </x:row>
    <x:row r="1208" ht="22" customHeight="1">
      <x:c r="A1208" s="2" t="str">
        <x:v>L00332-050</x:v>
      </x:c>
      <x:c r="B1208" s="2" t="str">
        <x:v>L00332</x:v>
      </x:c>
      <x:c r="C1208" s="2" t="str">
        <x:v>SO-26067</x:v>
      </x:c>
      <x:c r="D1208" s="2" t="str">
        <x:v>S-C-AL</x:v>
      </x:c>
      <x:c r="E1208" s="14" t="n">
        <x:v>10</x:v>
      </x:c>
      <x:c r="F1208" s="2" t="str">
        <x:v>Sensor installation</x:v>
      </x:c>
      <x:c r="G1208" s="9" t="str">
        <x:v>EL-01</x:v>
      </x:c>
      <x:c r="H1208" s="15" t="n">
        <x:v>35</x:v>
      </x:c>
      <x:c r="I1208" s="9" t="str">
        <x:v>P19</x:v>
      </x:c>
      <x:c r="J1208" s="11" t="n">
        <x:v>46303.72986111111</x:v>
      </x:c>
      <x:c r="K1208" s="15" t="n">
        <x:v>8</x:v>
      </x:c>
      <x:c r="L1208" s="15" t="n">
        <x:v>10</x:v>
      </x:c>
      <x:c r="M1208" s="13" t="n">
        <x:f>J1208+(K1208+L1208)/1440</x:f>
        <x:v>46303.74236111111</x:v>
      </x:c>
      <x:c r="N1208" s="13" t="n">
        <x:f>VLOOKUP(C1208,'MES orders'!$A$8:$H$127,5,FALSE)</x:f>
        <x:v>46304.666666666664</x:v>
      </x:c>
      <x:c r="O1208" s="16" t="n">
        <x:f>MAX(0,(M1208-N1208)*24)</x:f>
        <x:v>0</x:v>
      </x:c>
      <x:c r="P1208" s="9" t="str">
        <x:v>No</x:v>
      </x:c>
      <x:c r="Q1208" s="15" t="n">
        <x:v>18</x:v>
      </x:c>
      <x:c r="R1208" s="13" t="n">
        <x:f>J1208+Q1208/1440</x:f>
        <x:v>46303.74236111111</x:v>
      </x:c>
      <x:c r="S1208" s="2" t="str">
        <x:f>VLOOKUP(C1208,'MES orders'!$A$8:$H$127,6,FALSE)</x:f>
        <x:v>Normal</x:v>
      </x:c>
      <x:c r="T1208" s="9" t="str"/>
    </x:row>
    <x:row r="1209" ht="22" customHeight="1">
      <x:c r="A1209" s="2" t="str">
        <x:v>L00253-050</x:v>
      </x:c>
      <x:c r="B1209" s="2" t="str">
        <x:v>L00253</x:v>
      </x:c>
      <x:c r="C1209" s="2" t="str">
        <x:v>SO-26051</x:v>
      </x:c>
      <x:c r="D1209" s="2" t="str">
        <x:v>R-S-AL</x:v>
      </x:c>
      <x:c r="E1209" s="14" t="n">
        <x:v>15</x:v>
      </x:c>
      <x:c r="F1209" s="2" t="str">
        <x:v>Valve adjustment</x:v>
      </x:c>
      <x:c r="G1209" s="9" t="str">
        <x:v>AS-01</x:v>
      </x:c>
      <x:c r="H1209" s="15" t="n">
        <x:v>97</x:v>
      </x:c>
      <x:c r="I1209" s="9" t="str">
        <x:v>P17</x:v>
      </x:c>
      <x:c r="J1209" s="11" t="n">
        <x:v>46303.73333333333</x:v>
      </x:c>
      <x:c r="K1209" s="15" t="n">
        <x:v>6</x:v>
      </x:c>
      <x:c r="L1209" s="15" t="n">
        <x:v>16</x:v>
      </x:c>
      <x:c r="M1209" s="13" t="n">
        <x:f>J1209+(K1209+L1209)/1440</x:f>
        <x:v>46303.74861111111</x:v>
      </x:c>
      <x:c r="N1209" s="13" t="n">
        <x:f>VLOOKUP(C1209,'MES orders'!$A$8:$H$127,5,FALSE)</x:f>
        <x:v>46304.666666666664</x:v>
      </x:c>
      <x:c r="O1209" s="16" t="n">
        <x:f>MAX(0,(M1209-N1209)*24)</x:f>
        <x:v>0</x:v>
      </x:c>
      <x:c r="P1209" s="9" t="str">
        <x:v>No</x:v>
      </x:c>
      <x:c r="Q1209" s="15" t="n">
        <x:v>22</x:v>
      </x:c>
      <x:c r="R1209" s="13" t="n">
        <x:f>J1209+Q1209/1440</x:f>
        <x:v>46303.74861111111</x:v>
      </x:c>
      <x:c r="S1209" s="2" t="str">
        <x:f>VLOOKUP(C1209,'MES orders'!$A$8:$H$127,6,FALSE)</x:f>
        <x:v>Normal</x:v>
      </x:c>
      <x:c r="T1209" s="9" t="str"/>
    </x:row>
    <x:row r="1210" ht="22" customHeight="1">
      <x:c r="A1210" s="2" t="str">
        <x:v>L00255-050</x:v>
      </x:c>
      <x:c r="B1210" s="2" t="str">
        <x:v>L00255</x:v>
      </x:c>
      <x:c r="C1210" s="2" t="str">
        <x:v>SO-26051</x:v>
      </x:c>
      <x:c r="D1210" s="2" t="str">
        <x:v>R-S-AL</x:v>
      </x:c>
      <x:c r="E1210" s="14" t="n">
        <x:v>15</x:v>
      </x:c>
      <x:c r="F1210" s="2" t="str">
        <x:v>Valve adjustment</x:v>
      </x:c>
      <x:c r="G1210" s="9" t="str">
        <x:v>AS-02</x:v>
      </x:c>
      <x:c r="H1210" s="15" t="n">
        <x:v>78</x:v>
      </x:c>
      <x:c r="I1210" s="9" t="str">
        <x:v>P18</x:v>
      </x:c>
      <x:c r="J1210" s="11" t="n">
        <x:v>46303.73333333333</x:v>
      </x:c>
      <x:c r="K1210" s="15" t="n">
        <x:v>6</x:v>
      </x:c>
      <x:c r="L1210" s="15" t="n">
        <x:v>16</x:v>
      </x:c>
      <x:c r="M1210" s="13" t="n">
        <x:f>J1210+(K1210+L1210)/1440</x:f>
        <x:v>46303.74861111111</x:v>
      </x:c>
      <x:c r="N1210" s="13" t="n">
        <x:f>VLOOKUP(C1210,'MES orders'!$A$8:$H$127,5,FALSE)</x:f>
        <x:v>46304.666666666664</x:v>
      </x:c>
      <x:c r="O1210" s="16" t="n">
        <x:f>MAX(0,(M1210-N1210)*24)</x:f>
        <x:v>0</x:v>
      </x:c>
      <x:c r="P1210" s="9" t="str">
        <x:v>No</x:v>
      </x:c>
      <x:c r="Q1210" s="15" t="n">
        <x:v>22</x:v>
      </x:c>
      <x:c r="R1210" s="13" t="n">
        <x:f>J1210+Q1210/1440</x:f>
        <x:v>46303.74861111111</x:v>
      </x:c>
      <x:c r="S1210" s="2" t="str">
        <x:f>VLOOKUP(C1210,'MES orders'!$A$8:$H$127,6,FALSE)</x:f>
        <x:v>Normal</x:v>
      </x:c>
      <x:c r="T1210" s="9" t="str"/>
    </x:row>
    <x:row r="1211" ht="22" customHeight="1">
      <x:c r="A1211" s="2" t="str">
        <x:v>L00333-040</x:v>
      </x:c>
      <x:c r="B1211" s="2" t="str">
        <x:v>L00333</x:v>
      </x:c>
      <x:c r="C1211" s="2" t="str">
        <x:v>SO-26067</x:v>
      </x:c>
      <x:c r="D1211" s="2" t="str">
        <x:v>S-C-AL</x:v>
      </x:c>
      <x:c r="E1211" s="14" t="n">
        <x:v>10</x:v>
      </x:c>
      <x:c r="F1211" s="2" t="str">
        <x:v>Mechanical preassembly</x:v>
      </x:c>
      <x:c r="G1211" s="9" t="str">
        <x:v>AS-03</x:v>
      </x:c>
      <x:c r="H1211" s="15" t="n">
        <x:v>63</x:v>
      </x:c>
      <x:c r="I1211" s="9" t="str">
        <x:v>P14</x:v>
      </x:c>
      <x:c r="J1211" s="11" t="n">
        <x:v>46303.73541666667</x:v>
      </x:c>
      <x:c r="K1211" s="15" t="n">
        <x:v>6</x:v>
      </x:c>
      <x:c r="L1211" s="15" t="n">
        <x:v>9</x:v>
      </x:c>
      <x:c r="M1211" s="13" t="n">
        <x:f>J1211+(K1211+L1211)/1440</x:f>
        <x:v>46303.745833333334</x:v>
      </x:c>
      <x:c r="N1211" s="13" t="n">
        <x:f>VLOOKUP(C1211,'MES orders'!$A$8:$H$127,5,FALSE)</x:f>
        <x:v>46304.666666666664</x:v>
      </x:c>
      <x:c r="O1211" s="16" t="n">
        <x:f>MAX(0,(M1211-N1211)*24)</x:f>
        <x:v>0</x:v>
      </x:c>
      <x:c r="P1211" s="9" t="str">
        <x:v>No</x:v>
      </x:c>
      <x:c r="Q1211" s="15" t="n">
        <x:v>15</x:v>
      </x:c>
      <x:c r="R1211" s="13" t="n">
        <x:f>J1211+Q1211/1440</x:f>
        <x:v>46303.745833333334</x:v>
      </x:c>
      <x:c r="S1211" s="2" t="str">
        <x:f>VLOOKUP(C1211,'MES orders'!$A$8:$H$127,6,FALSE)</x:f>
        <x:v>Normal</x:v>
      </x:c>
      <x:c r="T1211" s="9" t="str"/>
    </x:row>
    <x:row r="1212" ht="22" customHeight="1">
      <x:c r="A1212" s="2" t="str">
        <x:v>L00334-030</x:v>
      </x:c>
      <x:c r="B1212" s="2" t="str">
        <x:v>L00334</x:v>
      </x:c>
      <x:c r="C1212" s="2" t="str">
        <x:v>SO-26067</x:v>
      </x:c>
      <x:c r="D1212" s="2" t="str">
        <x:v>S-C-AL</x:v>
      </x:c>
      <x:c r="E1212" s="14" t="n">
        <x:v>10</x:v>
      </x:c>
      <x:c r="F1212" s="2" t="str">
        <x:v>Wash &amp; dry</x:v>
      </x:c>
      <x:c r="G1212" s="9" t="str">
        <x:v>WS-02</x:v>
      </x:c>
      <x:c r="H1212" s="15" t="n">
        <x:v>81</x:v>
      </x:c>
      <x:c r="I1212" s="9" t="str">
        <x:v>P15</x:v>
      </x:c>
      <x:c r="J1212" s="11" t="n">
        <x:v>46303.73541666667</x:v>
      </x:c>
      <x:c r="K1212" s="15" t="n">
        <x:v>12</x:v>
      </x:c>
      <x:c r="L1212" s="15" t="n">
        <x:v>3</x:v>
      </x:c>
      <x:c r="M1212" s="13" t="n">
        <x:f>J1212+(K1212+L1212)/1440</x:f>
        <x:v>46303.745833333334</x:v>
      </x:c>
      <x:c r="N1212" s="13" t="n">
        <x:f>VLOOKUP(C1212,'MES orders'!$A$8:$H$127,5,FALSE)</x:f>
        <x:v>46304.666666666664</x:v>
      </x:c>
      <x:c r="O1212" s="16" t="n">
        <x:f>MAX(0,(M1212-N1212)*24)</x:f>
        <x:v>0</x:v>
      </x:c>
      <x:c r="P1212" s="9" t="str">
        <x:v>No</x:v>
      </x:c>
      <x:c r="Q1212" s="15" t="n">
        <x:v>15</x:v>
      </x:c>
      <x:c r="R1212" s="13" t="n">
        <x:f>J1212+Q1212/1440</x:f>
        <x:v>46303.745833333334</x:v>
      </x:c>
      <x:c r="S1212" s="2" t="str">
        <x:f>VLOOKUP(C1212,'MES orders'!$A$8:$H$127,6,FALSE)</x:f>
        <x:v>Normal</x:v>
      </x:c>
      <x:c r="T1212" s="9" t="str"/>
    </x:row>
    <x:row r="1213" ht="22" customHeight="1">
      <x:c r="A1213" s="2" t="str">
        <x:v>L00331-020</x:v>
      </x:c>
      <x:c r="B1213" s="2" t="str">
        <x:v>L00331</x:v>
      </x:c>
      <x:c r="C1213" s="2" t="str">
        <x:v>SO-26067</x:v>
      </x:c>
      <x:c r="D1213" s="2" t="str">
        <x:v>S-C-AL</x:v>
      </x:c>
      <x:c r="E1213" s="14" t="n">
        <x:v>10</x:v>
      </x:c>
      <x:c r="F1213" s="2" t="str">
        <x:v>Deburr &amp; inspect</x:v>
      </x:c>
      <x:c r="G1213" s="9" t="str">
        <x:v>DB-01</x:v>
      </x:c>
      <x:c r="H1213" s="15" t="n">
        <x:v>117</x:v>
      </x:c>
      <x:c r="I1213" s="9" t="str">
        <x:v>P16</x:v>
      </x:c>
      <x:c r="J1213" s="11" t="n">
        <x:v>46303.73819444444</x:v>
      </x:c>
      <x:c r="K1213" s="15" t="n">
        <x:v>4</x:v>
      </x:c>
      <x:c r="L1213" s="15" t="n">
        <x:v>6</x:v>
      </x:c>
      <x:c r="M1213" s="13" t="n">
        <x:f>J1213+(K1213+L1213)/1440</x:f>
        <x:v>46303.74513888889</x:v>
      </x:c>
      <x:c r="N1213" s="13" t="n">
        <x:f>VLOOKUP(C1213,'MES orders'!$A$8:$H$127,5,FALSE)</x:f>
        <x:v>46304.666666666664</x:v>
      </x:c>
      <x:c r="O1213" s="16" t="n">
        <x:f>MAX(0,(M1213-N1213)*24)</x:f>
        <x:v>0</x:v>
      </x:c>
      <x:c r="P1213" s="9" t="str">
        <x:v>No</x:v>
      </x:c>
      <x:c r="Q1213" s="15" t="n">
        <x:v>10</x:v>
      </x:c>
      <x:c r="R1213" s="13" t="n">
        <x:f>J1213+Q1213/1440</x:f>
        <x:v>46303.74513888889</x:v>
      </x:c>
      <x:c r="S1213" s="2" t="str">
        <x:f>VLOOKUP(C1213,'MES orders'!$A$8:$H$127,6,FALSE)</x:f>
        <x:v>Normal</x:v>
      </x:c>
      <x:c r="T1213" s="9" t="str"/>
    </x:row>
    <x:row r="1214" ht="22" customHeight="1">
      <x:c r="A1214" s="2" t="str">
        <x:v>L00055-070</x:v>
      </x:c>
      <x:c r="B1214" s="2" t="str">
        <x:v>L00055</x:v>
      </x:c>
      <x:c r="C1214" s="2" t="str">
        <x:v>SO-26011</x:v>
      </x:c>
      <x:c r="D1214" s="2" t="str">
        <x:v>S-L-AL</x:v>
      </x:c>
      <x:c r="E1214" s="14" t="n">
        <x:v>20</x:v>
      </x:c>
      <x:c r="F1214" s="2" t="str">
        <x:v>Final assembly</x:v>
      </x:c>
      <x:c r="G1214" s="9" t="str">
        <x:v>AS-01</x:v>
      </x:c>
      <x:c r="H1214" s="15" t="n">
        <x:v>98</x:v>
      </x:c>
      <x:c r="I1214" s="9" t="str">
        <x:v>P17</x:v>
      </x:c>
      <x:c r="J1214" s="11" t="n">
        <x:v>46303.770833333336</x:v>
      </x:c>
      <x:c r="K1214" s="15" t="n">
        <x:v>5</x:v>
      </x:c>
      <x:c r="L1214" s="15" t="n">
        <x:v>22</x:v>
      </x:c>
      <x:c r="M1214" s="13" t="n">
        <x:f>J1214+(K1214+L1214)/1440</x:f>
        <x:v>46303.78958333334</x:v>
      </x:c>
      <x:c r="N1214" s="13" t="n">
        <x:f>VLOOKUP(C1214,'MES orders'!$A$8:$H$127,5,FALSE)</x:f>
        <x:v>46304.666666666664</x:v>
      </x:c>
      <x:c r="O1214" s="16" t="n">
        <x:f>MAX(0,(M1214-N1214)*24)</x:f>
        <x:v>0</x:v>
      </x:c>
      <x:c r="P1214" s="9" t="str">
        <x:v>No</x:v>
      </x:c>
      <x:c r="Q1214" s="15" t="n">
        <x:v>27</x:v>
      </x:c>
      <x:c r="R1214" s="13" t="n">
        <x:f>J1214+Q1214/1440</x:f>
        <x:v>46303.78958333334</x:v>
      </x:c>
      <x:c r="S1214" s="2" t="str">
        <x:f>VLOOKUP(C1214,'MES orders'!$A$8:$H$127,6,FALSE)</x:f>
        <x:v>Normal</x:v>
      </x:c>
      <x:c r="T1214" s="9" t="str"/>
    </x:row>
    <x:row r="1215" ht="22" customHeight="1">
      <x:c r="A1215" s="2" t="str">
        <x:v>L00334-040</x:v>
      </x:c>
      <x:c r="B1215" s="2" t="str">
        <x:v>L00334</x:v>
      </x:c>
      <x:c r="C1215" s="2" t="str">
        <x:v>SO-26067</x:v>
      </x:c>
      <x:c r="D1215" s="2" t="str">
        <x:v>S-C-AL</x:v>
      </x:c>
      <x:c r="E1215" s="14" t="n">
        <x:v>10</x:v>
      </x:c>
      <x:c r="F1215" s="2" t="str">
        <x:v>Mechanical preassembly</x:v>
      </x:c>
      <x:c r="G1215" s="9" t="str">
        <x:v>AS-02</x:v>
      </x:c>
      <x:c r="H1215" s="15" t="n">
        <x:v>79</x:v>
      </x:c>
      <x:c r="I1215" s="9" t="str">
        <x:v>P13</x:v>
      </x:c>
      <x:c r="J1215" s="11" t="n">
        <x:v>46303.770833333336</x:v>
      </x:c>
      <x:c r="K1215" s="15" t="n">
        <x:v>6</x:v>
      </x:c>
      <x:c r="L1215" s="15" t="n">
        <x:v>9</x:v>
      </x:c>
      <x:c r="M1215" s="13" t="n">
        <x:f>J1215+(K1215+L1215)/1440</x:f>
        <x:v>46303.78125</x:v>
      </x:c>
      <x:c r="N1215" s="13" t="n">
        <x:f>VLOOKUP(C1215,'MES orders'!$A$8:$H$127,5,FALSE)</x:f>
        <x:v>46304.666666666664</x:v>
      </x:c>
      <x:c r="O1215" s="16" t="n">
        <x:f>MAX(0,(M1215-N1215)*24)</x:f>
        <x:v>0</x:v>
      </x:c>
      <x:c r="P1215" s="9" t="str">
        <x:v>No</x:v>
      </x:c>
      <x:c r="Q1215" s="15" t="n">
        <x:v>15</x:v>
      </x:c>
      <x:c r="R1215" s="13" t="n">
        <x:f>J1215+Q1215/1440</x:f>
        <x:v>46303.78125</x:v>
      </x:c>
      <x:c r="S1215" s="2" t="str">
        <x:f>VLOOKUP(C1215,'MES orders'!$A$8:$H$127,6,FALSE)</x:f>
        <x:v>Normal</x:v>
      </x:c>
      <x:c r="T1215" s="9" t="str"/>
    </x:row>
    <x:row r="1216" ht="22" customHeight="1">
      <x:c r="A1216" s="2" t="str">
        <x:v>L00332-060</x:v>
      </x:c>
      <x:c r="B1216" s="2" t="str">
        <x:v>L00332</x:v>
      </x:c>
      <x:c r="C1216" s="2" t="str">
        <x:v>SO-26067</x:v>
      </x:c>
      <x:c r="D1216" s="2" t="str">
        <x:v>S-C-AL</x:v>
      </x:c>
      <x:c r="E1216" s="14" t="n">
        <x:v>10</x:v>
      </x:c>
      <x:c r="F1216" s="2" t="str">
        <x:v>Sensor calibration</x:v>
      </x:c>
      <x:c r="G1216" s="9" t="str">
        <x:v>CAL-01</x:v>
      </x:c>
      <x:c r="H1216" s="15" t="n">
        <x:v>56</x:v>
      </x:c>
      <x:c r="I1216" s="9" t="str">
        <x:v>P21</x:v>
      </x:c>
      <x:c r="J1216" s="11" t="n">
        <x:v>46303.770833333336</x:v>
      </x:c>
      <x:c r="K1216" s="15" t="n">
        <x:v>10</x:v>
      </x:c>
      <x:c r="L1216" s="15" t="n">
        <x:v>10</x:v>
      </x:c>
      <x:c r="M1216" s="13" t="n">
        <x:f>J1216+(K1216+L1216)/1440</x:f>
        <x:v>46303.784722222226</x:v>
      </x:c>
      <x:c r="N1216" s="13" t="n">
        <x:f>VLOOKUP(C1216,'MES orders'!$A$8:$H$127,5,FALSE)</x:f>
        <x:v>46304.666666666664</x:v>
      </x:c>
      <x:c r="O1216" s="16" t="n">
        <x:f>MAX(0,(M1216-N1216)*24)</x:f>
        <x:v>0</x:v>
      </x:c>
      <x:c r="P1216" s="9" t="str">
        <x:v>No</x:v>
      </x:c>
      <x:c r="Q1216" s="15" t="n">
        <x:v>20</x:v>
      </x:c>
      <x:c r="R1216" s="13" t="n">
        <x:f>J1216+Q1216/1440</x:f>
        <x:v>46303.784722222226</x:v>
      </x:c>
      <x:c r="S1216" s="2" t="str">
        <x:f>VLOOKUP(C1216,'MES orders'!$A$8:$H$127,6,FALSE)</x:f>
        <x:v>Normal</x:v>
      </x:c>
      <x:c r="T1216" s="9" t="str"/>
    </x:row>
    <x:row r="1217" ht="22" customHeight="1">
      <x:c r="A1217" s="2" t="str">
        <x:v>L00335-010</x:v>
      </x:c>
      <x:c r="B1217" s="2" t="str">
        <x:v>L00335</x:v>
      </x:c>
      <x:c r="C1217" s="2" t="str">
        <x:v>SO-26067</x:v>
      </x:c>
      <x:c r="D1217" s="2" t="str">
        <x:v>S-C-AL</x:v>
      </x:c>
      <x:c r="E1217" s="14" t="n">
        <x:v>10</x:v>
      </x:c>
      <x:c r="F1217" s="2" t="str">
        <x:v>CNC machining</x:v>
      </x:c>
      <x:c r="G1217" s="9" t="str">
        <x:v>CNC-01</x:v>
      </x:c>
      <x:c r="H1217" s="15" t="n">
        <x:v>40</x:v>
      </x:c>
      <x:c r="I1217" s="9" t="str">
        <x:v>P14</x:v>
      </x:c>
      <x:c r="J1217" s="11" t="n">
        <x:v>46303.770833333336</x:v>
      </x:c>
      <x:c r="K1217" s="15" t="n">
        <x:v>18</x:v>
      </x:c>
      <x:c r="L1217" s="15" t="n">
        <x:v>19</x:v>
      </x:c>
      <x:c r="M1217" s="13" t="n">
        <x:f>J1217+(K1217+L1217)/1440</x:f>
        <x:v>46303.79652777778</x:v>
      </x:c>
      <x:c r="N1217" s="13" t="n">
        <x:f>VLOOKUP(C1217,'MES orders'!$A$8:$H$127,5,FALSE)</x:f>
        <x:v>46304.666666666664</x:v>
      </x:c>
      <x:c r="O1217" s="16" t="n">
        <x:f>MAX(0,(M1217-N1217)*24)</x:f>
        <x:v>0</x:v>
      </x:c>
      <x:c r="P1217" s="9" t="str">
        <x:v>No</x:v>
      </x:c>
      <x:c r="Q1217" s="15" t="n">
        <x:v>18</x:v>
      </x:c>
      <x:c r="R1217" s="13" t="n">
        <x:f>J1217+Q1217/1440</x:f>
        <x:v>46303.78333333333</x:v>
      </x:c>
      <x:c r="S1217" s="2" t="str">
        <x:f>VLOOKUP(C1217,'MES orders'!$A$8:$H$127,6,FALSE)</x:f>
        <x:v>Normal</x:v>
      </x:c>
      <x:c r="T1217" s="9" t="str"/>
    </x:row>
    <x:row r="1218" ht="22" customHeight="1">
      <x:c r="A1218" s="2" t="str">
        <x:v>L00371-010</x:v>
      </x:c>
      <x:c r="B1218" s="2" t="str">
        <x:v>L00371</x:v>
      </x:c>
      <x:c r="C1218" s="2" t="str">
        <x:v>SO-26075</x:v>
      </x:c>
      <x:c r="D1218" s="2" t="str">
        <x:v>S-S-AL</x:v>
      </x:c>
      <x:c r="E1218" s="14" t="n">
        <x:v>25</x:v>
      </x:c>
      <x:c r="F1218" s="2" t="str">
        <x:v>CNC machining</x:v>
      </x:c>
      <x:c r="G1218" s="9" t="str">
        <x:v>CNC-02</x:v>
      </x:c>
      <x:c r="H1218" s="15" t="n">
        <x:v>27</x:v>
      </x:c>
      <x:c r="I1218" s="9" t="str">
        <x:v>P15</x:v>
      </x:c>
      <x:c r="J1218" s="11" t="n">
        <x:v>46303.770833333336</x:v>
      </x:c>
      <x:c r="K1218" s="15" t="n">
        <x:v>18</x:v>
      </x:c>
      <x:c r="L1218" s="15" t="n">
        <x:v>60</x:v>
      </x:c>
      <x:c r="M1218" s="13" t="n">
        <x:f>J1218+(K1218+L1218)/1440</x:f>
        <x:v>46303.825000000004</x:v>
      </x:c>
      <x:c r="N1218" s="13" t="n">
        <x:f>VLOOKUP(C1218,'MES orders'!$A$8:$H$127,5,FALSE)</x:f>
        <x:v>46304.666666666664</x:v>
      </x:c>
      <x:c r="O1218" s="16" t="n">
        <x:f>MAX(0,(M1218-N1218)*24)</x:f>
        <x:v>0</x:v>
      </x:c>
      <x:c r="P1218" s="9" t="str">
        <x:v>No</x:v>
      </x:c>
      <x:c r="Q1218" s="15" t="n">
        <x:v>18</x:v>
      </x:c>
      <x:c r="R1218" s="13" t="n">
        <x:f>J1218+Q1218/1440</x:f>
        <x:v>46303.78333333333</x:v>
      </x:c>
      <x:c r="S1218" s="2" t="str">
        <x:f>VLOOKUP(C1218,'MES orders'!$A$8:$H$127,6,FALSE)</x:f>
        <x:v>Normal</x:v>
      </x:c>
      <x:c r="T1218" s="9" t="str"/>
    </x:row>
    <x:row r="1219" ht="22" customHeight="1">
      <x:c r="A1219" s="2" t="str">
        <x:v>L00293-020</x:v>
      </x:c>
      <x:c r="B1219" s="2" t="str">
        <x:v>L00293</x:v>
      </x:c>
      <x:c r="C1219" s="2" t="str">
        <x:v>SO-26059</x:v>
      </x:c>
      <x:c r="D1219" s="2" t="str">
        <x:v>R-L-AL</x:v>
      </x:c>
      <x:c r="E1219" s="14" t="n">
        <x:v>15</x:v>
      </x:c>
      <x:c r="F1219" s="2" t="str">
        <x:v>Deburr &amp; inspect</x:v>
      </x:c>
      <x:c r="G1219" s="9" t="str">
        <x:v>DB-01</x:v>
      </x:c>
      <x:c r="H1219" s="15" t="n">
        <x:v>118</x:v>
      </x:c>
      <x:c r="I1219" s="9" t="str">
        <x:v>P18</x:v>
      </x:c>
      <x:c r="J1219" s="11" t="n">
        <x:v>46303.770833333336</x:v>
      </x:c>
      <x:c r="K1219" s="15" t="n">
        <x:v>4</x:v>
      </x:c>
      <x:c r="L1219" s="15" t="n">
        <x:v>14</x:v>
      </x:c>
      <x:c r="M1219" s="13" t="n">
        <x:f>J1219+(K1219+L1219)/1440</x:f>
        <x:v>46303.78333333333</x:v>
      </x:c>
      <x:c r="N1219" s="13" t="n">
        <x:f>VLOOKUP(C1219,'MES orders'!$A$8:$H$127,5,FALSE)</x:f>
        <x:v>46304.666666666664</x:v>
      </x:c>
      <x:c r="O1219" s="16" t="n">
        <x:f>MAX(0,(M1219-N1219)*24)</x:f>
        <x:v>0</x:v>
      </x:c>
      <x:c r="P1219" s="9" t="str">
        <x:v>No</x:v>
      </x:c>
      <x:c r="Q1219" s="15" t="n">
        <x:v>18</x:v>
      </x:c>
      <x:c r="R1219" s="13" t="n">
        <x:f>J1219+Q1219/1440</x:f>
        <x:v>46303.78333333333</x:v>
      </x:c>
      <x:c r="S1219" s="2" t="str">
        <x:f>VLOOKUP(C1219,'MES orders'!$A$8:$H$127,6,FALSE)</x:f>
        <x:v>Normal</x:v>
      </x:c>
      <x:c r="T1219" s="9" t="str"/>
    </x:row>
    <x:row r="1220" ht="22" customHeight="1">
      <x:c r="A1220" s="2" t="str">
        <x:v>L00333-050</x:v>
      </x:c>
      <x:c r="B1220" s="2" t="str">
        <x:v>L00333</x:v>
      </x:c>
      <x:c r="C1220" s="2" t="str">
        <x:v>SO-26067</x:v>
      </x:c>
      <x:c r="D1220" s="2" t="str">
        <x:v>S-C-AL</x:v>
      </x:c>
      <x:c r="E1220" s="14" t="n">
        <x:v>10</x:v>
      </x:c>
      <x:c r="F1220" s="2" t="str">
        <x:v>Sensor installation</x:v>
      </x:c>
      <x:c r="G1220" s="9" t="str">
        <x:v>EL-01</x:v>
      </x:c>
      <x:c r="H1220" s="15" t="n">
        <x:v>36</x:v>
      </x:c>
      <x:c r="I1220" s="9" t="str">
        <x:v>P19</x:v>
      </x:c>
      <x:c r="J1220" s="11" t="n">
        <x:v>46303.770833333336</x:v>
      </x:c>
      <x:c r="K1220" s="15" t="n">
        <x:v>8</x:v>
      </x:c>
      <x:c r="L1220" s="15" t="n">
        <x:v>10</x:v>
      </x:c>
      <x:c r="M1220" s="13" t="n">
        <x:f>J1220+(K1220+L1220)/1440</x:f>
        <x:v>46303.78333333333</x:v>
      </x:c>
      <x:c r="N1220" s="13" t="n">
        <x:f>VLOOKUP(C1220,'MES orders'!$A$8:$H$127,5,FALSE)</x:f>
        <x:v>46304.666666666664</x:v>
      </x:c>
      <x:c r="O1220" s="16" t="n">
        <x:f>MAX(0,(M1220-N1220)*24)</x:f>
        <x:v>0</x:v>
      </x:c>
      <x:c r="P1220" s="9" t="str">
        <x:v>No</x:v>
      </x:c>
      <x:c r="Q1220" s="15" t="n">
        <x:v>18</x:v>
      </x:c>
      <x:c r="R1220" s="13" t="n">
        <x:f>J1220+Q1220/1440</x:f>
        <x:v>46303.78333333333</x:v>
      </x:c>
      <x:c r="S1220" s="2" t="str">
        <x:f>VLOOKUP(C1220,'MES orders'!$A$8:$H$127,6,FALSE)</x:f>
        <x:v>Normal</x:v>
      </x:c>
      <x:c r="T1220" s="9" t="str"/>
    </x:row>
    <x:row r="1221" ht="22" customHeight="1">
      <x:c r="A1221" s="2" t="str">
        <x:v>L00054-080</x:v>
      </x:c>
      <x:c r="B1221" s="2" t="str">
        <x:v>L00054</x:v>
      </x:c>
      <x:c r="C1221" s="2" t="str">
        <x:v>SO-26011</x:v>
      </x:c>
      <x:c r="D1221" s="2" t="str">
        <x:v>S-L-AL</x:v>
      </x:c>
      <x:c r="E1221" s="14" t="n">
        <x:v>20</x:v>
      </x:c>
      <x:c r="F1221" s="2" t="str">
        <x:v>Final leak / function test</x:v>
      </x:c>
      <x:c r="G1221" s="9" t="str">
        <x:v>QA-02</x:v>
      </x:c>
      <x:c r="H1221" s="15" t="n">
        <x:v>85</x:v>
      </x:c>
      <x:c r="I1221" s="9" t="str">
        <x:v>P23</x:v>
      </x:c>
      <x:c r="J1221" s="11" t="n">
        <x:v>46303.770833333336</x:v>
      </x:c>
      <x:c r="K1221" s="15" t="n">
        <x:v>10</x:v>
      </x:c>
      <x:c r="L1221" s="15" t="n">
        <x:v>24</x:v>
      </x:c>
      <x:c r="M1221" s="13" t="n">
        <x:f>J1221+(K1221+L1221)/1440</x:f>
        <x:v>46303.794444444444</x:v>
      </x:c>
      <x:c r="N1221" s="13" t="n">
        <x:f>VLOOKUP(C1221,'MES orders'!$A$8:$H$127,5,FALSE)</x:f>
        <x:v>46304.666666666664</x:v>
      </x:c>
      <x:c r="O1221" s="16" t="n">
        <x:f>MAX(0,(M1221-N1221)*24)</x:f>
        <x:v>0</x:v>
      </x:c>
      <x:c r="P1221" s="9" t="str">
        <x:v>No</x:v>
      </x:c>
      <x:c r="Q1221" s="15" t="n">
        <x:v>34</x:v>
      </x:c>
      <x:c r="R1221" s="13" t="n">
        <x:f>J1221+Q1221/1440</x:f>
        <x:v>46303.794444444444</x:v>
      </x:c>
      <x:c r="S1221" s="2" t="str">
        <x:f>VLOOKUP(C1221,'MES orders'!$A$8:$H$127,6,FALSE)</x:f>
        <x:v>Normal</x:v>
      </x:c>
      <x:c r="T1221" s="9" t="str"/>
    </x:row>
    <x:row r="1222" ht="22" customHeight="1">
      <x:c r="A1222" s="2" t="str">
        <x:v>L00252-060</x:v>
      </x:c>
      <x:c r="B1222" s="2" t="str">
        <x:v>L00252</x:v>
      </x:c>
      <x:c r="C1222" s="2" t="str">
        <x:v>SO-26051</x:v>
      </x:c>
      <x:c r="D1222" s="2" t="str">
        <x:v>R-S-AL</x:v>
      </x:c>
      <x:c r="E1222" s="14" t="n">
        <x:v>15</x:v>
      </x:c>
      <x:c r="F1222" s="2" t="str">
        <x:v>Final leak / function test</x:v>
      </x:c>
      <x:c r="G1222" s="9" t="str">
        <x:v>QA-03</x:v>
      </x:c>
      <x:c r="H1222" s="15" t="n">
        <x:v>52</x:v>
      </x:c>
      <x:c r="I1222" s="9" t="str">
        <x:v>P24</x:v>
      </x:c>
      <x:c r="J1222" s="11" t="n">
        <x:v>46303.770833333336</x:v>
      </x:c>
      <x:c r="K1222" s="15" t="n">
        <x:v>10</x:v>
      </x:c>
      <x:c r="L1222" s="15" t="n">
        <x:v>14</x:v>
      </x:c>
      <x:c r="M1222" s="13" t="n">
        <x:f>J1222+(K1222+L1222)/1440</x:f>
        <x:v>46303.787500000006</x:v>
      </x:c>
      <x:c r="N1222" s="13" t="n">
        <x:f>VLOOKUP(C1222,'MES orders'!$A$8:$H$127,5,FALSE)</x:f>
        <x:v>46304.666666666664</x:v>
      </x:c>
      <x:c r="O1222" s="16" t="n">
        <x:f>MAX(0,(M1222-N1222)*24)</x:f>
        <x:v>0</x:v>
      </x:c>
      <x:c r="P1222" s="9" t="str">
        <x:v>No</x:v>
      </x:c>
      <x:c r="Q1222" s="15" t="n">
        <x:v>24</x:v>
      </x:c>
      <x:c r="R1222" s="13" t="n">
        <x:f>J1222+Q1222/1440</x:f>
        <x:v>46303.787500000006</x:v>
      </x:c>
      <x:c r="S1222" s="2" t="str">
        <x:f>VLOOKUP(C1222,'MES orders'!$A$8:$H$127,6,FALSE)</x:f>
        <x:v>Normal</x:v>
      </x:c>
      <x:c r="T1222" s="9" t="str"/>
    </x:row>
    <x:row r="1223" ht="22" customHeight="1">
      <x:c r="A1223" s="2" t="str">
        <x:v>L00292-030</x:v>
      </x:c>
      <x:c r="B1223" s="2" t="str">
        <x:v>L00292</x:v>
      </x:c>
      <x:c r="C1223" s="2" t="str">
        <x:v>SO-26059</x:v>
      </x:c>
      <x:c r="D1223" s="2" t="str">
        <x:v>R-L-AL</x:v>
      </x:c>
      <x:c r="E1223" s="14" t="n">
        <x:v>15</x:v>
      </x:c>
      <x:c r="F1223" s="2" t="str">
        <x:v>Wash &amp; dry</x:v>
      </x:c>
      <x:c r="G1223" s="9" t="str">
        <x:v>WS-01</x:v>
      </x:c>
      <x:c r="H1223" s="15" t="n">
        <x:v>115</x:v>
      </x:c>
      <x:c r="I1223" s="9" t="str">
        <x:v>P16</x:v>
      </x:c>
      <x:c r="J1223" s="11" t="n">
        <x:v>46303.770833333336</x:v>
      </x:c>
      <x:c r="K1223" s="15" t="n">
        <x:v>12</x:v>
      </x:c>
      <x:c r="L1223" s="15" t="n">
        <x:v>7</x:v>
      </x:c>
      <x:c r="M1223" s="13" t="n">
        <x:f>J1223+(K1223+L1223)/1440</x:f>
        <x:v>46303.78402777778</x:v>
      </x:c>
      <x:c r="N1223" s="13" t="n">
        <x:f>VLOOKUP(C1223,'MES orders'!$A$8:$H$127,5,FALSE)</x:f>
        <x:v>46304.666666666664</x:v>
      </x:c>
      <x:c r="O1223" s="16" t="n">
        <x:f>MAX(0,(M1223-N1223)*24)</x:f>
        <x:v>0</x:v>
      </x:c>
      <x:c r="P1223" s="9" t="str">
        <x:v>No</x:v>
      </x:c>
      <x:c r="Q1223" s="15" t="n">
        <x:v>19</x:v>
      </x:c>
      <x:c r="R1223" s="13" t="n">
        <x:f>J1223+Q1223/1440</x:f>
        <x:v>46303.78402777778</x:v>
      </x:c>
      <x:c r="S1223" s="2" t="str">
        <x:f>VLOOKUP(C1223,'MES orders'!$A$8:$H$127,6,FALSE)</x:f>
        <x:v>Normal</x:v>
      </x:c>
      <x:c r="T1223" s="9" t="str"/>
    </x:row>
    <x:row r="1224" ht="22" customHeight="1">
      <x:c r="A1224" s="2" t="str">
        <x:v>L00372-010</x:v>
      </x:c>
      <x:c r="B1224" s="2" t="str">
        <x:v>L00372</x:v>
      </x:c>
      <x:c r="C1224" s="2" t="str">
        <x:v>SO-26075</x:v>
      </x:c>
      <x:c r="D1224" s="2" t="str">
        <x:v>S-S-AL</x:v>
      </x:c>
      <x:c r="E1224" s="14" t="n">
        <x:v>25</x:v>
      </x:c>
      <x:c r="F1224" s="2" t="str">
        <x:v>CNC machining</x:v>
      </x:c>
      <x:c r="G1224" s="9" t="str">
        <x:v>CNC-03</x:v>
      </x:c>
      <x:c r="H1224" s="15" t="n">
        <x:v>38</x:v>
      </x:c>
      <x:c r="I1224" s="9" t="str">
        <x:v>P13</x:v>
      </x:c>
      <x:c r="J1224" s="11" t="n">
        <x:v>46303.78125</x:v>
      </x:c>
      <x:c r="K1224" s="15" t="n">
        <x:v>18</x:v>
      </x:c>
      <x:c r="L1224" s="15" t="n">
        <x:v>60</x:v>
      </x:c>
      <x:c r="M1224" s="13" t="n">
        <x:f>J1224+(K1224+L1224)/1440</x:f>
        <x:v>46303.83541666667</x:v>
      </x:c>
      <x:c r="N1224" s="13" t="n">
        <x:f>VLOOKUP(C1224,'MES orders'!$A$8:$H$127,5,FALSE)</x:f>
        <x:v>46304.666666666664</x:v>
      </x:c>
      <x:c r="O1224" s="16" t="n">
        <x:f>MAX(0,(M1224-N1224)*24)</x:f>
        <x:v>0</x:v>
      </x:c>
      <x:c r="P1224" s="9" t="str">
        <x:v>No</x:v>
      </x:c>
      <x:c r="Q1224" s="15" t="n">
        <x:v>18</x:v>
      </x:c>
      <x:c r="R1224" s="13" t="n">
        <x:f>J1224+Q1224/1440</x:f>
        <x:v>46303.79375</x:v>
      </x:c>
      <x:c r="S1224" s="2" t="str">
        <x:f>VLOOKUP(C1224,'MES orders'!$A$8:$H$127,6,FALSE)</x:f>
        <x:v>Normal</x:v>
      </x:c>
      <x:c r="T1224" s="9" t="str"/>
    </x:row>
    <x:row r="1225" ht="22" customHeight="1">
      <x:c r="A1225" s="2" t="str">
        <x:v>L00334-050</x:v>
      </x:c>
      <x:c r="B1225" s="2" t="str">
        <x:v>L00334</x:v>
      </x:c>
      <x:c r="C1225" s="2" t="str">
        <x:v>SO-26067</x:v>
      </x:c>
      <x:c r="D1225" s="2" t="str">
        <x:v>S-C-AL</x:v>
      </x:c>
      <x:c r="E1225" s="14" t="n">
        <x:v>10</x:v>
      </x:c>
      <x:c r="F1225" s="2" t="str">
        <x:v>Sensor installation</x:v>
      </x:c>
      <x:c r="G1225" s="9" t="str">
        <x:v>EL-02</x:v>
      </x:c>
      <x:c r="H1225" s="15" t="n">
        <x:v>22</x:v>
      </x:c>
      <x:c r="I1225" s="9" t="str">
        <x:v>P20</x:v>
      </x:c>
      <x:c r="J1225" s="11" t="n">
        <x:v>46303.78125</x:v>
      </x:c>
      <x:c r="K1225" s="15" t="n">
        <x:v>8</x:v>
      </x:c>
      <x:c r="L1225" s="15" t="n">
        <x:v>10</x:v>
      </x:c>
      <x:c r="M1225" s="13" t="n">
        <x:f>J1225+(K1225+L1225)/1440</x:f>
        <x:v>46303.79375</x:v>
      </x:c>
      <x:c r="N1225" s="13" t="n">
        <x:f>VLOOKUP(C1225,'MES orders'!$A$8:$H$127,5,FALSE)</x:f>
        <x:v>46304.666666666664</x:v>
      </x:c>
      <x:c r="O1225" s="16" t="n">
        <x:f>MAX(0,(M1225-N1225)*24)</x:f>
        <x:v>0</x:v>
      </x:c>
      <x:c r="P1225" s="9" t="str">
        <x:v>No</x:v>
      </x:c>
      <x:c r="Q1225" s="15" t="n">
        <x:v>18</x:v>
      </x:c>
      <x:c r="R1225" s="13" t="n">
        <x:f>J1225+Q1225/1440</x:f>
        <x:v>46303.79375</x:v>
      </x:c>
      <x:c r="S1225" s="2" t="str">
        <x:f>VLOOKUP(C1225,'MES orders'!$A$8:$H$127,6,FALSE)</x:f>
        <x:v>Normal</x:v>
      </x:c>
      <x:c r="T1225" s="9" t="str"/>
    </x:row>
    <x:row r="1226" ht="22" customHeight="1">
      <x:c r="A1226" s="2" t="str">
        <x:v>L00373-010</x:v>
      </x:c>
      <x:c r="B1226" s="2" t="str">
        <x:v>L00373</x:v>
      </x:c>
      <x:c r="C1226" s="2" t="str">
        <x:v>SO-26075</x:v>
      </x:c>
      <x:c r="D1226" s="2" t="str">
        <x:v>S-S-AL</x:v>
      </x:c>
      <x:c r="E1226" s="14" t="n">
        <x:v>25</x:v>
      </x:c>
      <x:c r="F1226" s="2" t="str">
        <x:v>CNC machining</x:v>
      </x:c>
      <x:c r="G1226" s="9" t="str">
        <x:v>CNC-04</x:v>
      </x:c>
      <x:c r="H1226" s="15" t="n">
        <x:v>37</x:v>
      </x:c>
      <x:c r="I1226" s="9" t="str">
        <x:v>P14</x:v>
      </x:c>
      <x:c r="J1226" s="11" t="n">
        <x:v>46303.78333333333</x:v>
      </x:c>
      <x:c r="K1226" s="15" t="n">
        <x:v>18</x:v>
      </x:c>
      <x:c r="L1226" s="15" t="n">
        <x:v>60</x:v>
      </x:c>
      <x:c r="M1226" s="13" t="n">
        <x:f>J1226+(K1226+L1226)/1440</x:f>
        <x:v>46303.8375</x:v>
      </x:c>
      <x:c r="N1226" s="13" t="n">
        <x:f>VLOOKUP(C1226,'MES orders'!$A$8:$H$127,5,FALSE)</x:f>
        <x:v>46304.666666666664</x:v>
      </x:c>
      <x:c r="O1226" s="16" t="n">
        <x:f>MAX(0,(M1226-N1226)*24)</x:f>
        <x:v>0</x:v>
      </x:c>
      <x:c r="P1226" s="9" t="str">
        <x:v>No</x:v>
      </x:c>
      <x:c r="Q1226" s="15" t="n">
        <x:v>18</x:v>
      </x:c>
      <x:c r="R1226" s="13" t="n">
        <x:f>J1226+Q1226/1440</x:f>
        <x:v>46303.79583333333</x:v>
      </x:c>
      <x:c r="S1226" s="2" t="str">
        <x:f>VLOOKUP(C1226,'MES orders'!$A$8:$H$127,6,FALSE)</x:f>
        <x:v>Normal</x:v>
      </x:c>
      <x:c r="T1226" s="9" t="str"/>
    </x:row>
    <x:row r="1227" ht="22" customHeight="1">
      <x:c r="A1227" s="2" t="str">
        <x:v>L00374-010</x:v>
      </x:c>
      <x:c r="B1227" s="2" t="str">
        <x:v>L00374</x:v>
      </x:c>
      <x:c r="C1227" s="2" t="str">
        <x:v>SO-26075</x:v>
      </x:c>
      <x:c r="D1227" s="2" t="str">
        <x:v>S-S-AL</x:v>
      </x:c>
      <x:c r="E1227" s="14" t="n">
        <x:v>25</x:v>
      </x:c>
      <x:c r="F1227" s="2" t="str">
        <x:v>CNC machining</x:v>
      </x:c>
      <x:c r="G1227" s="9" t="str">
        <x:v>CNC-05</x:v>
      </x:c>
      <x:c r="H1227" s="15" t="n">
        <x:v>33</x:v>
      </x:c>
      <x:c r="I1227" s="9" t="str">
        <x:v>P15</x:v>
      </x:c>
      <x:c r="J1227" s="11" t="n">
        <x:v>46303.78333333333</x:v>
      </x:c>
      <x:c r="K1227" s="15" t="n">
        <x:v>18</x:v>
      </x:c>
      <x:c r="L1227" s="15" t="n">
        <x:v>60</x:v>
      </x:c>
      <x:c r="M1227" s="13" t="n">
        <x:f>J1227+(K1227+L1227)/1440</x:f>
        <x:v>46303.8375</x:v>
      </x:c>
      <x:c r="N1227" s="13" t="n">
        <x:f>VLOOKUP(C1227,'MES orders'!$A$8:$H$127,5,FALSE)</x:f>
        <x:v>46304.666666666664</x:v>
      </x:c>
      <x:c r="O1227" s="16" t="n">
        <x:f>MAX(0,(M1227-N1227)*24)</x:f>
        <x:v>0</x:v>
      </x:c>
      <x:c r="P1227" s="9" t="str">
        <x:v>No</x:v>
      </x:c>
      <x:c r="Q1227" s="15" t="n">
        <x:v>18</x:v>
      </x:c>
      <x:c r="R1227" s="13" t="n">
        <x:f>J1227+Q1227/1440</x:f>
        <x:v>46303.79583333333</x:v>
      </x:c>
      <x:c r="S1227" s="2" t="str">
        <x:f>VLOOKUP(C1227,'MES orders'!$A$8:$H$127,6,FALSE)</x:f>
        <x:v>Normal</x:v>
      </x:c>
      <x:c r="T1227" s="9" t="str"/>
    </x:row>
    <x:row r="1228" ht="22" customHeight="1">
      <x:c r="A1228" s="2" t="str">
        <x:v>L00293-030</x:v>
      </x:c>
      <x:c r="B1228" s="2" t="str">
        <x:v>L00293</x:v>
      </x:c>
      <x:c r="C1228" s="2" t="str">
        <x:v>SO-26059</x:v>
      </x:c>
      <x:c r="D1228" s="2" t="str">
        <x:v>R-L-AL</x:v>
      </x:c>
      <x:c r="E1228" s="14" t="n">
        <x:v>15</x:v>
      </x:c>
      <x:c r="F1228" s="2" t="str">
        <x:v>Wash &amp; dry</x:v>
      </x:c>
      <x:c r="G1228" s="9" t="str">
        <x:v>WS-02</x:v>
      </x:c>
      <x:c r="H1228" s="15" t="n">
        <x:v>82</x:v>
      </x:c>
      <x:c r="I1228" s="9" t="str">
        <x:v>P18</x:v>
      </x:c>
      <x:c r="J1228" s="11" t="n">
        <x:v>46303.78333333333</x:v>
      </x:c>
      <x:c r="K1228" s="15" t="n">
        <x:v>12</x:v>
      </x:c>
      <x:c r="L1228" s="15" t="n">
        <x:v>7</x:v>
      </x:c>
      <x:c r="M1228" s="13" t="n">
        <x:f>J1228+(K1228+L1228)/1440</x:f>
        <x:v>46303.79652777778</x:v>
      </x:c>
      <x:c r="N1228" s="13" t="n">
        <x:f>VLOOKUP(C1228,'MES orders'!$A$8:$H$127,5,FALSE)</x:f>
        <x:v>46304.666666666664</x:v>
      </x:c>
      <x:c r="O1228" s="16" t="n">
        <x:f>MAX(0,(M1228-N1228)*24)</x:f>
        <x:v>0</x:v>
      </x:c>
      <x:c r="P1228" s="9" t="str">
        <x:v>No</x:v>
      </x:c>
      <x:c r="Q1228" s="15" t="n">
        <x:v>19</x:v>
      </x:c>
      <x:c r="R1228" s="13" t="n">
        <x:f>J1228+Q1228/1440</x:f>
        <x:v>46303.79652777778</x:v>
      </x:c>
      <x:c r="S1228" s="2" t="str">
        <x:f>VLOOKUP(C1228,'MES orders'!$A$8:$H$127,6,FALSE)</x:f>
        <x:v>Normal</x:v>
      </x:c>
      <x:c r="T1228" s="9" t="str"/>
    </x:row>
    <x:row r="1229" ht="22" customHeight="1">
      <x:c r="A1229" s="2" t="str">
        <x:v>L00292-040</x:v>
      </x:c>
      <x:c r="B1229" s="2" t="str">
        <x:v>L00292</x:v>
      </x:c>
      <x:c r="C1229" s="2" t="str">
        <x:v>SO-26059</x:v>
      </x:c>
      <x:c r="D1229" s="2" t="str">
        <x:v>R-L-AL</x:v>
      </x:c>
      <x:c r="E1229" s="14" t="n">
        <x:v>15</x:v>
      </x:c>
      <x:c r="F1229" s="2" t="str">
        <x:v>Mechanical assembly</x:v>
      </x:c>
      <x:c r="G1229" s="9" t="str">
        <x:v>AS-02</x:v>
      </x:c>
      <x:c r="H1229" s="15" t="n">
        <x:v>80</x:v>
      </x:c>
      <x:c r="I1229" s="9" t="str">
        <x:v>P16</x:v>
      </x:c>
      <x:c r="J1229" s="11" t="n">
        <x:v>46303.78402777778</x:v>
      </x:c>
      <x:c r="K1229" s="15" t="n">
        <x:v>8</x:v>
      </x:c>
      <x:c r="L1229" s="15" t="n">
        <x:v>36</x:v>
      </x:c>
      <x:c r="M1229" s="13" t="n">
        <x:f>J1229+(K1229+L1229)/1440</x:f>
        <x:v>46303.81458333333</x:v>
      </x:c>
      <x:c r="N1229" s="13" t="n">
        <x:f>VLOOKUP(C1229,'MES orders'!$A$8:$H$127,5,FALSE)</x:f>
        <x:v>46304.666666666664</x:v>
      </x:c>
      <x:c r="O1229" s="16" t="n">
        <x:f>MAX(0,(M1229-N1229)*24)</x:f>
        <x:v>0</x:v>
      </x:c>
      <x:c r="P1229" s="9" t="str">
        <x:v>No</x:v>
      </x:c>
      <x:c r="Q1229" s="15" t="n">
        <x:v>44</x:v>
      </x:c>
      <x:c r="R1229" s="13" t="n">
        <x:f>J1229+Q1229/1440</x:f>
        <x:v>46303.81458333333</x:v>
      </x:c>
      <x:c r="S1229" s="2" t="str">
        <x:f>VLOOKUP(C1229,'MES orders'!$A$8:$H$127,6,FALSE)</x:f>
        <x:v>Normal</x:v>
      </x:c>
      <x:c r="T1229" s="9" t="str"/>
    </x:row>
    <x:row r="1230" ht="22" customHeight="1">
      <x:c r="A1230" s="2" t="str">
        <x:v>L00333-060</x:v>
      </x:c>
      <x:c r="B1230" s="2" t="str">
        <x:v>L00333</x:v>
      </x:c>
      <x:c r="C1230" s="2" t="str">
        <x:v>SO-26067</x:v>
      </x:c>
      <x:c r="D1230" s="2" t="str">
        <x:v>S-C-AL</x:v>
      </x:c>
      <x:c r="E1230" s="14" t="n">
        <x:v>10</x:v>
      </x:c>
      <x:c r="F1230" s="2" t="str">
        <x:v>Sensor calibration</x:v>
      </x:c>
      <x:c r="G1230" s="9" t="str">
        <x:v>CAL-01</x:v>
      </x:c>
      <x:c r="H1230" s="15" t="n">
        <x:v>57</x:v>
      </x:c>
      <x:c r="I1230" s="9" t="str">
        <x:v>P21</x:v>
      </x:c>
      <x:c r="J1230" s="11" t="n">
        <x:v>46303.78472222222</x:v>
      </x:c>
      <x:c r="K1230" s="15" t="n">
        <x:v>10</x:v>
      </x:c>
      <x:c r="L1230" s="15" t="n">
        <x:v>10</x:v>
      </x:c>
      <x:c r="M1230" s="13" t="n">
        <x:f>J1230+(K1230+L1230)/1440</x:f>
        <x:v>46303.79861111111</x:v>
      </x:c>
      <x:c r="N1230" s="13" t="n">
        <x:f>VLOOKUP(C1230,'MES orders'!$A$8:$H$127,5,FALSE)</x:f>
        <x:v>46304.666666666664</x:v>
      </x:c>
      <x:c r="O1230" s="16" t="n">
        <x:f>MAX(0,(M1230-N1230)*24)</x:f>
        <x:v>0</x:v>
      </x:c>
      <x:c r="P1230" s="9" t="str">
        <x:v>No</x:v>
      </x:c>
      <x:c r="Q1230" s="15" t="n">
        <x:v>20</x:v>
      </x:c>
      <x:c r="R1230" s="13" t="n">
        <x:f>J1230+Q1230/1440</x:f>
        <x:v>46303.79861111111</x:v>
      </x:c>
      <x:c r="S1230" s="2" t="str">
        <x:f>VLOOKUP(C1230,'MES orders'!$A$8:$H$127,6,FALSE)</x:f>
        <x:v>Normal</x:v>
      </x:c>
      <x:c r="T1230" s="9" t="str"/>
    </x:row>
    <x:row r="1231" ht="22" customHeight="1">
      <x:c r="A1231" s="2" t="str">
        <x:v>L00055-080</x:v>
      </x:c>
      <x:c r="B1231" s="2" t="str">
        <x:v>L00055</x:v>
      </x:c>
      <x:c r="C1231" s="2" t="str">
        <x:v>SO-26011</x:v>
      </x:c>
      <x:c r="D1231" s="2" t="str">
        <x:v>S-L-AL</x:v>
      </x:c>
      <x:c r="E1231" s="14" t="n">
        <x:v>20</x:v>
      </x:c>
      <x:c r="F1231" s="2" t="str">
        <x:v>Final leak / function test</x:v>
      </x:c>
      <x:c r="G1231" s="9" t="str">
        <x:v>QA-03</x:v>
      </x:c>
      <x:c r="H1231" s="15" t="n">
        <x:v>53</x:v>
      </x:c>
      <x:c r="I1231" s="9" t="str">
        <x:v>P24</x:v>
      </x:c>
      <x:c r="J1231" s="11" t="n">
        <x:v>46303.78958333333</x:v>
      </x:c>
      <x:c r="K1231" s="15" t="n">
        <x:v>10</x:v>
      </x:c>
      <x:c r="L1231" s="15" t="n">
        <x:v>24</x:v>
      </x:c>
      <x:c r="M1231" s="13" t="n">
        <x:f>J1231+(K1231+L1231)/1440</x:f>
        <x:v>46303.81319444444</x:v>
      </x:c>
      <x:c r="N1231" s="13" t="n">
        <x:f>VLOOKUP(C1231,'MES orders'!$A$8:$H$127,5,FALSE)</x:f>
        <x:v>46304.666666666664</x:v>
      </x:c>
      <x:c r="O1231" s="16" t="n">
        <x:f>MAX(0,(M1231-N1231)*24)</x:f>
        <x:v>0</x:v>
      </x:c>
      <x:c r="P1231" s="9" t="str">
        <x:v>No</x:v>
      </x:c>
      <x:c r="Q1231" s="15" t="n">
        <x:v>34</x:v>
      </x:c>
      <x:c r="R1231" s="13" t="n">
        <x:f>J1231+Q1231/1440</x:f>
        <x:v>46303.81319444444</x:v>
      </x:c>
      <x:c r="S1231" s="2" t="str">
        <x:f>VLOOKUP(C1231,'MES orders'!$A$8:$H$127,6,FALSE)</x:f>
        <x:v>Normal</x:v>
      </x:c>
      <x:c r="T1231" s="9" t="str"/>
    </x:row>
    <x:row r="1232" ht="22" customHeight="1">
      <x:c r="A1232" s="2" t="str">
        <x:v>L00294-030</x:v>
      </x:c>
      <x:c r="B1232" s="2" t="str">
        <x:v>L00294</x:v>
      </x:c>
      <x:c r="C1232" s="2" t="str">
        <x:v>SO-26059</x:v>
      </x:c>
      <x:c r="D1232" s="2" t="str">
        <x:v>R-L-AL</x:v>
      </x:c>
      <x:c r="E1232" s="14" t="n">
        <x:v>15</x:v>
      </x:c>
      <x:c r="F1232" s="2" t="str">
        <x:v>Wash &amp; dry</x:v>
      </x:c>
      <x:c r="G1232" s="9" t="str">
        <x:v>WS-01</x:v>
      </x:c>
      <x:c r="H1232" s="15" t="n">
        <x:v>116</x:v>
      </x:c>
      <x:c r="I1232" s="9" t="str">
        <x:v>P17</x:v>
      </x:c>
      <x:c r="J1232" s="11" t="n">
        <x:v>46303.78958333333</x:v>
      </x:c>
      <x:c r="K1232" s="15" t="n">
        <x:v>12</x:v>
      </x:c>
      <x:c r="L1232" s="15" t="n">
        <x:v>7</x:v>
      </x:c>
      <x:c r="M1232" s="13" t="n">
        <x:f>J1232+(K1232+L1232)/1440</x:f>
        <x:v>46303.802777777775</x:v>
      </x:c>
      <x:c r="N1232" s="13" t="n">
        <x:f>VLOOKUP(C1232,'MES orders'!$A$8:$H$127,5,FALSE)</x:f>
        <x:v>46304.666666666664</x:v>
      </x:c>
      <x:c r="O1232" s="16" t="n">
        <x:f>MAX(0,(M1232-N1232)*24)</x:f>
        <x:v>0</x:v>
      </x:c>
      <x:c r="P1232" s="9" t="str">
        <x:v>No</x:v>
      </x:c>
      <x:c r="Q1232" s="15" t="n">
        <x:v>19</x:v>
      </x:c>
      <x:c r="R1232" s="13" t="n">
        <x:f>J1232+Q1232/1440</x:f>
        <x:v>46303.802777777775</x:v>
      </x:c>
      <x:c r="S1232" s="2" t="str">
        <x:f>VLOOKUP(C1232,'MES orders'!$A$8:$H$127,6,FALSE)</x:f>
        <x:v>Normal</x:v>
      </x:c>
      <x:c r="T1232" s="9" t="str"/>
    </x:row>
    <x:row r="1233" ht="22" customHeight="1">
      <x:c r="A1233" s="2" t="str">
        <x:v>L00375-010</x:v>
      </x:c>
      <x:c r="B1233" s="2" t="str">
        <x:v>L00375</x:v>
      </x:c>
      <x:c r="C1233" s="2" t="str">
        <x:v>SO-26075</x:v>
      </x:c>
      <x:c r="D1233" s="2" t="str">
        <x:v>S-S-AL</x:v>
      </x:c>
      <x:c r="E1233" s="14" t="n">
        <x:v>25</x:v>
      </x:c>
      <x:c r="F1233" s="2" t="str">
        <x:v>CNC machining</x:v>
      </x:c>
      <x:c r="G1233" s="9" t="str">
        <x:v>CNC-06</x:v>
      </x:c>
      <x:c r="H1233" s="15" t="n">
        <x:v>30</x:v>
      </x:c>
      <x:c r="I1233" s="9" t="str">
        <x:v>P13</x:v>
      </x:c>
      <x:c r="J1233" s="11" t="n">
        <x:v>46303.79375</x:v>
      </x:c>
      <x:c r="K1233" s="15" t="n">
        <x:v>18</x:v>
      </x:c>
      <x:c r="L1233" s="15" t="n">
        <x:v>60</x:v>
      </x:c>
      <x:c r="M1233" s="13" t="n">
        <x:f>J1233+(K1233+L1233)/1440</x:f>
        <x:v>46303.847916666666</x:v>
      </x:c>
      <x:c r="N1233" s="13" t="n">
        <x:f>VLOOKUP(C1233,'MES orders'!$A$8:$H$127,5,FALSE)</x:f>
        <x:v>46304.666666666664</x:v>
      </x:c>
      <x:c r="O1233" s="16" t="n">
        <x:f>MAX(0,(M1233-N1233)*24)</x:f>
        <x:v>0</x:v>
      </x:c>
      <x:c r="P1233" s="9" t="str">
        <x:v>No</x:v>
      </x:c>
      <x:c r="Q1233" s="15" t="n">
        <x:v>18</x:v>
      </x:c>
      <x:c r="R1233" s="13" t="n">
        <x:f>J1233+Q1233/1440</x:f>
        <x:v>46303.806249999994</x:v>
      </x:c>
      <x:c r="S1233" s="2" t="str">
        <x:f>VLOOKUP(C1233,'MES orders'!$A$8:$H$127,6,FALSE)</x:f>
        <x:v>Normal</x:v>
      </x:c>
      <x:c r="T1233" s="9" t="str"/>
    </x:row>
    <x:row r="1234" ht="22" customHeight="1">
      <x:c r="A1234" s="2" t="str">
        <x:v>L00253-060</x:v>
      </x:c>
      <x:c r="B1234" s="2" t="str">
        <x:v>L00253</x:v>
      </x:c>
      <x:c r="C1234" s="2" t="str">
        <x:v>SO-26051</x:v>
      </x:c>
      <x:c r="D1234" s="2" t="str">
        <x:v>R-S-AL</x:v>
      </x:c>
      <x:c r="E1234" s="14" t="n">
        <x:v>15</x:v>
      </x:c>
      <x:c r="F1234" s="2" t="str">
        <x:v>Final leak / function test</x:v>
      </x:c>
      <x:c r="G1234" s="9" t="str">
        <x:v>QA-02</x:v>
      </x:c>
      <x:c r="H1234" s="15" t="n">
        <x:v>86</x:v>
      </x:c>
      <x:c r="I1234" s="9" t="str">
        <x:v>P23</x:v>
      </x:c>
      <x:c r="J1234" s="11" t="n">
        <x:v>46303.794444444444</x:v>
      </x:c>
      <x:c r="K1234" s="15" t="n">
        <x:v>10</x:v>
      </x:c>
      <x:c r="L1234" s="15" t="n">
        <x:v>14</x:v>
      </x:c>
      <x:c r="M1234" s="13" t="n">
        <x:f>J1234+(K1234+L1234)/1440</x:f>
        <x:v>46303.811111111114</x:v>
      </x:c>
      <x:c r="N1234" s="13" t="n">
        <x:f>VLOOKUP(C1234,'MES orders'!$A$8:$H$127,5,FALSE)</x:f>
        <x:v>46304.666666666664</x:v>
      </x:c>
      <x:c r="O1234" s="16" t="n">
        <x:f>MAX(0,(M1234-N1234)*24)</x:f>
        <x:v>0</x:v>
      </x:c>
      <x:c r="P1234" s="9" t="str">
        <x:v>No</x:v>
      </x:c>
      <x:c r="Q1234" s="15" t="n">
        <x:v>24</x:v>
      </x:c>
      <x:c r="R1234" s="13" t="n">
        <x:f>J1234+Q1234/1440</x:f>
        <x:v>46303.811111111114</x:v>
      </x:c>
      <x:c r="S1234" s="2" t="str">
        <x:f>VLOOKUP(C1234,'MES orders'!$A$8:$H$127,6,FALSE)</x:f>
        <x:v>Normal</x:v>
      </x:c>
      <x:c r="T1234" s="9" t="str"/>
    </x:row>
    <x:row r="1235" ht="22" customHeight="1">
      <x:c r="A1235" s="2" t="str">
        <x:v>L00293-040</x:v>
      </x:c>
      <x:c r="B1235" s="2" t="str">
        <x:v>L00293</x:v>
      </x:c>
      <x:c r="C1235" s="2" t="str">
        <x:v>SO-26059</x:v>
      </x:c>
      <x:c r="D1235" s="2" t="str">
        <x:v>R-L-AL</x:v>
      </x:c>
      <x:c r="E1235" s="14" t="n">
        <x:v>15</x:v>
      </x:c>
      <x:c r="F1235" s="2" t="str">
        <x:v>Mechanical assembly</x:v>
      </x:c>
      <x:c r="G1235" s="9" t="str">
        <x:v>AS-03</x:v>
      </x:c>
      <x:c r="H1235" s="15" t="n">
        <x:v>64</x:v>
      </x:c>
      <x:c r="I1235" s="9" t="str">
        <x:v>P18</x:v>
      </x:c>
      <x:c r="J1235" s="11" t="n">
        <x:v>46303.79652777778</x:v>
      </x:c>
      <x:c r="K1235" s="15" t="n">
        <x:v>8</x:v>
      </x:c>
      <x:c r="L1235" s="15" t="n">
        <x:v>36</x:v>
      </x:c>
      <x:c r="M1235" s="13" t="n">
        <x:f>J1235+(K1235+L1235)/1440</x:f>
        <x:v>46303.82708333333</x:v>
      </x:c>
      <x:c r="N1235" s="13" t="n">
        <x:f>VLOOKUP(C1235,'MES orders'!$A$8:$H$127,5,FALSE)</x:f>
        <x:v>46304.666666666664</x:v>
      </x:c>
      <x:c r="O1235" s="16" t="n">
        <x:f>MAX(0,(M1235-N1235)*24)</x:f>
        <x:v>0</x:v>
      </x:c>
      <x:c r="P1235" s="9" t="str">
        <x:v>No</x:v>
      </x:c>
      <x:c r="Q1235" s="15" t="n">
        <x:v>44</x:v>
      </x:c>
      <x:c r="R1235" s="13" t="n">
        <x:f>J1235+Q1235/1440</x:f>
        <x:v>46303.82708333333</x:v>
      </x:c>
      <x:c r="S1235" s="2" t="str">
        <x:f>VLOOKUP(C1235,'MES orders'!$A$8:$H$127,6,FALSE)</x:f>
        <x:v>Normal</x:v>
      </x:c>
      <x:c r="T1235" s="9" t="str"/>
    </x:row>
    <x:row r="1236" ht="22" customHeight="1">
      <x:c r="A1236" s="2" t="str">
        <x:v>L00451-010</x:v>
      </x:c>
      <x:c r="B1236" s="2" t="str">
        <x:v>L00451</x:v>
      </x:c>
      <x:c r="C1236" s="2" t="str">
        <x:v>SO-26091</x:v>
      </x:c>
      <x:c r="D1236" s="2" t="str">
        <x:v>D-C-AL</x:v>
      </x:c>
      <x:c r="E1236" s="14" t="n">
        <x:v>10</x:v>
      </x:c>
      <x:c r="F1236" s="2" t="str">
        <x:v>CNC machining</x:v>
      </x:c>
      <x:c r="G1236" s="9" t="str">
        <x:v>CNC-01</x:v>
      </x:c>
      <x:c r="H1236" s="15" t="n">
        <x:v>41</x:v>
      </x:c>
      <x:c r="I1236" s="9" t="str">
        <x:v>P14</x:v>
      </x:c>
      <x:c r="J1236" s="11" t="n">
        <x:v>46303.79652777778</x:v>
      </x:c>
      <x:c r="K1236" s="15" t="n">
        <x:v>18</x:v>
      </x:c>
      <x:c r="L1236" s="15" t="n">
        <x:v>19</x:v>
      </x:c>
      <x:c r="M1236" s="13" t="n">
        <x:f>J1236+(K1236+L1236)/1440</x:f>
        <x:v>46303.82222222222</x:v>
      </x:c>
      <x:c r="N1236" s="13" t="n">
        <x:f>VLOOKUP(C1236,'MES orders'!$A$8:$H$127,5,FALSE)</x:f>
        <x:v>46304.666666666664</x:v>
      </x:c>
      <x:c r="O1236" s="16" t="n">
        <x:f>MAX(0,(M1236-N1236)*24)</x:f>
        <x:v>0</x:v>
      </x:c>
      <x:c r="P1236" s="9" t="str">
        <x:v>No</x:v>
      </x:c>
      <x:c r="Q1236" s="15" t="n">
        <x:v>18</x:v>
      </x:c>
      <x:c r="R1236" s="13" t="n">
        <x:f>J1236+Q1236/1440</x:f>
        <x:v>46303.809027777774</x:v>
      </x:c>
      <x:c r="S1236" s="2" t="str">
        <x:f>VLOOKUP(C1236,'MES orders'!$A$8:$H$127,6,FALSE)</x:f>
        <x:v>Normal</x:v>
      </x:c>
      <x:c r="T1236" s="9" t="str"/>
    </x:row>
    <x:row r="1237" ht="22" customHeight="1">
      <x:c r="A1237" s="2" t="str">
        <x:v>L00334-060</x:v>
      </x:c>
      <x:c r="B1237" s="2" t="str">
        <x:v>L00334</x:v>
      </x:c>
      <x:c r="C1237" s="2" t="str">
        <x:v>SO-26067</x:v>
      </x:c>
      <x:c r="D1237" s="2" t="str">
        <x:v>S-C-AL</x:v>
      </x:c>
      <x:c r="E1237" s="14" t="n">
        <x:v>10</x:v>
      </x:c>
      <x:c r="F1237" s="2" t="str">
        <x:v>Sensor calibration</x:v>
      </x:c>
      <x:c r="G1237" s="9" t="str">
        <x:v>CAL-01</x:v>
      </x:c>
      <x:c r="H1237" s="15" t="n">
        <x:v>58</x:v>
      </x:c>
      <x:c r="I1237" s="9" t="str">
        <x:v>P21</x:v>
      </x:c>
      <x:c r="J1237" s="11" t="n">
        <x:v>46303.79861111111</x:v>
      </x:c>
      <x:c r="K1237" s="15" t="n">
        <x:v>10</x:v>
      </x:c>
      <x:c r="L1237" s="15" t="n">
        <x:v>10</x:v>
      </x:c>
      <x:c r="M1237" s="13" t="n">
        <x:f>J1237+(K1237+L1237)/1440</x:f>
        <x:v>46303.8125</x:v>
      </x:c>
      <x:c r="N1237" s="13" t="n">
        <x:f>VLOOKUP(C1237,'MES orders'!$A$8:$H$127,5,FALSE)</x:f>
        <x:v>46304.666666666664</x:v>
      </x:c>
      <x:c r="O1237" s="16" t="n">
        <x:f>MAX(0,(M1237-N1237)*24)</x:f>
        <x:v>0</x:v>
      </x:c>
      <x:c r="P1237" s="9" t="str">
        <x:v>No</x:v>
      </x:c>
      <x:c r="Q1237" s="15" t="n">
        <x:v>20</x:v>
      </x:c>
      <x:c r="R1237" s="13" t="n">
        <x:f>J1237+Q1237/1440</x:f>
        <x:v>46303.8125</x:v>
      </x:c>
      <x:c r="S1237" s="2" t="str">
        <x:f>VLOOKUP(C1237,'MES orders'!$A$8:$H$127,6,FALSE)</x:f>
        <x:v>Normal</x:v>
      </x:c>
      <x:c r="T1237" s="9" t="str"/>
    </x:row>
    <x:row r="1238" ht="22" customHeight="1">
      <x:c r="A1238" s="2" t="str">
        <x:v>L00331-030</x:v>
      </x:c>
      <x:c r="B1238" s="2" t="str">
        <x:v>L00331</x:v>
      </x:c>
      <x:c r="C1238" s="2" t="str">
        <x:v>SO-26067</x:v>
      </x:c>
      <x:c r="D1238" s="2" t="str">
        <x:v>S-C-AL</x:v>
      </x:c>
      <x:c r="E1238" s="14" t="n">
        <x:v>10</x:v>
      </x:c>
      <x:c r="F1238" s="2" t="str">
        <x:v>Wash &amp; dry</x:v>
      </x:c>
      <x:c r="G1238" s="9" t="str">
        <x:v>WS-01</x:v>
      </x:c>
      <x:c r="H1238" s="15" t="n">
        <x:v>117</x:v>
      </x:c>
      <x:c r="I1238" s="9" t="str">
        <x:v>P17</x:v>
      </x:c>
      <x:c r="J1238" s="11" t="n">
        <x:v>46303.802777777775</x:v>
      </x:c>
      <x:c r="K1238" s="15" t="n">
        <x:v>12</x:v>
      </x:c>
      <x:c r="L1238" s="15" t="n">
        <x:v>3</x:v>
      </x:c>
      <x:c r="M1238" s="13" t="n">
        <x:f>J1238+(K1238+L1238)/1440</x:f>
        <x:v>46303.81319444444</x:v>
      </x:c>
      <x:c r="N1238" s="13" t="n">
        <x:f>VLOOKUP(C1238,'MES orders'!$A$8:$H$127,5,FALSE)</x:f>
        <x:v>46304.666666666664</x:v>
      </x:c>
      <x:c r="O1238" s="16" t="n">
        <x:f>MAX(0,(M1238-N1238)*24)</x:f>
        <x:v>0</x:v>
      </x:c>
      <x:c r="P1238" s="9" t="str">
        <x:v>No</x:v>
      </x:c>
      <x:c r="Q1238" s="15" t="n">
        <x:v>15</x:v>
      </x:c>
      <x:c r="R1238" s="13" t="n">
        <x:f>J1238+Q1238/1440</x:f>
        <x:v>46303.81319444444</x:v>
      </x:c>
      <x:c r="S1238" s="2" t="str">
        <x:f>VLOOKUP(C1238,'MES orders'!$A$8:$H$127,6,FALSE)</x:f>
        <x:v>Normal</x:v>
      </x:c>
      <x:c r="T1238" s="9" t="str"/>
    </x:row>
    <x:row r="1239" ht="22" customHeight="1">
      <x:c r="A1239" s="2" t="str">
        <x:v>L00255-060</x:v>
      </x:c>
      <x:c r="B1239" s="2" t="str">
        <x:v>L00255</x:v>
      </x:c>
      <x:c r="C1239" s="2" t="str">
        <x:v>SO-26051</x:v>
      </x:c>
      <x:c r="D1239" s="2" t="str">
        <x:v>R-S-AL</x:v>
      </x:c>
      <x:c r="E1239" s="14" t="n">
        <x:v>15</x:v>
      </x:c>
      <x:c r="F1239" s="2" t="str">
        <x:v>Final leak / function test</x:v>
      </x:c>
      <x:c r="G1239" s="9" t="str">
        <x:v>QA-02</x:v>
      </x:c>
      <x:c r="H1239" s="15" t="n">
        <x:v>87</x:v>
      </x:c>
      <x:c r="I1239" s="9" t="str">
        <x:v>P23</x:v>
      </x:c>
      <x:c r="J1239" s="11" t="n">
        <x:v>46303.811111111114</x:v>
      </x:c>
      <x:c r="K1239" s="15" t="n">
        <x:v>10</x:v>
      </x:c>
      <x:c r="L1239" s="15" t="n">
        <x:v>14</x:v>
      </x:c>
      <x:c r="M1239" s="13" t="n">
        <x:f>J1239+(K1239+L1239)/1440</x:f>
        <x:v>46303.827777777784</x:v>
      </x:c>
      <x:c r="N1239" s="13" t="n">
        <x:f>VLOOKUP(C1239,'MES orders'!$A$8:$H$127,5,FALSE)</x:f>
        <x:v>46304.666666666664</x:v>
      </x:c>
      <x:c r="O1239" s="16" t="n">
        <x:f>MAX(0,(M1239-N1239)*24)</x:f>
        <x:v>0</x:v>
      </x:c>
      <x:c r="P1239" s="9" t="str">
        <x:v>No</x:v>
      </x:c>
      <x:c r="Q1239" s="15" t="n">
        <x:v>24</x:v>
      </x:c>
      <x:c r="R1239" s="13" t="n">
        <x:f>J1239+Q1239/1440</x:f>
        <x:v>46303.827777777784</x:v>
      </x:c>
      <x:c r="S1239" s="2" t="str">
        <x:f>VLOOKUP(C1239,'MES orders'!$A$8:$H$127,6,FALSE)</x:f>
        <x:v>Normal</x:v>
      </x:c>
      <x:c r="T1239" s="9" t="str"/>
    </x:row>
    <x:row r="1240" ht="22" customHeight="1">
      <x:c r="A1240" s="2" t="str">
        <x:v>L00291-060</x:v>
      </x:c>
      <x:c r="B1240" s="2" t="str">
        <x:v>L00291</x:v>
      </x:c>
      <x:c r="C1240" s="2" t="str">
        <x:v>SO-26059</x:v>
      </x:c>
      <x:c r="D1240" s="2" t="str">
        <x:v>R-L-AL</x:v>
      </x:c>
      <x:c r="E1240" s="14" t="n">
        <x:v>15</x:v>
      </x:c>
      <x:c r="F1240" s="2" t="str">
        <x:v>Final leak / function test</x:v>
      </x:c>
      <x:c r="G1240" s="9" t="str">
        <x:v>QA-03</x:v>
      </x:c>
      <x:c r="H1240" s="15" t="n">
        <x:v>54</x:v>
      </x:c>
      <x:c r="I1240" s="9" t="str">
        <x:v>P24</x:v>
      </x:c>
      <x:c r="J1240" s="11" t="n">
        <x:v>46303.81319444445</x:v>
      </x:c>
      <x:c r="K1240" s="15" t="n">
        <x:v>10</x:v>
      </x:c>
      <x:c r="L1240" s="15" t="n">
        <x:v>18</x:v>
      </x:c>
      <x:c r="M1240" s="13" t="n">
        <x:f>J1240+(K1240+L1240)/1440</x:f>
        <x:v>46303.83263888889</x:v>
      </x:c>
      <x:c r="N1240" s="13" t="n">
        <x:f>VLOOKUP(C1240,'MES orders'!$A$8:$H$127,5,FALSE)</x:f>
        <x:v>46304.666666666664</x:v>
      </x:c>
      <x:c r="O1240" s="16" t="n">
        <x:f>MAX(0,(M1240-N1240)*24)</x:f>
        <x:v>0</x:v>
      </x:c>
      <x:c r="P1240" s="9" t="str">
        <x:v>No</x:v>
      </x:c>
      <x:c r="Q1240" s="15" t="n">
        <x:v>28</x:v>
      </x:c>
      <x:c r="R1240" s="13" t="n">
        <x:f>J1240+Q1240/1440</x:f>
        <x:v>46303.83263888889</x:v>
      </x:c>
      <x:c r="S1240" s="2" t="str">
        <x:f>VLOOKUP(C1240,'MES orders'!$A$8:$H$127,6,FALSE)</x:f>
        <x:v>Normal</x:v>
      </x:c>
      <x:c r="T1240" s="9" t="str"/>
    </x:row>
    <x:row r="1241" ht="22" customHeight="1">
      <x:c r="A1241" s="2" t="str">
        <x:v>L00292-050</x:v>
      </x:c>
      <x:c r="B1241" s="2" t="str">
        <x:v>L00292</x:v>
      </x:c>
      <x:c r="C1241" s="2" t="str">
        <x:v>SO-26059</x:v>
      </x:c>
      <x:c r="D1241" s="2" t="str">
        <x:v>R-L-AL</x:v>
      </x:c>
      <x:c r="E1241" s="14" t="n">
        <x:v>15</x:v>
      </x:c>
      <x:c r="F1241" s="2" t="str">
        <x:v>Valve adjustment</x:v>
      </x:c>
      <x:c r="G1241" s="9" t="str">
        <x:v>AS-01</x:v>
      </x:c>
      <x:c r="H1241" s="15" t="n">
        <x:v>99</x:v>
      </x:c>
      <x:c r="I1241" s="9" t="str">
        <x:v>P17</x:v>
      </x:c>
      <x:c r="J1241" s="11" t="n">
        <x:v>46303.81458333333</x:v>
      </x:c>
      <x:c r="K1241" s="15" t="n">
        <x:v>6</x:v>
      </x:c>
      <x:c r="L1241" s="15" t="n">
        <x:v>22</x:v>
      </x:c>
      <x:c r="M1241" s="13" t="n">
        <x:f>J1241+(K1241+L1241)/1440</x:f>
        <x:v>46303.834027777775</x:v>
      </x:c>
      <x:c r="N1241" s="13" t="n">
        <x:f>VLOOKUP(C1241,'MES orders'!$A$8:$H$127,5,FALSE)</x:f>
        <x:v>46304.666666666664</x:v>
      </x:c>
      <x:c r="O1241" s="16" t="n">
        <x:f>MAX(0,(M1241-N1241)*24)</x:f>
        <x:v>0</x:v>
      </x:c>
      <x:c r="P1241" s="9" t="str">
        <x:v>No</x:v>
      </x:c>
      <x:c r="Q1241" s="15" t="n">
        <x:v>28</x:v>
      </x:c>
      <x:c r="R1241" s="13" t="n">
        <x:f>J1241+Q1241/1440</x:f>
        <x:v>46303.834027777775</x:v>
      </x:c>
      <x:c r="S1241" s="2" t="str">
        <x:f>VLOOKUP(C1241,'MES orders'!$A$8:$H$127,6,FALSE)</x:f>
        <x:v>Normal</x:v>
      </x:c>
      <x:c r="T1241" s="9" t="str"/>
    </x:row>
    <x:row r="1242" ht="22" customHeight="1">
      <x:c r="A1242" s="2" t="str">
        <x:v>L00294-040</x:v>
      </x:c>
      <x:c r="B1242" s="2" t="str">
        <x:v>L00294</x:v>
      </x:c>
      <x:c r="C1242" s="2" t="str">
        <x:v>SO-26059</x:v>
      </x:c>
      <x:c r="D1242" s="2" t="str">
        <x:v>R-L-AL</x:v>
      </x:c>
      <x:c r="E1242" s="14" t="n">
        <x:v>15</x:v>
      </x:c>
      <x:c r="F1242" s="2" t="str">
        <x:v>Mechanical assembly</x:v>
      </x:c>
      <x:c r="G1242" s="9" t="str">
        <x:v>AS-04</x:v>
      </x:c>
      <x:c r="H1242" s="15" t="n">
        <x:v>43</x:v>
      </x:c>
      <x:c r="I1242" s="9" t="str">
        <x:v>P16</x:v>
      </x:c>
      <x:c r="J1242" s="11" t="n">
        <x:v>46303.81458333333</x:v>
      </x:c>
      <x:c r="K1242" s="15" t="n">
        <x:v>8</x:v>
      </x:c>
      <x:c r="L1242" s="15" t="n">
        <x:v>36</x:v>
      </x:c>
      <x:c r="M1242" s="13" t="n">
        <x:f>J1242+(K1242+L1242)/1440</x:f>
        <x:v>46303.845138888886</x:v>
      </x:c>
      <x:c r="N1242" s="13" t="n">
        <x:f>VLOOKUP(C1242,'MES orders'!$A$8:$H$127,5,FALSE)</x:f>
        <x:v>46304.666666666664</x:v>
      </x:c>
      <x:c r="O1242" s="16" t="n">
        <x:f>MAX(0,(M1242-N1242)*24)</x:f>
        <x:v>0</x:v>
      </x:c>
      <x:c r="P1242" s="9" t="str">
        <x:v>No</x:v>
      </x:c>
      <x:c r="Q1242" s="15" t="n">
        <x:v>44</x:v>
      </x:c>
      <x:c r="R1242" s="13" t="n">
        <x:f>J1242+Q1242/1440</x:f>
        <x:v>46303.845138888886</x:v>
      </x:c>
      <x:c r="S1242" s="2" t="str">
        <x:f>VLOOKUP(C1242,'MES orders'!$A$8:$H$127,6,FALSE)</x:f>
        <x:v>Normal</x:v>
      </x:c>
      <x:c r="T1242" s="9" t="str"/>
    </x:row>
    <x:row r="1243" ht="22" customHeight="1">
      <x:c r="A1243" s="2" t="str">
        <x:v>L00452-010</x:v>
      </x:c>
      <x:c r="B1243" s="2" t="str">
        <x:v>L00452</x:v>
      </x:c>
      <x:c r="C1243" s="2" t="str">
        <x:v>SO-26091</x:v>
      </x:c>
      <x:c r="D1243" s="2" t="str">
        <x:v>D-C-AL</x:v>
      </x:c>
      <x:c r="E1243" s="14" t="n">
        <x:v>10</x:v>
      </x:c>
      <x:c r="F1243" s="2" t="str">
        <x:v>CNC machining</x:v>
      </x:c>
      <x:c r="G1243" s="9" t="str">
        <x:v>CNC-01</x:v>
      </x:c>
      <x:c r="H1243" s="15" t="n">
        <x:v>42</x:v>
      </x:c>
      <x:c r="I1243" s="9" t="str">
        <x:v>P14</x:v>
      </x:c>
      <x:c r="J1243" s="11" t="n">
        <x:v>46303.822222222225</x:v>
      </x:c>
      <x:c r="K1243" s="15" t="n">
        <x:v>18</x:v>
      </x:c>
      <x:c r="L1243" s="15" t="n">
        <x:v>19</x:v>
      </x:c>
      <x:c r="M1243" s="13" t="n">
        <x:f>J1243+(K1243+L1243)/1440</x:f>
        <x:v>46303.847916666666</x:v>
      </x:c>
      <x:c r="N1243" s="13" t="n">
        <x:f>VLOOKUP(C1243,'MES orders'!$A$8:$H$127,5,FALSE)</x:f>
        <x:v>46304.666666666664</x:v>
      </x:c>
      <x:c r="O1243" s="16" t="n">
        <x:f>MAX(0,(M1243-N1243)*24)</x:f>
        <x:v>0</x:v>
      </x:c>
      <x:c r="P1243" s="9" t="str">
        <x:v>No</x:v>
      </x:c>
      <x:c r="Q1243" s="15" t="n">
        <x:v>18</x:v>
      </x:c>
      <x:c r="R1243" s="13" t="n">
        <x:f>J1243+Q1243/1440</x:f>
        <x:v>46303.83472222222</x:v>
      </x:c>
      <x:c r="S1243" s="2" t="str">
        <x:f>VLOOKUP(C1243,'MES orders'!$A$8:$H$127,6,FALSE)</x:f>
        <x:v>Normal</x:v>
      </x:c>
      <x:c r="T1243" s="9" t="str"/>
    </x:row>
    <x:row r="1244" ht="22" customHeight="1">
      <x:c r="A1244" s="2" t="str">
        <x:v>L00451-020</x:v>
      </x:c>
      <x:c r="B1244" s="2" t="str">
        <x:v>L00451</x:v>
      </x:c>
      <x:c r="C1244" s="2" t="str">
        <x:v>SO-26091</x:v>
      </x:c>
      <x:c r="D1244" s="2" t="str">
        <x:v>D-C-AL</x:v>
      </x:c>
      <x:c r="E1244" s="14" t="n">
        <x:v>10</x:v>
      </x:c>
      <x:c r="F1244" s="2" t="str">
        <x:v>Deburr &amp; inspect</x:v>
      </x:c>
      <x:c r="G1244" s="9" t="str">
        <x:v>DB-01</x:v>
      </x:c>
      <x:c r="H1244" s="15" t="n">
        <x:v>119</x:v>
      </x:c>
      <x:c r="I1244" s="9" t="str">
        <x:v>P13</x:v>
      </x:c>
      <x:c r="J1244" s="11" t="n">
        <x:v>46303.822222222225</x:v>
      </x:c>
      <x:c r="K1244" s="15" t="n">
        <x:v>4</x:v>
      </x:c>
      <x:c r="L1244" s="15" t="n">
        <x:v>6</x:v>
      </x:c>
      <x:c r="M1244" s="13" t="n">
        <x:f>J1244+(K1244+L1244)/1440</x:f>
        <x:v>46303.82916666667</x:v>
      </x:c>
      <x:c r="N1244" s="13" t="n">
        <x:f>VLOOKUP(C1244,'MES orders'!$A$8:$H$127,5,FALSE)</x:f>
        <x:v>46304.666666666664</x:v>
      </x:c>
      <x:c r="O1244" s="16" t="n">
        <x:f>MAX(0,(M1244-N1244)*24)</x:f>
        <x:v>0</x:v>
      </x:c>
      <x:c r="P1244" s="9" t="str">
        <x:v>No</x:v>
      </x:c>
      <x:c r="Q1244" s="15" t="n">
        <x:v>10</x:v>
      </x:c>
      <x:c r="R1244" s="13" t="n">
        <x:f>J1244+Q1244/1440</x:f>
        <x:v>46303.82916666667</x:v>
      </x:c>
      <x:c r="S1244" s="2" t="str">
        <x:f>VLOOKUP(C1244,'MES orders'!$A$8:$H$127,6,FALSE)</x:f>
        <x:v>Normal</x:v>
      </x:c>
      <x:c r="T1244" s="9" t="str"/>
    </x:row>
    <x:row r="1245" ht="22" customHeight="1">
      <x:c r="A1245" s="2" t="str">
        <x:v>L00453-010</x:v>
      </x:c>
      <x:c r="B1245" s="2" t="str">
        <x:v>L00453</x:v>
      </x:c>
      <x:c r="C1245" s="2" t="str">
        <x:v>SO-26091</x:v>
      </x:c>
      <x:c r="D1245" s="2" t="str">
        <x:v>D-C-AL</x:v>
      </x:c>
      <x:c r="E1245" s="14" t="n">
        <x:v>10</x:v>
      </x:c>
      <x:c r="F1245" s="2" t="str">
        <x:v>CNC machining</x:v>
      </x:c>
      <x:c r="G1245" s="9" t="str">
        <x:v>CNC-02</x:v>
      </x:c>
      <x:c r="H1245" s="15" t="n">
        <x:v>28</x:v>
      </x:c>
      <x:c r="I1245" s="9" t="str">
        <x:v>P15</x:v>
      </x:c>
      <x:c r="J1245" s="11" t="n">
        <x:v>46303.825</x:v>
      </x:c>
      <x:c r="K1245" s="15" t="n">
        <x:v>18</x:v>
      </x:c>
      <x:c r="L1245" s="15" t="n">
        <x:v>19</x:v>
      </x:c>
      <x:c r="M1245" s="13" t="n">
        <x:f>J1245+(K1245+L1245)/1440</x:f>
        <x:v>46303.85069444444</x:v>
      </x:c>
      <x:c r="N1245" s="13" t="n">
        <x:f>VLOOKUP(C1245,'MES orders'!$A$8:$H$127,5,FALSE)</x:f>
        <x:v>46304.666666666664</x:v>
      </x:c>
      <x:c r="O1245" s="16" t="n">
        <x:f>MAX(0,(M1245-N1245)*24)</x:f>
        <x:v>0</x:v>
      </x:c>
      <x:c r="P1245" s="9" t="str">
        <x:v>No</x:v>
      </x:c>
      <x:c r="Q1245" s="15" t="n">
        <x:v>18</x:v>
      </x:c>
      <x:c r="R1245" s="13" t="n">
        <x:f>J1245+Q1245/1440</x:f>
        <x:v>46303.837499999994</x:v>
      </x:c>
      <x:c r="S1245" s="2" t="str">
        <x:f>VLOOKUP(C1245,'MES orders'!$A$8:$H$127,6,FALSE)</x:f>
        <x:v>Normal</x:v>
      </x:c>
      <x:c r="T1245" s="9" t="str"/>
    </x:row>
    <x:row r="1246" ht="22" customHeight="1">
      <x:c r="A1246" s="2" t="str">
        <x:v>L00293-050</x:v>
      </x:c>
      <x:c r="B1246" s="2" t="str">
        <x:v>L00293</x:v>
      </x:c>
      <x:c r="C1246" s="2" t="str">
        <x:v>SO-26059</x:v>
      </x:c>
      <x:c r="D1246" s="2" t="str">
        <x:v>R-L-AL</x:v>
      </x:c>
      <x:c r="E1246" s="14" t="n">
        <x:v>15</x:v>
      </x:c>
      <x:c r="F1246" s="2" t="str">
        <x:v>Valve adjustment</x:v>
      </x:c>
      <x:c r="G1246" s="9" t="str">
        <x:v>AS-02</x:v>
      </x:c>
      <x:c r="H1246" s="15" t="n">
        <x:v>81</x:v>
      </x:c>
      <x:c r="I1246" s="9" t="str">
        <x:v>P18</x:v>
      </x:c>
      <x:c r="J1246" s="11" t="n">
        <x:v>46303.82708333333</x:v>
      </x:c>
      <x:c r="K1246" s="15" t="n">
        <x:v>6</x:v>
      </x:c>
      <x:c r="L1246" s="15" t="n">
        <x:v>22</x:v>
      </x:c>
      <x:c r="M1246" s="13" t="n">
        <x:f>J1246+(K1246+L1246)/1440</x:f>
        <x:v>46303.84652777777</x:v>
      </x:c>
      <x:c r="N1246" s="13" t="n">
        <x:f>VLOOKUP(C1246,'MES orders'!$A$8:$H$127,5,FALSE)</x:f>
        <x:v>46304.666666666664</x:v>
      </x:c>
      <x:c r="O1246" s="16" t="n">
        <x:f>MAX(0,(M1246-N1246)*24)</x:f>
        <x:v>0</x:v>
      </x:c>
      <x:c r="P1246" s="9" t="str">
        <x:v>No</x:v>
      </x:c>
      <x:c r="Q1246" s="15" t="n">
        <x:v>28</x:v>
      </x:c>
      <x:c r="R1246" s="13" t="n">
        <x:f>J1246+Q1246/1440</x:f>
        <x:v>46303.84652777777</x:v>
      </x:c>
      <x:c r="S1246" s="2" t="str">
        <x:f>VLOOKUP(C1246,'MES orders'!$A$8:$H$127,6,FALSE)</x:f>
        <x:v>Normal</x:v>
      </x:c>
      <x:c r="T1246" s="9" t="str"/>
    </x:row>
    <x:row r="1247" ht="22" customHeight="1">
      <x:c r="A1247" s="2" t="str">
        <x:v>L00451-030</x:v>
      </x:c>
      <x:c r="B1247" s="2" t="str">
        <x:v>L00451</x:v>
      </x:c>
      <x:c r="C1247" s="2" t="str">
        <x:v>SO-26091</x:v>
      </x:c>
      <x:c r="D1247" s="2" t="str">
        <x:v>D-C-AL</x:v>
      </x:c>
      <x:c r="E1247" s="14" t="n">
        <x:v>10</x:v>
      </x:c>
      <x:c r="F1247" s="2" t="str">
        <x:v>Wash &amp; dry</x:v>
      </x:c>
      <x:c r="G1247" s="9" t="str">
        <x:v>WS-01</x:v>
      </x:c>
      <x:c r="H1247" s="15" t="n">
        <x:v>118</x:v>
      </x:c>
      <x:c r="I1247" s="9" t="str">
        <x:v>P19</x:v>
      </x:c>
      <x:c r="J1247" s="11" t="n">
        <x:v>46303.82916666667</x:v>
      </x:c>
      <x:c r="K1247" s="15" t="n">
        <x:v>12</x:v>
      </x:c>
      <x:c r="L1247" s="15" t="n">
        <x:v>3</x:v>
      </x:c>
      <x:c r="M1247" s="13" t="n">
        <x:f>J1247+(K1247+L1247)/1440</x:f>
        <x:v>46303.839583333334</x:v>
      </x:c>
      <x:c r="N1247" s="13" t="n">
        <x:f>VLOOKUP(C1247,'MES orders'!$A$8:$H$127,5,FALSE)</x:f>
        <x:v>46304.666666666664</x:v>
      </x:c>
      <x:c r="O1247" s="16" t="n">
        <x:f>MAX(0,(M1247-N1247)*24)</x:f>
        <x:v>0</x:v>
      </x:c>
      <x:c r="P1247" s="9" t="str">
        <x:v>No</x:v>
      </x:c>
      <x:c r="Q1247" s="15" t="n">
        <x:v>15</x:v>
      </x:c>
      <x:c r="R1247" s="13" t="n">
        <x:f>J1247+Q1247/1440</x:f>
        <x:v>46303.839583333334</x:v>
      </x:c>
      <x:c r="S1247" s="2" t="str">
        <x:f>VLOOKUP(C1247,'MES orders'!$A$8:$H$127,6,FALSE)</x:f>
        <x:v>Normal</x:v>
      </x:c>
      <x:c r="T1247" s="9" t="str"/>
    </x:row>
    <x:row r="1248" ht="22" customHeight="1">
      <x:c r="A1248" s="2" t="str">
        <x:v>L00331-040</x:v>
      </x:c>
      <x:c r="B1248" s="2" t="str">
        <x:v>L00331</x:v>
      </x:c>
      <x:c r="C1248" s="2" t="str">
        <x:v>SO-26067</x:v>
      </x:c>
      <x:c r="D1248" s="2" t="str">
        <x:v>S-C-AL</x:v>
      </x:c>
      <x:c r="E1248" s="14" t="n">
        <x:v>10</x:v>
      </x:c>
      <x:c r="F1248" s="2" t="str">
        <x:v>Mechanical preassembly</x:v>
      </x:c>
      <x:c r="G1248" s="9" t="str">
        <x:v>AS-01</x:v>
      </x:c>
      <x:c r="H1248" s="15" t="n">
        <x:v>100</x:v>
      </x:c>
      <x:c r="I1248" s="9" t="str">
        <x:v>P17</x:v>
      </x:c>
      <x:c r="J1248" s="11" t="n">
        <x:v>46303.834027777775</x:v>
      </x:c>
      <x:c r="K1248" s="15" t="n">
        <x:v>6</x:v>
      </x:c>
      <x:c r="L1248" s="15" t="n">
        <x:v>9</x:v>
      </x:c>
      <x:c r="M1248" s="13" t="n">
        <x:f>J1248+(K1248+L1248)/1440</x:f>
        <x:v>46303.84444444444</x:v>
      </x:c>
      <x:c r="N1248" s="13" t="n">
        <x:f>VLOOKUP(C1248,'MES orders'!$A$8:$H$127,5,FALSE)</x:f>
        <x:v>46304.666666666664</x:v>
      </x:c>
      <x:c r="O1248" s="16" t="n">
        <x:f>MAX(0,(M1248-N1248)*24)</x:f>
        <x:v>0</x:v>
      </x:c>
      <x:c r="P1248" s="9" t="str">
        <x:v>No</x:v>
      </x:c>
      <x:c r="Q1248" s="15" t="n">
        <x:v>15</x:v>
      </x:c>
      <x:c r="R1248" s="13" t="n">
        <x:f>J1248+Q1248/1440</x:f>
        <x:v>46303.84444444444</x:v>
      </x:c>
      <x:c r="S1248" s="2" t="str">
        <x:f>VLOOKUP(C1248,'MES orders'!$A$8:$H$127,6,FALSE)</x:f>
        <x:v>Normal</x:v>
      </x:c>
      <x:c r="T1248" s="9" t="str"/>
    </x:row>
    <x:row r="1249" ht="22" customHeight="1">
      <x:c r="A1249" s="2" t="str">
        <x:v>L00292-060</x:v>
      </x:c>
      <x:c r="B1249" s="2" t="str">
        <x:v>L00292</x:v>
      </x:c>
      <x:c r="C1249" s="2" t="str">
        <x:v>SO-26059</x:v>
      </x:c>
      <x:c r="D1249" s="2" t="str">
        <x:v>R-L-AL</x:v>
      </x:c>
      <x:c r="E1249" s="14" t="n">
        <x:v>15</x:v>
      </x:c>
      <x:c r="F1249" s="2" t="str">
        <x:v>Final leak / function test</x:v>
      </x:c>
      <x:c r="G1249" s="9" t="str">
        <x:v>QA-02</x:v>
      </x:c>
      <x:c r="H1249" s="15" t="n">
        <x:v>88</x:v>
      </x:c>
      <x:c r="I1249" s="9" t="str">
        <x:v>P23</x:v>
      </x:c>
      <x:c r="J1249" s="11" t="n">
        <x:v>46303.834027777775</x:v>
      </x:c>
      <x:c r="K1249" s="15" t="n">
        <x:v>10</x:v>
      </x:c>
      <x:c r="L1249" s="15" t="n">
        <x:v>18</x:v>
      </x:c>
      <x:c r="M1249" s="13" t="n">
        <x:f>J1249+(K1249+L1249)/1440</x:f>
        <x:v>46303.85347222222</x:v>
      </x:c>
      <x:c r="N1249" s="13" t="n">
        <x:f>VLOOKUP(C1249,'MES orders'!$A$8:$H$127,5,FALSE)</x:f>
        <x:v>46304.666666666664</x:v>
      </x:c>
      <x:c r="O1249" s="16" t="n">
        <x:f>MAX(0,(M1249-N1249)*24)</x:f>
        <x:v>0</x:v>
      </x:c>
      <x:c r="P1249" s="9" t="str">
        <x:v>No</x:v>
      </x:c>
      <x:c r="Q1249" s="15" t="n">
        <x:v>28</x:v>
      </x:c>
      <x:c r="R1249" s="13" t="n">
        <x:f>J1249+Q1249/1440</x:f>
        <x:v>46303.85347222222</x:v>
      </x:c>
      <x:c r="S1249" s="2" t="str">
        <x:f>VLOOKUP(C1249,'MES orders'!$A$8:$H$127,6,FALSE)</x:f>
        <x:v>Normal</x:v>
      </x:c>
      <x:c r="T1249" s="9" t="str"/>
    </x:row>
    <x:row r="1250" ht="22" customHeight="1">
      <x:c r="A1250" s="2" t="str">
        <x:v>L00411-010</x:v>
      </x:c>
      <x:c r="B1250" s="2" t="str">
        <x:v>L00411</x:v>
      </x:c>
      <x:c r="C1250" s="2" t="str">
        <x:v>SO-26083</x:v>
      </x:c>
      <x:c r="D1250" s="2" t="str">
        <x:v>S-L-AL</x:v>
      </x:c>
      <x:c r="E1250" s="14" t="n">
        <x:v>15</x:v>
      </x:c>
      <x:c r="F1250" s="2" t="str">
        <x:v>CNC machining</x:v>
      </x:c>
      <x:c r="G1250" s="9" t="str">
        <x:v>CNC-03</x:v>
      </x:c>
      <x:c r="H1250" s="15" t="n">
        <x:v>39</x:v>
      </x:c>
      <x:c r="I1250" s="9" t="str">
        <x:v>P14</x:v>
      </x:c>
      <x:c r="J1250" s="11" t="n">
        <x:v>46303.83541666667</x:v>
      </x:c>
      <x:c r="K1250" s="15" t="n">
        <x:v>18</x:v>
      </x:c>
      <x:c r="L1250" s="15" t="n">
        <x:v>49</x:v>
      </x:c>
      <x:c r="M1250" s="13" t="n">
        <x:f>J1250+(K1250+L1250)/1440</x:f>
        <x:v>46303.881944444445</x:v>
      </x:c>
      <x:c r="N1250" s="13" t="n">
        <x:f>VLOOKUP(C1250,'MES orders'!$A$8:$H$127,5,FALSE)</x:f>
        <x:v>46304.666666666664</x:v>
      </x:c>
      <x:c r="O1250" s="16" t="n">
        <x:f>MAX(0,(M1250-N1250)*24)</x:f>
        <x:v>0</x:v>
      </x:c>
      <x:c r="P1250" s="9" t="str">
        <x:v>No</x:v>
      </x:c>
      <x:c r="Q1250" s="15" t="n">
        <x:v>18</x:v>
      </x:c>
      <x:c r="R1250" s="13" t="n">
        <x:f>J1250+Q1250/1440</x:f>
        <x:v>46303.847916666666</x:v>
      </x:c>
      <x:c r="S1250" s="2" t="str">
        <x:f>VLOOKUP(C1250,'MES orders'!$A$8:$H$127,6,FALSE)</x:f>
        <x:v>Normal</x:v>
      </x:c>
      <x:c r="T1250" s="9" t="str"/>
    </x:row>
    <x:row r="1251" ht="22" customHeight="1">
      <x:c r="A1251" s="2" t="str">
        <x:v>L00412-010</x:v>
      </x:c>
      <x:c r="B1251" s="2" t="str">
        <x:v>L00412</x:v>
      </x:c>
      <x:c r="C1251" s="2" t="str">
        <x:v>SO-26083</x:v>
      </x:c>
      <x:c r="D1251" s="2" t="str">
        <x:v>S-L-AL</x:v>
      </x:c>
      <x:c r="E1251" s="14" t="n">
        <x:v>15</x:v>
      </x:c>
      <x:c r="F1251" s="2" t="str">
        <x:v>CNC machining</x:v>
      </x:c>
      <x:c r="G1251" s="9" t="str">
        <x:v>CNC-04</x:v>
      </x:c>
      <x:c r="H1251" s="15" t="n">
        <x:v>38</x:v>
      </x:c>
      <x:c r="I1251" s="9" t="str">
        <x:v>P15</x:v>
      </x:c>
      <x:c r="J1251" s="11" t="n">
        <x:v>46303.8375</x:v>
      </x:c>
      <x:c r="K1251" s="15" t="n">
        <x:v>18</x:v>
      </x:c>
      <x:c r="L1251" s="15" t="n">
        <x:v>49</x:v>
      </x:c>
      <x:c r="M1251" s="13" t="n">
        <x:f>J1251+(K1251+L1251)/1440</x:f>
        <x:v>46303.88402777778</x:v>
      </x:c>
      <x:c r="N1251" s="13" t="n">
        <x:f>VLOOKUP(C1251,'MES orders'!$A$8:$H$127,5,FALSE)</x:f>
        <x:v>46304.666666666664</x:v>
      </x:c>
      <x:c r="O1251" s="16" t="n">
        <x:f>MAX(0,(M1251-N1251)*24)</x:f>
        <x:v>0</x:v>
      </x:c>
      <x:c r="P1251" s="9" t="str">
        <x:v>No</x:v>
      </x:c>
      <x:c r="Q1251" s="15" t="n">
        <x:v>18</x:v>
      </x:c>
      <x:c r="R1251" s="13" t="n">
        <x:f>J1251+Q1251/1440</x:f>
        <x:v>46303.85</x:v>
      </x:c>
      <x:c r="S1251" s="2" t="str">
        <x:f>VLOOKUP(C1251,'MES orders'!$A$8:$H$127,6,FALSE)</x:f>
        <x:v>Normal</x:v>
      </x:c>
      <x:c r="T1251" s="9" t="str"/>
    </x:row>
    <x:row r="1252" ht="22" customHeight="1">
      <x:c r="A1252" s="2" t="str">
        <x:v>L00374-020</x:v>
      </x:c>
      <x:c r="B1252" s="2" t="str">
        <x:v>L00374</x:v>
      </x:c>
      <x:c r="C1252" s="2" t="str">
        <x:v>SO-26075</x:v>
      </x:c>
      <x:c r="D1252" s="2" t="str">
        <x:v>S-S-AL</x:v>
      </x:c>
      <x:c r="E1252" s="14" t="n">
        <x:v>25</x:v>
      </x:c>
      <x:c r="F1252" s="2" t="str">
        <x:v>Deburr &amp; inspect</x:v>
      </x:c>
      <x:c r="G1252" s="9" t="str">
        <x:v>DB-01</x:v>
      </x:c>
      <x:c r="H1252" s="15" t="n">
        <x:v>120</x:v>
      </x:c>
      <x:c r="I1252" s="9" t="str">
        <x:v>P13</x:v>
      </x:c>
      <x:c r="J1252" s="11" t="n">
        <x:v>46303.8375</x:v>
      </x:c>
      <x:c r="K1252" s="15" t="n">
        <x:v>4</x:v>
      </x:c>
      <x:c r="L1252" s="15" t="n">
        <x:v>18</x:v>
      </x:c>
      <x:c r="M1252" s="13" t="n">
        <x:f>J1252+(K1252+L1252)/1440</x:f>
        <x:v>46303.85277777778</x:v>
      </x:c>
      <x:c r="N1252" s="13" t="n">
        <x:f>VLOOKUP(C1252,'MES orders'!$A$8:$H$127,5,FALSE)</x:f>
        <x:v>46304.666666666664</x:v>
      </x:c>
      <x:c r="O1252" s="16" t="n">
        <x:f>MAX(0,(M1252-N1252)*24)</x:f>
        <x:v>0</x:v>
      </x:c>
      <x:c r="P1252" s="9" t="str">
        <x:v>No</x:v>
      </x:c>
      <x:c r="Q1252" s="15" t="n">
        <x:v>22</x:v>
      </x:c>
      <x:c r="R1252" s="13" t="n">
        <x:f>J1252+Q1252/1440</x:f>
        <x:v>46303.85277777778</x:v>
      </x:c>
      <x:c r="S1252" s="2" t="str">
        <x:f>VLOOKUP(C1252,'MES orders'!$A$8:$H$127,6,FALSE)</x:f>
        <x:v>Normal</x:v>
      </x:c>
      <x:c r="T1252" s="9" t="str"/>
    </x:row>
    <x:row r="1253" ht="22" customHeight="1">
      <x:c r="A1253" s="2" t="str">
        <x:v>L00451-040</x:v>
      </x:c>
      <x:c r="B1253" s="2" t="str">
        <x:v>L00451</x:v>
      </x:c>
      <x:c r="C1253" s="2" t="str">
        <x:v>SO-26091</x:v>
      </x:c>
      <x:c r="D1253" s="2" t="str">
        <x:v>D-C-AL</x:v>
      </x:c>
      <x:c r="E1253" s="14" t="n">
        <x:v>10</x:v>
      </x:c>
      <x:c r="F1253" s="2" t="str">
        <x:v>Mechanical assembly</x:v>
      </x:c>
      <x:c r="G1253" s="9" t="str">
        <x:v>AS-05</x:v>
      </x:c>
      <x:c r="H1253" s="15" t="n">
        <x:v>28</x:v>
      </x:c>
      <x:c r="I1253" s="9" t="str">
        <x:v>P20</x:v>
      </x:c>
      <x:c r="J1253" s="11" t="n">
        <x:v>46303.839583333334</x:v>
      </x:c>
      <x:c r="K1253" s="15" t="n">
        <x:v>8</x:v>
      </x:c>
      <x:c r="L1253" s="15" t="n">
        <x:v>14</x:v>
      </x:c>
      <x:c r="M1253" s="13" t="n">
        <x:f>J1253+(K1253+L1253)/1440</x:f>
        <x:v>46303.85486111111</x:v>
      </x:c>
      <x:c r="N1253" s="13" t="n">
        <x:f>VLOOKUP(C1253,'MES orders'!$A$8:$H$127,5,FALSE)</x:f>
        <x:v>46304.666666666664</x:v>
      </x:c>
      <x:c r="O1253" s="16" t="n">
        <x:f>MAX(0,(M1253-N1253)*24)</x:f>
        <x:v>0</x:v>
      </x:c>
      <x:c r="P1253" s="9" t="str">
        <x:v>No</x:v>
      </x:c>
      <x:c r="Q1253" s="15" t="n">
        <x:v>22</x:v>
      </x:c>
      <x:c r="R1253" s="13" t="n">
        <x:f>J1253+Q1253/1440</x:f>
        <x:v>46303.85486111111</x:v>
      </x:c>
      <x:c r="S1253" s="2" t="str">
        <x:f>VLOOKUP(C1253,'MES orders'!$A$8:$H$127,6,FALSE)</x:f>
        <x:v>Normal</x:v>
      </x:c>
      <x:c r="T1253" s="9" t="str"/>
    </x:row>
    <x:row r="1254" ht="22" customHeight="1">
      <x:c r="A1254" s="2" t="str">
        <x:v>L00331-050</x:v>
      </x:c>
      <x:c r="B1254" s="2" t="str">
        <x:v>L00331</x:v>
      </x:c>
      <x:c r="C1254" s="2" t="str">
        <x:v>SO-26067</x:v>
      </x:c>
      <x:c r="D1254" s="2" t="str">
        <x:v>S-C-AL</x:v>
      </x:c>
      <x:c r="E1254" s="14" t="n">
        <x:v>10</x:v>
      </x:c>
      <x:c r="F1254" s="2" t="str">
        <x:v>Sensor installation</x:v>
      </x:c>
      <x:c r="G1254" s="9" t="str">
        <x:v>EL-01</x:v>
      </x:c>
      <x:c r="H1254" s="15" t="n">
        <x:v>37</x:v>
      </x:c>
      <x:c r="I1254" s="9" t="str">
        <x:v>P19</x:v>
      </x:c>
      <x:c r="J1254" s="11" t="n">
        <x:v>46303.84444444445</x:v>
      </x:c>
      <x:c r="K1254" s="15" t="n">
        <x:v>8</x:v>
      </x:c>
      <x:c r="L1254" s="15" t="n">
        <x:v>10</x:v>
      </x:c>
      <x:c r="M1254" s="13" t="n">
        <x:f>J1254+(K1254+L1254)/1440</x:f>
        <x:v>46303.856944444444</x:v>
      </x:c>
      <x:c r="N1254" s="13" t="n">
        <x:f>VLOOKUP(C1254,'MES orders'!$A$8:$H$127,5,FALSE)</x:f>
        <x:v>46304.666666666664</x:v>
      </x:c>
      <x:c r="O1254" s="16" t="n">
        <x:f>MAX(0,(M1254-N1254)*24)</x:f>
        <x:v>0</x:v>
      </x:c>
      <x:c r="P1254" s="9" t="str">
        <x:v>No</x:v>
      </x:c>
      <x:c r="Q1254" s="15" t="n">
        <x:v>18</x:v>
      </x:c>
      <x:c r="R1254" s="13" t="n">
        <x:f>J1254+Q1254/1440</x:f>
        <x:v>46303.856944444444</x:v>
      </x:c>
      <x:c r="S1254" s="2" t="str">
        <x:f>VLOOKUP(C1254,'MES orders'!$A$8:$H$127,6,FALSE)</x:f>
        <x:v>Normal</x:v>
      </x:c>
      <x:c r="T1254" s="9" t="str"/>
    </x:row>
    <x:row r="1255" ht="22" customHeight="1">
      <x:c r="A1255" s="2" t="str">
        <x:v>L00294-050</x:v>
      </x:c>
      <x:c r="B1255" s="2" t="str">
        <x:v>L00294</x:v>
      </x:c>
      <x:c r="C1255" s="2" t="str">
        <x:v>SO-26059</x:v>
      </x:c>
      <x:c r="D1255" s="2" t="str">
        <x:v>R-L-AL</x:v>
      </x:c>
      <x:c r="E1255" s="14" t="n">
        <x:v>15</x:v>
      </x:c>
      <x:c r="F1255" s="2" t="str">
        <x:v>Valve adjustment</x:v>
      </x:c>
      <x:c r="G1255" s="9" t="str">
        <x:v>AS-01</x:v>
      </x:c>
      <x:c r="H1255" s="15" t="n">
        <x:v>101</x:v>
      </x:c>
      <x:c r="I1255" s="9" t="str">
        <x:v>P17</x:v>
      </x:c>
      <x:c r="J1255" s="11" t="n">
        <x:v>46303.845138888886</x:v>
      </x:c>
      <x:c r="K1255" s="15" t="n">
        <x:v>6</x:v>
      </x:c>
      <x:c r="L1255" s="15" t="n">
        <x:v>22</x:v>
      </x:c>
      <x:c r="M1255" s="13" t="n">
        <x:f>J1255+(K1255+L1255)/1440</x:f>
        <x:v>46303.86458333333</x:v>
      </x:c>
      <x:c r="N1255" s="13" t="n">
        <x:f>VLOOKUP(C1255,'MES orders'!$A$8:$H$127,5,FALSE)</x:f>
        <x:v>46304.666666666664</x:v>
      </x:c>
      <x:c r="O1255" s="16" t="n">
        <x:f>MAX(0,(M1255-N1255)*24)</x:f>
        <x:v>0</x:v>
      </x:c>
      <x:c r="P1255" s="9" t="str">
        <x:v>No</x:v>
      </x:c>
      <x:c r="Q1255" s="15" t="n">
        <x:v>28</x:v>
      </x:c>
      <x:c r="R1255" s="13" t="n">
        <x:f>J1255+Q1255/1440</x:f>
        <x:v>46303.86458333333</x:v>
      </x:c>
      <x:c r="S1255" s="2" t="str">
        <x:f>VLOOKUP(C1255,'MES orders'!$A$8:$H$127,6,FALSE)</x:f>
        <x:v>Normal</x:v>
      </x:c>
      <x:c r="T1255" s="9" t="str"/>
    </x:row>
    <x:row r="1256" ht="22" customHeight="1">
      <x:c r="A1256" s="2" t="str">
        <x:v>L00295-040</x:v>
      </x:c>
      <x:c r="B1256" s="2" t="str">
        <x:v>L00295</x:v>
      </x:c>
      <x:c r="C1256" s="2" t="str">
        <x:v>SO-26059</x:v>
      </x:c>
      <x:c r="D1256" s="2" t="str">
        <x:v>R-L-AL</x:v>
      </x:c>
      <x:c r="E1256" s="14" t="n">
        <x:v>15</x:v>
      </x:c>
      <x:c r="F1256" s="2" t="str">
        <x:v>Mechanical assembly</x:v>
      </x:c>
      <x:c r="G1256" s="9" t="str">
        <x:v>AS-03</x:v>
      </x:c>
      <x:c r="H1256" s="15" t="n">
        <x:v>65</x:v>
      </x:c>
      <x:c r="I1256" s="9" t="str">
        <x:v>P16</x:v>
      </x:c>
      <x:c r="J1256" s="11" t="n">
        <x:v>46303.845138888886</x:v>
      </x:c>
      <x:c r="K1256" s="15" t="n">
        <x:v>8</x:v>
      </x:c>
      <x:c r="L1256" s="15" t="n">
        <x:v>36</x:v>
      </x:c>
      <x:c r="M1256" s="13" t="n">
        <x:f>J1256+(K1256+L1256)/1440</x:f>
        <x:v>46303.87569444444</x:v>
      </x:c>
      <x:c r="N1256" s="13" t="n">
        <x:f>VLOOKUP(C1256,'MES orders'!$A$8:$H$127,5,FALSE)</x:f>
        <x:v>46304.666666666664</x:v>
      </x:c>
      <x:c r="O1256" s="16" t="n">
        <x:f>MAX(0,(M1256-N1256)*24)</x:f>
        <x:v>0</x:v>
      </x:c>
      <x:c r="P1256" s="9" t="str">
        <x:v>No</x:v>
      </x:c>
      <x:c r="Q1256" s="15" t="n">
        <x:v>44</x:v>
      </x:c>
      <x:c r="R1256" s="13" t="n">
        <x:f>J1256+Q1256/1440</x:f>
        <x:v>46303.87569444444</x:v>
      </x:c>
      <x:c r="S1256" s="2" t="str">
        <x:f>VLOOKUP(C1256,'MES orders'!$A$8:$H$127,6,FALSE)</x:f>
        <x:v>Normal</x:v>
      </x:c>
      <x:c r="T1256" s="9" t="str"/>
    </x:row>
    <x:row r="1257" ht="22" customHeight="1">
      <x:c r="A1257" s="2" t="str">
        <x:v>L00332-070</x:v>
      </x:c>
      <x:c r="B1257" s="2" t="str">
        <x:v>L00332</x:v>
      </x:c>
      <x:c r="C1257" s="2" t="str">
        <x:v>SO-26067</x:v>
      </x:c>
      <x:c r="D1257" s="2" t="str">
        <x:v>S-C-AL</x:v>
      </x:c>
      <x:c r="E1257" s="14" t="n">
        <x:v>10</x:v>
      </x:c>
      <x:c r="F1257" s="2" t="str">
        <x:v>Final assembly</x:v>
      </x:c>
      <x:c r="G1257" s="9" t="str">
        <x:v>AS-02</x:v>
      </x:c>
      <x:c r="H1257" s="15" t="n">
        <x:v>82</x:v>
      </x:c>
      <x:c r="I1257" s="9" t="str">
        <x:v>P18</x:v>
      </x:c>
      <x:c r="J1257" s="11" t="n">
        <x:v>46303.84652777778</x:v>
      </x:c>
      <x:c r="K1257" s="15" t="n">
        <x:v>5</x:v>
      </x:c>
      <x:c r="L1257" s="15" t="n">
        <x:v>6</x:v>
      </x:c>
      <x:c r="M1257" s="13" t="n">
        <x:f>J1257+(K1257+L1257)/1440</x:f>
        <x:v>46303.85416666667</x:v>
      </x:c>
      <x:c r="N1257" s="13" t="n">
        <x:f>VLOOKUP(C1257,'MES orders'!$A$8:$H$127,5,FALSE)</x:f>
        <x:v>46304.666666666664</x:v>
      </x:c>
      <x:c r="O1257" s="16" t="n">
        <x:f>MAX(0,(M1257-N1257)*24)</x:f>
        <x:v>0</x:v>
      </x:c>
      <x:c r="P1257" s="9" t="str">
        <x:v>No</x:v>
      </x:c>
      <x:c r="Q1257" s="15" t="n">
        <x:v>11</x:v>
      </x:c>
      <x:c r="R1257" s="13" t="n">
        <x:f>J1257+Q1257/1440</x:f>
        <x:v>46303.85416666667</x:v>
      </x:c>
      <x:c r="S1257" s="2" t="str">
        <x:f>VLOOKUP(C1257,'MES orders'!$A$8:$H$127,6,FALSE)</x:f>
        <x:v>Normal</x:v>
      </x:c>
      <x:c r="T1257" s="9" t="str"/>
    </x:row>
    <x:row r="1258" ht="22" customHeight="1">
      <x:c r="A1258" s="2" t="str">
        <x:v>L00293-060</x:v>
      </x:c>
      <x:c r="B1258" s="2" t="str">
        <x:v>L00293</x:v>
      </x:c>
      <x:c r="C1258" s="2" t="str">
        <x:v>SO-26059</x:v>
      </x:c>
      <x:c r="D1258" s="2" t="str">
        <x:v>R-L-AL</x:v>
      </x:c>
      <x:c r="E1258" s="14" t="n">
        <x:v>15</x:v>
      </x:c>
      <x:c r="F1258" s="2" t="str">
        <x:v>Final leak / function test</x:v>
      </x:c>
      <x:c r="G1258" s="9" t="str">
        <x:v>QA-03</x:v>
      </x:c>
      <x:c r="H1258" s="15" t="n">
        <x:v>55</x:v>
      </x:c>
      <x:c r="I1258" s="9" t="str">
        <x:v>P24</x:v>
      </x:c>
      <x:c r="J1258" s="11" t="n">
        <x:v>46303.84652777778</x:v>
      </x:c>
      <x:c r="K1258" s="15" t="n">
        <x:v>10</x:v>
      </x:c>
      <x:c r="L1258" s="15" t="n">
        <x:v>18</x:v>
      </x:c>
      <x:c r="M1258" s="13" t="n">
        <x:f>J1258+(K1258+L1258)/1440</x:f>
        <x:v>46303.86597222222</x:v>
      </x:c>
      <x:c r="N1258" s="13" t="n">
        <x:f>VLOOKUP(C1258,'MES orders'!$A$8:$H$127,5,FALSE)</x:f>
        <x:v>46304.666666666664</x:v>
      </x:c>
      <x:c r="O1258" s="16" t="n">
        <x:f>MAX(0,(M1258-N1258)*24)</x:f>
        <x:v>0</x:v>
      </x:c>
      <x:c r="P1258" s="9" t="str">
        <x:v>No</x:v>
      </x:c>
      <x:c r="Q1258" s="15" t="n">
        <x:v>28</x:v>
      </x:c>
      <x:c r="R1258" s="13" t="n">
        <x:f>J1258+Q1258/1440</x:f>
        <x:v>46303.86597222222</x:v>
      </x:c>
      <x:c r="S1258" s="2" t="str">
        <x:f>VLOOKUP(C1258,'MES orders'!$A$8:$H$127,6,FALSE)</x:f>
        <x:v>Normal</x:v>
      </x:c>
      <x:c r="T1258" s="9" t="str"/>
    </x:row>
    <x:row r="1259" ht="22" customHeight="1">
      <x:c r="A1259" s="2" t="str">
        <x:v>L00375-020</x:v>
      </x:c>
      <x:c r="B1259" s="2" t="str">
        <x:v>L00375</x:v>
      </x:c>
      <x:c r="C1259" s="2" t="str">
        <x:v>SO-26075</x:v>
      </x:c>
      <x:c r="D1259" s="2" t="str">
        <x:v>S-S-AL</x:v>
      </x:c>
      <x:c r="E1259" s="14" t="n">
        <x:v>25</x:v>
      </x:c>
      <x:c r="F1259" s="2" t="str">
        <x:v>Deburr &amp; inspect</x:v>
      </x:c>
      <x:c r="G1259" s="9" t="str">
        <x:v>DB-02</x:v>
      </x:c>
      <x:c r="H1259" s="15" t="n">
        <x:v>82</x:v>
      </x:c>
      <x:c r="I1259" s="9" t="str">
        <x:v>P14</x:v>
      </x:c>
      <x:c r="J1259" s="11" t="n">
        <x:v>46303.847916666666</x:v>
      </x:c>
      <x:c r="K1259" s="15" t="n">
        <x:v>4</x:v>
      </x:c>
      <x:c r="L1259" s="15" t="n">
        <x:v>18</x:v>
      </x:c>
      <x:c r="M1259" s="13" t="n">
        <x:f>J1259+(K1259+L1259)/1440</x:f>
        <x:v>46303.86319444444</x:v>
      </x:c>
      <x:c r="N1259" s="13" t="n">
        <x:f>VLOOKUP(C1259,'MES orders'!$A$8:$H$127,5,FALSE)</x:f>
        <x:v>46304.666666666664</x:v>
      </x:c>
      <x:c r="O1259" s="16" t="n">
        <x:f>MAX(0,(M1259-N1259)*24)</x:f>
        <x:v>0</x:v>
      </x:c>
      <x:c r="P1259" s="9" t="str">
        <x:v>No</x:v>
      </x:c>
      <x:c r="Q1259" s="15" t="n">
        <x:v>22</x:v>
      </x:c>
      <x:c r="R1259" s="13" t="n">
        <x:f>J1259+Q1259/1440</x:f>
        <x:v>46303.86319444444</x:v>
      </x:c>
      <x:c r="S1259" s="2" t="str">
        <x:f>VLOOKUP(C1259,'MES orders'!$A$8:$H$127,6,FALSE)</x:f>
        <x:v>Normal</x:v>
      </x:c>
      <x:c r="T1259" s="9" t="str"/>
    </x:row>
    <x:row r="1260" ht="22" customHeight="1">
      <x:c r="A1260" s="2" t="str">
        <x:v>L00413-010</x:v>
      </x:c>
      <x:c r="B1260" s="2" t="str">
        <x:v>L00413</x:v>
      </x:c>
      <x:c r="C1260" s="2" t="str">
        <x:v>SO-26083</x:v>
      </x:c>
      <x:c r="D1260" s="2" t="str">
        <x:v>S-L-AL</x:v>
      </x:c>
      <x:c r="E1260" s="14" t="n">
        <x:v>15</x:v>
      </x:c>
      <x:c r="F1260" s="2" t="str">
        <x:v>CNC machining</x:v>
      </x:c>
      <x:c r="G1260" s="9" t="str">
        <x:v>CNC-05</x:v>
      </x:c>
      <x:c r="H1260" s="15" t="n">
        <x:v>34</x:v>
      </x:c>
      <x:c r="I1260" s="9" t="str">
        <x:v>P15</x:v>
      </x:c>
      <x:c r="J1260" s="11" t="n">
        <x:v>46303.85</x:v>
      </x:c>
      <x:c r="K1260" s="15" t="n">
        <x:v>18</x:v>
      </x:c>
      <x:c r="L1260" s="15" t="n">
        <x:v>49</x:v>
      </x:c>
      <x:c r="M1260" s="13" t="n">
        <x:f>J1260+(K1260+L1260)/1440</x:f>
        <x:v>46303.896527777775</x:v>
      </x:c>
      <x:c r="N1260" s="13" t="n">
        <x:f>VLOOKUP(C1260,'MES orders'!$A$8:$H$127,5,FALSE)</x:f>
        <x:v>46304.666666666664</x:v>
      </x:c>
      <x:c r="O1260" s="16" t="n">
        <x:f>MAX(0,(M1260-N1260)*24)</x:f>
        <x:v>0</x:v>
      </x:c>
      <x:c r="P1260" s="9" t="str">
        <x:v>No</x:v>
      </x:c>
      <x:c r="Q1260" s="15" t="n">
        <x:v>18</x:v>
      </x:c>
      <x:c r="R1260" s="13" t="n">
        <x:f>J1260+Q1260/1440</x:f>
        <x:v>46303.862499999996</x:v>
      </x:c>
      <x:c r="S1260" s="2" t="str">
        <x:f>VLOOKUP(C1260,'MES orders'!$A$8:$H$127,6,FALSE)</x:f>
        <x:v>Normal</x:v>
      </x:c>
      <x:c r="T1260" s="9" t="str"/>
    </x:row>
    <x:row r="1261" ht="22" customHeight="1">
      <x:c r="A1261" s="2" t="str">
        <x:v>L00374-030</x:v>
      </x:c>
      <x:c r="B1261" s="2" t="str">
        <x:v>L00374</x:v>
      </x:c>
      <x:c r="C1261" s="2" t="str">
        <x:v>SO-26075</x:v>
      </x:c>
      <x:c r="D1261" s="2" t="str">
        <x:v>S-S-AL</x:v>
      </x:c>
      <x:c r="E1261" s="14" t="n">
        <x:v>25</x:v>
      </x:c>
      <x:c r="F1261" s="2" t="str">
        <x:v>Wash &amp; dry</x:v>
      </x:c>
      <x:c r="G1261" s="9" t="str">
        <x:v>WS-01</x:v>
      </x:c>
      <x:c r="H1261" s="15" t="n">
        <x:v>119</x:v>
      </x:c>
      <x:c r="I1261" s="9" t="str">
        <x:v>P13</x:v>
      </x:c>
      <x:c r="J1261" s="11" t="n">
        <x:v>46303.85277777778</x:v>
      </x:c>
      <x:c r="K1261" s="15" t="n">
        <x:v>12</x:v>
      </x:c>
      <x:c r="L1261" s="15" t="n">
        <x:v>9</x:v>
      </x:c>
      <x:c r="M1261" s="13" t="n">
        <x:f>J1261+(K1261+L1261)/1440</x:f>
        <x:v>46303.86736111111</x:v>
      </x:c>
      <x:c r="N1261" s="13" t="n">
        <x:f>VLOOKUP(C1261,'MES orders'!$A$8:$H$127,5,FALSE)</x:f>
        <x:v>46304.666666666664</x:v>
      </x:c>
      <x:c r="O1261" s="16" t="n">
        <x:f>MAX(0,(M1261-N1261)*24)</x:f>
        <x:v>0</x:v>
      </x:c>
      <x:c r="P1261" s="9" t="str">
        <x:v>No</x:v>
      </x:c>
      <x:c r="Q1261" s="15" t="n">
        <x:v>21</x:v>
      </x:c>
      <x:c r="R1261" s="13" t="n">
        <x:f>J1261+Q1261/1440</x:f>
        <x:v>46303.86736111111</x:v>
      </x:c>
      <x:c r="S1261" s="2" t="str">
        <x:f>VLOOKUP(C1261,'MES orders'!$A$8:$H$127,6,FALSE)</x:f>
        <x:v>Normal</x:v>
      </x:c>
      <x:c r="T1261" s="9" t="str"/>
    </x:row>
    <x:row r="1262" ht="22" customHeight="1">
      <x:c r="A1262" s="2" t="str">
        <x:v>L00452-020</x:v>
      </x:c>
      <x:c r="B1262" s="2" t="str">
        <x:v>L00452</x:v>
      </x:c>
      <x:c r="C1262" s="2" t="str">
        <x:v>SO-26091</x:v>
      </x:c>
      <x:c r="D1262" s="2" t="str">
        <x:v>D-C-AL</x:v>
      </x:c>
      <x:c r="E1262" s="14" t="n">
        <x:v>10</x:v>
      </x:c>
      <x:c r="F1262" s="2" t="str">
        <x:v>Deburr &amp; inspect</x:v>
      </x:c>
      <x:c r="G1262" s="9" t="str">
        <x:v>DB-01</x:v>
      </x:c>
      <x:c r="H1262" s="15" t="n">
        <x:v>121</x:v>
      </x:c>
      <x:c r="I1262" s="9" t="str">
        <x:v>P23</x:v>
      </x:c>
      <x:c r="J1262" s="11" t="n">
        <x:v>46303.853472222225</x:v>
      </x:c>
      <x:c r="K1262" s="15" t="n">
        <x:v>4</x:v>
      </x:c>
      <x:c r="L1262" s="15" t="n">
        <x:v>6</x:v>
      </x:c>
      <x:c r="M1262" s="13" t="n">
        <x:f>J1262+(K1262+L1262)/1440</x:f>
        <x:v>46303.86041666667</x:v>
      </x:c>
      <x:c r="N1262" s="13" t="n">
        <x:f>VLOOKUP(C1262,'MES orders'!$A$8:$H$127,5,FALSE)</x:f>
        <x:v>46304.666666666664</x:v>
      </x:c>
      <x:c r="O1262" s="16" t="n">
        <x:f>MAX(0,(M1262-N1262)*24)</x:f>
        <x:v>0</x:v>
      </x:c>
      <x:c r="P1262" s="9" t="str">
        <x:v>No</x:v>
      </x:c>
      <x:c r="Q1262" s="15" t="n">
        <x:v>10</x:v>
      </x:c>
      <x:c r="R1262" s="13" t="n">
        <x:f>J1262+Q1262/1440</x:f>
        <x:v>46303.86041666667</x:v>
      </x:c>
      <x:c r="S1262" s="2" t="str">
        <x:f>VLOOKUP(C1262,'MES orders'!$A$8:$H$127,6,FALSE)</x:f>
        <x:v>Normal</x:v>
      </x:c>
      <x:c r="T1262" s="9" t="str"/>
    </x:row>
    <x:row r="1263" ht="22" customHeight="1">
      <x:c r="A1263" s="2" t="str">
        <x:v>L00333-070</x:v>
      </x:c>
      <x:c r="B1263" s="2" t="str">
        <x:v>L00333</x:v>
      </x:c>
      <x:c r="C1263" s="2" t="str">
        <x:v>SO-26067</x:v>
      </x:c>
      <x:c r="D1263" s="2" t="str">
        <x:v>S-C-AL</x:v>
      </x:c>
      <x:c r="E1263" s="14" t="n">
        <x:v>10</x:v>
      </x:c>
      <x:c r="F1263" s="2" t="str">
        <x:v>Final assembly</x:v>
      </x:c>
      <x:c r="G1263" s="9" t="str">
        <x:v>AS-02</x:v>
      </x:c>
      <x:c r="H1263" s="15" t="n">
        <x:v>83</x:v>
      </x:c>
      <x:c r="I1263" s="9" t="str">
        <x:v>P18</x:v>
      </x:c>
      <x:c r="J1263" s="11" t="n">
        <x:v>46303.854166666664</x:v>
      </x:c>
      <x:c r="K1263" s="15" t="n">
        <x:v>5</x:v>
      </x:c>
      <x:c r="L1263" s="15" t="n">
        <x:v>6</x:v>
      </x:c>
      <x:c r="M1263" s="13" t="n">
        <x:f>J1263+(K1263+L1263)/1440</x:f>
        <x:v>46303.861805555556</x:v>
      </x:c>
      <x:c r="N1263" s="13" t="n">
        <x:f>VLOOKUP(C1263,'MES orders'!$A$8:$H$127,5,FALSE)</x:f>
        <x:v>46304.666666666664</x:v>
      </x:c>
      <x:c r="O1263" s="16" t="n">
        <x:f>MAX(0,(M1263-N1263)*24)</x:f>
        <x:v>0</x:v>
      </x:c>
      <x:c r="P1263" s="9" t="str">
        <x:v>No</x:v>
      </x:c>
      <x:c r="Q1263" s="15" t="n">
        <x:v>11</x:v>
      </x:c>
      <x:c r="R1263" s="13" t="n">
        <x:f>J1263+Q1263/1440</x:f>
        <x:v>46303.861805555556</x:v>
      </x:c>
      <x:c r="S1263" s="2" t="str">
        <x:f>VLOOKUP(C1263,'MES orders'!$A$8:$H$127,6,FALSE)</x:f>
        <x:v>Normal</x:v>
      </x:c>
      <x:c r="T1263" s="9" t="str"/>
    </x:row>
    <x:row r="1264" ht="22" customHeight="1">
      <x:c r="A1264" s="2" t="str">
        <x:v>L00451-050</x:v>
      </x:c>
      <x:c r="B1264" s="2" t="str">
        <x:v>L00451</x:v>
      </x:c>
      <x:c r="C1264" s="2" t="str">
        <x:v>SO-26091</x:v>
      </x:c>
      <x:c r="D1264" s="2" t="str">
        <x:v>D-C-AL</x:v>
      </x:c>
      <x:c r="E1264" s="14" t="n">
        <x:v>10</x:v>
      </x:c>
      <x:c r="F1264" s="2" t="str">
        <x:v>Final leak / function test</x:v>
      </x:c>
      <x:c r="G1264" s="9" t="str">
        <x:v>QA-01</x:v>
      </x:c>
      <x:c r="H1264" s="15" t="n">
        <x:v>51</x:v>
      </x:c>
      <x:c r="I1264" s="9" t="str">
        <x:v>P22</x:v>
      </x:c>
      <x:c r="J1264" s="11" t="n">
        <x:v>46303.85486111111</x:v>
      </x:c>
      <x:c r="K1264" s="15" t="n">
        <x:v>10</x:v>
      </x:c>
      <x:c r="L1264" s="15" t="n">
        <x:v>7</x:v>
      </x:c>
      <x:c r="M1264" s="13" t="n">
        <x:f>J1264+(K1264+L1264)/1440</x:f>
        <x:v>46303.86666666667</x:v>
      </x:c>
      <x:c r="N1264" s="13" t="n">
        <x:f>VLOOKUP(C1264,'MES orders'!$A$8:$H$127,5,FALSE)</x:f>
        <x:v>46304.666666666664</x:v>
      </x:c>
      <x:c r="O1264" s="16" t="n">
        <x:f>MAX(0,(M1264-N1264)*24)</x:f>
        <x:v>0</x:v>
      </x:c>
      <x:c r="P1264" s="9" t="str">
        <x:v>No</x:v>
      </x:c>
      <x:c r="Q1264" s="15" t="n">
        <x:v>17</x:v>
      </x:c>
      <x:c r="R1264" s="13" t="n">
        <x:f>J1264+Q1264/1440</x:f>
        <x:v>46303.86666666667</x:v>
      </x:c>
      <x:c r="S1264" s="2" t="str">
        <x:f>VLOOKUP(C1264,'MES orders'!$A$8:$H$127,6,FALSE)</x:f>
        <x:v>Normal</x:v>
      </x:c>
      <x:c r="T1264" s="9" t="str"/>
    </x:row>
    <x:row r="1265" ht="22" customHeight="1">
      <x:c r="A1265" s="2" t="str">
        <x:v>L00331-060</x:v>
      </x:c>
      <x:c r="B1265" s="2" t="str">
        <x:v>L00331</x:v>
      </x:c>
      <x:c r="C1265" s="2" t="str">
        <x:v>SO-26067</x:v>
      </x:c>
      <x:c r="D1265" s="2" t="str">
        <x:v>S-C-AL</x:v>
      </x:c>
      <x:c r="E1265" s="14" t="n">
        <x:v>10</x:v>
      </x:c>
      <x:c r="F1265" s="2" t="str">
        <x:v>Sensor calibration</x:v>
      </x:c>
      <x:c r="G1265" s="9" t="str">
        <x:v>CAL-01</x:v>
      </x:c>
      <x:c r="H1265" s="15" t="n">
        <x:v>59</x:v>
      </x:c>
      <x:c r="I1265" s="9" t="str">
        <x:v>P21</x:v>
      </x:c>
      <x:c r="J1265" s="11" t="n">
        <x:v>46303.856944444444</x:v>
      </x:c>
      <x:c r="K1265" s="15" t="n">
        <x:v>10</x:v>
      </x:c>
      <x:c r="L1265" s="15" t="n">
        <x:v>10</x:v>
      </x:c>
      <x:c r="M1265" s="13" t="n">
        <x:f>J1265+(K1265+L1265)/1440</x:f>
        <x:v>46303.870833333334</x:v>
      </x:c>
      <x:c r="N1265" s="13" t="n">
        <x:f>VLOOKUP(C1265,'MES orders'!$A$8:$H$127,5,FALSE)</x:f>
        <x:v>46304.666666666664</x:v>
      </x:c>
      <x:c r="O1265" s="16" t="n">
        <x:f>MAX(0,(M1265-N1265)*24)</x:f>
        <x:v>0</x:v>
      </x:c>
      <x:c r="P1265" s="9" t="str">
        <x:v>No</x:v>
      </x:c>
      <x:c r="Q1265" s="15" t="n">
        <x:v>20</x:v>
      </x:c>
      <x:c r="R1265" s="13" t="n">
        <x:f>J1265+Q1265/1440</x:f>
        <x:v>46303.870833333334</x:v>
      </x:c>
      <x:c r="S1265" s="2" t="str">
        <x:f>VLOOKUP(C1265,'MES orders'!$A$8:$H$127,6,FALSE)</x:f>
        <x:v>Normal</x:v>
      </x:c>
      <x:c r="T1265" s="9" t="str"/>
    </x:row>
    <x:row r="1266" ht="22" customHeight="1">
      <x:c r="A1266" s="2" t="str">
        <x:v>L00334-070</x:v>
      </x:c>
      <x:c r="B1266" s="2" t="str">
        <x:v>L00334</x:v>
      </x:c>
      <x:c r="C1266" s="2" t="str">
        <x:v>SO-26067</x:v>
      </x:c>
      <x:c r="D1266" s="2" t="str">
        <x:v>S-C-AL</x:v>
      </x:c>
      <x:c r="E1266" s="14" t="n">
        <x:v>10</x:v>
      </x:c>
      <x:c r="F1266" s="2" t="str">
        <x:v>Final assembly</x:v>
      </x:c>
      <x:c r="G1266" s="9" t="str">
        <x:v>AS-02</x:v>
      </x:c>
      <x:c r="H1266" s="15" t="n">
        <x:v>84</x:v>
      </x:c>
      <x:c r="I1266" s="9" t="str">
        <x:v>P18</x:v>
      </x:c>
      <x:c r="J1266" s="11" t="n">
        <x:v>46303.861805555556</x:v>
      </x:c>
      <x:c r="K1266" s="15" t="n">
        <x:v>5</x:v>
      </x:c>
      <x:c r="L1266" s="15" t="n">
        <x:v>6</x:v>
      </x:c>
      <x:c r="M1266" s="13" t="n">
        <x:f>J1266+(K1266+L1266)/1440</x:f>
        <x:v>46303.86944444445</x:v>
      </x:c>
      <x:c r="N1266" s="13" t="n">
        <x:f>VLOOKUP(C1266,'MES orders'!$A$8:$H$127,5,FALSE)</x:f>
        <x:v>46304.666666666664</x:v>
      </x:c>
      <x:c r="O1266" s="16" t="n">
        <x:f>MAX(0,(M1266-N1266)*24)</x:f>
        <x:v>0</x:v>
      </x:c>
      <x:c r="P1266" s="9" t="str">
        <x:v>No</x:v>
      </x:c>
      <x:c r="Q1266" s="15" t="n">
        <x:v>11</x:v>
      </x:c>
      <x:c r="R1266" s="13" t="n">
        <x:f>J1266+Q1266/1440</x:f>
        <x:v>46303.86944444445</x:v>
      </x:c>
      <x:c r="S1266" s="2" t="str">
        <x:f>VLOOKUP(C1266,'MES orders'!$A$8:$H$127,6,FALSE)</x:f>
        <x:v>Normal</x:v>
      </x:c>
      <x:c r="T1266" s="9" t="str"/>
    </x:row>
    <x:row r="1267" ht="22" customHeight="1">
      <x:c r="A1267" s="2" t="str">
        <x:v>L00414-010</x:v>
      </x:c>
      <x:c r="B1267" s="2" t="str">
        <x:v>L00414</x:v>
      </x:c>
      <x:c r="C1267" s="2" t="str">
        <x:v>SO-26083</x:v>
      </x:c>
      <x:c r="D1267" s="2" t="str">
        <x:v>S-L-AL</x:v>
      </x:c>
      <x:c r="E1267" s="14" t="n">
        <x:v>15</x:v>
      </x:c>
      <x:c r="F1267" s="2" t="str">
        <x:v>CNC machining</x:v>
      </x:c>
      <x:c r="G1267" s="9" t="str">
        <x:v>CNC-06</x:v>
      </x:c>
      <x:c r="H1267" s="15" t="n">
        <x:v>31</x:v>
      </x:c>
      <x:c r="I1267" s="9" t="str">
        <x:v>P15</x:v>
      </x:c>
      <x:c r="J1267" s="11" t="n">
        <x:v>46303.8625</x:v>
      </x:c>
      <x:c r="K1267" s="15" t="n">
        <x:v>18</x:v>
      </x:c>
      <x:c r="L1267" s="15" t="n">
        <x:v>49</x:v>
      </x:c>
      <x:c r="M1267" s="13" t="n">
        <x:f>J1267+(K1267+L1267)/1440</x:f>
        <x:v>46303.90902777778</x:v>
      </x:c>
      <x:c r="N1267" s="13" t="n">
        <x:f>VLOOKUP(C1267,'MES orders'!$A$8:$H$127,5,FALSE)</x:f>
        <x:v>46304.666666666664</x:v>
      </x:c>
      <x:c r="O1267" s="16" t="n">
        <x:f>MAX(0,(M1267-N1267)*24)</x:f>
        <x:v>0</x:v>
      </x:c>
      <x:c r="P1267" s="9" t="str">
        <x:v>No</x:v>
      </x:c>
      <x:c r="Q1267" s="15" t="n">
        <x:v>18</x:v>
      </x:c>
      <x:c r="R1267" s="13" t="n">
        <x:f>J1267+Q1267/1440</x:f>
        <x:v>46303.875</x:v>
      </x:c>
      <x:c r="S1267" s="2" t="str">
        <x:f>VLOOKUP(C1267,'MES orders'!$A$8:$H$127,6,FALSE)</x:f>
        <x:v>Normal</x:v>
      </x:c>
      <x:c r="T1267" s="9" t="str"/>
    </x:row>
    <x:row r="1268" ht="22" customHeight="1">
      <x:c r="A1268" s="2" t="str">
        <x:v>L00453-020</x:v>
      </x:c>
      <x:c r="B1268" s="2" t="str">
        <x:v>L00453</x:v>
      </x:c>
      <x:c r="C1268" s="2" t="str">
        <x:v>SO-26091</x:v>
      </x:c>
      <x:c r="D1268" s="2" t="str">
        <x:v>D-C-AL</x:v>
      </x:c>
      <x:c r="E1268" s="14" t="n">
        <x:v>10</x:v>
      </x:c>
      <x:c r="F1268" s="2" t="str">
        <x:v>Deburr &amp; inspect</x:v>
      </x:c>
      <x:c r="G1268" s="9" t="str">
        <x:v>DB-02</x:v>
      </x:c>
      <x:c r="H1268" s="15" t="n">
        <x:v>83</x:v>
      </x:c>
      <x:c r="I1268" s="9" t="str">
        <x:v>P19</x:v>
      </x:c>
      <x:c r="J1268" s="11" t="n">
        <x:v>46303.86319444444</x:v>
      </x:c>
      <x:c r="K1268" s="15" t="n">
        <x:v>4</x:v>
      </x:c>
      <x:c r="L1268" s="15" t="n">
        <x:v>6</x:v>
      </x:c>
      <x:c r="M1268" s="13" t="n">
        <x:f>J1268+(K1268+L1268)/1440</x:f>
        <x:v>46303.87013888889</x:v>
      </x:c>
      <x:c r="N1268" s="13" t="n">
        <x:f>VLOOKUP(C1268,'MES orders'!$A$8:$H$127,5,FALSE)</x:f>
        <x:v>46304.666666666664</x:v>
      </x:c>
      <x:c r="O1268" s="16" t="n">
        <x:f>MAX(0,(M1268-N1268)*24)</x:f>
        <x:v>0</x:v>
      </x:c>
      <x:c r="P1268" s="9" t="str">
        <x:v>No</x:v>
      </x:c>
      <x:c r="Q1268" s="15" t="n">
        <x:v>10</x:v>
      </x:c>
      <x:c r="R1268" s="13" t="n">
        <x:f>J1268+Q1268/1440</x:f>
        <x:v>46303.87013888889</x:v>
      </x:c>
      <x:c r="S1268" s="2" t="str">
        <x:f>VLOOKUP(C1268,'MES orders'!$A$8:$H$127,6,FALSE)</x:f>
        <x:v>Normal</x:v>
      </x:c>
      <x:c r="T1268" s="9" t="str"/>
    </x:row>
    <x:row r="1269" ht="22" customHeight="1">
      <x:c r="A1269" s="2" t="str">
        <x:v>L00375-030</x:v>
      </x:c>
      <x:c r="B1269" s="2" t="str">
        <x:v>L00375</x:v>
      </x:c>
      <x:c r="C1269" s="2" t="str">
        <x:v>SO-26075</x:v>
      </x:c>
      <x:c r="D1269" s="2" t="str">
        <x:v>S-S-AL</x:v>
      </x:c>
      <x:c r="E1269" s="14" t="n">
        <x:v>25</x:v>
      </x:c>
      <x:c r="F1269" s="2" t="str">
        <x:v>Wash &amp; dry</x:v>
      </x:c>
      <x:c r="G1269" s="9" t="str">
        <x:v>WS-02</x:v>
      </x:c>
      <x:c r="H1269" s="15" t="n">
        <x:v>83</x:v>
      </x:c>
      <x:c r="I1269" s="9" t="str">
        <x:v>P14</x:v>
      </x:c>
      <x:c r="J1269" s="11" t="n">
        <x:v>46303.86319444444</x:v>
      </x:c>
      <x:c r="K1269" s="15" t="n">
        <x:v>12</x:v>
      </x:c>
      <x:c r="L1269" s="15" t="n">
        <x:v>9</x:v>
      </x:c>
      <x:c r="M1269" s="13" t="n">
        <x:f>J1269+(K1269+L1269)/1440</x:f>
        <x:v>46303.87777777777</x:v>
      </x:c>
      <x:c r="N1269" s="13" t="n">
        <x:f>VLOOKUP(C1269,'MES orders'!$A$8:$H$127,5,FALSE)</x:f>
        <x:v>46304.666666666664</x:v>
      </x:c>
      <x:c r="O1269" s="16" t="n">
        <x:f>MAX(0,(M1269-N1269)*24)</x:f>
        <x:v>0</x:v>
      </x:c>
      <x:c r="P1269" s="9" t="str">
        <x:v>No</x:v>
      </x:c>
      <x:c r="Q1269" s="15" t="n">
        <x:v>21</x:v>
      </x:c>
      <x:c r="R1269" s="13" t="n">
        <x:f>J1269+Q1269/1440</x:f>
        <x:v>46303.87777777777</x:v>
      </x:c>
      <x:c r="S1269" s="2" t="str">
        <x:f>VLOOKUP(C1269,'MES orders'!$A$8:$H$127,6,FALSE)</x:f>
        <x:v>Normal</x:v>
      </x:c>
      <x:c r="T1269" s="9" t="str"/>
    </x:row>
    <x:row r="1270" ht="22" customHeight="1">
      <x:c r="A1270" s="2" t="str">
        <x:v>L00335-020</x:v>
      </x:c>
      <x:c r="B1270" s="2" t="str">
        <x:v>L00335</x:v>
      </x:c>
      <x:c r="C1270" s="2" t="str">
        <x:v>SO-26067</x:v>
      </x:c>
      <x:c r="D1270" s="2" t="str">
        <x:v>S-C-AL</x:v>
      </x:c>
      <x:c r="E1270" s="14" t="n">
        <x:v>10</x:v>
      </x:c>
      <x:c r="F1270" s="2" t="str">
        <x:v>Deburr &amp; inspect</x:v>
      </x:c>
      <x:c r="G1270" s="9" t="str">
        <x:v>DB-01</x:v>
      </x:c>
      <x:c r="H1270" s="15" t="n">
        <x:v>122</x:v>
      </x:c>
      <x:c r="I1270" s="9" t="str">
        <x:v>P17</x:v>
      </x:c>
      <x:c r="J1270" s="11" t="n">
        <x:v>46303.864583333336</x:v>
      </x:c>
      <x:c r="K1270" s="15" t="n">
        <x:v>4</x:v>
      </x:c>
      <x:c r="L1270" s="15" t="n">
        <x:v>6</x:v>
      </x:c>
      <x:c r="M1270" s="13" t="n">
        <x:f>J1270+(K1270+L1270)/1440</x:f>
        <x:v>46303.87152777778</x:v>
      </x:c>
      <x:c r="N1270" s="13" t="n">
        <x:f>VLOOKUP(C1270,'MES orders'!$A$8:$H$127,5,FALSE)</x:f>
        <x:v>46304.666666666664</x:v>
      </x:c>
      <x:c r="O1270" s="16" t="n">
        <x:f>MAX(0,(M1270-N1270)*24)</x:f>
        <x:v>0</x:v>
      </x:c>
      <x:c r="P1270" s="9" t="str">
        <x:v>No</x:v>
      </x:c>
      <x:c r="Q1270" s="15" t="n">
        <x:v>10</x:v>
      </x:c>
      <x:c r="R1270" s="13" t="n">
        <x:f>J1270+Q1270/1440</x:f>
        <x:v>46303.87152777778</x:v>
      </x:c>
      <x:c r="S1270" s="2" t="str">
        <x:f>VLOOKUP(C1270,'MES orders'!$A$8:$H$127,6,FALSE)</x:f>
        <x:v>Normal</x:v>
      </x:c>
      <x:c r="T1270" s="9" t="str"/>
    </x:row>
    <x:row r="1271" ht="22" customHeight="1">
      <x:c r="A1271" s="2" t="str">
        <x:v>L00294-060</x:v>
      </x:c>
      <x:c r="B1271" s="2" t="str">
        <x:v>L00294</x:v>
      </x:c>
      <x:c r="C1271" s="2" t="str">
        <x:v>SO-26059</x:v>
      </x:c>
      <x:c r="D1271" s="2" t="str">
        <x:v>R-L-AL</x:v>
      </x:c>
      <x:c r="E1271" s="14" t="n">
        <x:v>15</x:v>
      </x:c>
      <x:c r="F1271" s="2" t="str">
        <x:v>Final leak / function test</x:v>
      </x:c>
      <x:c r="G1271" s="9" t="str">
        <x:v>QA-02</x:v>
      </x:c>
      <x:c r="H1271" s="15" t="n">
        <x:v>89</x:v>
      </x:c>
      <x:c r="I1271" s="9" t="str">
        <x:v>P23</x:v>
      </x:c>
      <x:c r="J1271" s="11" t="n">
        <x:v>46303.864583333336</x:v>
      </x:c>
      <x:c r="K1271" s="15" t="n">
        <x:v>10</x:v>
      </x:c>
      <x:c r="L1271" s="15" t="n">
        <x:v>18</x:v>
      </x:c>
      <x:c r="M1271" s="13" t="n">
        <x:f>J1271+(K1271+L1271)/1440</x:f>
        <x:v>46303.88402777778</x:v>
      </x:c>
      <x:c r="N1271" s="13" t="n">
        <x:f>VLOOKUP(C1271,'MES orders'!$A$8:$H$127,5,FALSE)</x:f>
        <x:v>46304.666666666664</x:v>
      </x:c>
      <x:c r="O1271" s="16" t="n">
        <x:f>MAX(0,(M1271-N1271)*24)</x:f>
        <x:v>0</x:v>
      </x:c>
      <x:c r="P1271" s="9" t="str">
        <x:v>No</x:v>
      </x:c>
      <x:c r="Q1271" s="15" t="n">
        <x:v>28</x:v>
      </x:c>
      <x:c r="R1271" s="13" t="n">
        <x:f>J1271+Q1271/1440</x:f>
        <x:v>46303.88402777778</x:v>
      </x:c>
      <x:c r="S1271" s="2" t="str">
        <x:f>VLOOKUP(C1271,'MES orders'!$A$8:$H$127,6,FALSE)</x:f>
        <x:v>Normal</x:v>
      </x:c>
      <x:c r="T1271" s="9" t="str"/>
    </x:row>
    <x:row r="1272" ht="22" customHeight="1">
      <x:c r="A1272" s="2" t="str">
        <x:v>L00332-080</x:v>
      </x:c>
      <x:c r="B1272" s="2" t="str">
        <x:v>L00332</x:v>
      </x:c>
      <x:c r="C1272" s="2" t="str">
        <x:v>SO-26067</x:v>
      </x:c>
      <x:c r="D1272" s="2" t="str">
        <x:v>S-C-AL</x:v>
      </x:c>
      <x:c r="E1272" s="14" t="n">
        <x:v>10</x:v>
      </x:c>
      <x:c r="F1272" s="2" t="str">
        <x:v>Final leak / function test</x:v>
      </x:c>
      <x:c r="G1272" s="9" t="str">
        <x:v>QA-03</x:v>
      </x:c>
      <x:c r="H1272" s="15" t="n">
        <x:v>56</x:v>
      </x:c>
      <x:c r="I1272" s="9" t="str">
        <x:v>P24</x:v>
      </x:c>
      <x:c r="J1272" s="11" t="n">
        <x:v>46303.86597222222</x:v>
      </x:c>
      <x:c r="K1272" s="15" t="n">
        <x:v>10</x:v>
      </x:c>
      <x:c r="L1272" s="15" t="n">
        <x:v>7</x:v>
      </x:c>
      <x:c r="M1272" s="13" t="n">
        <x:f>J1272+(K1272+L1272)/1440</x:f>
        <x:v>46303.87777777778</x:v>
      </x:c>
      <x:c r="N1272" s="13" t="n">
        <x:f>VLOOKUP(C1272,'MES orders'!$A$8:$H$127,5,FALSE)</x:f>
        <x:v>46304.666666666664</x:v>
      </x:c>
      <x:c r="O1272" s="16" t="n">
        <x:f>MAX(0,(M1272-N1272)*24)</x:f>
        <x:v>0</x:v>
      </x:c>
      <x:c r="P1272" s="9" t="str">
        <x:v>No</x:v>
      </x:c>
      <x:c r="Q1272" s="15" t="n">
        <x:v>17</x:v>
      </x:c>
      <x:c r="R1272" s="13" t="n">
        <x:f>J1272+Q1272/1440</x:f>
        <x:v>46303.87777777778</x:v>
      </x:c>
      <x:c r="S1272" s="2" t="str">
        <x:f>VLOOKUP(C1272,'MES orders'!$A$8:$H$127,6,FALSE)</x:f>
        <x:v>Normal</x:v>
      </x:c>
      <x:c r="T1272" s="9" t="str"/>
    </x:row>
    <x:row r="1273" ht="22" customHeight="1">
      <x:c r="A1273" s="2" t="str">
        <x:v>L00374-040</x:v>
      </x:c>
      <x:c r="B1273" s="2" t="str">
        <x:v>L00374</x:v>
      </x:c>
      <x:c r="C1273" s="2" t="str">
        <x:v>SO-26075</x:v>
      </x:c>
      <x:c r="D1273" s="2" t="str">
        <x:v>S-S-AL</x:v>
      </x:c>
      <x:c r="E1273" s="14" t="n">
        <x:v>25</x:v>
      </x:c>
      <x:c r="F1273" s="2" t="str">
        <x:v>Mechanical preassembly</x:v>
      </x:c>
      <x:c r="G1273" s="9" t="str">
        <x:v>AS-04</x:v>
      </x:c>
      <x:c r="H1273" s="15" t="n">
        <x:v>44</x:v>
      </x:c>
      <x:c r="I1273" s="9" t="str">
        <x:v>P13</x:v>
      </x:c>
      <x:c r="J1273" s="11" t="n">
        <x:v>46303.86736111111</x:v>
      </x:c>
      <x:c r="K1273" s="15" t="n">
        <x:v>6</x:v>
      </x:c>
      <x:c r="L1273" s="15" t="n">
        <x:v>28</x:v>
      </x:c>
      <x:c r="M1273" s="13" t="n">
        <x:f>J1273+(K1273+L1273)/1440</x:f>
        <x:v>46303.890972222216</x:v>
      </x:c>
      <x:c r="N1273" s="13" t="n">
        <x:f>VLOOKUP(C1273,'MES orders'!$A$8:$H$127,5,FALSE)</x:f>
        <x:v>46304.666666666664</x:v>
      </x:c>
      <x:c r="O1273" s="16" t="n">
        <x:f>MAX(0,(M1273-N1273)*24)</x:f>
        <x:v>0</x:v>
      </x:c>
      <x:c r="P1273" s="9" t="str">
        <x:v>No</x:v>
      </x:c>
      <x:c r="Q1273" s="15" t="n">
        <x:v>34</x:v>
      </x:c>
      <x:c r="R1273" s="13" t="n">
        <x:f>J1273+Q1273/1440</x:f>
        <x:v>46303.890972222216</x:v>
      </x:c>
      <x:c r="S1273" s="2" t="str">
        <x:f>VLOOKUP(C1273,'MES orders'!$A$8:$H$127,6,FALSE)</x:f>
        <x:v>Normal</x:v>
      </x:c>
      <x:c r="T1273" s="9" t="str"/>
    </x:row>
    <x:row r="1274" ht="22" customHeight="1">
      <x:c r="A1274" s="2" t="str">
        <x:v>L00331-070</x:v>
      </x:c>
      <x:c r="B1274" s="2" t="str">
        <x:v>L00331</x:v>
      </x:c>
      <x:c r="C1274" s="2" t="str">
        <x:v>SO-26067</x:v>
      </x:c>
      <x:c r="D1274" s="2" t="str">
        <x:v>S-C-AL</x:v>
      </x:c>
      <x:c r="E1274" s="14" t="n">
        <x:v>10</x:v>
      </x:c>
      <x:c r="F1274" s="2" t="str">
        <x:v>Final assembly</x:v>
      </x:c>
      <x:c r="G1274" s="9" t="str">
        <x:v>AS-02</x:v>
      </x:c>
      <x:c r="H1274" s="15" t="n">
        <x:v>85</x:v>
      </x:c>
      <x:c r="I1274" s="9" t="str">
        <x:v>P18</x:v>
      </x:c>
      <x:c r="J1274" s="11" t="n">
        <x:v>46303.870833333334</x:v>
      </x:c>
      <x:c r="K1274" s="15" t="n">
        <x:v>5</x:v>
      </x:c>
      <x:c r="L1274" s="15" t="n">
        <x:v>6</x:v>
      </x:c>
      <x:c r="M1274" s="13" t="n">
        <x:f>J1274+(K1274+L1274)/1440</x:f>
        <x:v>46303.878472222226</x:v>
      </x:c>
      <x:c r="N1274" s="13" t="n">
        <x:f>VLOOKUP(C1274,'MES orders'!$A$8:$H$127,5,FALSE)</x:f>
        <x:v>46304.666666666664</x:v>
      </x:c>
      <x:c r="O1274" s="16" t="n">
        <x:f>MAX(0,(M1274-N1274)*24)</x:f>
        <x:v>0</x:v>
      </x:c>
      <x:c r="P1274" s="9" t="str">
        <x:v>No</x:v>
      </x:c>
      <x:c r="Q1274" s="15" t="n">
        <x:v>11</x:v>
      </x:c>
      <x:c r="R1274" s="13" t="n">
        <x:f>J1274+Q1274/1440</x:f>
        <x:v>46303.878472222226</x:v>
      </x:c>
      <x:c r="S1274" s="2" t="str">
        <x:f>VLOOKUP(C1274,'MES orders'!$A$8:$H$127,6,FALSE)</x:f>
        <x:v>Normal</x:v>
      </x:c>
      <x:c r="T1274" s="9" t="str"/>
    </x:row>
    <x:row r="1275" ht="22" customHeight="1">
      <x:c r="A1275" s="2" t="str">
        <x:v>L00295-050</x:v>
      </x:c>
      <x:c r="B1275" s="2" t="str">
        <x:v>L00295</x:v>
      </x:c>
      <x:c r="C1275" s="2" t="str">
        <x:v>SO-26059</x:v>
      </x:c>
      <x:c r="D1275" s="2" t="str">
        <x:v>R-L-AL</x:v>
      </x:c>
      <x:c r="E1275" s="14" t="n">
        <x:v>15</x:v>
      </x:c>
      <x:c r="F1275" s="2" t="str">
        <x:v>Valve adjustment</x:v>
      </x:c>
      <x:c r="G1275" s="9" t="str">
        <x:v>AS-01</x:v>
      </x:c>
      <x:c r="H1275" s="15" t="n">
        <x:v>102</x:v>
      </x:c>
      <x:c r="I1275" s="9" t="str">
        <x:v>P17</x:v>
      </x:c>
      <x:c r="J1275" s="11" t="n">
        <x:v>46303.87569444445</x:v>
      </x:c>
      <x:c r="K1275" s="15" t="n">
        <x:v>6</x:v>
      </x:c>
      <x:c r="L1275" s="15" t="n">
        <x:v>22</x:v>
      </x:c>
      <x:c r="M1275" s="13" t="n">
        <x:f>J1275+(K1275+L1275)/1440</x:f>
        <x:v>46303.89513888889</x:v>
      </x:c>
      <x:c r="N1275" s="13" t="n">
        <x:f>VLOOKUP(C1275,'MES orders'!$A$8:$H$127,5,FALSE)</x:f>
        <x:v>46304.666666666664</x:v>
      </x:c>
      <x:c r="O1275" s="16" t="n">
        <x:f>MAX(0,(M1275-N1275)*24)</x:f>
        <x:v>0</x:v>
      </x:c>
      <x:c r="P1275" s="9" t="str">
        <x:v>No</x:v>
      </x:c>
      <x:c r="Q1275" s="15" t="n">
        <x:v>28</x:v>
      </x:c>
      <x:c r="R1275" s="13" t="n">
        <x:f>J1275+Q1275/1440</x:f>
        <x:v>46303.89513888889</x:v>
      </x:c>
      <x:c r="S1275" s="2" t="str">
        <x:f>VLOOKUP(C1275,'MES orders'!$A$8:$H$127,6,FALSE)</x:f>
        <x:v>Normal</x:v>
      </x:c>
      <x:c r="T1275" s="9" t="str"/>
    </x:row>
    <x:row r="1276" ht="22" customHeight="1">
      <x:c r="A1276" s="2" t="str">
        <x:v>L00335-030</x:v>
      </x:c>
      <x:c r="B1276" s="2" t="str">
        <x:v>L00335</x:v>
      </x:c>
      <x:c r="C1276" s="2" t="str">
        <x:v>SO-26067</x:v>
      </x:c>
      <x:c r="D1276" s="2" t="str">
        <x:v>S-C-AL</x:v>
      </x:c>
      <x:c r="E1276" s="14" t="n">
        <x:v>10</x:v>
      </x:c>
      <x:c r="F1276" s="2" t="str">
        <x:v>Wash &amp; dry</x:v>
      </x:c>
      <x:c r="G1276" s="9" t="str">
        <x:v>WS-01</x:v>
      </x:c>
      <x:c r="H1276" s="15" t="n">
        <x:v>120</x:v>
      </x:c>
      <x:c r="I1276" s="9" t="str">
        <x:v>P16</x:v>
      </x:c>
      <x:c r="J1276" s="11" t="n">
        <x:v>46303.87569444445</x:v>
      </x:c>
      <x:c r="K1276" s="15" t="n">
        <x:v>12</x:v>
      </x:c>
      <x:c r="L1276" s="15" t="n">
        <x:v>3</x:v>
      </x:c>
      <x:c r="M1276" s="13" t="n">
        <x:f>J1276+(K1276+L1276)/1440</x:f>
        <x:v>46303.88611111111</x:v>
      </x:c>
      <x:c r="N1276" s="13" t="n">
        <x:f>VLOOKUP(C1276,'MES orders'!$A$8:$H$127,5,FALSE)</x:f>
        <x:v>46304.666666666664</x:v>
      </x:c>
      <x:c r="O1276" s="16" t="n">
        <x:f>MAX(0,(M1276-N1276)*24)</x:f>
        <x:v>0</x:v>
      </x:c>
      <x:c r="P1276" s="9" t="str">
        <x:v>No</x:v>
      </x:c>
      <x:c r="Q1276" s="15" t="n">
        <x:v>15</x:v>
      </x:c>
      <x:c r="R1276" s="13" t="n">
        <x:f>J1276+Q1276/1440</x:f>
        <x:v>46303.88611111111</x:v>
      </x:c>
      <x:c r="S1276" s="2" t="str">
        <x:f>VLOOKUP(C1276,'MES orders'!$A$8:$H$127,6,FALSE)</x:f>
        <x:v>Normal</x:v>
      </x:c>
      <x:c r="T1276" s="9" t="str"/>
    </x:row>
    <x:row r="1277" ht="22" customHeight="1">
      <x:c r="A1277" s="2" t="str">
        <x:v>L00375-040</x:v>
      </x:c>
      <x:c r="B1277" s="2" t="str">
        <x:v>L00375</x:v>
      </x:c>
      <x:c r="C1277" s="2" t="str">
        <x:v>SO-26075</x:v>
      </x:c>
      <x:c r="D1277" s="2" t="str">
        <x:v>S-S-AL</x:v>
      </x:c>
      <x:c r="E1277" s="14" t="n">
        <x:v>25</x:v>
      </x:c>
      <x:c r="F1277" s="2" t="str">
        <x:v>Mechanical preassembly</x:v>
      </x:c>
      <x:c r="G1277" s="9" t="str">
        <x:v>AS-03</x:v>
      </x:c>
      <x:c r="H1277" s="15" t="n">
        <x:v>66</x:v>
      </x:c>
      <x:c r="I1277" s="9" t="str">
        <x:v>P14</x:v>
      </x:c>
      <x:c r="J1277" s="11" t="n">
        <x:v>46303.87777777778</x:v>
      </x:c>
      <x:c r="K1277" s="15" t="n">
        <x:v>6</x:v>
      </x:c>
      <x:c r="L1277" s="15" t="n">
        <x:v>28</x:v>
      </x:c>
      <x:c r="M1277" s="13" t="n">
        <x:f>J1277+(K1277+L1277)/1440</x:f>
        <x:v>46303.90138888889</x:v>
      </x:c>
      <x:c r="N1277" s="13" t="n">
        <x:f>VLOOKUP(C1277,'MES orders'!$A$8:$H$127,5,FALSE)</x:f>
        <x:v>46304.666666666664</x:v>
      </x:c>
      <x:c r="O1277" s="16" t="n">
        <x:f>MAX(0,(M1277-N1277)*24)</x:f>
        <x:v>0</x:v>
      </x:c>
      <x:c r="P1277" s="9" t="str">
        <x:v>No</x:v>
      </x:c>
      <x:c r="Q1277" s="15" t="n">
        <x:v>34</x:v>
      </x:c>
      <x:c r="R1277" s="13" t="n">
        <x:f>J1277+Q1277/1440</x:f>
        <x:v>46303.90138888889</x:v>
      </x:c>
      <x:c r="S1277" s="2" t="str">
        <x:f>VLOOKUP(C1277,'MES orders'!$A$8:$H$127,6,FALSE)</x:f>
        <x:v>Normal</x:v>
      </x:c>
      <x:c r="T1277" s="9" t="str"/>
    </x:row>
    <x:row r="1278" ht="22" customHeight="1">
      <x:c r="A1278" s="2" t="str">
        <x:v>L00452-030</x:v>
      </x:c>
      <x:c r="B1278" s="2" t="str">
        <x:v>L00452</x:v>
      </x:c>
      <x:c r="C1278" s="2" t="str">
        <x:v>SO-26091</x:v>
      </x:c>
      <x:c r="D1278" s="2" t="str">
        <x:v>D-C-AL</x:v>
      </x:c>
      <x:c r="E1278" s="14" t="n">
        <x:v>10</x:v>
      </x:c>
      <x:c r="F1278" s="2" t="str">
        <x:v>Wash &amp; dry</x:v>
      </x:c>
      <x:c r="G1278" s="9" t="str">
        <x:v>WS-02</x:v>
      </x:c>
      <x:c r="H1278" s="15" t="n">
        <x:v>84</x:v>
      </x:c>
      <x:c r="I1278" s="9" t="str">
        <x:v>P19</x:v>
      </x:c>
      <x:c r="J1278" s="11" t="n">
        <x:v>46303.87777777778</x:v>
      </x:c>
      <x:c r="K1278" s="15" t="n">
        <x:v>12</x:v>
      </x:c>
      <x:c r="L1278" s="15" t="n">
        <x:v>3</x:v>
      </x:c>
      <x:c r="M1278" s="13" t="n">
        <x:f>J1278+(K1278+L1278)/1440</x:f>
        <x:v>46303.888194444444</x:v>
      </x:c>
      <x:c r="N1278" s="13" t="n">
        <x:f>VLOOKUP(C1278,'MES orders'!$A$8:$H$127,5,FALSE)</x:f>
        <x:v>46304.666666666664</x:v>
      </x:c>
      <x:c r="O1278" s="16" t="n">
        <x:f>MAX(0,(M1278-N1278)*24)</x:f>
        <x:v>0</x:v>
      </x:c>
      <x:c r="P1278" s="9" t="str">
        <x:v>No</x:v>
      </x:c>
      <x:c r="Q1278" s="15" t="n">
        <x:v>15</x:v>
      </x:c>
      <x:c r="R1278" s="13" t="n">
        <x:f>J1278+Q1278/1440</x:f>
        <x:v>46303.888194444444</x:v>
      </x:c>
      <x:c r="S1278" s="2" t="str">
        <x:f>VLOOKUP(C1278,'MES orders'!$A$8:$H$127,6,FALSE)</x:f>
        <x:v>Normal</x:v>
      </x:c>
      <x:c r="T1278" s="9" t="str"/>
    </x:row>
    <x:row r="1279" ht="22" customHeight="1">
      <x:c r="A1279" s="2" t="str">
        <x:v>L00371-020</x:v>
      </x:c>
      <x:c r="B1279" s="2" t="str">
        <x:v>L00371</x:v>
      </x:c>
      <x:c r="C1279" s="2" t="str">
        <x:v>SO-26075</x:v>
      </x:c>
      <x:c r="D1279" s="2" t="str">
        <x:v>S-S-AL</x:v>
      </x:c>
      <x:c r="E1279" s="14" t="n">
        <x:v>25</x:v>
      </x:c>
      <x:c r="F1279" s="2" t="str">
        <x:v>Deburr &amp; inspect</x:v>
      </x:c>
      <x:c r="G1279" s="9" t="str">
        <x:v>DB-01</x:v>
      </x:c>
      <x:c r="H1279" s="15" t="n">
        <x:v>123</x:v>
      </x:c>
      <x:c r="I1279" s="9" t="str">
        <x:v>P18</x:v>
      </x:c>
      <x:c r="J1279" s="11" t="n">
        <x:v>46303.87847222222</x:v>
      </x:c>
      <x:c r="K1279" s="15" t="n">
        <x:v>4</x:v>
      </x:c>
      <x:c r="L1279" s="15" t="n">
        <x:v>18</x:v>
      </x:c>
      <x:c r="M1279" s="13" t="n">
        <x:f>J1279+(K1279+L1279)/1440</x:f>
        <x:v>46303.893749999996</x:v>
      </x:c>
      <x:c r="N1279" s="13" t="n">
        <x:f>VLOOKUP(C1279,'MES orders'!$A$8:$H$127,5,FALSE)</x:f>
        <x:v>46304.666666666664</x:v>
      </x:c>
      <x:c r="O1279" s="16" t="n">
        <x:f>MAX(0,(M1279-N1279)*24)</x:f>
        <x:v>0</x:v>
      </x:c>
      <x:c r="P1279" s="9" t="str">
        <x:v>No</x:v>
      </x:c>
      <x:c r="Q1279" s="15" t="n">
        <x:v>22</x:v>
      </x:c>
      <x:c r="R1279" s="13" t="n">
        <x:f>J1279+Q1279/1440</x:f>
        <x:v>46303.893749999996</x:v>
      </x:c>
      <x:c r="S1279" s="2" t="str">
        <x:f>VLOOKUP(C1279,'MES orders'!$A$8:$H$127,6,FALSE)</x:f>
        <x:v>Normal</x:v>
      </x:c>
      <x:c r="T1279" s="9" t="str"/>
    </x:row>
    <x:row r="1280" ht="22" customHeight="1">
      <x:c r="A1280" s="2" t="str">
        <x:v>L00331-080</x:v>
      </x:c>
      <x:c r="B1280" s="2" t="str">
        <x:v>L00331</x:v>
      </x:c>
      <x:c r="C1280" s="2" t="str">
        <x:v>SO-26067</x:v>
      </x:c>
      <x:c r="D1280" s="2" t="str">
        <x:v>S-C-AL</x:v>
      </x:c>
      <x:c r="E1280" s="14" t="n">
        <x:v>10</x:v>
      </x:c>
      <x:c r="F1280" s="2" t="str">
        <x:v>Final leak / function test</x:v>
      </x:c>
      <x:c r="G1280" s="9" t="str">
        <x:v>QA-03</x:v>
      </x:c>
      <x:c r="H1280" s="15" t="n">
        <x:v>57</x:v>
      </x:c>
      <x:c r="I1280" s="9" t="str">
        <x:v>P24</x:v>
      </x:c>
      <x:c r="J1280" s="11" t="n">
        <x:v>46303.87847222222</x:v>
      </x:c>
      <x:c r="K1280" s="15" t="n">
        <x:v>10</x:v>
      </x:c>
      <x:c r="L1280" s="15" t="n">
        <x:v>7</x:v>
      </x:c>
      <x:c r="M1280" s="13" t="n">
        <x:f>J1280+(K1280+L1280)/1440</x:f>
        <x:v>46303.89027777778</x:v>
      </x:c>
      <x:c r="N1280" s="13" t="n">
        <x:f>VLOOKUP(C1280,'MES orders'!$A$8:$H$127,5,FALSE)</x:f>
        <x:v>46304.666666666664</x:v>
      </x:c>
      <x:c r="O1280" s="16" t="n">
        <x:f>MAX(0,(M1280-N1280)*24)</x:f>
        <x:v>0</x:v>
      </x:c>
      <x:c r="P1280" s="9" t="str">
        <x:v>No</x:v>
      </x:c>
      <x:c r="Q1280" s="15" t="n">
        <x:v>17</x:v>
      </x:c>
      <x:c r="R1280" s="13" t="n">
        <x:f>J1280+Q1280/1440</x:f>
        <x:v>46303.89027777778</x:v>
      </x:c>
      <x:c r="S1280" s="2" t="str">
        <x:f>VLOOKUP(C1280,'MES orders'!$A$8:$H$127,6,FALSE)</x:f>
        <x:v>Normal</x:v>
      </x:c>
      <x:c r="T1280" s="9" t="str"/>
    </x:row>
    <x:row r="1281" ht="22" customHeight="1">
      <x:c r="A1281" s="2" t="str">
        <x:v>L00411-020</x:v>
      </x:c>
      <x:c r="B1281" s="2" t="str">
        <x:v>L00411</x:v>
      </x:c>
      <x:c r="C1281" s="2" t="str">
        <x:v>SO-26083</x:v>
      </x:c>
      <x:c r="D1281" s="2" t="str">
        <x:v>S-L-AL</x:v>
      </x:c>
      <x:c r="E1281" s="14" t="n">
        <x:v>15</x:v>
      </x:c>
      <x:c r="F1281" s="2" t="str">
        <x:v>Deburr &amp; inspect</x:v>
      </x:c>
      <x:c r="G1281" s="9" t="str">
        <x:v>DB-02</x:v>
      </x:c>
      <x:c r="H1281" s="15" t="n">
        <x:v>84</x:v>
      </x:c>
      <x:c r="I1281" s="9" t="str">
        <x:v>P15</x:v>
      </x:c>
      <x:c r="J1281" s="11" t="n">
        <x:v>46303.881944444445</x:v>
      </x:c>
      <x:c r="K1281" s="15" t="n">
        <x:v>4</x:v>
      </x:c>
      <x:c r="L1281" s="15" t="n">
        <x:v>14</x:v>
      </x:c>
      <x:c r="M1281" s="13" t="n">
        <x:f>J1281+(K1281+L1281)/1440</x:f>
        <x:v>46303.89444444444</x:v>
      </x:c>
      <x:c r="N1281" s="13" t="n">
        <x:f>VLOOKUP(C1281,'MES orders'!$A$8:$H$127,5,FALSE)</x:f>
        <x:v>46304.666666666664</x:v>
      </x:c>
      <x:c r="O1281" s="16" t="n">
        <x:f>MAX(0,(M1281-N1281)*24)</x:f>
        <x:v>0</x:v>
      </x:c>
      <x:c r="P1281" s="9" t="str">
        <x:v>No</x:v>
      </x:c>
      <x:c r="Q1281" s="15" t="n">
        <x:v>18</x:v>
      </x:c>
      <x:c r="R1281" s="13" t="n">
        <x:f>J1281+Q1281/1440</x:f>
        <x:v>46303.89444444444</x:v>
      </x:c>
      <x:c r="S1281" s="2" t="str">
        <x:f>VLOOKUP(C1281,'MES orders'!$A$8:$H$127,6,FALSE)</x:f>
        <x:v>Normal</x:v>
      </x:c>
      <x:c r="T1281" s="9" t="str"/>
    </x:row>
    <x:row r="1282" ht="22" customHeight="1">
      <x:c r="A1282" s="2" t="str">
        <x:v>L00335-040</x:v>
      </x:c>
      <x:c r="B1282" s="2" t="str">
        <x:v>L00335</x:v>
      </x:c>
      <x:c r="C1282" s="2" t="str">
        <x:v>SO-26067</x:v>
      </x:c>
      <x:c r="D1282" s="2" t="str">
        <x:v>S-C-AL</x:v>
      </x:c>
      <x:c r="E1282" s="14" t="n">
        <x:v>10</x:v>
      </x:c>
      <x:c r="F1282" s="2" t="str">
        <x:v>Mechanical preassembly</x:v>
      </x:c>
      <x:c r="G1282" s="9" t="str">
        <x:v>AS-02</x:v>
      </x:c>
      <x:c r="H1282" s="15" t="n">
        <x:v>86</x:v>
      </x:c>
      <x:c r="I1282" s="9" t="str">
        <x:v>P16</x:v>
      </x:c>
      <x:c r="J1282" s="11" t="n">
        <x:v>46303.88611111111</x:v>
      </x:c>
      <x:c r="K1282" s="15" t="n">
        <x:v>6</x:v>
      </x:c>
      <x:c r="L1282" s="15" t="n">
        <x:v>9</x:v>
      </x:c>
      <x:c r="M1282" s="13" t="n">
        <x:f>J1282+(K1282+L1282)/1440</x:f>
        <x:v>46303.896527777775</x:v>
      </x:c>
      <x:c r="N1282" s="13" t="n">
        <x:f>VLOOKUP(C1282,'MES orders'!$A$8:$H$127,5,FALSE)</x:f>
        <x:v>46304.666666666664</x:v>
      </x:c>
      <x:c r="O1282" s="16" t="n">
        <x:f>MAX(0,(M1282-N1282)*24)</x:f>
        <x:v>0</x:v>
      </x:c>
      <x:c r="P1282" s="9" t="str">
        <x:v>No</x:v>
      </x:c>
      <x:c r="Q1282" s="15" t="n">
        <x:v>15</x:v>
      </x:c>
      <x:c r="R1282" s="13" t="n">
        <x:f>J1282+Q1282/1440</x:f>
        <x:v>46303.896527777775</x:v>
      </x:c>
      <x:c r="S1282" s="2" t="str">
        <x:f>VLOOKUP(C1282,'MES orders'!$A$8:$H$127,6,FALSE)</x:f>
        <x:v>Normal</x:v>
      </x:c>
      <x:c r="T1282" s="9" t="str"/>
    </x:row>
    <x:row r="1283" ht="22" customHeight="1">
      <x:c r="A1283" s="2" t="str">
        <x:v>L00452-040</x:v>
      </x:c>
      <x:c r="B1283" s="2" t="str">
        <x:v>L00452</x:v>
      </x:c>
      <x:c r="C1283" s="2" t="str">
        <x:v>SO-26091</x:v>
      </x:c>
      <x:c r="D1283" s="2" t="str">
        <x:v>D-C-AL</x:v>
      </x:c>
      <x:c r="E1283" s="14" t="n">
        <x:v>10</x:v>
      </x:c>
      <x:c r="F1283" s="2" t="str">
        <x:v>Mechanical assembly</x:v>
      </x:c>
      <x:c r="G1283" s="9" t="str">
        <x:v>AS-05</x:v>
      </x:c>
      <x:c r="H1283" s="15" t="n">
        <x:v>29</x:v>
      </x:c>
      <x:c r="I1283" s="9" t="str">
        <x:v>P20</x:v>
      </x:c>
      <x:c r="J1283" s="11" t="n">
        <x:v>46303.888194444444</x:v>
      </x:c>
      <x:c r="K1283" s="15" t="n">
        <x:v>8</x:v>
      </x:c>
      <x:c r="L1283" s="15" t="n">
        <x:v>14</x:v>
      </x:c>
      <x:c r="M1283" s="13" t="n">
        <x:f>J1283+(K1283+L1283)/1440</x:f>
        <x:v>46303.90347222222</x:v>
      </x:c>
      <x:c r="N1283" s="13" t="n">
        <x:f>VLOOKUP(C1283,'MES orders'!$A$8:$H$127,5,FALSE)</x:f>
        <x:v>46304.666666666664</x:v>
      </x:c>
      <x:c r="O1283" s="16" t="n">
        <x:f>MAX(0,(M1283-N1283)*24)</x:f>
        <x:v>0</x:v>
      </x:c>
      <x:c r="P1283" s="9" t="str">
        <x:v>No</x:v>
      </x:c>
      <x:c r="Q1283" s="15" t="n">
        <x:v>22</x:v>
      </x:c>
      <x:c r="R1283" s="13" t="n">
        <x:f>J1283+Q1283/1440</x:f>
        <x:v>46303.90347222222</x:v>
      </x:c>
      <x:c r="S1283" s="2" t="str">
        <x:f>VLOOKUP(C1283,'MES orders'!$A$8:$H$127,6,FALSE)</x:f>
        <x:v>Normal</x:v>
      </x:c>
      <x:c r="T1283" s="9" t="str"/>
    </x:row>
    <x:row r="1284" ht="22" customHeight="1">
      <x:c r="A1284" s="2" t="str">
        <x:v>L00333-080</x:v>
      </x:c>
      <x:c r="B1284" s="2" t="str">
        <x:v>L00333</x:v>
      </x:c>
      <x:c r="C1284" s="2" t="str">
        <x:v>SO-26067</x:v>
      </x:c>
      <x:c r="D1284" s="2" t="str">
        <x:v>S-C-AL</x:v>
      </x:c>
      <x:c r="E1284" s="14" t="n">
        <x:v>10</x:v>
      </x:c>
      <x:c r="F1284" s="2" t="str">
        <x:v>Final leak / function test</x:v>
      </x:c>
      <x:c r="G1284" s="9" t="str">
        <x:v>QA-03</x:v>
      </x:c>
      <x:c r="H1284" s="15" t="n">
        <x:v>58</x:v>
      </x:c>
      <x:c r="I1284" s="9" t="str">
        <x:v>P24</x:v>
      </x:c>
      <x:c r="J1284" s="11" t="n">
        <x:v>46303.89027777778</x:v>
      </x:c>
      <x:c r="K1284" s="15" t="n">
        <x:v>10</x:v>
      </x:c>
      <x:c r="L1284" s="15" t="n">
        <x:v>7</x:v>
      </x:c>
      <x:c r="M1284" s="13" t="n">
        <x:f>J1284+(K1284+L1284)/1440</x:f>
        <x:v>46303.902083333334</x:v>
      </x:c>
      <x:c r="N1284" s="13" t="n">
        <x:f>VLOOKUP(C1284,'MES orders'!$A$8:$H$127,5,FALSE)</x:f>
        <x:v>46304.666666666664</x:v>
      </x:c>
      <x:c r="O1284" s="16" t="n">
        <x:f>MAX(0,(M1284-N1284)*24)</x:f>
        <x:v>0</x:v>
      </x:c>
      <x:c r="P1284" s="9" t="str">
        <x:v>No</x:v>
      </x:c>
      <x:c r="Q1284" s="15" t="n">
        <x:v>17</x:v>
      </x:c>
      <x:c r="R1284" s="13" t="n">
        <x:f>J1284+Q1284/1440</x:f>
        <x:v>46303.902083333334</x:v>
      </x:c>
      <x:c r="S1284" s="2" t="str">
        <x:f>VLOOKUP(C1284,'MES orders'!$A$8:$H$127,6,FALSE)</x:f>
        <x:v>Normal</x:v>
      </x:c>
      <x:c r="T1284" s="9" t="str"/>
    </x:row>
    <x:row r="1285" ht="22" customHeight="1">
      <x:c r="A1285" s="2" t="str">
        <x:v>L00371-030</x:v>
      </x:c>
      <x:c r="B1285" s="2" t="str">
        <x:v>L00371</x:v>
      </x:c>
      <x:c r="C1285" s="2" t="str">
        <x:v>SO-26075</x:v>
      </x:c>
      <x:c r="D1285" s="2" t="str">
        <x:v>S-S-AL</x:v>
      </x:c>
      <x:c r="E1285" s="14" t="n">
        <x:v>25</x:v>
      </x:c>
      <x:c r="F1285" s="2" t="str">
        <x:v>Wash &amp; dry</x:v>
      </x:c>
      <x:c r="G1285" s="9" t="str">
        <x:v>WS-01</x:v>
      </x:c>
      <x:c r="H1285" s="15" t="n">
        <x:v>121</x:v>
      </x:c>
      <x:c r="I1285" s="9" t="str">
        <x:v>P18</x:v>
      </x:c>
      <x:c r="J1285" s="11" t="n">
        <x:v>46303.89375</x:v>
      </x:c>
      <x:c r="K1285" s="15" t="n">
        <x:v>12</x:v>
      </x:c>
      <x:c r="L1285" s="15" t="n">
        <x:v>9</x:v>
      </x:c>
      <x:c r="M1285" s="13" t="n">
        <x:f>J1285+(K1285+L1285)/1440</x:f>
        <x:v>46303.90833333333</x:v>
      </x:c>
      <x:c r="N1285" s="13" t="n">
        <x:f>VLOOKUP(C1285,'MES orders'!$A$8:$H$127,5,FALSE)</x:f>
        <x:v>46304.666666666664</x:v>
      </x:c>
      <x:c r="O1285" s="16" t="n">
        <x:f>MAX(0,(M1285-N1285)*24)</x:f>
        <x:v>0</x:v>
      </x:c>
      <x:c r="P1285" s="9" t="str">
        <x:v>No</x:v>
      </x:c>
      <x:c r="Q1285" s="15" t="n">
        <x:v>21</x:v>
      </x:c>
      <x:c r="R1285" s="13" t="n">
        <x:f>J1285+Q1285/1440</x:f>
        <x:v>46303.90833333333</x:v>
      </x:c>
      <x:c r="S1285" s="2" t="str">
        <x:f>VLOOKUP(C1285,'MES orders'!$A$8:$H$127,6,FALSE)</x:f>
        <x:v>Normal</x:v>
      </x:c>
      <x:c r="T1285" s="9" t="str"/>
    </x:row>
    <x:row r="1286" ht="22" customHeight="1">
      <x:c r="A1286" s="2" t="str">
        <x:v>L00571-010</x:v>
      </x:c>
      <x:c r="B1286" s="2" t="str">
        <x:v>L00571</x:v>
      </x:c>
      <x:c r="C1286" s="2" t="str">
        <x:v>SO-26115</x:v>
      </x:c>
      <x:c r="D1286" s="2" t="str">
        <x:v>R-C-AL</x:v>
      </x:c>
      <x:c r="E1286" s="14" t="n">
        <x:v>5</x:v>
      </x:c>
      <x:c r="F1286" s="2" t="str">
        <x:v>CNC machining</x:v>
      </x:c>
      <x:c r="G1286" s="9" t="str">
        <x:v>CNC-01</x:v>
      </x:c>
      <x:c r="H1286" s="15" t="n">
        <x:v>43</x:v>
      </x:c>
      <x:c r="I1286" s="9" t="str">
        <x:v>P15</x:v>
      </x:c>
      <x:c r="J1286" s="11" t="n">
        <x:v>46303.89444444444</x:v>
      </x:c>
      <x:c r="K1286" s="15" t="n">
        <x:v>18</x:v>
      </x:c>
      <x:c r="L1286" s="15" t="n">
        <x:v>10</x:v>
      </x:c>
      <x:c r="M1286" s="13" t="n">
        <x:f>J1286+(K1286+L1286)/1440</x:f>
        <x:v>46303.913888888885</x:v>
      </x:c>
      <x:c r="N1286" s="13" t="n">
        <x:f>VLOOKUP(C1286,'MES orders'!$A$8:$H$127,5,FALSE)</x:f>
        <x:v>46304.666666666664</x:v>
      </x:c>
      <x:c r="O1286" s="16" t="n">
        <x:f>MAX(0,(M1286-N1286)*24)</x:f>
        <x:v>0</x:v>
      </x:c>
      <x:c r="P1286" s="9" t="str">
        <x:v>No</x:v>
      </x:c>
      <x:c r="Q1286" s="15" t="n">
        <x:v>18</x:v>
      </x:c>
      <x:c r="R1286" s="13" t="n">
        <x:f>J1286+Q1286/1440</x:f>
        <x:v>46303.90694444444</x:v>
      </x:c>
      <x:c r="S1286" s="2" t="str">
        <x:f>VLOOKUP(C1286,'MES orders'!$A$8:$H$127,6,FALSE)</x:f>
        <x:v>Normal</x:v>
      </x:c>
      <x:c r="T1286" s="9" t="str"/>
    </x:row>
    <x:row r="1287" ht="22" customHeight="1">
      <x:c r="A1287" s="2" t="str">
        <x:v>L00411-030</x:v>
      </x:c>
      <x:c r="B1287" s="2" t="str">
        <x:v>L00411</x:v>
      </x:c>
      <x:c r="C1287" s="2" t="str">
        <x:v>SO-26083</x:v>
      </x:c>
      <x:c r="D1287" s="2" t="str">
        <x:v>S-L-AL</x:v>
      </x:c>
      <x:c r="E1287" s="14" t="n">
        <x:v>15</x:v>
      </x:c>
      <x:c r="F1287" s="2" t="str">
        <x:v>Wash &amp; dry</x:v>
      </x:c>
      <x:c r="G1287" s="9" t="str">
        <x:v>WS-02</x:v>
      </x:c>
      <x:c r="H1287" s="15" t="n">
        <x:v>85</x:v>
      </x:c>
      <x:c r="I1287" s="9" t="str">
        <x:v>P13</x:v>
      </x:c>
      <x:c r="J1287" s="11" t="n">
        <x:v>46303.89444444444</x:v>
      </x:c>
      <x:c r="K1287" s="15" t="n">
        <x:v>12</x:v>
      </x:c>
      <x:c r="L1287" s="15" t="n">
        <x:v>7</x:v>
      </x:c>
      <x:c r="M1287" s="13" t="n">
        <x:f>J1287+(K1287+L1287)/1440</x:f>
        <x:v>46303.907638888886</x:v>
      </x:c>
      <x:c r="N1287" s="13" t="n">
        <x:f>VLOOKUP(C1287,'MES orders'!$A$8:$H$127,5,FALSE)</x:f>
        <x:v>46304.666666666664</x:v>
      </x:c>
      <x:c r="O1287" s="16" t="n">
        <x:f>MAX(0,(M1287-N1287)*24)</x:f>
        <x:v>0</x:v>
      </x:c>
      <x:c r="P1287" s="9" t="str">
        <x:v>No</x:v>
      </x:c>
      <x:c r="Q1287" s="15" t="n">
        <x:v>19</x:v>
      </x:c>
      <x:c r="R1287" s="13" t="n">
        <x:f>J1287+Q1287/1440</x:f>
        <x:v>46303.907638888886</x:v>
      </x:c>
      <x:c r="S1287" s="2" t="str">
        <x:f>VLOOKUP(C1287,'MES orders'!$A$8:$H$127,6,FALSE)</x:f>
        <x:v>Normal</x:v>
      </x:c>
      <x:c r="T1287" s="9" t="str"/>
    </x:row>
    <x:row r="1288" ht="22" customHeight="1">
      <x:c r="A1288" s="2" t="str">
        <x:v>L00372-020</x:v>
      </x:c>
      <x:c r="B1288" s="2" t="str">
        <x:v>L00372</x:v>
      </x:c>
      <x:c r="C1288" s="2" t="str">
        <x:v>SO-26075</x:v>
      </x:c>
      <x:c r="D1288" s="2" t="str">
        <x:v>S-S-AL</x:v>
      </x:c>
      <x:c r="E1288" s="14" t="n">
        <x:v>25</x:v>
      </x:c>
      <x:c r="F1288" s="2" t="str">
        <x:v>Deburr &amp; inspect</x:v>
      </x:c>
      <x:c r="G1288" s="9" t="str">
        <x:v>DB-01</x:v>
      </x:c>
      <x:c r="H1288" s="15" t="n">
        <x:v>124</x:v>
      </x:c>
      <x:c r="I1288" s="9" t="str">
        <x:v>P17</x:v>
      </x:c>
      <x:c r="J1288" s="11" t="n">
        <x:v>46303.89513888889</x:v>
      </x:c>
      <x:c r="K1288" s="15" t="n">
        <x:v>4</x:v>
      </x:c>
      <x:c r="L1288" s="15" t="n">
        <x:v>18</x:v>
      </x:c>
      <x:c r="M1288" s="13" t="n">
        <x:f>J1288+(K1288+L1288)/1440</x:f>
        <x:v>46303.910416666666</x:v>
      </x:c>
      <x:c r="N1288" s="13" t="n">
        <x:f>VLOOKUP(C1288,'MES orders'!$A$8:$H$127,5,FALSE)</x:f>
        <x:v>46304.666666666664</x:v>
      </x:c>
      <x:c r="O1288" s="16" t="n">
        <x:f>MAX(0,(M1288-N1288)*24)</x:f>
        <x:v>0</x:v>
      </x:c>
      <x:c r="P1288" s="9" t="str">
        <x:v>No</x:v>
      </x:c>
      <x:c r="Q1288" s="15" t="n">
        <x:v>22</x:v>
      </x:c>
      <x:c r="R1288" s="13" t="n">
        <x:f>J1288+Q1288/1440</x:f>
        <x:v>46303.910416666666</x:v>
      </x:c>
      <x:c r="S1288" s="2" t="str">
        <x:f>VLOOKUP(C1288,'MES orders'!$A$8:$H$127,6,FALSE)</x:f>
        <x:v>Normal</x:v>
      </x:c>
      <x:c r="T1288" s="9" t="str"/>
    </x:row>
    <x:row r="1289" ht="22" customHeight="1">
      <x:c r="A1289" s="2" t="str">
        <x:v>L00295-060</x:v>
      </x:c>
      <x:c r="B1289" s="2" t="str">
        <x:v>L00295</x:v>
      </x:c>
      <x:c r="C1289" s="2" t="str">
        <x:v>SO-26059</x:v>
      </x:c>
      <x:c r="D1289" s="2" t="str">
        <x:v>R-L-AL</x:v>
      </x:c>
      <x:c r="E1289" s="14" t="n">
        <x:v>15</x:v>
      </x:c>
      <x:c r="F1289" s="2" t="str">
        <x:v>Final leak / function test</x:v>
      </x:c>
      <x:c r="G1289" s="9" t="str">
        <x:v>QA-02</x:v>
      </x:c>
      <x:c r="H1289" s="15" t="n">
        <x:v>90</x:v>
      </x:c>
      <x:c r="I1289" s="9" t="str">
        <x:v>P23</x:v>
      </x:c>
      <x:c r="J1289" s="11" t="n">
        <x:v>46303.89513888889</x:v>
      </x:c>
      <x:c r="K1289" s="15" t="n">
        <x:v>10</x:v>
      </x:c>
      <x:c r="L1289" s="15" t="n">
        <x:v>18</x:v>
      </x:c>
      <x:c r="M1289" s="13" t="n">
        <x:f>J1289+(K1289+L1289)/1440</x:f>
        <x:v>46303.91458333333</x:v>
      </x:c>
      <x:c r="N1289" s="13" t="n">
        <x:f>VLOOKUP(C1289,'MES orders'!$A$8:$H$127,5,FALSE)</x:f>
        <x:v>46304.666666666664</x:v>
      </x:c>
      <x:c r="O1289" s="16" t="n">
        <x:f>MAX(0,(M1289-N1289)*24)</x:f>
        <x:v>0</x:v>
      </x:c>
      <x:c r="P1289" s="9" t="str">
        <x:v>No</x:v>
      </x:c>
      <x:c r="Q1289" s="15" t="n">
        <x:v>28</x:v>
      </x:c>
      <x:c r="R1289" s="13" t="n">
        <x:f>J1289+Q1289/1440</x:f>
        <x:v>46303.91458333333</x:v>
      </x:c>
      <x:c r="S1289" s="2" t="str">
        <x:f>VLOOKUP(C1289,'MES orders'!$A$8:$H$127,6,FALSE)</x:f>
        <x:v>Normal</x:v>
      </x:c>
      <x:c r="T1289" s="9" t="str"/>
    </x:row>
    <x:row r="1290" ht="22" customHeight="1">
      <x:c r="A1290" s="2" t="str">
        <x:v>L00373-020</x:v>
      </x:c>
      <x:c r="B1290" s="2" t="str">
        <x:v>L00373</x:v>
      </x:c>
      <x:c r="C1290" s="2" t="str">
        <x:v>SO-26075</x:v>
      </x:c>
      <x:c r="D1290" s="2" t="str">
        <x:v>S-S-AL</x:v>
      </x:c>
      <x:c r="E1290" s="14" t="n">
        <x:v>25</x:v>
      </x:c>
      <x:c r="F1290" s="2" t="str">
        <x:v>Deburr &amp; inspect</x:v>
      </x:c>
      <x:c r="G1290" s="9" t="str">
        <x:v>DB-02</x:v>
      </x:c>
      <x:c r="H1290" s="15" t="n">
        <x:v>85</x:v>
      </x:c>
      <x:c r="I1290" s="9" t="str">
        <x:v>P16</x:v>
      </x:c>
      <x:c r="J1290" s="11" t="n">
        <x:v>46303.896527777775</x:v>
      </x:c>
      <x:c r="K1290" s="15" t="n">
        <x:v>4</x:v>
      </x:c>
      <x:c r="L1290" s="15" t="n">
        <x:v>18</x:v>
      </x:c>
      <x:c r="M1290" s="13" t="n">
        <x:f>J1290+(K1290+L1290)/1440</x:f>
        <x:v>46303.91180555555</x:v>
      </x:c>
      <x:c r="N1290" s="13" t="n">
        <x:f>VLOOKUP(C1290,'MES orders'!$A$8:$H$127,5,FALSE)</x:f>
        <x:v>46304.666666666664</x:v>
      </x:c>
      <x:c r="O1290" s="16" t="n">
        <x:f>MAX(0,(M1290-N1290)*24)</x:f>
        <x:v>0</x:v>
      </x:c>
      <x:c r="P1290" s="9" t="str">
        <x:v>No</x:v>
      </x:c>
      <x:c r="Q1290" s="15" t="n">
        <x:v>22</x:v>
      </x:c>
      <x:c r="R1290" s="13" t="n">
        <x:f>J1290+Q1290/1440</x:f>
        <x:v>46303.91180555555</x:v>
      </x:c>
      <x:c r="S1290" s="2" t="str">
        <x:f>VLOOKUP(C1290,'MES orders'!$A$8:$H$127,6,FALSE)</x:f>
        <x:v>Normal</x:v>
      </x:c>
      <x:c r="T1290" s="9" t="str"/>
    </x:row>
    <x:row r="1291" ht="22" customHeight="1">
      <x:c r="A1291" s="2" t="str">
        <x:v>L00335-050</x:v>
      </x:c>
      <x:c r="B1291" s="2" t="str">
        <x:v>L00335</x:v>
      </x:c>
      <x:c r="C1291" s="2" t="str">
        <x:v>SO-26067</x:v>
      </x:c>
      <x:c r="D1291" s="2" t="str">
        <x:v>S-C-AL</x:v>
      </x:c>
      <x:c r="E1291" s="14" t="n">
        <x:v>10</x:v>
      </x:c>
      <x:c r="F1291" s="2" t="str">
        <x:v>Sensor installation</x:v>
      </x:c>
      <x:c r="G1291" s="9" t="str">
        <x:v>EL-01</x:v>
      </x:c>
      <x:c r="H1291" s="15" t="n">
        <x:v>38</x:v>
      </x:c>
      <x:c r="I1291" s="9" t="str">
        <x:v>P19</x:v>
      </x:c>
      <x:c r="J1291" s="11" t="n">
        <x:v>46303.896527777775</x:v>
      </x:c>
      <x:c r="K1291" s="15" t="n">
        <x:v>8</x:v>
      </x:c>
      <x:c r="L1291" s="15" t="n">
        <x:v>10</x:v>
      </x:c>
      <x:c r="M1291" s="13" t="n">
        <x:f>J1291+(K1291+L1291)/1440</x:f>
        <x:v>46303.90902777777</x:v>
      </x:c>
      <x:c r="N1291" s="13" t="n">
        <x:f>VLOOKUP(C1291,'MES orders'!$A$8:$H$127,5,FALSE)</x:f>
        <x:v>46304.666666666664</x:v>
      </x:c>
      <x:c r="O1291" s="16" t="n">
        <x:f>MAX(0,(M1291-N1291)*24)</x:f>
        <x:v>0</x:v>
      </x:c>
      <x:c r="P1291" s="9" t="str">
        <x:v>No</x:v>
      </x:c>
      <x:c r="Q1291" s="15" t="n">
        <x:v>18</x:v>
      </x:c>
      <x:c r="R1291" s="13" t="n">
        <x:f>J1291+Q1291/1440</x:f>
        <x:v>46303.90902777777</x:v>
      </x:c>
      <x:c r="S1291" s="2" t="str">
        <x:f>VLOOKUP(C1291,'MES orders'!$A$8:$H$127,6,FALSE)</x:f>
        <x:v>Normal</x:v>
      </x:c>
      <x:c r="T1291" s="9" t="str"/>
    </x:row>
    <x:row r="1292" ht="22" customHeight="1">
      <x:c r="A1292" s="2" t="str">
        <x:v>L00334-080</x:v>
      </x:c>
      <x:c r="B1292" s="2" t="str">
        <x:v>L00334</x:v>
      </x:c>
      <x:c r="C1292" s="2" t="str">
        <x:v>SO-26067</x:v>
      </x:c>
      <x:c r="D1292" s="2" t="str">
        <x:v>S-C-AL</x:v>
      </x:c>
      <x:c r="E1292" s="14" t="n">
        <x:v>10</x:v>
      </x:c>
      <x:c r="F1292" s="2" t="str">
        <x:v>Final leak / function test</x:v>
      </x:c>
      <x:c r="G1292" s="9" t="str">
        <x:v>QA-03</x:v>
      </x:c>
      <x:c r="H1292" s="15" t="n">
        <x:v>59</x:v>
      </x:c>
      <x:c r="I1292" s="9" t="str">
        <x:v>P24</x:v>
      </x:c>
      <x:c r="J1292" s="11" t="n">
        <x:v>46303.902083333334</x:v>
      </x:c>
      <x:c r="K1292" s="15" t="n">
        <x:v>10</x:v>
      </x:c>
      <x:c r="L1292" s="15" t="n">
        <x:v>7</x:v>
      </x:c>
      <x:c r="M1292" s="13" t="n">
        <x:f>J1292+(K1292+L1292)/1440</x:f>
        <x:v>46303.91388888889</x:v>
      </x:c>
      <x:c r="N1292" s="13" t="n">
        <x:f>VLOOKUP(C1292,'MES orders'!$A$8:$H$127,5,FALSE)</x:f>
        <x:v>46304.666666666664</x:v>
      </x:c>
      <x:c r="O1292" s="16" t="n">
        <x:f>MAX(0,(M1292-N1292)*24)</x:f>
        <x:v>0</x:v>
      </x:c>
      <x:c r="P1292" s="9" t="str">
        <x:v>No</x:v>
      </x:c>
      <x:c r="Q1292" s="15" t="n">
        <x:v>17</x:v>
      </x:c>
      <x:c r="R1292" s="13" t="n">
        <x:f>J1292+Q1292/1440</x:f>
        <x:v>46303.91388888889</x:v>
      </x:c>
      <x:c r="S1292" s="2" t="str">
        <x:f>VLOOKUP(C1292,'MES orders'!$A$8:$H$127,6,FALSE)</x:f>
        <x:v>Normal</x:v>
      </x:c>
      <x:c r="T1292" s="9" t="str"/>
    </x:row>
    <x:row r="1293" ht="22" customHeight="1">
      <x:c r="A1293" s="2" t="str">
        <x:v>L00452-050</x:v>
      </x:c>
      <x:c r="B1293" s="2" t="str">
        <x:v>L00452</x:v>
      </x:c>
      <x:c r="C1293" s="2" t="str">
        <x:v>SO-26091</x:v>
      </x:c>
      <x:c r="D1293" s="2" t="str">
        <x:v>D-C-AL</x:v>
      </x:c>
      <x:c r="E1293" s="14" t="n">
        <x:v>10</x:v>
      </x:c>
      <x:c r="F1293" s="2" t="str">
        <x:v>Final leak / function test</x:v>
      </x:c>
      <x:c r="G1293" s="9" t="str">
        <x:v>QA-01</x:v>
      </x:c>
      <x:c r="H1293" s="15" t="n">
        <x:v>52</x:v>
      </x:c>
      <x:c r="I1293" s="9" t="str">
        <x:v>P22</x:v>
      </x:c>
      <x:c r="J1293" s="11" t="n">
        <x:v>46303.90347222222</x:v>
      </x:c>
      <x:c r="K1293" s="15" t="n">
        <x:v>10</x:v>
      </x:c>
      <x:c r="L1293" s="15" t="n">
        <x:v>7</x:v>
      </x:c>
      <x:c r="M1293" s="13" t="n">
        <x:f>J1293+(K1293+L1293)/1440</x:f>
        <x:v>46303.91527777778</x:v>
      </x:c>
      <x:c r="N1293" s="13" t="n">
        <x:f>VLOOKUP(C1293,'MES orders'!$A$8:$H$127,5,FALSE)</x:f>
        <x:v>46304.666666666664</x:v>
      </x:c>
      <x:c r="O1293" s="16" t="n">
        <x:f>MAX(0,(M1293-N1293)*24)</x:f>
        <x:v>0</x:v>
      </x:c>
      <x:c r="P1293" s="9" t="str">
        <x:v>No</x:v>
      </x:c>
      <x:c r="Q1293" s="15" t="n">
        <x:v>17</x:v>
      </x:c>
      <x:c r="R1293" s="13" t="n">
        <x:f>J1293+Q1293/1440</x:f>
        <x:v>46303.91527777778</x:v>
      </x:c>
      <x:c r="S1293" s="2" t="str">
        <x:f>VLOOKUP(C1293,'MES orders'!$A$8:$H$127,6,FALSE)</x:f>
        <x:v>Normal</x:v>
      </x:c>
      <x:c r="T1293" s="9" t="str"/>
    </x:row>
    <x:row r="1294" ht="22" customHeight="1">
      <x:c r="A1294" s="2" t="str">
        <x:v>L00371-040</x:v>
      </x:c>
      <x:c r="B1294" s="2" t="str">
        <x:v>L00371</x:v>
      </x:c>
      <x:c r="C1294" s="2" t="str">
        <x:v>SO-26075</x:v>
      </x:c>
      <x:c r="D1294" s="2" t="str">
        <x:v>S-S-AL</x:v>
      </x:c>
      <x:c r="E1294" s="14" t="n">
        <x:v>25</x:v>
      </x:c>
      <x:c r="F1294" s="2" t="str">
        <x:v>Mechanical preassembly</x:v>
      </x:c>
      <x:c r="G1294" s="9" t="str">
        <x:v>AS-02</x:v>
      </x:c>
      <x:c r="H1294" s="15" t="n">
        <x:v>87</x:v>
      </x:c>
      <x:c r="I1294" s="9" t="str">
        <x:v>P04</x:v>
      </x:c>
      <x:c r="J1294" s="11" t="n">
        <x:v>46304.25</x:v>
      </x:c>
      <x:c r="K1294" s="15" t="n">
        <x:v>6</x:v>
      </x:c>
      <x:c r="L1294" s="15" t="n">
        <x:v>28</x:v>
      </x:c>
      <x:c r="M1294" s="13" t="n">
        <x:f>J1294+(K1294+L1294)/1440</x:f>
        <x:v>46304.27361111111</x:v>
      </x:c>
      <x:c r="N1294" s="13" t="n">
        <x:f>VLOOKUP(C1294,'MES orders'!$A$8:$H$127,5,FALSE)</x:f>
        <x:v>46304.666666666664</x:v>
      </x:c>
      <x:c r="O1294" s="16" t="n">
        <x:f>MAX(0,(M1294-N1294)*24)</x:f>
        <x:v>0</x:v>
      </x:c>
      <x:c r="P1294" s="9" t="str">
        <x:v>No</x:v>
      </x:c>
      <x:c r="Q1294" s="15" t="n">
        <x:v>34</x:v>
      </x:c>
      <x:c r="R1294" s="13" t="n">
        <x:f>J1294+Q1294/1440</x:f>
        <x:v>46304.27361111111</x:v>
      </x:c>
      <x:c r="S1294" s="2" t="str">
        <x:f>VLOOKUP(C1294,'MES orders'!$A$8:$H$127,6,FALSE)</x:f>
        <x:v>Normal</x:v>
      </x:c>
      <x:c r="T1294" s="9" t="str"/>
    </x:row>
    <x:row r="1295" ht="22" customHeight="1">
      <x:c r="A1295" s="2" t="str">
        <x:v>L00335-060</x:v>
      </x:c>
      <x:c r="B1295" s="2" t="str">
        <x:v>L00335</x:v>
      </x:c>
      <x:c r="C1295" s="2" t="str">
        <x:v>SO-26067</x:v>
      </x:c>
      <x:c r="D1295" s="2" t="str">
        <x:v>S-C-AL</x:v>
      </x:c>
      <x:c r="E1295" s="14" t="n">
        <x:v>10</x:v>
      </x:c>
      <x:c r="F1295" s="2" t="str">
        <x:v>Sensor calibration</x:v>
      </x:c>
      <x:c r="G1295" s="9" t="str">
        <x:v>CAL-01</x:v>
      </x:c>
      <x:c r="H1295" s="15" t="n">
        <x:v>60</x:v>
      </x:c>
      <x:c r="I1295" s="9" t="str">
        <x:v>P09</x:v>
      </x:c>
      <x:c r="J1295" s="11" t="n">
        <x:v>46304.25</x:v>
      </x:c>
      <x:c r="K1295" s="15" t="n">
        <x:v>10</x:v>
      </x:c>
      <x:c r="L1295" s="15" t="n">
        <x:v>10</x:v>
      </x:c>
      <x:c r="M1295" s="13" t="n">
        <x:f>J1295+(K1295+L1295)/1440</x:f>
        <x:v>46304.26388888889</x:v>
      </x:c>
      <x:c r="N1295" s="13" t="n">
        <x:f>VLOOKUP(C1295,'MES orders'!$A$8:$H$127,5,FALSE)</x:f>
        <x:v>46304.666666666664</x:v>
      </x:c>
      <x:c r="O1295" s="16" t="n">
        <x:f>MAX(0,(M1295-N1295)*24)</x:f>
        <x:v>0</x:v>
      </x:c>
      <x:c r="P1295" s="9" t="str">
        <x:v>No</x:v>
      </x:c>
      <x:c r="Q1295" s="15" t="n">
        <x:v>20</x:v>
      </x:c>
      <x:c r="R1295" s="13" t="n">
        <x:f>J1295+Q1295/1440</x:f>
        <x:v>46304.26388888889</x:v>
      </x:c>
      <x:c r="S1295" s="2" t="str">
        <x:f>VLOOKUP(C1295,'MES orders'!$A$8:$H$127,6,FALSE)</x:f>
        <x:v>Normal</x:v>
      </x:c>
      <x:c r="T1295" s="9" t="str"/>
    </x:row>
    <x:row r="1296" ht="22" customHeight="1">
      <x:c r="A1296" s="2" t="str">
        <x:v>L00454-010</x:v>
      </x:c>
      <x:c r="B1296" s="2" t="str">
        <x:v>L00454</x:v>
      </x:c>
      <x:c r="C1296" s="2" t="str">
        <x:v>SO-26091</x:v>
      </x:c>
      <x:c r="D1296" s="2" t="str">
        <x:v>D-C-AL</x:v>
      </x:c>
      <x:c r="E1296" s="14" t="n">
        <x:v>10</x:v>
      </x:c>
      <x:c r="F1296" s="2" t="str">
        <x:v>CNC machining</x:v>
      </x:c>
      <x:c r="G1296" s="9" t="str">
        <x:v>CNC-01</x:v>
      </x:c>
      <x:c r="H1296" s="15" t="n">
        <x:v>44</x:v>
      </x:c>
      <x:c r="I1296" s="9" t="str">
        <x:v>P02</x:v>
      </x:c>
      <x:c r="J1296" s="11" t="n">
        <x:v>46304.25</x:v>
      </x:c>
      <x:c r="K1296" s="15" t="n">
        <x:v>18</x:v>
      </x:c>
      <x:c r="L1296" s="15" t="n">
        <x:v>19</x:v>
      </x:c>
      <x:c r="M1296" s="13" t="n">
        <x:f>J1296+(K1296+L1296)/1440</x:f>
        <x:v>46304.27569444444</x:v>
      </x:c>
      <x:c r="N1296" s="13" t="n">
        <x:f>VLOOKUP(C1296,'MES orders'!$A$8:$H$127,5,FALSE)</x:f>
        <x:v>46304.666666666664</x:v>
      </x:c>
      <x:c r="O1296" s="16" t="n">
        <x:f>MAX(0,(M1296-N1296)*24)</x:f>
        <x:v>0</x:v>
      </x:c>
      <x:c r="P1296" s="9" t="str">
        <x:v>No</x:v>
      </x:c>
      <x:c r="Q1296" s="15" t="n">
        <x:v>18</x:v>
      </x:c>
      <x:c r="R1296" s="13" t="n">
        <x:f>J1296+Q1296/1440</x:f>
        <x:v>46304.2625</x:v>
      </x:c>
      <x:c r="S1296" s="2" t="str">
        <x:f>VLOOKUP(C1296,'MES orders'!$A$8:$H$127,6,FALSE)</x:f>
        <x:v>Normal</x:v>
      </x:c>
      <x:c r="T1296" s="9" t="str"/>
    </x:row>
    <x:row r="1297" ht="22" customHeight="1">
      <x:c r="A1297" s="2" t="str">
        <x:v>L00455-010</x:v>
      </x:c>
      <x:c r="B1297" s="2" t="str">
        <x:v>L00455</x:v>
      </x:c>
      <x:c r="C1297" s="2" t="str">
        <x:v>SO-26091</x:v>
      </x:c>
      <x:c r="D1297" s="2" t="str">
        <x:v>D-C-AL</x:v>
      </x:c>
      <x:c r="E1297" s="14" t="n">
        <x:v>10</x:v>
      </x:c>
      <x:c r="F1297" s="2" t="str">
        <x:v>CNC machining</x:v>
      </x:c>
      <x:c r="G1297" s="9" t="str">
        <x:v>CNC-02</x:v>
      </x:c>
      <x:c r="H1297" s="15" t="n">
        <x:v>29</x:v>
      </x:c>
      <x:c r="I1297" s="9" t="str">
        <x:v>P03</x:v>
      </x:c>
      <x:c r="J1297" s="11" t="n">
        <x:v>46304.25</x:v>
      </x:c>
      <x:c r="K1297" s="15" t="n">
        <x:v>18</x:v>
      </x:c>
      <x:c r="L1297" s="15" t="n">
        <x:v>19</x:v>
      </x:c>
      <x:c r="M1297" s="13" t="n">
        <x:f>J1297+(K1297+L1297)/1440</x:f>
        <x:v>46304.27569444444</x:v>
      </x:c>
      <x:c r="N1297" s="13" t="n">
        <x:f>VLOOKUP(C1297,'MES orders'!$A$8:$H$127,5,FALSE)</x:f>
        <x:v>46304.666666666664</x:v>
      </x:c>
      <x:c r="O1297" s="16" t="n">
        <x:f>MAX(0,(M1297-N1297)*24)</x:f>
        <x:v>0</x:v>
      </x:c>
      <x:c r="P1297" s="9" t="str">
        <x:v>No</x:v>
      </x:c>
      <x:c r="Q1297" s="15" t="n">
        <x:v>18</x:v>
      </x:c>
      <x:c r="R1297" s="13" t="n">
        <x:f>J1297+Q1297/1440</x:f>
        <x:v>46304.2625</x:v>
      </x:c>
      <x:c r="S1297" s="2" t="str">
        <x:f>VLOOKUP(C1297,'MES orders'!$A$8:$H$127,6,FALSE)</x:f>
        <x:v>Normal</x:v>
      </x:c>
      <x:c r="T1297" s="9" t="str"/>
    </x:row>
    <x:row r="1298" ht="22" customHeight="1">
      <x:c r="A1298" s="2" t="str">
        <x:v>L00415-010</x:v>
      </x:c>
      <x:c r="B1298" s="2" t="str">
        <x:v>L00415</x:v>
      </x:c>
      <x:c r="C1298" s="2" t="str">
        <x:v>SO-26083</x:v>
      </x:c>
      <x:c r="D1298" s="2" t="str">
        <x:v>S-L-AL</x:v>
      </x:c>
      <x:c r="E1298" s="14" t="n">
        <x:v>15</x:v>
      </x:c>
      <x:c r="F1298" s="2" t="str">
        <x:v>CNC machining</x:v>
      </x:c>
      <x:c r="G1298" s="9" t="str">
        <x:v>CNC-03</x:v>
      </x:c>
      <x:c r="H1298" s="15" t="n">
        <x:v>40</x:v>
      </x:c>
      <x:c r="I1298" s="9" t="str">
        <x:v>P01</x:v>
      </x:c>
      <x:c r="J1298" s="11" t="n">
        <x:v>46304.25</x:v>
      </x:c>
      <x:c r="K1298" s="15" t="n">
        <x:v>18</x:v>
      </x:c>
      <x:c r="L1298" s="15" t="n">
        <x:v>49</x:v>
      </x:c>
      <x:c r="M1298" s="13" t="n">
        <x:f>J1298+(K1298+L1298)/1440</x:f>
        <x:v>46304.29652777778</x:v>
      </x:c>
      <x:c r="N1298" s="13" t="n">
        <x:f>VLOOKUP(C1298,'MES orders'!$A$8:$H$127,5,FALSE)</x:f>
        <x:v>46304.666666666664</x:v>
      </x:c>
      <x:c r="O1298" s="16" t="n">
        <x:f>MAX(0,(M1298-N1298)*24)</x:f>
        <x:v>0</x:v>
      </x:c>
      <x:c r="P1298" s="9" t="str">
        <x:v>No</x:v>
      </x:c>
      <x:c r="Q1298" s="15" t="n">
        <x:v>18</x:v>
      </x:c>
      <x:c r="R1298" s="13" t="n">
        <x:f>J1298+Q1298/1440</x:f>
        <x:v>46304.2625</x:v>
      </x:c>
      <x:c r="S1298" s="2" t="str">
        <x:f>VLOOKUP(C1298,'MES orders'!$A$8:$H$127,6,FALSE)</x:f>
        <x:v>Normal</x:v>
      </x:c>
      <x:c r="T1298" s="9" t="str"/>
    </x:row>
    <x:row r="1299" ht="22" customHeight="1">
      <x:c r="A1299" s="2" t="str">
        <x:v>L00412-020</x:v>
      </x:c>
      <x:c r="B1299" s="2" t="str">
        <x:v>L00412</x:v>
      </x:c>
      <x:c r="C1299" s="2" t="str">
        <x:v>SO-26083</x:v>
      </x:c>
      <x:c r="D1299" s="2" t="str">
        <x:v>S-L-AL</x:v>
      </x:c>
      <x:c r="E1299" s="14" t="n">
        <x:v>15</x:v>
      </x:c>
      <x:c r="F1299" s="2" t="str">
        <x:v>Deburr &amp; inspect</x:v>
      </x:c>
      <x:c r="G1299" s="9" t="str">
        <x:v>DB-01</x:v>
      </x:c>
      <x:c r="H1299" s="15" t="n">
        <x:v>125</x:v>
      </x:c>
      <x:c r="I1299" s="9" t="str">
        <x:v>P05</x:v>
      </x:c>
      <x:c r="J1299" s="11" t="n">
        <x:v>46304.25</x:v>
      </x:c>
      <x:c r="K1299" s="15" t="n">
        <x:v>4</x:v>
      </x:c>
      <x:c r="L1299" s="15" t="n">
        <x:v>14</x:v>
      </x:c>
      <x:c r="M1299" s="13" t="n">
        <x:f>J1299+(K1299+L1299)/1440</x:f>
        <x:v>46304.2625</x:v>
      </x:c>
      <x:c r="N1299" s="13" t="n">
        <x:f>VLOOKUP(C1299,'MES orders'!$A$8:$H$127,5,FALSE)</x:f>
        <x:v>46304.666666666664</x:v>
      </x:c>
      <x:c r="O1299" s="16" t="n">
        <x:f>MAX(0,(M1299-N1299)*24)</x:f>
        <x:v>0</x:v>
      </x:c>
      <x:c r="P1299" s="9" t="str">
        <x:v>No</x:v>
      </x:c>
      <x:c r="Q1299" s="15" t="n">
        <x:v>18</x:v>
      </x:c>
      <x:c r="R1299" s="13" t="n">
        <x:f>J1299+Q1299/1440</x:f>
        <x:v>46304.2625</x:v>
      </x:c>
      <x:c r="S1299" s="2" t="str">
        <x:f>VLOOKUP(C1299,'MES orders'!$A$8:$H$127,6,FALSE)</x:f>
        <x:v>Normal</x:v>
      </x:c>
      <x:c r="T1299" s="9" t="str"/>
    </x:row>
    <x:row r="1300" ht="22" customHeight="1">
      <x:c r="A1300" s="2" t="str">
        <x:v>L00571-020</x:v>
      </x:c>
      <x:c r="B1300" s="2" t="str">
        <x:v>L00571</x:v>
      </x:c>
      <x:c r="C1300" s="2" t="str">
        <x:v>SO-26115</x:v>
      </x:c>
      <x:c r="D1300" s="2" t="str">
        <x:v>R-C-AL</x:v>
      </x:c>
      <x:c r="E1300" s="14" t="n">
        <x:v>5</x:v>
      </x:c>
      <x:c r="F1300" s="2" t="str">
        <x:v>Deburr &amp; inspect</x:v>
      </x:c>
      <x:c r="G1300" s="9" t="str">
        <x:v>DB-02</x:v>
      </x:c>
      <x:c r="H1300" s="15" t="n">
        <x:v>86</x:v>
      </x:c>
      <x:c r="I1300" s="9" t="str">
        <x:v>P07</x:v>
      </x:c>
      <x:c r="J1300" s="11" t="n">
        <x:v>46304.25</x:v>
      </x:c>
      <x:c r="K1300" s="15" t="n">
        <x:v>4</x:v>
      </x:c>
      <x:c r="L1300" s="15" t="n">
        <x:v>3</x:v>
      </x:c>
      <x:c r="M1300" s="13" t="n">
        <x:f>J1300+(K1300+L1300)/1440</x:f>
        <x:v>46304.25486111111</x:v>
      </x:c>
      <x:c r="N1300" s="13" t="n">
        <x:f>VLOOKUP(C1300,'MES orders'!$A$8:$H$127,5,FALSE)</x:f>
        <x:v>46304.666666666664</x:v>
      </x:c>
      <x:c r="O1300" s="16" t="n">
        <x:f>MAX(0,(M1300-N1300)*24)</x:f>
        <x:v>0</x:v>
      </x:c>
      <x:c r="P1300" s="9" t="str">
        <x:v>No</x:v>
      </x:c>
      <x:c r="Q1300" s="15" t="n">
        <x:v>7</x:v>
      </x:c>
      <x:c r="R1300" s="13" t="n">
        <x:f>J1300+Q1300/1440</x:f>
        <x:v>46304.25486111111</x:v>
      </x:c>
      <x:c r="S1300" s="2" t="str">
        <x:f>VLOOKUP(C1300,'MES orders'!$A$8:$H$127,6,FALSE)</x:f>
        <x:v>Normal</x:v>
      </x:c>
      <x:c r="T1300" s="9" t="str"/>
    </x:row>
    <x:row r="1301" ht="22" customHeight="1">
      <x:c r="A1301" s="2" t="str">
        <x:v>L00374-050</x:v>
      </x:c>
      <x:c r="B1301" s="2" t="str">
        <x:v>L00374</x:v>
      </x:c>
      <x:c r="C1301" s="2" t="str">
        <x:v>SO-26075</x:v>
      </x:c>
      <x:c r="D1301" s="2" t="str">
        <x:v>S-S-AL</x:v>
      </x:c>
      <x:c r="E1301" s="14" t="n">
        <x:v>25</x:v>
      </x:c>
      <x:c r="F1301" s="2" t="str">
        <x:v>Sensor installation</x:v>
      </x:c>
      <x:c r="G1301" s="9" t="str">
        <x:v>EL-02</x:v>
      </x:c>
      <x:c r="H1301" s="15" t="n">
        <x:v>23</x:v>
      </x:c>
      <x:c r="I1301" s="9" t="str">
        <x:v>P08</x:v>
      </x:c>
      <x:c r="J1301" s="11" t="n">
        <x:v>46304.25</x:v>
      </x:c>
      <x:c r="K1301" s="15" t="n">
        <x:v>8</x:v>
      </x:c>
      <x:c r="L1301" s="15" t="n">
        <x:v>30</x:v>
      </x:c>
      <x:c r="M1301" s="13" t="n">
        <x:f>J1301+(K1301+L1301)/1440</x:f>
        <x:v>46304.27638888889</x:v>
      </x:c>
      <x:c r="N1301" s="13" t="n">
        <x:f>VLOOKUP(C1301,'MES orders'!$A$8:$H$127,5,FALSE)</x:f>
        <x:v>46304.666666666664</x:v>
      </x:c>
      <x:c r="O1301" s="16" t="n">
        <x:f>MAX(0,(M1301-N1301)*24)</x:f>
        <x:v>0</x:v>
      </x:c>
      <x:c r="P1301" s="9" t="str">
        <x:v>No</x:v>
      </x:c>
      <x:c r="Q1301" s="15" t="n">
        <x:v>38</x:v>
      </x:c>
      <x:c r="R1301" s="13" t="n">
        <x:f>J1301+Q1301/1440</x:f>
        <x:v>46304.27638888889</x:v>
      </x:c>
      <x:c r="S1301" s="2" t="str">
        <x:f>VLOOKUP(C1301,'MES orders'!$A$8:$H$127,6,FALSE)</x:f>
        <x:v>Normal</x:v>
      </x:c>
      <x:c r="T1301" s="9" t="str"/>
    </x:row>
    <x:row r="1302" ht="22" customHeight="1">
      <x:c r="A1302" s="2" t="str">
        <x:v>L00372-030</x:v>
      </x:c>
      <x:c r="B1302" s="2" t="str">
        <x:v>L00372</x:v>
      </x:c>
      <x:c r="C1302" s="2" t="str">
        <x:v>SO-26075</x:v>
      </x:c>
      <x:c r="D1302" s="2" t="str">
        <x:v>S-S-AL</x:v>
      </x:c>
      <x:c r="E1302" s="14" t="n">
        <x:v>25</x:v>
      </x:c>
      <x:c r="F1302" s="2" t="str">
        <x:v>Wash &amp; dry</x:v>
      </x:c>
      <x:c r="G1302" s="9" t="str">
        <x:v>WS-01</x:v>
      </x:c>
      <x:c r="H1302" s="15" t="n">
        <x:v>122</x:v>
      </x:c>
      <x:c r="I1302" s="9" t="str">
        <x:v>P06</x:v>
      </x:c>
      <x:c r="J1302" s="11" t="n">
        <x:v>46304.25</x:v>
      </x:c>
      <x:c r="K1302" s="15" t="n">
        <x:v>12</x:v>
      </x:c>
      <x:c r="L1302" s="15" t="n">
        <x:v>9</x:v>
      </x:c>
      <x:c r="M1302" s="13" t="n">
        <x:f>J1302+(K1302+L1302)/1440</x:f>
        <x:v>46304.26458333333</x:v>
      </x:c>
      <x:c r="N1302" s="13" t="n">
        <x:f>VLOOKUP(C1302,'MES orders'!$A$8:$H$127,5,FALSE)</x:f>
        <x:v>46304.666666666664</x:v>
      </x:c>
      <x:c r="O1302" s="16" t="n">
        <x:f>MAX(0,(M1302-N1302)*24)</x:f>
        <x:v>0</x:v>
      </x:c>
      <x:c r="P1302" s="9" t="str">
        <x:v>No</x:v>
      </x:c>
      <x:c r="Q1302" s="15" t="n">
        <x:v>21</x:v>
      </x:c>
      <x:c r="R1302" s="13" t="n">
        <x:f>J1302+Q1302/1440</x:f>
        <x:v>46304.26458333333</x:v>
      </x:c>
      <x:c r="S1302" s="2" t="str">
        <x:f>VLOOKUP(C1302,'MES orders'!$A$8:$H$127,6,FALSE)</x:f>
        <x:v>Normal</x:v>
      </x:c>
      <x:c r="T1302" s="9" t="str"/>
    </x:row>
    <x:row r="1303" ht="22" customHeight="1">
      <x:c r="A1303" s="2" t="str">
        <x:v>L00571-030</x:v>
      </x:c>
      <x:c r="B1303" s="2" t="str">
        <x:v>L00571</x:v>
      </x:c>
      <x:c r="C1303" s="2" t="str">
        <x:v>SO-26115</x:v>
      </x:c>
      <x:c r="D1303" s="2" t="str">
        <x:v>R-C-AL</x:v>
      </x:c>
      <x:c r="E1303" s="14" t="n">
        <x:v>5</x:v>
      </x:c>
      <x:c r="F1303" s="2" t="str">
        <x:v>Wash &amp; dry</x:v>
      </x:c>
      <x:c r="G1303" s="9" t="str">
        <x:v>WS-02</x:v>
      </x:c>
      <x:c r="H1303" s="15" t="n">
        <x:v>86</x:v>
      </x:c>
      <x:c r="I1303" s="9" t="str">
        <x:v>P07</x:v>
      </x:c>
      <x:c r="J1303" s="11" t="n">
        <x:v>46304.25486111111</x:v>
      </x:c>
      <x:c r="K1303" s="15" t="n">
        <x:v>12</x:v>
      </x:c>
      <x:c r="L1303" s="15" t="n">
        <x:v>1</x:v>
      </x:c>
      <x:c r="M1303" s="13" t="n">
        <x:f>J1303+(K1303+L1303)/1440</x:f>
        <x:v>46304.26388888889</x:v>
      </x:c>
      <x:c r="N1303" s="13" t="n">
        <x:f>VLOOKUP(C1303,'MES orders'!$A$8:$H$127,5,FALSE)</x:f>
        <x:v>46304.666666666664</x:v>
      </x:c>
      <x:c r="O1303" s="16" t="n">
        <x:f>MAX(0,(M1303-N1303)*24)</x:f>
        <x:v>0</x:v>
      </x:c>
      <x:c r="P1303" s="9" t="str">
        <x:v>No</x:v>
      </x:c>
      <x:c r="Q1303" s="15" t="n">
        <x:v>13</x:v>
      </x:c>
      <x:c r="R1303" s="13" t="n">
        <x:f>J1303+Q1303/1440</x:f>
        <x:v>46304.26388888889</x:v>
      </x:c>
      <x:c r="S1303" s="2" t="str">
        <x:f>VLOOKUP(C1303,'MES orders'!$A$8:$H$127,6,FALSE)</x:f>
        <x:v>Normal</x:v>
      </x:c>
      <x:c r="T1303" s="9" t="str"/>
    </x:row>
    <x:row r="1304" ht="22" customHeight="1">
      <x:c r="A1304" s="2" t="str">
        <x:v>L00531-010</x:v>
      </x:c>
      <x:c r="B1304" s="2" t="str">
        <x:v>L00531</x:v>
      </x:c>
      <x:c r="C1304" s="2" t="str">
        <x:v>SO-26107</x:v>
      </x:c>
      <x:c r="D1304" s="2" t="str">
        <x:v>D-L-AL</x:v>
      </x:c>
      <x:c r="E1304" s="14" t="n">
        <x:v>25</x:v>
      </x:c>
      <x:c r="F1304" s="2" t="str">
        <x:v>CNC machining</x:v>
      </x:c>
      <x:c r="G1304" s="9" t="str">
        <x:v>CNC-04</x:v>
      </x:c>
      <x:c r="H1304" s="15" t="n">
        <x:v>39</x:v>
      </x:c>
      <x:c r="I1304" s="9" t="str">
        <x:v>P01</x:v>
      </x:c>
      <x:c r="J1304" s="11" t="n">
        <x:v>46304.2625</x:v>
      </x:c>
      <x:c r="K1304" s="15" t="n">
        <x:v>18</x:v>
      </x:c>
      <x:c r="L1304" s="15" t="n">
        <x:v>81</x:v>
      </x:c>
      <x:c r="M1304" s="13" t="n">
        <x:f>J1304+(K1304+L1304)/1440</x:f>
        <x:v>46304.331249999996</x:v>
      </x:c>
      <x:c r="N1304" s="13" t="n">
        <x:f>VLOOKUP(C1304,'MES orders'!$A$8:$H$127,5,FALSE)</x:f>
        <x:v>46304.666666666664</x:v>
      </x:c>
      <x:c r="O1304" s="16" t="n">
        <x:f>MAX(0,(M1304-N1304)*24)</x:f>
        <x:v>0</x:v>
      </x:c>
      <x:c r="P1304" s="9" t="str">
        <x:v>No</x:v>
      </x:c>
      <x:c r="Q1304" s="15" t="n">
        <x:v>18</x:v>
      </x:c>
      <x:c r="R1304" s="13" t="n">
        <x:f>J1304+Q1304/1440</x:f>
        <x:v>46304.274999999994</x:v>
      </x:c>
      <x:c r="S1304" s="2" t="str">
        <x:f>VLOOKUP(C1304,'MES orders'!$A$8:$H$127,6,FALSE)</x:f>
        <x:v>Normal</x:v>
      </x:c>
      <x:c r="T1304" s="9" t="str"/>
    </x:row>
    <x:row r="1305" ht="22" customHeight="1">
      <x:c r="A1305" s="2" t="str">
        <x:v>L00532-010</x:v>
      </x:c>
      <x:c r="B1305" s="2" t="str">
        <x:v>L00532</x:v>
      </x:c>
      <x:c r="C1305" s="2" t="str">
        <x:v>SO-26107</x:v>
      </x:c>
      <x:c r="D1305" s="2" t="str">
        <x:v>D-L-AL</x:v>
      </x:c>
      <x:c r="E1305" s="14" t="n">
        <x:v>25</x:v>
      </x:c>
      <x:c r="F1305" s="2" t="str">
        <x:v>CNC machining</x:v>
      </x:c>
      <x:c r="G1305" s="9" t="str">
        <x:v>CNC-05</x:v>
      </x:c>
      <x:c r="H1305" s="15" t="n">
        <x:v>35</x:v>
      </x:c>
      <x:c r="I1305" s="9" t="str">
        <x:v>P02</x:v>
      </x:c>
      <x:c r="J1305" s="11" t="n">
        <x:v>46304.2625</x:v>
      </x:c>
      <x:c r="K1305" s="15" t="n">
        <x:v>18</x:v>
      </x:c>
      <x:c r="L1305" s="15" t="n">
        <x:v>81</x:v>
      </x:c>
      <x:c r="M1305" s="13" t="n">
        <x:f>J1305+(K1305+L1305)/1440</x:f>
        <x:v>46304.331249999996</x:v>
      </x:c>
      <x:c r="N1305" s="13" t="n">
        <x:f>VLOOKUP(C1305,'MES orders'!$A$8:$H$127,5,FALSE)</x:f>
        <x:v>46304.666666666664</x:v>
      </x:c>
      <x:c r="O1305" s="16" t="n">
        <x:f>MAX(0,(M1305-N1305)*24)</x:f>
        <x:v>0</x:v>
      </x:c>
      <x:c r="P1305" s="9" t="str">
        <x:v>No</x:v>
      </x:c>
      <x:c r="Q1305" s="15" t="n">
        <x:v>18</x:v>
      </x:c>
      <x:c r="R1305" s="13" t="n">
        <x:f>J1305+Q1305/1440</x:f>
        <x:v>46304.274999999994</x:v>
      </x:c>
      <x:c r="S1305" s="2" t="str">
        <x:f>VLOOKUP(C1305,'MES orders'!$A$8:$H$127,6,FALSE)</x:f>
        <x:v>Normal</x:v>
      </x:c>
      <x:c r="T1305" s="9" t="str"/>
    </x:row>
    <x:row r="1306" ht="22" customHeight="1">
      <x:c r="A1306" s="2" t="str">
        <x:v>L00533-010</x:v>
      </x:c>
      <x:c r="B1306" s="2" t="str">
        <x:v>L00533</x:v>
      </x:c>
      <x:c r="C1306" s="2" t="str">
        <x:v>SO-26107</x:v>
      </x:c>
      <x:c r="D1306" s="2" t="str">
        <x:v>D-L-AL</x:v>
      </x:c>
      <x:c r="E1306" s="14" t="n">
        <x:v>25</x:v>
      </x:c>
      <x:c r="F1306" s="2" t="str">
        <x:v>CNC machining</x:v>
      </x:c>
      <x:c r="G1306" s="9" t="str">
        <x:v>CNC-06</x:v>
      </x:c>
      <x:c r="H1306" s="15" t="n">
        <x:v>32</x:v>
      </x:c>
      <x:c r="I1306" s="9" t="str">
        <x:v>P03</x:v>
      </x:c>
      <x:c r="J1306" s="11" t="n">
        <x:v>46304.2625</x:v>
      </x:c>
      <x:c r="K1306" s="15" t="n">
        <x:v>18</x:v>
      </x:c>
      <x:c r="L1306" s="15" t="n">
        <x:v>81</x:v>
      </x:c>
      <x:c r="M1306" s="13" t="n">
        <x:f>J1306+(K1306+L1306)/1440</x:f>
        <x:v>46304.331249999996</x:v>
      </x:c>
      <x:c r="N1306" s="13" t="n">
        <x:f>VLOOKUP(C1306,'MES orders'!$A$8:$H$127,5,FALSE)</x:f>
        <x:v>46304.666666666664</x:v>
      </x:c>
      <x:c r="O1306" s="16" t="n">
        <x:f>MAX(0,(M1306-N1306)*24)</x:f>
        <x:v>0</x:v>
      </x:c>
      <x:c r="P1306" s="9" t="str">
        <x:v>No</x:v>
      </x:c>
      <x:c r="Q1306" s="15" t="n">
        <x:v>18</x:v>
      </x:c>
      <x:c r="R1306" s="13" t="n">
        <x:f>J1306+Q1306/1440</x:f>
        <x:v>46304.274999999994</x:v>
      </x:c>
      <x:c r="S1306" s="2" t="str">
        <x:f>VLOOKUP(C1306,'MES orders'!$A$8:$H$127,6,FALSE)</x:f>
        <x:v>Normal</x:v>
      </x:c>
      <x:c r="T1306" s="9" t="str"/>
    </x:row>
    <x:row r="1307" ht="22" customHeight="1">
      <x:c r="A1307" s="2" t="str">
        <x:v>L00335-070</x:v>
      </x:c>
      <x:c r="B1307" s="2" t="str">
        <x:v>L00335</x:v>
      </x:c>
      <x:c r="C1307" s="2" t="str">
        <x:v>SO-26067</x:v>
      </x:c>
      <x:c r="D1307" s="2" t="str">
        <x:v>S-C-AL</x:v>
      </x:c>
      <x:c r="E1307" s="14" t="n">
        <x:v>10</x:v>
      </x:c>
      <x:c r="F1307" s="2" t="str">
        <x:v>Final assembly</x:v>
      </x:c>
      <x:c r="G1307" s="9" t="str">
        <x:v>AS-01</x:v>
      </x:c>
      <x:c r="H1307" s="15" t="n">
        <x:v>103</x:v>
      </x:c>
      <x:c r="I1307" s="9" t="str">
        <x:v>P05</x:v>
      </x:c>
      <x:c r="J1307" s="11" t="n">
        <x:v>46304.26388888889</x:v>
      </x:c>
      <x:c r="K1307" s="15" t="n">
        <x:v>5</x:v>
      </x:c>
      <x:c r="L1307" s="15" t="n">
        <x:v>6</x:v>
      </x:c>
      <x:c r="M1307" s="13" t="n">
        <x:f>J1307+(K1307+L1307)/1440</x:f>
        <x:v>46304.27152777778</x:v>
      </x:c>
      <x:c r="N1307" s="13" t="n">
        <x:f>VLOOKUP(C1307,'MES orders'!$A$8:$H$127,5,FALSE)</x:f>
        <x:v>46304.666666666664</x:v>
      </x:c>
      <x:c r="O1307" s="16" t="n">
        <x:f>MAX(0,(M1307-N1307)*24)</x:f>
        <x:v>0</x:v>
      </x:c>
      <x:c r="P1307" s="9" t="str">
        <x:v>No</x:v>
      </x:c>
      <x:c r="Q1307" s="15" t="n">
        <x:v>11</x:v>
      </x:c>
      <x:c r="R1307" s="13" t="n">
        <x:f>J1307+Q1307/1440</x:f>
        <x:v>46304.27152777778</x:v>
      </x:c>
      <x:c r="S1307" s="2" t="str">
        <x:f>VLOOKUP(C1307,'MES orders'!$A$8:$H$127,6,FALSE)</x:f>
        <x:v>Normal</x:v>
      </x:c>
      <x:c r="T1307" s="9" t="str"/>
    </x:row>
    <x:row r="1308" ht="22" customHeight="1">
      <x:c r="A1308" s="2" t="str">
        <x:v>L00571-040</x:v>
      </x:c>
      <x:c r="B1308" s="2" t="str">
        <x:v>L00571</x:v>
      </x:c>
      <x:c r="C1308" s="2" t="str">
        <x:v>SO-26115</x:v>
      </x:c>
      <x:c r="D1308" s="2" t="str">
        <x:v>R-C-AL</x:v>
      </x:c>
      <x:c r="E1308" s="14" t="n">
        <x:v>5</x:v>
      </x:c>
      <x:c r="F1308" s="2" t="str">
        <x:v>Mechanical assembly</x:v>
      </x:c>
      <x:c r="G1308" s="9" t="str">
        <x:v>AS-04</x:v>
      </x:c>
      <x:c r="H1308" s="15" t="n">
        <x:v>45</x:v>
      </x:c>
      <x:c r="I1308" s="9" t="str">
        <x:v>P12</x:v>
      </x:c>
      <x:c r="J1308" s="11" t="n">
        <x:v>46304.26388888889</x:v>
      </x:c>
      <x:c r="K1308" s="15" t="n">
        <x:v>8</x:v>
      </x:c>
      <x:c r="L1308" s="15" t="n">
        <x:v>7</x:v>
      </x:c>
      <x:c r="M1308" s="13" t="n">
        <x:f>J1308+(K1308+L1308)/1440</x:f>
        <x:v>46304.274305555555</x:v>
      </x:c>
      <x:c r="N1308" s="13" t="n">
        <x:f>VLOOKUP(C1308,'MES orders'!$A$8:$H$127,5,FALSE)</x:f>
        <x:v>46304.666666666664</x:v>
      </x:c>
      <x:c r="O1308" s="16" t="n">
        <x:f>MAX(0,(M1308-N1308)*24)</x:f>
        <x:v>0</x:v>
      </x:c>
      <x:c r="P1308" s="9" t="str">
        <x:v>No</x:v>
      </x:c>
      <x:c r="Q1308" s="15" t="n">
        <x:v>15</x:v>
      </x:c>
      <x:c r="R1308" s="13" t="n">
        <x:f>J1308+Q1308/1440</x:f>
        <x:v>46304.274305555555</x:v>
      </x:c>
      <x:c r="S1308" s="2" t="str">
        <x:f>VLOOKUP(C1308,'MES orders'!$A$8:$H$127,6,FALSE)</x:f>
        <x:v>Normal</x:v>
      </x:c>
      <x:c r="T1308" s="9" t="str"/>
    </x:row>
    <x:row r="1309" ht="22" customHeight="1">
      <x:c r="A1309" s="2" t="str">
        <x:v>L00372-040</x:v>
      </x:c>
      <x:c r="B1309" s="2" t="str">
        <x:v>L00372</x:v>
      </x:c>
      <x:c r="C1309" s="2" t="str">
        <x:v>SO-26075</x:v>
      </x:c>
      <x:c r="D1309" s="2" t="str">
        <x:v>S-S-AL</x:v>
      </x:c>
      <x:c r="E1309" s="14" t="n">
        <x:v>25</x:v>
      </x:c>
      <x:c r="F1309" s="2" t="str">
        <x:v>Mechanical preassembly</x:v>
      </x:c>
      <x:c r="G1309" s="9" t="str">
        <x:v>AS-03</x:v>
      </x:c>
      <x:c r="H1309" s="15" t="n">
        <x:v>67</x:v>
      </x:c>
      <x:c r="I1309" s="9" t="str">
        <x:v>P06</x:v>
      </x:c>
      <x:c r="J1309" s="11" t="n">
        <x:v>46304.26458333333</x:v>
      </x:c>
      <x:c r="K1309" s="15" t="n">
        <x:v>6</x:v>
      </x:c>
      <x:c r="L1309" s="15" t="n">
        <x:v>28</x:v>
      </x:c>
      <x:c r="M1309" s="13" t="n">
        <x:f>J1309+(K1309+L1309)/1440</x:f>
        <x:v>46304.28819444444</x:v>
      </x:c>
      <x:c r="N1309" s="13" t="n">
        <x:f>VLOOKUP(C1309,'MES orders'!$A$8:$H$127,5,FALSE)</x:f>
        <x:v>46304.666666666664</x:v>
      </x:c>
      <x:c r="O1309" s="16" t="n">
        <x:f>MAX(0,(M1309-N1309)*24)</x:f>
        <x:v>0</x:v>
      </x:c>
      <x:c r="P1309" s="9" t="str">
        <x:v>No</x:v>
      </x:c>
      <x:c r="Q1309" s="15" t="n">
        <x:v>34</x:v>
      </x:c>
      <x:c r="R1309" s="13" t="n">
        <x:f>J1309+Q1309/1440</x:f>
        <x:v>46304.28819444444</x:v>
      </x:c>
      <x:c r="S1309" s="2" t="str">
        <x:f>VLOOKUP(C1309,'MES orders'!$A$8:$H$127,6,FALSE)</x:f>
        <x:v>Normal</x:v>
      </x:c>
      <x:c r="T1309" s="9" t="str"/>
    </x:row>
    <x:row r="1310" ht="22" customHeight="1">
      <x:c r="A1310" s="2" t="str">
        <x:v>L00335-080</x:v>
      </x:c>
      <x:c r="B1310" s="2" t="str">
        <x:v>L00335</x:v>
      </x:c>
      <x:c r="C1310" s="2" t="str">
        <x:v>SO-26067</x:v>
      </x:c>
      <x:c r="D1310" s="2" t="str">
        <x:v>S-C-AL</x:v>
      </x:c>
      <x:c r="E1310" s="14" t="n">
        <x:v>10</x:v>
      </x:c>
      <x:c r="F1310" s="2" t="str">
        <x:v>Final leak / function test</x:v>
      </x:c>
      <x:c r="G1310" s="9" t="str">
        <x:v>QA-02</x:v>
      </x:c>
      <x:c r="H1310" s="15" t="n">
        <x:v>91</x:v>
      </x:c>
      <x:c r="I1310" s="9" t="str">
        <x:v>P11</x:v>
      </x:c>
      <x:c r="J1310" s="11" t="n">
        <x:v>46304.271527777775</x:v>
      </x:c>
      <x:c r="K1310" s="15" t="n">
        <x:v>10</x:v>
      </x:c>
      <x:c r="L1310" s="15" t="n">
        <x:v>7</x:v>
      </x:c>
      <x:c r="M1310" s="13" t="n">
        <x:f>J1310+(K1310+L1310)/1440</x:f>
        <x:v>46304.28333333333</x:v>
      </x:c>
      <x:c r="N1310" s="13" t="n">
        <x:f>VLOOKUP(C1310,'MES orders'!$A$8:$H$127,5,FALSE)</x:f>
        <x:v>46304.666666666664</x:v>
      </x:c>
      <x:c r="O1310" s="16" t="n">
        <x:f>MAX(0,(M1310-N1310)*24)</x:f>
        <x:v>0</x:v>
      </x:c>
      <x:c r="P1310" s="9" t="str">
        <x:v>No</x:v>
      </x:c>
      <x:c r="Q1310" s="15" t="n">
        <x:v>17</x:v>
      </x:c>
      <x:c r="R1310" s="13" t="n">
        <x:f>J1310+Q1310/1440</x:f>
        <x:v>46304.28333333333</x:v>
      </x:c>
      <x:c r="S1310" s="2" t="str">
        <x:f>VLOOKUP(C1310,'MES orders'!$A$8:$H$127,6,FALSE)</x:f>
        <x:v>Normal</x:v>
      </x:c>
      <x:c r="T1310" s="9" t="str"/>
    </x:row>
    <x:row r="1311" ht="22" customHeight="1">
      <x:c r="A1311" s="2" t="str">
        <x:v>L00373-030</x:v>
      </x:c>
      <x:c r="B1311" s="2" t="str">
        <x:v>L00373</x:v>
      </x:c>
      <x:c r="C1311" s="2" t="str">
        <x:v>SO-26075</x:v>
      </x:c>
      <x:c r="D1311" s="2" t="str">
        <x:v>S-S-AL</x:v>
      </x:c>
      <x:c r="E1311" s="14" t="n">
        <x:v>25</x:v>
      </x:c>
      <x:c r="F1311" s="2" t="str">
        <x:v>Wash &amp; dry</x:v>
      </x:c>
      <x:c r="G1311" s="9" t="str">
        <x:v>WS-01</x:v>
      </x:c>
      <x:c r="H1311" s="15" t="n">
        <x:v>123</x:v>
      </x:c>
      <x:c r="I1311" s="9" t="str">
        <x:v>P05</x:v>
      </x:c>
      <x:c r="J1311" s="11" t="n">
        <x:v>46304.271527777775</x:v>
      </x:c>
      <x:c r="K1311" s="15" t="n">
        <x:v>12</x:v>
      </x:c>
      <x:c r="L1311" s="15" t="n">
        <x:v>9</x:v>
      </x:c>
      <x:c r="M1311" s="13" t="n">
        <x:f>J1311+(K1311+L1311)/1440</x:f>
        <x:v>46304.286111111105</x:v>
      </x:c>
      <x:c r="N1311" s="13" t="n">
        <x:f>VLOOKUP(C1311,'MES orders'!$A$8:$H$127,5,FALSE)</x:f>
        <x:v>46304.666666666664</x:v>
      </x:c>
      <x:c r="O1311" s="16" t="n">
        <x:f>MAX(0,(M1311-N1311)*24)</x:f>
        <x:v>0</x:v>
      </x:c>
      <x:c r="P1311" s="9" t="str">
        <x:v>No</x:v>
      </x:c>
      <x:c r="Q1311" s="15" t="n">
        <x:v>21</x:v>
      </x:c>
      <x:c r="R1311" s="13" t="n">
        <x:f>J1311+Q1311/1440</x:f>
        <x:v>46304.286111111105</x:v>
      </x:c>
      <x:c r="S1311" s="2" t="str">
        <x:f>VLOOKUP(C1311,'MES orders'!$A$8:$H$127,6,FALSE)</x:f>
        <x:v>Normal</x:v>
      </x:c>
      <x:c r="T1311" s="9" t="str"/>
    </x:row>
    <x:row r="1312" ht="22" customHeight="1">
      <x:c r="A1312" s="2" t="str">
        <x:v>L00413-020</x:v>
      </x:c>
      <x:c r="B1312" s="2" t="str">
        <x:v>L00413</x:v>
      </x:c>
      <x:c r="C1312" s="2" t="str">
        <x:v>SO-26083</x:v>
      </x:c>
      <x:c r="D1312" s="2" t="str">
        <x:v>S-L-AL</x:v>
      </x:c>
      <x:c r="E1312" s="14" t="n">
        <x:v>15</x:v>
      </x:c>
      <x:c r="F1312" s="2" t="str">
        <x:v>Deburr &amp; inspect</x:v>
      </x:c>
      <x:c r="G1312" s="9" t="str">
        <x:v>DB-01</x:v>
      </x:c>
      <x:c r="H1312" s="15" t="n">
        <x:v>126</x:v>
      </x:c>
      <x:c r="I1312" s="9" t="str">
        <x:v>P04</x:v>
      </x:c>
      <x:c r="J1312" s="11" t="n">
        <x:v>46304.27361111111</x:v>
      </x:c>
      <x:c r="K1312" s="15" t="n">
        <x:v>4</x:v>
      </x:c>
      <x:c r="L1312" s="15" t="n">
        <x:v>14</x:v>
      </x:c>
      <x:c r="M1312" s="13" t="n">
        <x:f>J1312+(K1312+L1312)/1440</x:f>
        <x:v>46304.286111111105</x:v>
      </x:c>
      <x:c r="N1312" s="13" t="n">
        <x:f>VLOOKUP(C1312,'MES orders'!$A$8:$H$127,5,FALSE)</x:f>
        <x:v>46304.666666666664</x:v>
      </x:c>
      <x:c r="O1312" s="16" t="n">
        <x:f>MAX(0,(M1312-N1312)*24)</x:f>
        <x:v>0</x:v>
      </x:c>
      <x:c r="P1312" s="9" t="str">
        <x:v>No</x:v>
      </x:c>
      <x:c r="Q1312" s="15" t="n">
        <x:v>18</x:v>
      </x:c>
      <x:c r="R1312" s="13" t="n">
        <x:f>J1312+Q1312/1440</x:f>
        <x:v>46304.286111111105</x:v>
      </x:c>
      <x:c r="S1312" s="2" t="str">
        <x:f>VLOOKUP(C1312,'MES orders'!$A$8:$H$127,6,FALSE)</x:f>
        <x:v>Normal</x:v>
      </x:c>
      <x:c r="T1312" s="9" t="str"/>
    </x:row>
    <x:row r="1313" ht="22" customHeight="1">
      <x:c r="A1313" s="2" t="str">
        <x:v>L00371-050</x:v>
      </x:c>
      <x:c r="B1313" s="2" t="str">
        <x:v>L00371</x:v>
      </x:c>
      <x:c r="C1313" s="2" t="str">
        <x:v>SO-26075</x:v>
      </x:c>
      <x:c r="D1313" s="2" t="str">
        <x:v>S-S-AL</x:v>
      </x:c>
      <x:c r="E1313" s="14" t="n">
        <x:v>25</x:v>
      </x:c>
      <x:c r="F1313" s="2" t="str">
        <x:v>Sensor installation</x:v>
      </x:c>
      <x:c r="G1313" s="9" t="str">
        <x:v>EL-01</x:v>
      </x:c>
      <x:c r="H1313" s="15" t="n">
        <x:v>39</x:v>
      </x:c>
      <x:c r="I1313" s="9" t="str">
        <x:v>P07</x:v>
      </x:c>
      <x:c r="J1313" s="11" t="n">
        <x:v>46304.27361111111</x:v>
      </x:c>
      <x:c r="K1313" s="15" t="n">
        <x:v>8</x:v>
      </x:c>
      <x:c r="L1313" s="15" t="n">
        <x:v>30</x:v>
      </x:c>
      <x:c r="M1313" s="13" t="n">
        <x:f>J1313+(K1313+L1313)/1440</x:f>
        <x:v>46304.299999999996</x:v>
      </x:c>
      <x:c r="N1313" s="13" t="n">
        <x:f>VLOOKUP(C1313,'MES orders'!$A$8:$H$127,5,FALSE)</x:f>
        <x:v>46304.666666666664</x:v>
      </x:c>
      <x:c r="O1313" s="16" t="n">
        <x:f>MAX(0,(M1313-N1313)*24)</x:f>
        <x:v>0</x:v>
      </x:c>
      <x:c r="P1313" s="9" t="str">
        <x:v>No</x:v>
      </x:c>
      <x:c r="Q1313" s="15" t="n">
        <x:v>38</x:v>
      </x:c>
      <x:c r="R1313" s="13" t="n">
        <x:f>J1313+Q1313/1440</x:f>
        <x:v>46304.299999999996</x:v>
      </x:c>
      <x:c r="S1313" s="2" t="str">
        <x:f>VLOOKUP(C1313,'MES orders'!$A$8:$H$127,6,FALSE)</x:f>
        <x:v>Normal</x:v>
      </x:c>
      <x:c r="T1313" s="9" t="str"/>
    </x:row>
    <x:row r="1314" ht="22" customHeight="1">
      <x:c r="A1314" s="2" t="str">
        <x:v>L00572-010</x:v>
      </x:c>
      <x:c r="B1314" s="2" t="str">
        <x:v>L00572</x:v>
      </x:c>
      <x:c r="C1314" s="2" t="str">
        <x:v>SO-26115</x:v>
      </x:c>
      <x:c r="D1314" s="2" t="str">
        <x:v>R-C-AL</x:v>
      </x:c>
      <x:c r="E1314" s="14" t="n">
        <x:v>5</x:v>
      </x:c>
      <x:c r="F1314" s="2" t="str">
        <x:v>CNC machining</x:v>
      </x:c>
      <x:c r="G1314" s="9" t="str">
        <x:v>CNC-01</x:v>
      </x:c>
      <x:c r="H1314" s="15" t="n">
        <x:v>45</x:v>
      </x:c>
      <x:c r="I1314" s="9" t="str">
        <x:v>P01</x:v>
      </x:c>
      <x:c r="J1314" s="11" t="n">
        <x:v>46304.27569444444</x:v>
      </x:c>
      <x:c r="K1314" s="15" t="n">
        <x:v>18</x:v>
      </x:c>
      <x:c r="L1314" s="15" t="n">
        <x:v>10</x:v>
      </x:c>
      <x:c r="M1314" s="13" t="n">
        <x:f>J1314+(K1314+L1314)/1440</x:f>
        <x:v>46304.29513888888</x:v>
      </x:c>
      <x:c r="N1314" s="13" t="n">
        <x:f>VLOOKUP(C1314,'MES orders'!$A$8:$H$127,5,FALSE)</x:f>
        <x:v>46304.666666666664</x:v>
      </x:c>
      <x:c r="O1314" s="16" t="n">
        <x:f>MAX(0,(M1314-N1314)*24)</x:f>
        <x:v>0</x:v>
      </x:c>
      <x:c r="P1314" s="9" t="str">
        <x:v>No</x:v>
      </x:c>
      <x:c r="Q1314" s="15" t="n">
        <x:v>18</x:v>
      </x:c>
      <x:c r="R1314" s="13" t="n">
        <x:f>J1314+Q1314/1440</x:f>
        <x:v>46304.28819444444</x:v>
      </x:c>
      <x:c r="S1314" s="2" t="str">
        <x:f>VLOOKUP(C1314,'MES orders'!$A$8:$H$127,6,FALSE)</x:f>
        <x:v>Normal</x:v>
      </x:c>
      <x:c r="T1314" s="9" t="str"/>
    </x:row>
    <x:row r="1315" ht="22" customHeight="1">
      <x:c r="A1315" s="2" t="str">
        <x:v>L00573-010</x:v>
      </x:c>
      <x:c r="B1315" s="2" t="str">
        <x:v>L00573</x:v>
      </x:c>
      <x:c r="C1315" s="2" t="str">
        <x:v>SO-26115</x:v>
      </x:c>
      <x:c r="D1315" s="2" t="str">
        <x:v>R-C-AL</x:v>
      </x:c>
      <x:c r="E1315" s="14" t="n">
        <x:v>5</x:v>
      </x:c>
      <x:c r="F1315" s="2" t="str">
        <x:v>CNC machining</x:v>
      </x:c>
      <x:c r="G1315" s="9" t="str">
        <x:v>CNC-02</x:v>
      </x:c>
      <x:c r="H1315" s="15" t="n">
        <x:v>30</x:v>
      </x:c>
      <x:c r="I1315" s="9" t="str">
        <x:v>P02</x:v>
      </x:c>
      <x:c r="J1315" s="11" t="n">
        <x:v>46304.27569444444</x:v>
      </x:c>
      <x:c r="K1315" s="15" t="n">
        <x:v>18</x:v>
      </x:c>
      <x:c r="L1315" s="15" t="n">
        <x:v>10</x:v>
      </x:c>
      <x:c r="M1315" s="13" t="n">
        <x:f>J1315+(K1315+L1315)/1440</x:f>
        <x:v>46304.29513888888</x:v>
      </x:c>
      <x:c r="N1315" s="13" t="n">
        <x:f>VLOOKUP(C1315,'MES orders'!$A$8:$H$127,5,FALSE)</x:f>
        <x:v>46304.666666666664</x:v>
      </x:c>
      <x:c r="O1315" s="16" t="n">
        <x:f>MAX(0,(M1315-N1315)*24)</x:f>
        <x:v>0</x:v>
      </x:c>
      <x:c r="P1315" s="9" t="str">
        <x:v>No</x:v>
      </x:c>
      <x:c r="Q1315" s="15" t="n">
        <x:v>18</x:v>
      </x:c>
      <x:c r="R1315" s="13" t="n">
        <x:f>J1315+Q1315/1440</x:f>
        <x:v>46304.28819444444</x:v>
      </x:c>
      <x:c r="S1315" s="2" t="str">
        <x:f>VLOOKUP(C1315,'MES orders'!$A$8:$H$127,6,FALSE)</x:f>
        <x:v>Normal</x:v>
      </x:c>
      <x:c r="T1315" s="9" t="str"/>
    </x:row>
    <x:row r="1316" ht="22" customHeight="1">
      <x:c r="A1316" s="2" t="str">
        <x:v>L00571-050</x:v>
      </x:c>
      <x:c r="B1316" s="2" t="str">
        <x:v>L00571</x:v>
      </x:c>
      <x:c r="C1316" s="2" t="str">
        <x:v>SO-26115</x:v>
      </x:c>
      <x:c r="D1316" s="2" t="str">
        <x:v>R-C-AL</x:v>
      </x:c>
      <x:c r="E1316" s="14" t="n">
        <x:v>5</x:v>
      </x:c>
      <x:c r="F1316" s="2" t="str">
        <x:v>Valve adjustment</x:v>
      </x:c>
      <x:c r="G1316" s="9" t="str">
        <x:v>AS-01</x:v>
      </x:c>
      <x:c r="H1316" s="15" t="n">
        <x:v>104</x:v>
      </x:c>
      <x:c r="I1316" s="9" t="str">
        <x:v>P08</x:v>
      </x:c>
      <x:c r="J1316" s="11" t="n">
        <x:v>46304.27638888889</x:v>
      </x:c>
      <x:c r="K1316" s="15" t="n">
        <x:v>6</x:v>
      </x:c>
      <x:c r="L1316" s="15" t="n">
        <x:v>4</x:v>
      </x:c>
      <x:c r="M1316" s="13" t="n">
        <x:f>J1316+(K1316+L1316)/1440</x:f>
        <x:v>46304.28333333333</x:v>
      </x:c>
      <x:c r="N1316" s="13" t="n">
        <x:f>VLOOKUP(C1316,'MES orders'!$A$8:$H$127,5,FALSE)</x:f>
        <x:v>46304.666666666664</x:v>
      </x:c>
      <x:c r="O1316" s="16" t="n">
        <x:f>MAX(0,(M1316-N1316)*24)</x:f>
        <x:v>0</x:v>
      </x:c>
      <x:c r="P1316" s="9" t="str">
        <x:v>No</x:v>
      </x:c>
      <x:c r="Q1316" s="15" t="n">
        <x:v>10</x:v>
      </x:c>
      <x:c r="R1316" s="13" t="n">
        <x:f>J1316+Q1316/1440</x:f>
        <x:v>46304.28333333333</x:v>
      </x:c>
      <x:c r="S1316" s="2" t="str">
        <x:f>VLOOKUP(C1316,'MES orders'!$A$8:$H$127,6,FALSE)</x:f>
        <x:v>Normal</x:v>
      </x:c>
      <x:c r="T1316" s="9" t="str"/>
    </x:row>
    <x:row r="1317" ht="22" customHeight="1">
      <x:c r="A1317" s="2" t="str">
        <x:v>L00571-060</x:v>
      </x:c>
      <x:c r="B1317" s="2" t="str">
        <x:v>L00571</x:v>
      </x:c>
      <x:c r="C1317" s="2" t="str">
        <x:v>SO-26115</x:v>
      </x:c>
      <x:c r="D1317" s="2" t="str">
        <x:v>R-C-AL</x:v>
      </x:c>
      <x:c r="E1317" s="14" t="n">
        <x:v>5</x:v>
      </x:c>
      <x:c r="F1317" s="2" t="str">
        <x:v>Final leak / function test</x:v>
      </x:c>
      <x:c r="G1317" s="9" t="str">
        <x:v>QA-02</x:v>
      </x:c>
      <x:c r="H1317" s="15" t="n">
        <x:v>92</x:v>
      </x:c>
      <x:c r="I1317" s="9" t="str">
        <x:v>P11</x:v>
      </x:c>
      <x:c r="J1317" s="11" t="n">
        <x:v>46304.28333333333</x:v>
      </x:c>
      <x:c r="K1317" s="15" t="n">
        <x:v>10</x:v>
      </x:c>
      <x:c r="L1317" s="15" t="n">
        <x:v>4</x:v>
      </x:c>
      <x:c r="M1317" s="13" t="n">
        <x:f>J1317+(K1317+L1317)/1440</x:f>
        <x:v>46304.29305555556</x:v>
      </x:c>
      <x:c r="N1317" s="13" t="n">
        <x:f>VLOOKUP(C1317,'MES orders'!$A$8:$H$127,5,FALSE)</x:f>
        <x:v>46304.666666666664</x:v>
      </x:c>
      <x:c r="O1317" s="16" t="n">
        <x:f>MAX(0,(M1317-N1317)*24)</x:f>
        <x:v>0</x:v>
      </x:c>
      <x:c r="P1317" s="9" t="str">
        <x:v>No</x:v>
      </x:c>
      <x:c r="Q1317" s="15" t="n">
        <x:v>14</x:v>
      </x:c>
      <x:c r="R1317" s="13" t="n">
        <x:f>J1317+Q1317/1440</x:f>
        <x:v>46304.29305555556</x:v>
      </x:c>
      <x:c r="S1317" s="2" t="str">
        <x:f>VLOOKUP(C1317,'MES orders'!$A$8:$H$127,6,FALSE)</x:f>
        <x:v>Normal</x:v>
      </x:c>
      <x:c r="T1317" s="9" t="str"/>
    </x:row>
    <x:row r="1318" ht="22" customHeight="1">
      <x:c r="A1318" s="2" t="str">
        <x:v>L00373-040</x:v>
      </x:c>
      <x:c r="B1318" s="2" t="str">
        <x:v>L00373</x:v>
      </x:c>
      <x:c r="C1318" s="2" t="str">
        <x:v>SO-26075</x:v>
      </x:c>
      <x:c r="D1318" s="2" t="str">
        <x:v>S-S-AL</x:v>
      </x:c>
      <x:c r="E1318" s="14" t="n">
        <x:v>25</x:v>
      </x:c>
      <x:c r="F1318" s="2" t="str">
        <x:v>Mechanical preassembly</x:v>
      </x:c>
      <x:c r="G1318" s="9" t="str">
        <x:v>AS-01</x:v>
      </x:c>
      <x:c r="H1318" s="15" t="n">
        <x:v>105</x:v>
      </x:c>
      <x:c r="I1318" s="9" t="str">
        <x:v>P04</x:v>
      </x:c>
      <x:c r="J1318" s="11" t="n">
        <x:v>46304.28611111111</x:v>
      </x:c>
      <x:c r="K1318" s="15" t="n">
        <x:v>6</x:v>
      </x:c>
      <x:c r="L1318" s="15" t="n">
        <x:v>28</x:v>
      </x:c>
      <x:c r="M1318" s="13" t="n">
        <x:f>J1318+(K1318+L1318)/1440</x:f>
        <x:v>46304.30972222222</x:v>
      </x:c>
      <x:c r="N1318" s="13" t="n">
        <x:f>VLOOKUP(C1318,'MES orders'!$A$8:$H$127,5,FALSE)</x:f>
        <x:v>46304.666666666664</x:v>
      </x:c>
      <x:c r="O1318" s="16" t="n">
        <x:f>MAX(0,(M1318-N1318)*24)</x:f>
        <x:v>0</x:v>
      </x:c>
      <x:c r="P1318" s="9" t="str">
        <x:v>No</x:v>
      </x:c>
      <x:c r="Q1318" s="15" t="n">
        <x:v>34</x:v>
      </x:c>
      <x:c r="R1318" s="13" t="n">
        <x:f>J1318+Q1318/1440</x:f>
        <x:v>46304.30972222222</x:v>
      </x:c>
      <x:c r="S1318" s="2" t="str">
        <x:f>VLOOKUP(C1318,'MES orders'!$A$8:$H$127,6,FALSE)</x:f>
        <x:v>Normal</x:v>
      </x:c>
      <x:c r="T1318" s="9" t="str"/>
    </x:row>
    <x:row r="1319" ht="22" customHeight="1">
      <x:c r="A1319" s="2" t="str">
        <x:v>L00411-040</x:v>
      </x:c>
      <x:c r="B1319" s="2" t="str">
        <x:v>L00411</x:v>
      </x:c>
      <x:c r="C1319" s="2" t="str">
        <x:v>SO-26083</x:v>
      </x:c>
      <x:c r="D1319" s="2" t="str">
        <x:v>S-L-AL</x:v>
      </x:c>
      <x:c r="E1319" s="14" t="n">
        <x:v>15</x:v>
      </x:c>
      <x:c r="F1319" s="2" t="str">
        <x:v>Mechanical preassembly</x:v>
      </x:c>
      <x:c r="G1319" s="9" t="str">
        <x:v>AS-02</x:v>
      </x:c>
      <x:c r="H1319" s="15" t="n">
        <x:v>88</x:v>
      </x:c>
      <x:c r="I1319" s="9" t="str">
        <x:v>P05</x:v>
      </x:c>
      <x:c r="J1319" s="11" t="n">
        <x:v>46304.28611111111</x:v>
      </x:c>
      <x:c r="K1319" s="15" t="n">
        <x:v>6</x:v>
      </x:c>
      <x:c r="L1319" s="15" t="n">
        <x:v>22</x:v>
      </x:c>
      <x:c r="M1319" s="13" t="n">
        <x:f>J1319+(K1319+L1319)/1440</x:f>
        <x:v>46304.305555555555</x:v>
      </x:c>
      <x:c r="N1319" s="13" t="n">
        <x:f>VLOOKUP(C1319,'MES orders'!$A$8:$H$127,5,FALSE)</x:f>
        <x:v>46304.666666666664</x:v>
      </x:c>
      <x:c r="O1319" s="16" t="n">
        <x:f>MAX(0,(M1319-N1319)*24)</x:f>
        <x:v>0</x:v>
      </x:c>
      <x:c r="P1319" s="9" t="str">
        <x:v>No</x:v>
      </x:c>
      <x:c r="Q1319" s="15" t="n">
        <x:v>28</x:v>
      </x:c>
      <x:c r="R1319" s="13" t="n">
        <x:f>J1319+Q1319/1440</x:f>
        <x:v>46304.305555555555</x:v>
      </x:c>
      <x:c r="S1319" s="2" t="str">
        <x:f>VLOOKUP(C1319,'MES orders'!$A$8:$H$127,6,FALSE)</x:f>
        <x:v>Normal</x:v>
      </x:c>
      <x:c r="T1319" s="9" t="str"/>
    </x:row>
    <x:row r="1320" ht="22" customHeight="1">
      <x:c r="A1320" s="2" t="str">
        <x:v>L00372-050</x:v>
      </x:c>
      <x:c r="B1320" s="2" t="str">
        <x:v>L00372</x:v>
      </x:c>
      <x:c r="C1320" s="2" t="str">
        <x:v>SO-26075</x:v>
      </x:c>
      <x:c r="D1320" s="2" t="str">
        <x:v>S-S-AL</x:v>
      </x:c>
      <x:c r="E1320" s="14" t="n">
        <x:v>25</x:v>
      </x:c>
      <x:c r="F1320" s="2" t="str">
        <x:v>Sensor installation</x:v>
      </x:c>
      <x:c r="G1320" s="9" t="str">
        <x:v>EL-02</x:v>
      </x:c>
      <x:c r="H1320" s="15" t="n">
        <x:v>24</x:v>
      </x:c>
      <x:c r="I1320" s="9" t="str">
        <x:v>P08</x:v>
      </x:c>
      <x:c r="J1320" s="11" t="n">
        <x:v>46304.288194444445</x:v>
      </x:c>
      <x:c r="K1320" s="15" t="n">
        <x:v>8</x:v>
      </x:c>
      <x:c r="L1320" s="15" t="n">
        <x:v>30</x:v>
      </x:c>
      <x:c r="M1320" s="13" t="n">
        <x:f>J1320+(K1320+L1320)/1440</x:f>
        <x:v>46304.31458333333</x:v>
      </x:c>
      <x:c r="N1320" s="13" t="n">
        <x:f>VLOOKUP(C1320,'MES orders'!$A$8:$H$127,5,FALSE)</x:f>
        <x:v>46304.666666666664</x:v>
      </x:c>
      <x:c r="O1320" s="16" t="n">
        <x:f>MAX(0,(M1320-N1320)*24)</x:f>
        <x:v>0</x:v>
      </x:c>
      <x:c r="P1320" s="9" t="str">
        <x:v>No</x:v>
      </x:c>
      <x:c r="Q1320" s="15" t="n">
        <x:v>38</x:v>
      </x:c>
      <x:c r="R1320" s="13" t="n">
        <x:f>J1320+Q1320/1440</x:f>
        <x:v>46304.31458333333</x:v>
      </x:c>
      <x:c r="S1320" s="2" t="str">
        <x:f>VLOOKUP(C1320,'MES orders'!$A$8:$H$127,6,FALSE)</x:f>
        <x:v>Normal</x:v>
      </x:c>
      <x:c r="T1320" s="9" t="str"/>
    </x:row>
    <x:row r="1321" ht="22" customHeight="1">
      <x:c r="A1321" s="2" t="str">
        <x:v>L00412-030</x:v>
      </x:c>
      <x:c r="B1321" s="2" t="str">
        <x:v>L00412</x:v>
      </x:c>
      <x:c r="C1321" s="2" t="str">
        <x:v>SO-26083</x:v>
      </x:c>
      <x:c r="D1321" s="2" t="str">
        <x:v>S-L-AL</x:v>
      </x:c>
      <x:c r="E1321" s="14" t="n">
        <x:v>15</x:v>
      </x:c>
      <x:c r="F1321" s="2" t="str">
        <x:v>Wash &amp; dry</x:v>
      </x:c>
      <x:c r="G1321" s="9" t="str">
        <x:v>WS-01</x:v>
      </x:c>
      <x:c r="H1321" s="15" t="n">
        <x:v>124</x:v>
      </x:c>
      <x:c r="I1321" s="9" t="str">
        <x:v>P06</x:v>
      </x:c>
      <x:c r="J1321" s="11" t="n">
        <x:v>46304.288194444445</x:v>
      </x:c>
      <x:c r="K1321" s="15" t="n">
        <x:v>12</x:v>
      </x:c>
      <x:c r="L1321" s="15" t="n">
        <x:v>7</x:v>
      </x:c>
      <x:c r="M1321" s="13" t="n">
        <x:f>J1321+(K1321+L1321)/1440</x:f>
        <x:v>46304.30138888889</x:v>
      </x:c>
      <x:c r="N1321" s="13" t="n">
        <x:f>VLOOKUP(C1321,'MES orders'!$A$8:$H$127,5,FALSE)</x:f>
        <x:v>46304.666666666664</x:v>
      </x:c>
      <x:c r="O1321" s="16" t="n">
        <x:f>MAX(0,(M1321-N1321)*24)</x:f>
        <x:v>0</x:v>
      </x:c>
      <x:c r="P1321" s="9" t="str">
        <x:v>No</x:v>
      </x:c>
      <x:c r="Q1321" s="15" t="n">
        <x:v>19</x:v>
      </x:c>
      <x:c r="R1321" s="13" t="n">
        <x:f>J1321+Q1321/1440</x:f>
        <x:v>46304.30138888889</x:v>
      </x:c>
      <x:c r="S1321" s="2" t="str">
        <x:f>VLOOKUP(C1321,'MES orders'!$A$8:$H$127,6,FALSE)</x:f>
        <x:v>Normal</x:v>
      </x:c>
      <x:c r="T1321" s="9" t="str"/>
    </x:row>
    <x:row r="1322" ht="22" customHeight="1">
      <x:c r="A1322" s="2" t="str">
        <x:v>L00572-020</x:v>
      </x:c>
      <x:c r="B1322" s="2" t="str">
        <x:v>L00572</x:v>
      </x:c>
      <x:c r="C1322" s="2" t="str">
        <x:v>SO-26115</x:v>
      </x:c>
      <x:c r="D1322" s="2" t="str">
        <x:v>R-C-AL</x:v>
      </x:c>
      <x:c r="E1322" s="14" t="n">
        <x:v>5</x:v>
      </x:c>
      <x:c r="F1322" s="2" t="str">
        <x:v>Deburr &amp; inspect</x:v>
      </x:c>
      <x:c r="G1322" s="9" t="str">
        <x:v>DB-01</x:v>
      </x:c>
      <x:c r="H1322" s="15" t="n">
        <x:v>127</x:v>
      </x:c>
      <x:c r="I1322" s="9" t="str">
        <x:v>P02</x:v>
      </x:c>
      <x:c r="J1322" s="11" t="n">
        <x:v>46304.29513888889</x:v>
      </x:c>
      <x:c r="K1322" s="15" t="n">
        <x:v>4</x:v>
      </x:c>
      <x:c r="L1322" s="15" t="n">
        <x:v>3</x:v>
      </x:c>
      <x:c r="M1322" s="13" t="n">
        <x:f>J1322+(K1322+L1322)/1440</x:f>
        <x:v>46304.3</x:v>
      </x:c>
      <x:c r="N1322" s="13" t="n">
        <x:f>VLOOKUP(C1322,'MES orders'!$A$8:$H$127,5,FALSE)</x:f>
        <x:v>46304.666666666664</x:v>
      </x:c>
      <x:c r="O1322" s="16" t="n">
        <x:f>MAX(0,(M1322-N1322)*24)</x:f>
        <x:v>0</x:v>
      </x:c>
      <x:c r="P1322" s="9" t="str">
        <x:v>No</x:v>
      </x:c>
      <x:c r="Q1322" s="15" t="n">
        <x:v>7</x:v>
      </x:c>
      <x:c r="R1322" s="13" t="n">
        <x:f>J1322+Q1322/1440</x:f>
        <x:v>46304.3</x:v>
      </x:c>
      <x:c r="S1322" s="2" t="str">
        <x:f>VLOOKUP(C1322,'MES orders'!$A$8:$H$127,6,FALSE)</x:f>
        <x:v>Normal</x:v>
      </x:c>
      <x:c r="T1322" s="9" t="str"/>
    </x:row>
    <x:row r="1323" ht="22" customHeight="1">
      <x:c r="A1323" s="2" t="str">
        <x:v>L00573-020</x:v>
      </x:c>
      <x:c r="B1323" s="2" t="str">
        <x:v>L00573</x:v>
      </x:c>
      <x:c r="C1323" s="2" t="str">
        <x:v>SO-26115</x:v>
      </x:c>
      <x:c r="D1323" s="2" t="str">
        <x:v>R-C-AL</x:v>
      </x:c>
      <x:c r="E1323" s="14" t="n">
        <x:v>5</x:v>
      </x:c>
      <x:c r="F1323" s="2" t="str">
        <x:v>Deburr &amp; inspect</x:v>
      </x:c>
      <x:c r="G1323" s="9" t="str">
        <x:v>DB-02</x:v>
      </x:c>
      <x:c r="H1323" s="15" t="n">
        <x:v>87</x:v>
      </x:c>
      <x:c r="I1323" s="9" t="str">
        <x:v>P03</x:v>
      </x:c>
      <x:c r="J1323" s="11" t="n">
        <x:v>46304.29513888889</x:v>
      </x:c>
      <x:c r="K1323" s="15" t="n">
        <x:v>4</x:v>
      </x:c>
      <x:c r="L1323" s="15" t="n">
        <x:v>3</x:v>
      </x:c>
      <x:c r="M1323" s="13" t="n">
        <x:f>J1323+(K1323+L1323)/1440</x:f>
        <x:v>46304.3</x:v>
      </x:c>
      <x:c r="N1323" s="13" t="n">
        <x:f>VLOOKUP(C1323,'MES orders'!$A$8:$H$127,5,FALSE)</x:f>
        <x:v>46304.666666666664</x:v>
      </x:c>
      <x:c r="O1323" s="16" t="n">
        <x:f>MAX(0,(M1323-N1323)*24)</x:f>
        <x:v>0</x:v>
      </x:c>
      <x:c r="P1323" s="9" t="str">
        <x:v>No</x:v>
      </x:c>
      <x:c r="Q1323" s="15" t="n">
        <x:v>7</x:v>
      </x:c>
      <x:c r="R1323" s="13" t="n">
        <x:f>J1323+Q1323/1440</x:f>
        <x:v>46304.3</x:v>
      </x:c>
      <x:c r="S1323" s="2" t="str">
        <x:f>VLOOKUP(C1323,'MES orders'!$A$8:$H$127,6,FALSE)</x:f>
        <x:v>Normal</x:v>
      </x:c>
      <x:c r="T1323" s="9" t="str"/>
    </x:row>
    <x:row r="1324" ht="22" customHeight="1">
      <x:c r="A1324" s="2" t="str">
        <x:v>L00534-010</x:v>
      </x:c>
      <x:c r="B1324" s="2" t="str">
        <x:v>L00534</x:v>
      </x:c>
      <x:c r="C1324" s="2" t="str">
        <x:v>SO-26107</x:v>
      </x:c>
      <x:c r="D1324" s="2" t="str">
        <x:v>D-L-AL</x:v>
      </x:c>
      <x:c r="E1324" s="14" t="n">
        <x:v>25</x:v>
      </x:c>
      <x:c r="F1324" s="2" t="str">
        <x:v>CNC machining</x:v>
      </x:c>
      <x:c r="G1324" s="9" t="str">
        <x:v>CNC-03</x:v>
      </x:c>
      <x:c r="H1324" s="15" t="n">
        <x:v>41</x:v>
      </x:c>
      <x:c r="I1324" s="9" t="str">
        <x:v>P01</x:v>
      </x:c>
      <x:c r="J1324" s="11" t="n">
        <x:v>46304.29652777778</x:v>
      </x:c>
      <x:c r="K1324" s="15" t="n">
        <x:v>18</x:v>
      </x:c>
      <x:c r="L1324" s="15" t="n">
        <x:v>81</x:v>
      </x:c>
      <x:c r="M1324" s="13" t="n">
        <x:f>J1324+(K1324+L1324)/1440</x:f>
        <x:v>46304.365277777775</x:v>
      </x:c>
      <x:c r="N1324" s="13" t="n">
        <x:f>VLOOKUP(C1324,'MES orders'!$A$8:$H$127,5,FALSE)</x:f>
        <x:v>46304.666666666664</x:v>
      </x:c>
      <x:c r="O1324" s="16" t="n">
        <x:f>MAX(0,(M1324-N1324)*24)</x:f>
        <x:v>0</x:v>
      </x:c>
      <x:c r="P1324" s="9" t="str">
        <x:v>No</x:v>
      </x:c>
      <x:c r="Q1324" s="15" t="n">
        <x:v>18</x:v>
      </x:c>
      <x:c r="R1324" s="13" t="n">
        <x:f>J1324+Q1324/1440</x:f>
        <x:v>46304.309027777774</x:v>
      </x:c>
      <x:c r="S1324" s="2" t="str">
        <x:f>VLOOKUP(C1324,'MES orders'!$A$8:$H$127,6,FALSE)</x:f>
        <x:v>Normal</x:v>
      </x:c>
      <x:c r="T1324" s="9" t="str"/>
    </x:row>
    <x:row r="1325" ht="22" customHeight="1">
      <x:c r="A1325" s="2" t="str">
        <x:v>L00371-060</x:v>
      </x:c>
      <x:c r="B1325" s="2" t="str">
        <x:v>L00371</x:v>
      </x:c>
      <x:c r="C1325" s="2" t="str">
        <x:v>SO-26075</x:v>
      </x:c>
      <x:c r="D1325" s="2" t="str">
        <x:v>S-S-AL</x:v>
      </x:c>
      <x:c r="E1325" s="14" t="n">
        <x:v>25</x:v>
      </x:c>
      <x:c r="F1325" s="2" t="str">
        <x:v>Sensor calibration</x:v>
      </x:c>
      <x:c r="G1325" s="9" t="str">
        <x:v>CAL-01</x:v>
      </x:c>
      <x:c r="H1325" s="15" t="n">
        <x:v>61</x:v>
      </x:c>
      <x:c r="I1325" s="9" t="str">
        <x:v>P09</x:v>
      </x:c>
      <x:c r="J1325" s="11" t="n">
        <x:v>46304.3</x:v>
      </x:c>
      <x:c r="K1325" s="15" t="n">
        <x:v>10</x:v>
      </x:c>
      <x:c r="L1325" s="15" t="n">
        <x:v>32</x:v>
      </x:c>
      <x:c r="M1325" s="13" t="n">
        <x:f>J1325+(K1325+L1325)/1440</x:f>
        <x:v>46304.32916666667</x:v>
      </x:c>
      <x:c r="N1325" s="13" t="n">
        <x:f>VLOOKUP(C1325,'MES orders'!$A$8:$H$127,5,FALSE)</x:f>
        <x:v>46304.666666666664</x:v>
      </x:c>
      <x:c r="O1325" s="16" t="n">
        <x:f>MAX(0,(M1325-N1325)*24)</x:f>
        <x:v>0</x:v>
      </x:c>
      <x:c r="P1325" s="9" t="str">
        <x:v>No</x:v>
      </x:c>
      <x:c r="Q1325" s="15" t="n">
        <x:v>42</x:v>
      </x:c>
      <x:c r="R1325" s="13" t="n">
        <x:f>J1325+Q1325/1440</x:f>
        <x:v>46304.32916666667</x:v>
      </x:c>
      <x:c r="S1325" s="2" t="str">
        <x:f>VLOOKUP(C1325,'MES orders'!$A$8:$H$127,6,FALSE)</x:f>
        <x:v>Normal</x:v>
      </x:c>
      <x:c r="T1325" s="9" t="str"/>
    </x:row>
    <x:row r="1326" ht="22" customHeight="1">
      <x:c r="A1326" s="2" t="str">
        <x:v>L00574-010</x:v>
      </x:c>
      <x:c r="B1326" s="2" t="str">
        <x:v>L00574</x:v>
      </x:c>
      <x:c r="C1326" s="2" t="str">
        <x:v>SO-26115</x:v>
      </x:c>
      <x:c r="D1326" s="2" t="str">
        <x:v>R-C-AL</x:v>
      </x:c>
      <x:c r="E1326" s="14" t="n">
        <x:v>5</x:v>
      </x:c>
      <x:c r="F1326" s="2" t="str">
        <x:v>CNC machining</x:v>
      </x:c>
      <x:c r="G1326" s="9" t="str">
        <x:v>CNC-01</x:v>
      </x:c>
      <x:c r="H1326" s="15" t="n">
        <x:v>46</x:v>
      </x:c>
      <x:c r="I1326" s="9" t="str">
        <x:v>P03</x:v>
      </x:c>
      <x:c r="J1326" s="11" t="n">
        <x:v>46304.3</x:v>
      </x:c>
      <x:c r="K1326" s="15" t="n">
        <x:v>18</x:v>
      </x:c>
      <x:c r="L1326" s="15" t="n">
        <x:v>10</x:v>
      </x:c>
      <x:c r="M1326" s="13" t="n">
        <x:f>J1326+(K1326+L1326)/1440</x:f>
        <x:v>46304.319444444445</x:v>
      </x:c>
      <x:c r="N1326" s="13" t="n">
        <x:f>VLOOKUP(C1326,'MES orders'!$A$8:$H$127,5,FALSE)</x:f>
        <x:v>46304.666666666664</x:v>
      </x:c>
      <x:c r="O1326" s="16" t="n">
        <x:f>MAX(0,(M1326-N1326)*24)</x:f>
        <x:v>0</x:v>
      </x:c>
      <x:c r="P1326" s="9" t="str">
        <x:v>No</x:v>
      </x:c>
      <x:c r="Q1326" s="15" t="n">
        <x:v>18</x:v>
      </x:c>
      <x:c r="R1326" s="13" t="n">
        <x:f>J1326+Q1326/1440</x:f>
        <x:v>46304.3125</x:v>
      </x:c>
      <x:c r="S1326" s="2" t="str">
        <x:f>VLOOKUP(C1326,'MES orders'!$A$8:$H$127,6,FALSE)</x:f>
        <x:v>Normal</x:v>
      </x:c>
      <x:c r="T1326" s="9" t="str"/>
    </x:row>
    <x:row r="1327" ht="22" customHeight="1">
      <x:c r="A1327" s="2" t="str">
        <x:v>L00572-030</x:v>
      </x:c>
      <x:c r="B1327" s="2" t="str">
        <x:v>L00572</x:v>
      </x:c>
      <x:c r="C1327" s="2" t="str">
        <x:v>SO-26115</x:v>
      </x:c>
      <x:c r="D1327" s="2" t="str">
        <x:v>R-C-AL</x:v>
      </x:c>
      <x:c r="E1327" s="14" t="n">
        <x:v>5</x:v>
      </x:c>
      <x:c r="F1327" s="2" t="str">
        <x:v>Wash &amp; dry</x:v>
      </x:c>
      <x:c r="G1327" s="9" t="str">
        <x:v>WS-02</x:v>
      </x:c>
      <x:c r="H1327" s="15" t="n">
        <x:v>87</x:v>
      </x:c>
      <x:c r="I1327" s="9" t="str">
        <x:v>P02</x:v>
      </x:c>
      <x:c r="J1327" s="11" t="n">
        <x:v>46304.3</x:v>
      </x:c>
      <x:c r="K1327" s="15" t="n">
        <x:v>12</x:v>
      </x:c>
      <x:c r="L1327" s="15" t="n">
        <x:v>1</x:v>
      </x:c>
      <x:c r="M1327" s="13" t="n">
        <x:f>J1327+(K1327+L1327)/1440</x:f>
        <x:v>46304.30902777778</x:v>
      </x:c>
      <x:c r="N1327" s="13" t="n">
        <x:f>VLOOKUP(C1327,'MES orders'!$A$8:$H$127,5,FALSE)</x:f>
        <x:v>46304.666666666664</x:v>
      </x:c>
      <x:c r="O1327" s="16" t="n">
        <x:f>MAX(0,(M1327-N1327)*24)</x:f>
        <x:v>0</x:v>
      </x:c>
      <x:c r="P1327" s="9" t="str">
        <x:v>No</x:v>
      </x:c>
      <x:c r="Q1327" s="15" t="n">
        <x:v>13</x:v>
      </x:c>
      <x:c r="R1327" s="13" t="n">
        <x:f>J1327+Q1327/1440</x:f>
        <x:v>46304.30902777778</x:v>
      </x:c>
      <x:c r="S1327" s="2" t="str">
        <x:f>VLOOKUP(C1327,'MES orders'!$A$8:$H$127,6,FALSE)</x:f>
        <x:v>Normal</x:v>
      </x:c>
      <x:c r="T1327" s="9" t="str"/>
    </x:row>
    <x:row r="1328" ht="22" customHeight="1">
      <x:c r="A1328" s="2" t="str">
        <x:v>L00412-040</x:v>
      </x:c>
      <x:c r="B1328" s="2" t="str">
        <x:v>L00412</x:v>
      </x:c>
      <x:c r="C1328" s="2" t="str">
        <x:v>SO-26083</x:v>
      </x:c>
      <x:c r="D1328" s="2" t="str">
        <x:v>S-L-AL</x:v>
      </x:c>
      <x:c r="E1328" s="14" t="n">
        <x:v>15</x:v>
      </x:c>
      <x:c r="F1328" s="2" t="str">
        <x:v>Mechanical preassembly</x:v>
      </x:c>
      <x:c r="G1328" s="9" t="str">
        <x:v>AS-03</x:v>
      </x:c>
      <x:c r="H1328" s="15" t="n">
        <x:v>68</x:v>
      </x:c>
      <x:c r="I1328" s="9" t="str">
        <x:v>P06</x:v>
      </x:c>
      <x:c r="J1328" s="11" t="n">
        <x:v>46304.30138888889</x:v>
      </x:c>
      <x:c r="K1328" s="15" t="n">
        <x:v>6</x:v>
      </x:c>
      <x:c r="L1328" s="15" t="n">
        <x:v>22</x:v>
      </x:c>
      <x:c r="M1328" s="13" t="n">
        <x:f>J1328+(K1328+L1328)/1440</x:f>
        <x:v>46304.32083333333</x:v>
      </x:c>
      <x:c r="N1328" s="13" t="n">
        <x:f>VLOOKUP(C1328,'MES orders'!$A$8:$H$127,5,FALSE)</x:f>
        <x:v>46304.666666666664</x:v>
      </x:c>
      <x:c r="O1328" s="16" t="n">
        <x:f>MAX(0,(M1328-N1328)*24)</x:f>
        <x:v>0</x:v>
      </x:c>
      <x:c r="P1328" s="9" t="str">
        <x:v>No</x:v>
      </x:c>
      <x:c r="Q1328" s="15" t="n">
        <x:v>28</x:v>
      </x:c>
      <x:c r="R1328" s="13" t="n">
        <x:f>J1328+Q1328/1440</x:f>
        <x:v>46304.32083333333</x:v>
      </x:c>
      <x:c r="S1328" s="2" t="str">
        <x:f>VLOOKUP(C1328,'MES orders'!$A$8:$H$127,6,FALSE)</x:f>
        <x:v>Normal</x:v>
      </x:c>
      <x:c r="T1328" s="9" t="str"/>
    </x:row>
    <x:row r="1329" ht="22" customHeight="1">
      <x:c r="A1329" s="2" t="str">
        <x:v>L00413-030</x:v>
      </x:c>
      <x:c r="B1329" s="2" t="str">
        <x:v>L00413</x:v>
      </x:c>
      <x:c r="C1329" s="2" t="str">
        <x:v>SO-26083</x:v>
      </x:c>
      <x:c r="D1329" s="2" t="str">
        <x:v>S-L-AL</x:v>
      </x:c>
      <x:c r="E1329" s="14" t="n">
        <x:v>15</x:v>
      </x:c>
      <x:c r="F1329" s="2" t="str">
        <x:v>Wash &amp; dry</x:v>
      </x:c>
      <x:c r="G1329" s="9" t="str">
        <x:v>WS-01</x:v>
      </x:c>
      <x:c r="H1329" s="15" t="n">
        <x:v>125</x:v>
      </x:c>
      <x:c r="I1329" s="9" t="str">
        <x:v>P05</x:v>
      </x:c>
      <x:c r="J1329" s="11" t="n">
        <x:v>46304.305555555555</x:v>
      </x:c>
      <x:c r="K1329" s="15" t="n">
        <x:v>12</x:v>
      </x:c>
      <x:c r="L1329" s="15" t="n">
        <x:v>7</x:v>
      </x:c>
      <x:c r="M1329" s="13" t="n">
        <x:f>J1329+(K1329+L1329)/1440</x:f>
        <x:v>46304.31875</x:v>
      </x:c>
      <x:c r="N1329" s="13" t="n">
        <x:f>VLOOKUP(C1329,'MES orders'!$A$8:$H$127,5,FALSE)</x:f>
        <x:v>46304.666666666664</x:v>
      </x:c>
      <x:c r="O1329" s="16" t="n">
        <x:f>MAX(0,(M1329-N1329)*24)</x:f>
        <x:v>0</x:v>
      </x:c>
      <x:c r="P1329" s="9" t="str">
        <x:v>No</x:v>
      </x:c>
      <x:c r="Q1329" s="15" t="n">
        <x:v>19</x:v>
      </x:c>
      <x:c r="R1329" s="13" t="n">
        <x:f>J1329+Q1329/1440</x:f>
        <x:v>46304.31875</x:v>
      </x:c>
      <x:c r="S1329" s="2" t="str">
        <x:f>VLOOKUP(C1329,'MES orders'!$A$8:$H$127,6,FALSE)</x:f>
        <x:v>Normal</x:v>
      </x:c>
      <x:c r="T1329" s="9" t="str"/>
    </x:row>
    <x:row r="1330" ht="22" customHeight="1">
      <x:c r="A1330" s="2" t="str">
        <x:v>L00572-040</x:v>
      </x:c>
      <x:c r="B1330" s="2" t="str">
        <x:v>L00572</x:v>
      </x:c>
      <x:c r="C1330" s="2" t="str">
        <x:v>SO-26115</x:v>
      </x:c>
      <x:c r="D1330" s="2" t="str">
        <x:v>R-C-AL</x:v>
      </x:c>
      <x:c r="E1330" s="14" t="n">
        <x:v>5</x:v>
      </x:c>
      <x:c r="F1330" s="2" t="str">
        <x:v>Mechanical assembly</x:v>
      </x:c>
      <x:c r="G1330" s="9" t="str">
        <x:v>AS-04</x:v>
      </x:c>
      <x:c r="H1330" s="15" t="n">
        <x:v>46</x:v>
      </x:c>
      <x:c r="I1330" s="9" t="str">
        <x:v>P01</x:v>
      </x:c>
      <x:c r="J1330" s="11" t="n">
        <x:v>46304.30902777778</x:v>
      </x:c>
      <x:c r="K1330" s="15" t="n">
        <x:v>8</x:v>
      </x:c>
      <x:c r="L1330" s="15" t="n">
        <x:v>7</x:v>
      </x:c>
      <x:c r="M1330" s="13" t="n">
        <x:f>J1330+(K1330+L1330)/1440</x:f>
        <x:v>46304.319444444445</x:v>
      </x:c>
      <x:c r="N1330" s="13" t="n">
        <x:f>VLOOKUP(C1330,'MES orders'!$A$8:$H$127,5,FALSE)</x:f>
        <x:v>46304.666666666664</x:v>
      </x:c>
      <x:c r="O1330" s="16" t="n">
        <x:f>MAX(0,(M1330-N1330)*24)</x:f>
        <x:v>0</x:v>
      </x:c>
      <x:c r="P1330" s="9" t="str">
        <x:v>No</x:v>
      </x:c>
      <x:c r="Q1330" s="15" t="n">
        <x:v>15</x:v>
      </x:c>
      <x:c r="R1330" s="13" t="n">
        <x:f>J1330+Q1330/1440</x:f>
        <x:v>46304.319444444445</x:v>
      </x:c>
      <x:c r="S1330" s="2" t="str">
        <x:f>VLOOKUP(C1330,'MES orders'!$A$8:$H$127,6,FALSE)</x:f>
        <x:v>Normal</x:v>
      </x:c>
      <x:c r="T1330" s="9" t="str"/>
    </x:row>
    <x:row r="1331" ht="22" customHeight="1">
      <x:c r="A1331" s="2" t="str">
        <x:v>L00573-030</x:v>
      </x:c>
      <x:c r="B1331" s="2" t="str">
        <x:v>L00573</x:v>
      </x:c>
      <x:c r="C1331" s="2" t="str">
        <x:v>SO-26115</x:v>
      </x:c>
      <x:c r="D1331" s="2" t="str">
        <x:v>R-C-AL</x:v>
      </x:c>
      <x:c r="E1331" s="14" t="n">
        <x:v>5</x:v>
      </x:c>
      <x:c r="F1331" s="2" t="str">
        <x:v>Wash &amp; dry</x:v>
      </x:c>
      <x:c r="G1331" s="9" t="str">
        <x:v>WS-02</x:v>
      </x:c>
      <x:c r="H1331" s="15" t="n">
        <x:v>88</x:v>
      </x:c>
      <x:c r="I1331" s="9" t="str">
        <x:v>P02</x:v>
      </x:c>
      <x:c r="J1331" s="11" t="n">
        <x:v>46304.30902777778</x:v>
      </x:c>
      <x:c r="K1331" s="15" t="n">
        <x:v>12</x:v>
      </x:c>
      <x:c r="L1331" s="15" t="n">
        <x:v>1</x:v>
      </x:c>
      <x:c r="M1331" s="13" t="n">
        <x:f>J1331+(K1331+L1331)/1440</x:f>
        <x:v>46304.31805555556</x:v>
      </x:c>
      <x:c r="N1331" s="13" t="n">
        <x:f>VLOOKUP(C1331,'MES orders'!$A$8:$H$127,5,FALSE)</x:f>
        <x:v>46304.666666666664</x:v>
      </x:c>
      <x:c r="O1331" s="16" t="n">
        <x:f>MAX(0,(M1331-N1331)*24)</x:f>
        <x:v>0</x:v>
      </x:c>
      <x:c r="P1331" s="9" t="str">
        <x:v>No</x:v>
      </x:c>
      <x:c r="Q1331" s="15" t="n">
        <x:v>13</x:v>
      </x:c>
      <x:c r="R1331" s="13" t="n">
        <x:f>J1331+Q1331/1440</x:f>
        <x:v>46304.31805555556</x:v>
      </x:c>
      <x:c r="S1331" s="2" t="str">
        <x:f>VLOOKUP(C1331,'MES orders'!$A$8:$H$127,6,FALSE)</x:f>
        <x:v>Normal</x:v>
      </x:c>
      <x:c r="T1331" s="9" t="str"/>
    </x:row>
    <x:row r="1332" ht="22" customHeight="1">
      <x:c r="A1332" s="2" t="str">
        <x:v>L00454-020</x:v>
      </x:c>
      <x:c r="B1332" s="2" t="str">
        <x:v>L00454</x:v>
      </x:c>
      <x:c r="C1332" s="2" t="str">
        <x:v>SO-26091</x:v>
      </x:c>
      <x:c r="D1332" s="2" t="str">
        <x:v>D-C-AL</x:v>
      </x:c>
      <x:c r="E1332" s="14" t="n">
        <x:v>10</x:v>
      </x:c>
      <x:c r="F1332" s="2" t="str">
        <x:v>Deburr &amp; inspect</x:v>
      </x:c>
      <x:c r="G1332" s="9" t="str">
        <x:v>DB-01</x:v>
      </x:c>
      <x:c r="H1332" s="15" t="n">
        <x:v>128</x:v>
      </x:c>
      <x:c r="I1332" s="9" t="str">
        <x:v>P04</x:v>
      </x:c>
      <x:c r="J1332" s="11" t="n">
        <x:v>46304.30972222222</x:v>
      </x:c>
      <x:c r="K1332" s="15" t="n">
        <x:v>4</x:v>
      </x:c>
      <x:c r="L1332" s="15" t="n">
        <x:v>6</x:v>
      </x:c>
      <x:c r="M1332" s="13" t="n">
        <x:f>J1332+(K1332+L1332)/1440</x:f>
        <x:v>46304.316666666666</x:v>
      </x:c>
      <x:c r="N1332" s="13" t="n">
        <x:f>VLOOKUP(C1332,'MES orders'!$A$8:$H$127,5,FALSE)</x:f>
        <x:v>46304.666666666664</x:v>
      </x:c>
      <x:c r="O1332" s="16" t="n">
        <x:f>MAX(0,(M1332-N1332)*24)</x:f>
        <x:v>0</x:v>
      </x:c>
      <x:c r="P1332" s="9" t="str">
        <x:v>No</x:v>
      </x:c>
      <x:c r="Q1332" s="15" t="n">
        <x:v>10</x:v>
      </x:c>
      <x:c r="R1332" s="13" t="n">
        <x:f>J1332+Q1332/1440</x:f>
        <x:v>46304.316666666666</x:v>
      </x:c>
      <x:c r="S1332" s="2" t="str">
        <x:f>VLOOKUP(C1332,'MES orders'!$A$8:$H$127,6,FALSE)</x:f>
        <x:v>Normal</x:v>
      </x:c>
      <x:c r="T1332" s="9" t="str"/>
    </x:row>
    <x:row r="1333" ht="22" customHeight="1">
      <x:c r="A1333" s="2" t="str">
        <x:v>L00373-050</x:v>
      </x:c>
      <x:c r="B1333" s="2" t="str">
        <x:v>L00373</x:v>
      </x:c>
      <x:c r="C1333" s="2" t="str">
        <x:v>SO-26075</x:v>
      </x:c>
      <x:c r="D1333" s="2" t="str">
        <x:v>S-S-AL</x:v>
      </x:c>
      <x:c r="E1333" s="14" t="n">
        <x:v>25</x:v>
      </x:c>
      <x:c r="F1333" s="2" t="str">
        <x:v>Sensor installation</x:v>
      </x:c>
      <x:c r="G1333" s="9" t="str">
        <x:v>EL-01</x:v>
      </x:c>
      <x:c r="H1333" s="15" t="n">
        <x:v>40</x:v>
      </x:c>
      <x:c r="I1333" s="9" t="str">
        <x:v>P07</x:v>
      </x:c>
      <x:c r="J1333" s="11" t="n">
        <x:v>46304.30972222222</x:v>
      </x:c>
      <x:c r="K1333" s="15" t="n">
        <x:v>8</x:v>
      </x:c>
      <x:c r="L1333" s="15" t="n">
        <x:v>30</x:v>
      </x:c>
      <x:c r="M1333" s="13" t="n">
        <x:f>J1333+(K1333+L1333)/1440</x:f>
        <x:v>46304.33611111111</x:v>
      </x:c>
      <x:c r="N1333" s="13" t="n">
        <x:f>VLOOKUP(C1333,'MES orders'!$A$8:$H$127,5,FALSE)</x:f>
        <x:v>46304.666666666664</x:v>
      </x:c>
      <x:c r="O1333" s="16" t="n">
        <x:f>MAX(0,(M1333-N1333)*24)</x:f>
        <x:v>0</x:v>
      </x:c>
      <x:c r="P1333" s="9" t="str">
        <x:v>No</x:v>
      </x:c>
      <x:c r="Q1333" s="15" t="n">
        <x:v>38</x:v>
      </x:c>
      <x:c r="R1333" s="13" t="n">
        <x:f>J1333+Q1333/1440</x:f>
        <x:v>46304.33611111111</x:v>
      </x:c>
      <x:c r="S1333" s="2" t="str">
        <x:f>VLOOKUP(C1333,'MES orders'!$A$8:$H$127,6,FALSE)</x:f>
        <x:v>Normal</x:v>
      </x:c>
      <x:c r="T1333" s="9" t="str"/>
    </x:row>
    <x:row r="1334" ht="22" customHeight="1">
      <x:c r="A1334" s="2" t="str">
        <x:v>L00575-010</x:v>
      </x:c>
      <x:c r="B1334" s="2" t="str">
        <x:v>L00575</x:v>
      </x:c>
      <x:c r="C1334" s="2" t="str">
        <x:v>SO-26115</x:v>
      </x:c>
      <x:c r="D1334" s="2" t="str">
        <x:v>R-C-AL</x:v>
      </x:c>
      <x:c r="E1334" s="14" t="n">
        <x:v>5</x:v>
      </x:c>
      <x:c r="F1334" s="2" t="str">
        <x:v>CNC machining</x:v>
      </x:c>
      <x:c r="G1334" s="9" t="str">
        <x:v>CNC-02</x:v>
      </x:c>
      <x:c r="H1334" s="15" t="n">
        <x:v>31</x:v>
      </x:c>
      <x:c r="I1334" s="9" t="str">
        <x:v>P03</x:v>
      </x:c>
      <x:c r="J1334" s="11" t="n">
        <x:v>46304.3125</x:v>
      </x:c>
      <x:c r="K1334" s="15" t="n">
        <x:v>18</x:v>
      </x:c>
      <x:c r="L1334" s="15" t="n">
        <x:v>10</x:v>
      </x:c>
      <x:c r="M1334" s="13" t="n">
        <x:f>J1334+(K1334+L1334)/1440</x:f>
        <x:v>46304.33194444444</x:v>
      </x:c>
      <x:c r="N1334" s="13" t="n">
        <x:f>VLOOKUP(C1334,'MES orders'!$A$8:$H$127,5,FALSE)</x:f>
        <x:v>46304.666666666664</x:v>
      </x:c>
      <x:c r="O1334" s="16" t="n">
        <x:f>MAX(0,(M1334-N1334)*24)</x:f>
        <x:v>0</x:v>
      </x:c>
      <x:c r="P1334" s="9" t="str">
        <x:v>No</x:v>
      </x:c>
      <x:c r="Q1334" s="15" t="n">
        <x:v>18</x:v>
      </x:c>
      <x:c r="R1334" s="13" t="n">
        <x:f>J1334+Q1334/1440</x:f>
        <x:v>46304.325</x:v>
      </x:c>
      <x:c r="S1334" s="2" t="str">
        <x:f>VLOOKUP(C1334,'MES orders'!$A$8:$H$127,6,FALSE)</x:f>
        <x:v>Normal</x:v>
      </x:c>
      <x:c r="T1334" s="9" t="str"/>
    </x:row>
    <x:row r="1335" ht="22" customHeight="1">
      <x:c r="A1335" s="2" t="str">
        <x:v>L00375-050</x:v>
      </x:c>
      <x:c r="B1335" s="2" t="str">
        <x:v>L00375</x:v>
      </x:c>
      <x:c r="C1335" s="2" t="str">
        <x:v>SO-26075</x:v>
      </x:c>
      <x:c r="D1335" s="2" t="str">
        <x:v>S-S-AL</x:v>
      </x:c>
      <x:c r="E1335" s="14" t="n">
        <x:v>25</x:v>
      </x:c>
      <x:c r="F1335" s="2" t="str">
        <x:v>Sensor installation</x:v>
      </x:c>
      <x:c r="G1335" s="9" t="str">
        <x:v>EL-02</x:v>
      </x:c>
      <x:c r="H1335" s="15" t="n">
        <x:v>25</x:v>
      </x:c>
      <x:c r="I1335" s="9" t="str">
        <x:v>P08</x:v>
      </x:c>
      <x:c r="J1335" s="11" t="n">
        <x:v>46304.31458333333</x:v>
      </x:c>
      <x:c r="K1335" s="15" t="n">
        <x:v>8</x:v>
      </x:c>
      <x:c r="L1335" s="15" t="n">
        <x:v>30</x:v>
      </x:c>
      <x:c r="M1335" s="13" t="n">
        <x:f>J1335+(K1335+L1335)/1440</x:f>
        <x:v>46304.34097222222</x:v>
      </x:c>
      <x:c r="N1335" s="13" t="n">
        <x:f>VLOOKUP(C1335,'MES orders'!$A$8:$H$127,5,FALSE)</x:f>
        <x:v>46304.666666666664</x:v>
      </x:c>
      <x:c r="O1335" s="16" t="n">
        <x:f>MAX(0,(M1335-N1335)*24)</x:f>
        <x:v>0</x:v>
      </x:c>
      <x:c r="P1335" s="9" t="str">
        <x:v>No</x:v>
      </x:c>
      <x:c r="Q1335" s="15" t="n">
        <x:v>38</x:v>
      </x:c>
      <x:c r="R1335" s="13" t="n">
        <x:f>J1335+Q1335/1440</x:f>
        <x:v>46304.34097222222</x:v>
      </x:c>
      <x:c r="S1335" s="2" t="str">
        <x:f>VLOOKUP(C1335,'MES orders'!$A$8:$H$127,6,FALSE)</x:f>
        <x:v>Normal</x:v>
      </x:c>
      <x:c r="T1335" s="9" t="str"/>
    </x:row>
    <x:row r="1336" ht="22" customHeight="1">
      <x:c r="A1336" s="2" t="str">
        <x:v>L00573-040</x:v>
      </x:c>
      <x:c r="B1336" s="2" t="str">
        <x:v>L00573</x:v>
      </x:c>
      <x:c r="C1336" s="2" t="str">
        <x:v>SO-26115</x:v>
      </x:c>
      <x:c r="D1336" s="2" t="str">
        <x:v>R-C-AL</x:v>
      </x:c>
      <x:c r="E1336" s="14" t="n">
        <x:v>5</x:v>
      </x:c>
      <x:c r="F1336" s="2" t="str">
        <x:v>Mechanical assembly</x:v>
      </x:c>
      <x:c r="G1336" s="9" t="str">
        <x:v>AS-01</x:v>
      </x:c>
      <x:c r="H1336" s="15" t="n">
        <x:v>106</x:v>
      </x:c>
      <x:c r="I1336" s="9" t="str">
        <x:v>P02</x:v>
      </x:c>
      <x:c r="J1336" s="11" t="n">
        <x:v>46304.31805555556</x:v>
      </x:c>
      <x:c r="K1336" s="15" t="n">
        <x:v>8</x:v>
      </x:c>
      <x:c r="L1336" s="15" t="n">
        <x:v>7</x:v>
      </x:c>
      <x:c r="M1336" s="13" t="n">
        <x:f>J1336+(K1336+L1336)/1440</x:f>
        <x:v>46304.32847222222</x:v>
      </x:c>
      <x:c r="N1336" s="13" t="n">
        <x:f>VLOOKUP(C1336,'MES orders'!$A$8:$H$127,5,FALSE)</x:f>
        <x:v>46304.666666666664</x:v>
      </x:c>
      <x:c r="O1336" s="16" t="n">
        <x:f>MAX(0,(M1336-N1336)*24)</x:f>
        <x:v>0</x:v>
      </x:c>
      <x:c r="P1336" s="9" t="str">
        <x:v>No</x:v>
      </x:c>
      <x:c r="Q1336" s="15" t="n">
        <x:v>15</x:v>
      </x:c>
      <x:c r="R1336" s="13" t="n">
        <x:f>J1336+Q1336/1440</x:f>
        <x:v>46304.32847222222</x:v>
      </x:c>
      <x:c r="S1336" s="2" t="str">
        <x:f>VLOOKUP(C1336,'MES orders'!$A$8:$H$127,6,FALSE)</x:f>
        <x:v>Normal</x:v>
      </x:c>
      <x:c r="T1336" s="9" t="str"/>
    </x:row>
    <x:row r="1337" ht="22" customHeight="1">
      <x:c r="A1337" s="2" t="str">
        <x:v>L00413-040</x:v>
      </x:c>
      <x:c r="B1337" s="2" t="str">
        <x:v>L00413</x:v>
      </x:c>
      <x:c r="C1337" s="2" t="str">
        <x:v>SO-26083</x:v>
      </x:c>
      <x:c r="D1337" s="2" t="str">
        <x:v>S-L-AL</x:v>
      </x:c>
      <x:c r="E1337" s="14" t="n">
        <x:v>15</x:v>
      </x:c>
      <x:c r="F1337" s="2" t="str">
        <x:v>Mechanical preassembly</x:v>
      </x:c>
      <x:c r="G1337" s="9" t="str">
        <x:v>AS-02</x:v>
      </x:c>
      <x:c r="H1337" s="15" t="n">
        <x:v>89</x:v>
      </x:c>
      <x:c r="I1337" s="9" t="str">
        <x:v>P04</x:v>
      </x:c>
      <x:c r="J1337" s="11" t="n">
        <x:v>46304.31875</x:v>
      </x:c>
      <x:c r="K1337" s="15" t="n">
        <x:v>6</x:v>
      </x:c>
      <x:c r="L1337" s="15" t="n">
        <x:v>22</x:v>
      </x:c>
      <x:c r="M1337" s="13" t="n">
        <x:f>J1337+(K1337+L1337)/1440</x:f>
        <x:v>46304.33819444444</x:v>
      </x:c>
      <x:c r="N1337" s="13" t="n">
        <x:f>VLOOKUP(C1337,'MES orders'!$A$8:$H$127,5,FALSE)</x:f>
        <x:v>46304.666666666664</x:v>
      </x:c>
      <x:c r="O1337" s="16" t="n">
        <x:f>MAX(0,(M1337-N1337)*24)</x:f>
        <x:v>0</x:v>
      </x:c>
      <x:c r="P1337" s="9" t="str">
        <x:v>No</x:v>
      </x:c>
      <x:c r="Q1337" s="15" t="n">
        <x:v>28</x:v>
      </x:c>
      <x:c r="R1337" s="13" t="n">
        <x:f>J1337+Q1337/1440</x:f>
        <x:v>46304.33819444444</x:v>
      </x:c>
      <x:c r="S1337" s="2" t="str">
        <x:f>VLOOKUP(C1337,'MES orders'!$A$8:$H$127,6,FALSE)</x:f>
        <x:v>Normal</x:v>
      </x:c>
      <x:c r="T1337" s="9" t="str"/>
    </x:row>
    <x:row r="1338" ht="22" customHeight="1">
      <x:c r="A1338" s="2" t="str">
        <x:v>L00453-030</x:v>
      </x:c>
      <x:c r="B1338" s="2" t="str">
        <x:v>L00453</x:v>
      </x:c>
      <x:c r="C1338" s="2" t="str">
        <x:v>SO-26091</x:v>
      </x:c>
      <x:c r="D1338" s="2" t="str">
        <x:v>D-C-AL</x:v>
      </x:c>
      <x:c r="E1338" s="14" t="n">
        <x:v>10</x:v>
      </x:c>
      <x:c r="F1338" s="2" t="str">
        <x:v>Wash &amp; dry</x:v>
      </x:c>
      <x:c r="G1338" s="9" t="str">
        <x:v>WS-01</x:v>
      </x:c>
      <x:c r="H1338" s="15" t="n">
        <x:v>126</x:v>
      </x:c>
      <x:c r="I1338" s="9" t="str">
        <x:v>P05</x:v>
      </x:c>
      <x:c r="J1338" s="11" t="n">
        <x:v>46304.31875</x:v>
      </x:c>
      <x:c r="K1338" s="15" t="n">
        <x:v>12</x:v>
      </x:c>
      <x:c r="L1338" s="15" t="n">
        <x:v>3</x:v>
      </x:c>
      <x:c r="M1338" s="13" t="n">
        <x:f>J1338+(K1338+L1338)/1440</x:f>
        <x:v>46304.32916666666</x:v>
      </x:c>
      <x:c r="N1338" s="13" t="n">
        <x:f>VLOOKUP(C1338,'MES orders'!$A$8:$H$127,5,FALSE)</x:f>
        <x:v>46304.666666666664</x:v>
      </x:c>
      <x:c r="O1338" s="16" t="n">
        <x:f>MAX(0,(M1338-N1338)*24)</x:f>
        <x:v>0</x:v>
      </x:c>
      <x:c r="P1338" s="9" t="str">
        <x:v>No</x:v>
      </x:c>
      <x:c r="Q1338" s="15" t="n">
        <x:v>15</x:v>
      </x:c>
      <x:c r="R1338" s="13" t="n">
        <x:f>J1338+Q1338/1440</x:f>
        <x:v>46304.32916666666</x:v>
      </x:c>
      <x:c r="S1338" s="2" t="str">
        <x:f>VLOOKUP(C1338,'MES orders'!$A$8:$H$127,6,FALSE)</x:f>
        <x:v>Normal</x:v>
      </x:c>
      <x:c r="T1338" s="9" t="str"/>
    </x:row>
    <x:row r="1339" ht="22" customHeight="1">
      <x:c r="A1339" s="2" t="str">
        <x:v>L00574-020</x:v>
      </x:c>
      <x:c r="B1339" s="2" t="str">
        <x:v>L00574</x:v>
      </x:c>
      <x:c r="C1339" s="2" t="str">
        <x:v>SO-26115</x:v>
      </x:c>
      <x:c r="D1339" s="2" t="str">
        <x:v>R-C-AL</x:v>
      </x:c>
      <x:c r="E1339" s="14" t="n">
        <x:v>5</x:v>
      </x:c>
      <x:c r="F1339" s="2" t="str">
        <x:v>Deburr &amp; inspect</x:v>
      </x:c>
      <x:c r="G1339" s="9" t="str">
        <x:v>DB-02</x:v>
      </x:c>
      <x:c r="H1339" s="15" t="n">
        <x:v>88</x:v>
      </x:c>
      <x:c r="I1339" s="9" t="str">
        <x:v>P01</x:v>
      </x:c>
      <x:c r="J1339" s="11" t="n">
        <x:v>46304.319444444445</x:v>
      </x:c>
      <x:c r="K1339" s="15" t="n">
        <x:v>4</x:v>
      </x:c>
      <x:c r="L1339" s="15" t="n">
        <x:v>3</x:v>
      </x:c>
      <x:c r="M1339" s="13" t="n">
        <x:f>J1339+(K1339+L1339)/1440</x:f>
        <x:v>46304.32430555556</x:v>
      </x:c>
      <x:c r="N1339" s="13" t="n">
        <x:f>VLOOKUP(C1339,'MES orders'!$A$8:$H$127,5,FALSE)</x:f>
        <x:v>46304.666666666664</x:v>
      </x:c>
      <x:c r="O1339" s="16" t="n">
        <x:f>MAX(0,(M1339-N1339)*24)</x:f>
        <x:v>0</x:v>
      </x:c>
      <x:c r="P1339" s="9" t="str">
        <x:v>No</x:v>
      </x:c>
      <x:c r="Q1339" s="15" t="n">
        <x:v>7</x:v>
      </x:c>
      <x:c r="R1339" s="13" t="n">
        <x:f>J1339+Q1339/1440</x:f>
        <x:v>46304.32430555556</x:v>
      </x:c>
      <x:c r="S1339" s="2" t="str">
        <x:f>VLOOKUP(C1339,'MES orders'!$A$8:$H$127,6,FALSE)</x:f>
        <x:v>Normal</x:v>
      </x:c>
      <x:c r="T1339" s="9" t="str"/>
    </x:row>
    <x:row r="1340" ht="22" customHeight="1">
      <x:c r="A1340" s="2" t="str">
        <x:v>L00414-020</x:v>
      </x:c>
      <x:c r="B1340" s="2" t="str">
        <x:v>L00414</x:v>
      </x:c>
      <x:c r="C1340" s="2" t="str">
        <x:v>SO-26083</x:v>
      </x:c>
      <x:c r="D1340" s="2" t="str">
        <x:v>S-L-AL</x:v>
      </x:c>
      <x:c r="E1340" s="14" t="n">
        <x:v>15</x:v>
      </x:c>
      <x:c r="F1340" s="2" t="str">
        <x:v>Deburr &amp; inspect</x:v>
      </x:c>
      <x:c r="G1340" s="9" t="str">
        <x:v>DB-01</x:v>
      </x:c>
      <x:c r="H1340" s="15" t="n">
        <x:v>129</x:v>
      </x:c>
      <x:c r="I1340" s="9" t="str">
        <x:v>P06</x:v>
      </x:c>
      <x:c r="J1340" s="11" t="n">
        <x:v>46304.32083333333</x:v>
      </x:c>
      <x:c r="K1340" s="15" t="n">
        <x:v>4</x:v>
      </x:c>
      <x:c r="L1340" s="15" t="n">
        <x:v>14</x:v>
      </x:c>
      <x:c r="M1340" s="13" t="n">
        <x:f>J1340+(K1340+L1340)/1440</x:f>
        <x:v>46304.33333333333</x:v>
      </x:c>
      <x:c r="N1340" s="13" t="n">
        <x:f>VLOOKUP(C1340,'MES orders'!$A$8:$H$127,5,FALSE)</x:f>
        <x:v>46304.666666666664</x:v>
      </x:c>
      <x:c r="O1340" s="16" t="n">
        <x:f>MAX(0,(M1340-N1340)*24)</x:f>
        <x:v>0</x:v>
      </x:c>
      <x:c r="P1340" s="9" t="str">
        <x:v>No</x:v>
      </x:c>
      <x:c r="Q1340" s="15" t="n">
        <x:v>18</x:v>
      </x:c>
      <x:c r="R1340" s="13" t="n">
        <x:f>J1340+Q1340/1440</x:f>
        <x:v>46304.33333333333</x:v>
      </x:c>
      <x:c r="S1340" s="2" t="str">
        <x:f>VLOOKUP(C1340,'MES orders'!$A$8:$H$127,6,FALSE)</x:f>
        <x:v>Normal</x:v>
      </x:c>
      <x:c r="T1340" s="9" t="str"/>
    </x:row>
    <x:row r="1341" ht="22" customHeight="1">
      <x:c r="A1341" s="2" t="str">
        <x:v>L00371-070</x:v>
      </x:c>
      <x:c r="B1341" s="2" t="str">
        <x:v>L00371</x:v>
      </x:c>
      <x:c r="C1341" s="2" t="str">
        <x:v>SO-26075</x:v>
      </x:c>
      <x:c r="D1341" s="2" t="str">
        <x:v>S-S-AL</x:v>
      </x:c>
      <x:c r="E1341" s="14" t="n">
        <x:v>25</x:v>
      </x:c>
      <x:c r="F1341" s="2" t="str">
        <x:v>Final assembly</x:v>
      </x:c>
      <x:c r="G1341" s="9" t="str">
        <x:v>AS-01</x:v>
      </x:c>
      <x:c r="H1341" s="15" t="n">
        <x:v>107</x:v>
      </x:c>
      <x:c r="I1341" s="9" t="str">
        <x:v>P05</x:v>
      </x:c>
      <x:c r="J1341" s="11" t="n">
        <x:v>46304.32916666667</x:v>
      </x:c>
      <x:c r="K1341" s="15" t="n">
        <x:v>5</x:v>
      </x:c>
      <x:c r="L1341" s="15" t="n">
        <x:v>20</x:v>
      </x:c>
      <x:c r="M1341" s="13" t="n">
        <x:f>J1341+(K1341+L1341)/1440</x:f>
        <x:v>46304.34652777778</x:v>
      </x:c>
      <x:c r="N1341" s="13" t="n">
        <x:f>VLOOKUP(C1341,'MES orders'!$A$8:$H$127,5,FALSE)</x:f>
        <x:v>46304.666666666664</x:v>
      </x:c>
      <x:c r="O1341" s="16" t="n">
        <x:f>MAX(0,(M1341-N1341)*24)</x:f>
        <x:v>0</x:v>
      </x:c>
      <x:c r="P1341" s="9" t="str">
        <x:v>No</x:v>
      </x:c>
      <x:c r="Q1341" s="15" t="n">
        <x:v>25</x:v>
      </x:c>
      <x:c r="R1341" s="13" t="n">
        <x:f>J1341+Q1341/1440</x:f>
        <x:v>46304.34652777778</x:v>
      </x:c>
      <x:c r="S1341" s="2" t="str">
        <x:f>VLOOKUP(C1341,'MES orders'!$A$8:$H$127,6,FALSE)</x:f>
        <x:v>Normal</x:v>
      </x:c>
      <x:c r="T1341" s="9" t="str"/>
    </x:row>
    <x:row r="1342" ht="22" customHeight="1">
      <x:c r="A1342" s="2" t="str">
        <x:v>L00372-060</x:v>
      </x:c>
      <x:c r="B1342" s="2" t="str">
        <x:v>L00372</x:v>
      </x:c>
      <x:c r="C1342" s="2" t="str">
        <x:v>SO-26075</x:v>
      </x:c>
      <x:c r="D1342" s="2" t="str">
        <x:v>S-S-AL</x:v>
      </x:c>
      <x:c r="E1342" s="14" t="n">
        <x:v>25</x:v>
      </x:c>
      <x:c r="F1342" s="2" t="str">
        <x:v>Sensor calibration</x:v>
      </x:c>
      <x:c r="G1342" s="9" t="str">
        <x:v>CAL-01</x:v>
      </x:c>
      <x:c r="H1342" s="15" t="n">
        <x:v>62</x:v>
      </x:c>
      <x:c r="I1342" s="9" t="str">
        <x:v>P09</x:v>
      </x:c>
      <x:c r="J1342" s="11" t="n">
        <x:v>46304.32916666667</x:v>
      </x:c>
      <x:c r="K1342" s="15" t="n">
        <x:v>10</x:v>
      </x:c>
      <x:c r="L1342" s="15" t="n">
        <x:v>32</x:v>
      </x:c>
      <x:c r="M1342" s="13" t="n">
        <x:f>J1342+(K1342+L1342)/1440</x:f>
        <x:v>46304.35833333334</x:v>
      </x:c>
      <x:c r="N1342" s="13" t="n">
        <x:f>VLOOKUP(C1342,'MES orders'!$A$8:$H$127,5,FALSE)</x:f>
        <x:v>46304.666666666664</x:v>
      </x:c>
      <x:c r="O1342" s="16" t="n">
        <x:f>MAX(0,(M1342-N1342)*24)</x:f>
        <x:v>0</x:v>
      </x:c>
      <x:c r="P1342" s="9" t="str">
        <x:v>No</x:v>
      </x:c>
      <x:c r="Q1342" s="15" t="n">
        <x:v>42</x:v>
      </x:c>
      <x:c r="R1342" s="13" t="n">
        <x:f>J1342+Q1342/1440</x:f>
        <x:v>46304.35833333334</x:v>
      </x:c>
      <x:c r="S1342" s="2" t="str">
        <x:f>VLOOKUP(C1342,'MES orders'!$A$8:$H$127,6,FALSE)</x:f>
        <x:v>Normal</x:v>
      </x:c>
      <x:c r="T1342" s="9" t="str"/>
    </x:row>
    <x:row r="1343" ht="22" customHeight="1">
      <x:c r="A1343" s="2" t="str">
        <x:v>L00535-010</x:v>
      </x:c>
      <x:c r="B1343" s="2" t="str">
        <x:v>L00535</x:v>
      </x:c>
      <x:c r="C1343" s="2" t="str">
        <x:v>SO-26107</x:v>
      </x:c>
      <x:c r="D1343" s="2" t="str">
        <x:v>D-L-AL</x:v>
      </x:c>
      <x:c r="E1343" s="14" t="n">
        <x:v>25</x:v>
      </x:c>
      <x:c r="F1343" s="2" t="str">
        <x:v>CNC machining</x:v>
      </x:c>
      <x:c r="G1343" s="9" t="str">
        <x:v>CNC-04</x:v>
      </x:c>
      <x:c r="H1343" s="15" t="n">
        <x:v>40</x:v>
      </x:c>
      <x:c r="I1343" s="9" t="str">
        <x:v>P02</x:v>
      </x:c>
      <x:c r="J1343" s="11" t="n">
        <x:v>46304.33125</x:v>
      </x:c>
      <x:c r="K1343" s="15" t="n">
        <x:v>18</x:v>
      </x:c>
      <x:c r="L1343" s="15" t="n">
        <x:v>81</x:v>
      </x:c>
      <x:c r="M1343" s="13" t="n">
        <x:f>J1343+(K1343+L1343)/1440</x:f>
        <x:v>46304.4</x:v>
      </x:c>
      <x:c r="N1343" s="13" t="n">
        <x:f>VLOOKUP(C1343,'MES orders'!$A$8:$H$127,5,FALSE)</x:f>
        <x:v>46304.666666666664</x:v>
      </x:c>
      <x:c r="O1343" s="16" t="n">
        <x:f>MAX(0,(M1343-N1343)*24)</x:f>
        <x:v>0</x:v>
      </x:c>
      <x:c r="P1343" s="9" t="str">
        <x:v>No</x:v>
      </x:c>
      <x:c r="Q1343" s="15" t="n">
        <x:v>18</x:v>
      </x:c>
      <x:c r="R1343" s="13" t="n">
        <x:f>J1343+Q1343/1440</x:f>
        <x:v>46304.34375</x:v>
      </x:c>
      <x:c r="S1343" s="2" t="str">
        <x:f>VLOOKUP(C1343,'MES orders'!$A$8:$H$127,6,FALSE)</x:f>
        <x:v>Normal</x:v>
      </x:c>
      <x:c r="T1343" s="9" t="str"/>
    </x:row>
    <x:row r="1344" ht="22" customHeight="1">
      <x:c r="A1344" s="2" t="str">
        <x:v>L00576-010</x:v>
      </x:c>
      <x:c r="B1344" s="2" t="str">
        <x:v>L00576</x:v>
      </x:c>
      <x:c r="C1344" s="2" t="str">
        <x:v>SO-26116</x:v>
      </x:c>
      <x:c r="D1344" s="2" t="str">
        <x:v>S-C-SS</x:v>
      </x:c>
      <x:c r="E1344" s="14" t="n">
        <x:v>5</x:v>
      </x:c>
      <x:c r="F1344" s="2" t="str">
        <x:v>CNC machining</x:v>
      </x:c>
      <x:c r="G1344" s="9" t="str">
        <x:v>CNC-05</x:v>
      </x:c>
      <x:c r="H1344" s="15" t="n">
        <x:v>36</x:v>
      </x:c>
      <x:c r="I1344" s="9" t="str">
        <x:v>P03</x:v>
      </x:c>
      <x:c r="J1344" s="11" t="n">
        <x:v>46304.33125</x:v>
      </x:c>
      <x:c r="K1344" s="15" t="n">
        <x:v>18</x:v>
      </x:c>
      <x:c r="L1344" s="15" t="n">
        <x:v>12</x:v>
      </x:c>
      <x:c r="M1344" s="13" t="n">
        <x:f>J1344+(K1344+L1344)/1440</x:f>
        <x:v>46304.35208333334</x:v>
      </x:c>
      <x:c r="N1344" s="13" t="n">
        <x:f>VLOOKUP(C1344,'MES orders'!$A$8:$H$127,5,FALSE)</x:f>
        <x:v>46307.666666666664</x:v>
      </x:c>
      <x:c r="O1344" s="16" t="n">
        <x:f>MAX(0,(M1344-N1344)*24)</x:f>
        <x:v>0</x:v>
      </x:c>
      <x:c r="P1344" s="9" t="str">
        <x:v>No</x:v>
      </x:c>
      <x:c r="Q1344" s="15" t="n">
        <x:v>18</x:v>
      </x:c>
      <x:c r="R1344" s="13" t="n">
        <x:f>J1344+Q1344/1440</x:f>
        <x:v>46304.34375</x:v>
      </x:c>
      <x:c r="S1344" s="2" t="str">
        <x:f>VLOOKUP(C1344,'MES orders'!$A$8:$H$127,6,FALSE)</x:f>
        <x:v>Urgent</x:v>
      </x:c>
      <x:c r="T1344" s="9" t="str"/>
    </x:row>
    <x:row r="1345" ht="22" customHeight="1">
      <x:c r="A1345" s="2" t="str">
        <x:v>L00531-020</x:v>
      </x:c>
      <x:c r="B1345" s="2" t="str">
        <x:v>L00531</x:v>
      </x:c>
      <x:c r="C1345" s="2" t="str">
        <x:v>SO-26107</x:v>
      </x:c>
      <x:c r="D1345" s="2" t="str">
        <x:v>D-L-AL</x:v>
      </x:c>
      <x:c r="E1345" s="14" t="n">
        <x:v>25</x:v>
      </x:c>
      <x:c r="F1345" s="2" t="str">
        <x:v>Deburr &amp; inspect</x:v>
      </x:c>
      <x:c r="G1345" s="9" t="str">
        <x:v>DB-02</x:v>
      </x:c>
      <x:c r="H1345" s="15" t="n">
        <x:v>89</x:v>
      </x:c>
      <x:c r="I1345" s="9" t="str">
        <x:v>P01</x:v>
      </x:c>
      <x:c r="J1345" s="11" t="n">
        <x:v>46304.33125</x:v>
      </x:c>
      <x:c r="K1345" s="15" t="n">
        <x:v>4</x:v>
      </x:c>
      <x:c r="L1345" s="15" t="n">
        <x:v>24</x:v>
      </x:c>
      <x:c r="M1345" s="13" t="n">
        <x:f>J1345+(K1345+L1345)/1440</x:f>
        <x:v>46304.350694444445</x:v>
      </x:c>
      <x:c r="N1345" s="13" t="n">
        <x:f>VLOOKUP(C1345,'MES orders'!$A$8:$H$127,5,FALSE)</x:f>
        <x:v>46304.666666666664</x:v>
      </x:c>
      <x:c r="O1345" s="16" t="n">
        <x:f>MAX(0,(M1345-N1345)*24)</x:f>
        <x:v>0</x:v>
      </x:c>
      <x:c r="P1345" s="9" t="str">
        <x:v>No</x:v>
      </x:c>
      <x:c r="Q1345" s="15" t="n">
        <x:v>28</x:v>
      </x:c>
      <x:c r="R1345" s="13" t="n">
        <x:f>J1345+Q1345/1440</x:f>
        <x:v>46304.350694444445</x:v>
      </x:c>
      <x:c r="S1345" s="2" t="str">
        <x:f>VLOOKUP(C1345,'MES orders'!$A$8:$H$127,6,FALSE)</x:f>
        <x:v>Normal</x:v>
      </x:c>
      <x:c r="T1345" s="9" t="str"/>
    </x:row>
    <x:row r="1346" ht="22" customHeight="1">
      <x:c r="A1346" s="2" t="str">
        <x:v>L00414-030</x:v>
      </x:c>
      <x:c r="B1346" s="2" t="str">
        <x:v>L00414</x:v>
      </x:c>
      <x:c r="C1346" s="2" t="str">
        <x:v>SO-26083</x:v>
      </x:c>
      <x:c r="D1346" s="2" t="str">
        <x:v>S-L-AL</x:v>
      </x:c>
      <x:c r="E1346" s="14" t="n">
        <x:v>15</x:v>
      </x:c>
      <x:c r="F1346" s="2" t="str">
        <x:v>Wash &amp; dry</x:v>
      </x:c>
      <x:c r="G1346" s="9" t="str">
        <x:v>WS-01</x:v>
      </x:c>
      <x:c r="H1346" s="15" t="n">
        <x:v>127</x:v>
      </x:c>
      <x:c r="I1346" s="9" t="str">
        <x:v>P06</x:v>
      </x:c>
      <x:c r="J1346" s="11" t="n">
        <x:v>46304.333333333336</x:v>
      </x:c>
      <x:c r="K1346" s="15" t="n">
        <x:v>12</x:v>
      </x:c>
      <x:c r="L1346" s="15" t="n">
        <x:v>7</x:v>
      </x:c>
      <x:c r="M1346" s="13" t="n">
        <x:f>J1346+(K1346+L1346)/1440</x:f>
        <x:v>46304.34652777778</x:v>
      </x:c>
      <x:c r="N1346" s="13" t="n">
        <x:f>VLOOKUP(C1346,'MES orders'!$A$8:$H$127,5,FALSE)</x:f>
        <x:v>46304.666666666664</x:v>
      </x:c>
      <x:c r="O1346" s="16" t="n">
        <x:f>MAX(0,(M1346-N1346)*24)</x:f>
        <x:v>0</x:v>
      </x:c>
      <x:c r="P1346" s="9" t="str">
        <x:v>No</x:v>
      </x:c>
      <x:c r="Q1346" s="15" t="n">
        <x:v>19</x:v>
      </x:c>
      <x:c r="R1346" s="13" t="n">
        <x:f>J1346+Q1346/1440</x:f>
        <x:v>46304.34652777778</x:v>
      </x:c>
      <x:c r="S1346" s="2" t="str">
        <x:f>VLOOKUP(C1346,'MES orders'!$A$8:$H$127,6,FALSE)</x:f>
        <x:v>Normal</x:v>
      </x:c>
      <x:c r="T1346" s="9" t="str"/>
    </x:row>
    <x:row r="1347" ht="22" customHeight="1">
      <x:c r="A1347" s="2" t="str">
        <x:v>L00411-050</x:v>
      </x:c>
      <x:c r="B1347" s="2" t="str">
        <x:v>L00411</x:v>
      </x:c>
      <x:c r="C1347" s="2" t="str">
        <x:v>SO-26083</x:v>
      </x:c>
      <x:c r="D1347" s="2" t="str">
        <x:v>S-L-AL</x:v>
      </x:c>
      <x:c r="E1347" s="14" t="n">
        <x:v>15</x:v>
      </x:c>
      <x:c r="F1347" s="2" t="str">
        <x:v>Sensor installation</x:v>
      </x:c>
      <x:c r="G1347" s="9" t="str">
        <x:v>EL-01</x:v>
      </x:c>
      <x:c r="H1347" s="15" t="n">
        <x:v>41</x:v>
      </x:c>
      <x:c r="I1347" s="9" t="str">
        <x:v>P07</x:v>
      </x:c>
      <x:c r="J1347" s="11" t="n">
        <x:v>46304.33611111111</x:v>
      </x:c>
      <x:c r="K1347" s="15" t="n">
        <x:v>8</x:v>
      </x:c>
      <x:c r="L1347" s="15" t="n">
        <x:v>24</x:v>
      </x:c>
      <x:c r="M1347" s="13" t="n">
        <x:f>J1347+(K1347+L1347)/1440</x:f>
        <x:v>46304.35833333333</x:v>
      </x:c>
      <x:c r="N1347" s="13" t="n">
        <x:f>VLOOKUP(C1347,'MES orders'!$A$8:$H$127,5,FALSE)</x:f>
        <x:v>46304.666666666664</x:v>
      </x:c>
      <x:c r="O1347" s="16" t="n">
        <x:f>MAX(0,(M1347-N1347)*24)</x:f>
        <x:v>0</x:v>
      </x:c>
      <x:c r="P1347" s="9" t="str">
        <x:v>No</x:v>
      </x:c>
      <x:c r="Q1347" s="15" t="n">
        <x:v>32</x:v>
      </x:c>
      <x:c r="R1347" s="13" t="n">
        <x:f>J1347+Q1347/1440</x:f>
        <x:v>46304.35833333333</x:v>
      </x:c>
      <x:c r="S1347" s="2" t="str">
        <x:f>VLOOKUP(C1347,'MES orders'!$A$8:$H$127,6,FALSE)</x:f>
        <x:v>Normal</x:v>
      </x:c>
      <x:c r="T1347" s="9" t="str"/>
    </x:row>
    <x:row r="1348" ht="22" customHeight="1">
      <x:c r="A1348" s="2" t="str">
        <x:v>L00455-020</x:v>
      </x:c>
      <x:c r="B1348" s="2" t="str">
        <x:v>L00455</x:v>
      </x:c>
      <x:c r="C1348" s="2" t="str">
        <x:v>SO-26091</x:v>
      </x:c>
      <x:c r="D1348" s="2" t="str">
        <x:v>D-C-AL</x:v>
      </x:c>
      <x:c r="E1348" s="14" t="n">
        <x:v>10</x:v>
      </x:c>
      <x:c r="F1348" s="2" t="str">
        <x:v>Deburr &amp; inspect</x:v>
      </x:c>
      <x:c r="G1348" s="9" t="str">
        <x:v>DB-01</x:v>
      </x:c>
      <x:c r="H1348" s="15" t="n">
        <x:v>130</x:v>
      </x:c>
      <x:c r="I1348" s="9" t="str">
        <x:v>P04</x:v>
      </x:c>
      <x:c r="J1348" s="11" t="n">
        <x:v>46304.33819444444</x:v>
      </x:c>
      <x:c r="K1348" s="15" t="n">
        <x:v>4</x:v>
      </x:c>
      <x:c r="L1348" s="15" t="n">
        <x:v>6</x:v>
      </x:c>
      <x:c r="M1348" s="13" t="n">
        <x:f>J1348+(K1348+L1348)/1440</x:f>
        <x:v>46304.345138888886</x:v>
      </x:c>
      <x:c r="N1348" s="13" t="n">
        <x:f>VLOOKUP(C1348,'MES orders'!$A$8:$H$127,5,FALSE)</x:f>
        <x:v>46304.666666666664</x:v>
      </x:c>
      <x:c r="O1348" s="16" t="n">
        <x:f>MAX(0,(M1348-N1348)*24)</x:f>
        <x:v>0</x:v>
      </x:c>
      <x:c r="P1348" s="9" t="str">
        <x:v>No</x:v>
      </x:c>
      <x:c r="Q1348" s="15" t="n">
        <x:v>10</x:v>
      </x:c>
      <x:c r="R1348" s="13" t="n">
        <x:f>J1348+Q1348/1440</x:f>
        <x:v>46304.345138888886</x:v>
      </x:c>
      <x:c r="S1348" s="2" t="str">
        <x:f>VLOOKUP(C1348,'MES orders'!$A$8:$H$127,6,FALSE)</x:f>
        <x:v>Normal</x:v>
      </x:c>
      <x:c r="T1348" s="9" t="str"/>
    </x:row>
    <x:row r="1349" ht="22" customHeight="1">
      <x:c r="A1349" s="2" t="str">
        <x:v>L00412-050</x:v>
      </x:c>
      <x:c r="B1349" s="2" t="str">
        <x:v>L00412</x:v>
      </x:c>
      <x:c r="C1349" s="2" t="str">
        <x:v>SO-26083</x:v>
      </x:c>
      <x:c r="D1349" s="2" t="str">
        <x:v>S-L-AL</x:v>
      </x:c>
      <x:c r="E1349" s="14" t="n">
        <x:v>15</x:v>
      </x:c>
      <x:c r="F1349" s="2" t="str">
        <x:v>Sensor installation</x:v>
      </x:c>
      <x:c r="G1349" s="9" t="str">
        <x:v>EL-02</x:v>
      </x:c>
      <x:c r="H1349" s="15" t="n">
        <x:v>26</x:v>
      </x:c>
      <x:c r="I1349" s="9" t="str">
        <x:v>P08</x:v>
      </x:c>
      <x:c r="J1349" s="11" t="n">
        <x:v>46304.34097222222</x:v>
      </x:c>
      <x:c r="K1349" s="15" t="n">
        <x:v>8</x:v>
      </x:c>
      <x:c r="L1349" s="15" t="n">
        <x:v>24</x:v>
      </x:c>
      <x:c r="M1349" s="13" t="n">
        <x:f>J1349+(K1349+L1349)/1440</x:f>
        <x:v>46304.36319444444</x:v>
      </x:c>
      <x:c r="N1349" s="13" t="n">
        <x:f>VLOOKUP(C1349,'MES orders'!$A$8:$H$127,5,FALSE)</x:f>
        <x:v>46304.666666666664</x:v>
      </x:c>
      <x:c r="O1349" s="16" t="n">
        <x:f>MAX(0,(M1349-N1349)*24)</x:f>
        <x:v>0</x:v>
      </x:c>
      <x:c r="P1349" s="9" t="str">
        <x:v>No</x:v>
      </x:c>
      <x:c r="Q1349" s="15" t="n">
        <x:v>32</x:v>
      </x:c>
      <x:c r="R1349" s="13" t="n">
        <x:f>J1349+Q1349/1440</x:f>
        <x:v>46304.36319444444</x:v>
      </x:c>
      <x:c r="S1349" s="2" t="str">
        <x:f>VLOOKUP(C1349,'MES orders'!$A$8:$H$127,6,FALSE)</x:f>
        <x:v>Normal</x:v>
      </x:c>
      <x:c r="T1349" s="9" t="str"/>
    </x:row>
    <x:row r="1350" ht="22" customHeight="1">
      <x:c r="A1350" s="2" t="str">
        <x:v>L00577-010</x:v>
      </x:c>
      <x:c r="B1350" s="2" t="str">
        <x:v>L00577</x:v>
      </x:c>
      <x:c r="C1350" s="2" t="str">
        <x:v>SO-26116</x:v>
      </x:c>
      <x:c r="D1350" s="2" t="str">
        <x:v>S-C-SS</x:v>
      </x:c>
      <x:c r="E1350" s="14" t="n">
        <x:v>5</x:v>
      </x:c>
      <x:c r="F1350" s="2" t="str">
        <x:v>CNC machining</x:v>
      </x:c>
      <x:c r="G1350" s="9" t="str">
        <x:v>CNC-06</x:v>
      </x:c>
      <x:c r="H1350" s="15" t="n">
        <x:v>33</x:v>
      </x:c>
      <x:c r="I1350" s="9" t="str">
        <x:v>P03</x:v>
      </x:c>
      <x:c r="J1350" s="11" t="n">
        <x:v>46304.34375</x:v>
      </x:c>
      <x:c r="K1350" s="15" t="n">
        <x:v>18</x:v>
      </x:c>
      <x:c r="L1350" s="15" t="n">
        <x:v>12</x:v>
      </x:c>
      <x:c r="M1350" s="13" t="n">
        <x:f>J1350+(K1350+L1350)/1440</x:f>
        <x:v>46304.364583333336</x:v>
      </x:c>
      <x:c r="N1350" s="13" t="n">
        <x:f>VLOOKUP(C1350,'MES orders'!$A$8:$H$127,5,FALSE)</x:f>
        <x:v>46307.666666666664</x:v>
      </x:c>
      <x:c r="O1350" s="16" t="n">
        <x:f>MAX(0,(M1350-N1350)*24)</x:f>
        <x:v>0</x:v>
      </x:c>
      <x:c r="P1350" s="9" t="str">
        <x:v>No</x:v>
      </x:c>
      <x:c r="Q1350" s="15" t="n">
        <x:v>18</x:v>
      </x:c>
      <x:c r="R1350" s="13" t="n">
        <x:f>J1350+Q1350/1440</x:f>
        <x:v>46304.35625</x:v>
      </x:c>
      <x:c r="S1350" s="2" t="str">
        <x:f>VLOOKUP(C1350,'MES orders'!$A$8:$H$127,6,FALSE)</x:f>
        <x:v>Urgent</x:v>
      </x:c>
      <x:c r="T1350" s="9" t="str"/>
    </x:row>
    <x:row r="1351" ht="22" customHeight="1">
      <x:c r="A1351" s="2" t="str">
        <x:v>L00414-040</x:v>
      </x:c>
      <x:c r="B1351" s="2" t="str">
        <x:v>L00414</x:v>
      </x:c>
      <x:c r="C1351" s="2" t="str">
        <x:v>SO-26083</x:v>
      </x:c>
      <x:c r="D1351" s="2" t="str">
        <x:v>S-L-AL</x:v>
      </x:c>
      <x:c r="E1351" s="14" t="n">
        <x:v>15</x:v>
      </x:c>
      <x:c r="F1351" s="2" t="str">
        <x:v>Mechanical preassembly</x:v>
      </x:c>
      <x:c r="G1351" s="9" t="str">
        <x:v>AS-02</x:v>
      </x:c>
      <x:c r="H1351" s="15" t="n">
        <x:v>90</x:v>
      </x:c>
      <x:c r="I1351" s="9" t="str">
        <x:v>P04</x:v>
      </x:c>
      <x:c r="J1351" s="11" t="n">
        <x:v>46304.34652777778</x:v>
      </x:c>
      <x:c r="K1351" s="15" t="n">
        <x:v>6</x:v>
      </x:c>
      <x:c r="L1351" s="15" t="n">
        <x:v>22</x:v>
      </x:c>
      <x:c r="M1351" s="13" t="n">
        <x:f>J1351+(K1351+L1351)/1440</x:f>
        <x:v>46304.36597222222</x:v>
      </x:c>
      <x:c r="N1351" s="13" t="n">
        <x:f>VLOOKUP(C1351,'MES orders'!$A$8:$H$127,5,FALSE)</x:f>
        <x:v>46304.666666666664</x:v>
      </x:c>
      <x:c r="O1351" s="16" t="n">
        <x:f>MAX(0,(M1351-N1351)*24)</x:f>
        <x:v>0</x:v>
      </x:c>
      <x:c r="P1351" s="9" t="str">
        <x:v>No</x:v>
      </x:c>
      <x:c r="Q1351" s="15" t="n">
        <x:v>28</x:v>
      </x:c>
      <x:c r="R1351" s="13" t="n">
        <x:f>J1351+Q1351/1440</x:f>
        <x:v>46304.36597222222</x:v>
      </x:c>
      <x:c r="S1351" s="2" t="str">
        <x:f>VLOOKUP(C1351,'MES orders'!$A$8:$H$127,6,FALSE)</x:f>
        <x:v>Normal</x:v>
      </x:c>
      <x:c r="T1351" s="9" t="str"/>
    </x:row>
    <x:row r="1352" ht="22" customHeight="1">
      <x:c r="A1352" s="2" t="str">
        <x:v>L00415-020</x:v>
      </x:c>
      <x:c r="B1352" s="2" t="str">
        <x:v>L00415</x:v>
      </x:c>
      <x:c r="C1352" s="2" t="str">
        <x:v>SO-26083</x:v>
      </x:c>
      <x:c r="D1352" s="2" t="str">
        <x:v>S-L-AL</x:v>
      </x:c>
      <x:c r="E1352" s="14" t="n">
        <x:v>15</x:v>
      </x:c>
      <x:c r="F1352" s="2" t="str">
        <x:v>Deburr &amp; inspect</x:v>
      </x:c>
      <x:c r="G1352" s="9" t="str">
        <x:v>DB-01</x:v>
      </x:c>
      <x:c r="H1352" s="15" t="n">
        <x:v>131</x:v>
      </x:c>
      <x:c r="I1352" s="9" t="str">
        <x:v>P06</x:v>
      </x:c>
      <x:c r="J1352" s="11" t="n">
        <x:v>46304.34652777778</x:v>
      </x:c>
      <x:c r="K1352" s="15" t="n">
        <x:v>4</x:v>
      </x:c>
      <x:c r="L1352" s="15" t="n">
        <x:v>14</x:v>
      </x:c>
      <x:c r="M1352" s="13" t="n">
        <x:f>J1352+(K1352+L1352)/1440</x:f>
        <x:v>46304.35902777778</x:v>
      </x:c>
      <x:c r="N1352" s="13" t="n">
        <x:f>VLOOKUP(C1352,'MES orders'!$A$8:$H$127,5,FALSE)</x:f>
        <x:v>46304.666666666664</x:v>
      </x:c>
      <x:c r="O1352" s="16" t="n">
        <x:f>MAX(0,(M1352-N1352)*24)</x:f>
        <x:v>0</x:v>
      </x:c>
      <x:c r="P1352" s="9" t="str">
        <x:v>No</x:v>
      </x:c>
      <x:c r="Q1352" s="15" t="n">
        <x:v>18</x:v>
      </x:c>
      <x:c r="R1352" s="13" t="n">
        <x:f>J1352+Q1352/1440</x:f>
        <x:v>46304.35902777778</x:v>
      </x:c>
      <x:c r="S1352" s="2" t="str">
        <x:f>VLOOKUP(C1352,'MES orders'!$A$8:$H$127,6,FALSE)</x:f>
        <x:v>Normal</x:v>
      </x:c>
      <x:c r="T1352" s="9" t="str"/>
    </x:row>
    <x:row r="1353" ht="22" customHeight="1">
      <x:c r="A1353" s="2" t="str">
        <x:v>L00371-080</x:v>
      </x:c>
      <x:c r="B1353" s="2" t="str">
        <x:v>L00371</x:v>
      </x:c>
      <x:c r="C1353" s="2" t="str">
        <x:v>SO-26075</x:v>
      </x:c>
      <x:c r="D1353" s="2" t="str">
        <x:v>S-S-AL</x:v>
      </x:c>
      <x:c r="E1353" s="14" t="n">
        <x:v>25</x:v>
      </x:c>
      <x:c r="F1353" s="2" t="str">
        <x:v>Final leak / function test</x:v>
      </x:c>
      <x:c r="G1353" s="9" t="str">
        <x:v>QA-02</x:v>
      </x:c>
      <x:c r="H1353" s="15" t="n">
        <x:v>93</x:v>
      </x:c>
      <x:c r="I1353" s="9" t="str">
        <x:v>P11</x:v>
      </x:c>
      <x:c r="J1353" s="11" t="n">
        <x:v>46304.34652777778</x:v>
      </x:c>
      <x:c r="K1353" s="15" t="n">
        <x:v>10</x:v>
      </x:c>
      <x:c r="L1353" s="15" t="n">
        <x:v>22</x:v>
      </x:c>
      <x:c r="M1353" s="13" t="n">
        <x:f>J1353+(K1353+L1353)/1440</x:f>
        <x:v>46304.36875</x:v>
      </x:c>
      <x:c r="N1353" s="13" t="n">
        <x:f>VLOOKUP(C1353,'MES orders'!$A$8:$H$127,5,FALSE)</x:f>
        <x:v>46304.666666666664</x:v>
      </x:c>
      <x:c r="O1353" s="16" t="n">
        <x:f>MAX(0,(M1353-N1353)*24)</x:f>
        <x:v>0</x:v>
      </x:c>
      <x:c r="P1353" s="9" t="str">
        <x:v>No</x:v>
      </x:c>
      <x:c r="Q1353" s="15" t="n">
        <x:v>32</x:v>
      </x:c>
      <x:c r="R1353" s="13" t="n">
        <x:f>J1353+Q1353/1440</x:f>
        <x:v>46304.36875</x:v>
      </x:c>
      <x:c r="S1353" s="2" t="str">
        <x:f>VLOOKUP(C1353,'MES orders'!$A$8:$H$127,6,FALSE)</x:f>
        <x:v>Normal</x:v>
      </x:c>
      <x:c r="T1353" s="9" t="str"/>
    </x:row>
    <x:row r="1354" ht="22" customHeight="1">
      <x:c r="A1354" s="2" t="str">
        <x:v>L00454-030</x:v>
      </x:c>
      <x:c r="B1354" s="2" t="str">
        <x:v>L00454</x:v>
      </x:c>
      <x:c r="C1354" s="2" t="str">
        <x:v>SO-26091</x:v>
      </x:c>
      <x:c r="D1354" s="2" t="str">
        <x:v>D-C-AL</x:v>
      </x:c>
      <x:c r="E1354" s="14" t="n">
        <x:v>10</x:v>
      </x:c>
      <x:c r="F1354" s="2" t="str">
        <x:v>Wash &amp; dry</x:v>
      </x:c>
      <x:c r="G1354" s="9" t="str">
        <x:v>WS-01</x:v>
      </x:c>
      <x:c r="H1354" s="15" t="n">
        <x:v>128</x:v>
      </x:c>
      <x:c r="I1354" s="9" t="str">
        <x:v>P05</x:v>
      </x:c>
      <x:c r="J1354" s="11" t="n">
        <x:v>46304.34652777778</x:v>
      </x:c>
      <x:c r="K1354" s="15" t="n">
        <x:v>12</x:v>
      </x:c>
      <x:c r="L1354" s="15" t="n">
        <x:v>3</x:v>
      </x:c>
      <x:c r="M1354" s="13" t="n">
        <x:f>J1354+(K1354+L1354)/1440</x:f>
        <x:v>46304.356944444444</x:v>
      </x:c>
      <x:c r="N1354" s="13" t="n">
        <x:f>VLOOKUP(C1354,'MES orders'!$A$8:$H$127,5,FALSE)</x:f>
        <x:v>46304.666666666664</x:v>
      </x:c>
      <x:c r="O1354" s="16" t="n">
        <x:f>MAX(0,(M1354-N1354)*24)</x:f>
        <x:v>0</x:v>
      </x:c>
      <x:c r="P1354" s="9" t="str">
        <x:v>No</x:v>
      </x:c>
      <x:c r="Q1354" s="15" t="n">
        <x:v>15</x:v>
      </x:c>
      <x:c r="R1354" s="13" t="n">
        <x:f>J1354+Q1354/1440</x:f>
        <x:v>46304.356944444444</x:v>
      </x:c>
      <x:c r="S1354" s="2" t="str">
        <x:f>VLOOKUP(C1354,'MES orders'!$A$8:$H$127,6,FALSE)</x:f>
        <x:v>Normal</x:v>
      </x:c>
      <x:c r="T1354" s="9" t="str"/>
    </x:row>
    <x:row r="1355" ht="22" customHeight="1">
      <x:c r="A1355" s="2" t="str">
        <x:v>L00532-020</x:v>
      </x:c>
      <x:c r="B1355" s="2" t="str">
        <x:v>L00532</x:v>
      </x:c>
      <x:c r="C1355" s="2" t="str">
        <x:v>SO-26107</x:v>
      </x:c>
      <x:c r="D1355" s="2" t="str">
        <x:v>D-L-AL</x:v>
      </x:c>
      <x:c r="E1355" s="14" t="n">
        <x:v>25</x:v>
      </x:c>
      <x:c r="F1355" s="2" t="str">
        <x:v>Deburr &amp; inspect</x:v>
      </x:c>
      <x:c r="G1355" s="9" t="str">
        <x:v>DB-02</x:v>
      </x:c>
      <x:c r="H1355" s="15" t="n">
        <x:v>90</x:v>
      </x:c>
      <x:c r="I1355" s="9" t="str">
        <x:v>P02</x:v>
      </x:c>
      <x:c r="J1355" s="11" t="n">
        <x:v>46304.350694444445</x:v>
      </x:c>
      <x:c r="K1355" s="15" t="n">
        <x:v>4</x:v>
      </x:c>
      <x:c r="L1355" s="15" t="n">
        <x:v>24</x:v>
      </x:c>
      <x:c r="M1355" s="13" t="n">
        <x:f>J1355+(K1355+L1355)/1440</x:f>
        <x:v>46304.37013888889</x:v>
      </x:c>
      <x:c r="N1355" s="13" t="n">
        <x:f>VLOOKUP(C1355,'MES orders'!$A$8:$H$127,5,FALSE)</x:f>
        <x:v>46304.666666666664</x:v>
      </x:c>
      <x:c r="O1355" s="16" t="n">
        <x:f>MAX(0,(M1355-N1355)*24)</x:f>
        <x:v>0</x:v>
      </x:c>
      <x:c r="P1355" s="9" t="str">
        <x:v>No</x:v>
      </x:c>
      <x:c r="Q1355" s="15" t="n">
        <x:v>28</x:v>
      </x:c>
      <x:c r="R1355" s="13" t="n">
        <x:f>J1355+Q1355/1440</x:f>
        <x:v>46304.37013888889</x:v>
      </x:c>
      <x:c r="S1355" s="2" t="str">
        <x:f>VLOOKUP(C1355,'MES orders'!$A$8:$H$127,6,FALSE)</x:f>
        <x:v>Normal</x:v>
      </x:c>
      <x:c r="T1355" s="9" t="str"/>
    </x:row>
    <x:row r="1356" ht="22" customHeight="1">
      <x:c r="A1356" s="2" t="str">
        <x:v>L00531-030</x:v>
      </x:c>
      <x:c r="B1356" s="2" t="str">
        <x:v>L00531</x:v>
      </x:c>
      <x:c r="C1356" s="2" t="str">
        <x:v>SO-26107</x:v>
      </x:c>
      <x:c r="D1356" s="2" t="str">
        <x:v>D-L-AL</x:v>
      </x:c>
      <x:c r="E1356" s="14" t="n">
        <x:v>25</x:v>
      </x:c>
      <x:c r="F1356" s="2" t="str">
        <x:v>Wash &amp; dry</x:v>
      </x:c>
      <x:c r="G1356" s="9" t="str">
        <x:v>WS-02</x:v>
      </x:c>
      <x:c r="H1356" s="15" t="n">
        <x:v>89</x:v>
      </x:c>
      <x:c r="I1356" s="9" t="str">
        <x:v>P01</x:v>
      </x:c>
      <x:c r="J1356" s="11" t="n">
        <x:v>46304.350694444445</x:v>
      </x:c>
      <x:c r="K1356" s="15" t="n">
        <x:v>12</x:v>
      </x:c>
      <x:c r="L1356" s="15" t="n">
        <x:v>12</x:v>
      </x:c>
      <x:c r="M1356" s="13" t="n">
        <x:f>J1356+(K1356+L1356)/1440</x:f>
        <x:v>46304.367361111115</x:v>
      </x:c>
      <x:c r="N1356" s="13" t="n">
        <x:f>VLOOKUP(C1356,'MES orders'!$A$8:$H$127,5,FALSE)</x:f>
        <x:v>46304.666666666664</x:v>
      </x:c>
      <x:c r="O1356" s="16" t="n">
        <x:f>MAX(0,(M1356-N1356)*24)</x:f>
        <x:v>0</x:v>
      </x:c>
      <x:c r="P1356" s="9" t="str">
        <x:v>No</x:v>
      </x:c>
      <x:c r="Q1356" s="15" t="n">
        <x:v>24</x:v>
      </x:c>
      <x:c r="R1356" s="13" t="n">
        <x:f>J1356+Q1356/1440</x:f>
        <x:v>46304.367361111115</x:v>
      </x:c>
      <x:c r="S1356" s="2" t="str">
        <x:f>VLOOKUP(C1356,'MES orders'!$A$8:$H$127,6,FALSE)</x:f>
        <x:v>Normal</x:v>
      </x:c>
      <x:c r="T1356" s="9" t="str"/>
    </x:row>
    <x:row r="1357" ht="22" customHeight="1">
      <x:c r="A1357" s="2" t="str">
        <x:v>L00372-070</x:v>
      </x:c>
      <x:c r="B1357" s="2" t="str">
        <x:v>L00372</x:v>
      </x:c>
      <x:c r="C1357" s="2" t="str">
        <x:v>SO-26075</x:v>
      </x:c>
      <x:c r="D1357" s="2" t="str">
        <x:v>S-S-AL</x:v>
      </x:c>
      <x:c r="E1357" s="14" t="n">
        <x:v>25</x:v>
      </x:c>
      <x:c r="F1357" s="2" t="str">
        <x:v>Final assembly</x:v>
      </x:c>
      <x:c r="G1357" s="9" t="str">
        <x:v>AS-01</x:v>
      </x:c>
      <x:c r="H1357" s="15" t="n">
        <x:v>108</x:v>
      </x:c>
      <x:c r="I1357" s="9" t="str">
        <x:v>P05</x:v>
      </x:c>
      <x:c r="J1357" s="11" t="n">
        <x:v>46304.35833333333</x:v>
      </x:c>
      <x:c r="K1357" s="15" t="n">
        <x:v>5</x:v>
      </x:c>
      <x:c r="L1357" s="15" t="n">
        <x:v>20</x:v>
      </x:c>
      <x:c r="M1357" s="13" t="n">
        <x:f>J1357+(K1357+L1357)/1440</x:f>
        <x:v>46304.37569444444</x:v>
      </x:c>
      <x:c r="N1357" s="13" t="n">
        <x:f>VLOOKUP(C1357,'MES orders'!$A$8:$H$127,5,FALSE)</x:f>
        <x:v>46304.666666666664</x:v>
      </x:c>
      <x:c r="O1357" s="16" t="n">
        <x:f>MAX(0,(M1357-N1357)*24)</x:f>
        <x:v>0</x:v>
      </x:c>
      <x:c r="P1357" s="9" t="str">
        <x:v>No</x:v>
      </x:c>
      <x:c r="Q1357" s="15" t="n">
        <x:v>25</x:v>
      </x:c>
      <x:c r="R1357" s="13" t="n">
        <x:f>J1357+Q1357/1440</x:f>
        <x:v>46304.37569444444</x:v>
      </x:c>
      <x:c r="S1357" s="2" t="str">
        <x:f>VLOOKUP(C1357,'MES orders'!$A$8:$H$127,6,FALSE)</x:f>
        <x:v>Normal</x:v>
      </x:c>
      <x:c r="T1357" s="9" t="str"/>
    </x:row>
    <x:row r="1358" ht="22" customHeight="1">
      <x:c r="A1358" s="2" t="str">
        <x:v>L00373-060</x:v>
      </x:c>
      <x:c r="B1358" s="2" t="str">
        <x:v>L00373</x:v>
      </x:c>
      <x:c r="C1358" s="2" t="str">
        <x:v>SO-26075</x:v>
      </x:c>
      <x:c r="D1358" s="2" t="str">
        <x:v>S-S-AL</x:v>
      </x:c>
      <x:c r="E1358" s="14" t="n">
        <x:v>25</x:v>
      </x:c>
      <x:c r="F1358" s="2" t="str">
        <x:v>Sensor calibration</x:v>
      </x:c>
      <x:c r="G1358" s="9" t="str">
        <x:v>CAL-01</x:v>
      </x:c>
      <x:c r="H1358" s="15" t="n">
        <x:v>63</x:v>
      </x:c>
      <x:c r="I1358" s="9" t="str">
        <x:v>P09</x:v>
      </x:c>
      <x:c r="J1358" s="11" t="n">
        <x:v>46304.35833333333</x:v>
      </x:c>
      <x:c r="K1358" s="15" t="n">
        <x:v>10</x:v>
      </x:c>
      <x:c r="L1358" s="15" t="n">
        <x:v>32</x:v>
      </x:c>
      <x:c r="M1358" s="13" t="n">
        <x:f>J1358+(K1358+L1358)/1440</x:f>
        <x:v>46304.3875</x:v>
      </x:c>
      <x:c r="N1358" s="13" t="n">
        <x:f>VLOOKUP(C1358,'MES orders'!$A$8:$H$127,5,FALSE)</x:f>
        <x:v>46304.666666666664</x:v>
      </x:c>
      <x:c r="O1358" s="16" t="n">
        <x:f>MAX(0,(M1358-N1358)*24)</x:f>
        <x:v>0</x:v>
      </x:c>
      <x:c r="P1358" s="9" t="str">
        <x:v>No</x:v>
      </x:c>
      <x:c r="Q1358" s="15" t="n">
        <x:v>42</x:v>
      </x:c>
      <x:c r="R1358" s="13" t="n">
        <x:f>J1358+Q1358/1440</x:f>
        <x:v>46304.3875</x:v>
      </x:c>
      <x:c r="S1358" s="2" t="str">
        <x:f>VLOOKUP(C1358,'MES orders'!$A$8:$H$127,6,FALSE)</x:f>
        <x:v>Normal</x:v>
      </x:c>
      <x:c r="T1358" s="9" t="str"/>
    </x:row>
    <x:row r="1359" ht="22" customHeight="1">
      <x:c r="A1359" s="2" t="str">
        <x:v>L00413-050</x:v>
      </x:c>
      <x:c r="B1359" s="2" t="str">
        <x:v>L00413</x:v>
      </x:c>
      <x:c r="C1359" s="2" t="str">
        <x:v>SO-26083</x:v>
      </x:c>
      <x:c r="D1359" s="2" t="str">
        <x:v>S-L-AL</x:v>
      </x:c>
      <x:c r="E1359" s="14" t="n">
        <x:v>15</x:v>
      </x:c>
      <x:c r="F1359" s="2" t="str">
        <x:v>Sensor installation</x:v>
      </x:c>
      <x:c r="G1359" s="9" t="str">
        <x:v>EL-01</x:v>
      </x:c>
      <x:c r="H1359" s="15" t="n">
        <x:v>42</x:v>
      </x:c>
      <x:c r="I1359" s="9" t="str">
        <x:v>P07</x:v>
      </x:c>
      <x:c r="J1359" s="11" t="n">
        <x:v>46304.35833333333</x:v>
      </x:c>
      <x:c r="K1359" s="15" t="n">
        <x:v>8</x:v>
      </x:c>
      <x:c r="L1359" s="15" t="n">
        <x:v>24</x:v>
      </x:c>
      <x:c r="M1359" s="13" t="n">
        <x:f>J1359+(K1359+L1359)/1440</x:f>
        <x:v>46304.38055555555</x:v>
      </x:c>
      <x:c r="N1359" s="13" t="n">
        <x:f>VLOOKUP(C1359,'MES orders'!$A$8:$H$127,5,FALSE)</x:f>
        <x:v>46304.666666666664</x:v>
      </x:c>
      <x:c r="O1359" s="16" t="n">
        <x:f>MAX(0,(M1359-N1359)*24)</x:f>
        <x:v>0</x:v>
      </x:c>
      <x:c r="P1359" s="9" t="str">
        <x:v>No</x:v>
      </x:c>
      <x:c r="Q1359" s="15" t="n">
        <x:v>32</x:v>
      </x:c>
      <x:c r="R1359" s="13" t="n">
        <x:f>J1359+Q1359/1440</x:f>
        <x:v>46304.38055555555</x:v>
      </x:c>
      <x:c r="S1359" s="2" t="str">
        <x:f>VLOOKUP(C1359,'MES orders'!$A$8:$H$127,6,FALSE)</x:f>
        <x:v>Normal</x:v>
      </x:c>
      <x:c r="T1359" s="9" t="str"/>
    </x:row>
    <x:row r="1360" ht="22" customHeight="1">
      <x:c r="A1360" s="2" t="str">
        <x:v>L00533-020</x:v>
      </x:c>
      <x:c r="B1360" s="2" t="str">
        <x:v>L00533</x:v>
      </x:c>
      <x:c r="C1360" s="2" t="str">
        <x:v>SO-26107</x:v>
      </x:c>
      <x:c r="D1360" s="2" t="str">
        <x:v>D-L-AL</x:v>
      </x:c>
      <x:c r="E1360" s="14" t="n">
        <x:v>25</x:v>
      </x:c>
      <x:c r="F1360" s="2" t="str">
        <x:v>Deburr &amp; inspect</x:v>
      </x:c>
      <x:c r="G1360" s="9" t="str">
        <x:v>DB-01</x:v>
      </x:c>
      <x:c r="H1360" s="15" t="n">
        <x:v>132</x:v>
      </x:c>
      <x:c r="I1360" s="9" t="str">
        <x:v>P03</x:v>
      </x:c>
      <x:c r="J1360" s="11" t="n">
        <x:v>46304.35902777778</x:v>
      </x:c>
      <x:c r="K1360" s="15" t="n">
        <x:v>4</x:v>
      </x:c>
      <x:c r="L1360" s="15" t="n">
        <x:v>24</x:v>
      </x:c>
      <x:c r="M1360" s="13" t="n">
        <x:f>J1360+(K1360+L1360)/1440</x:f>
        <x:v>46304.37847222222</x:v>
      </x:c>
      <x:c r="N1360" s="13" t="n">
        <x:f>VLOOKUP(C1360,'MES orders'!$A$8:$H$127,5,FALSE)</x:f>
        <x:v>46304.666666666664</x:v>
      </x:c>
      <x:c r="O1360" s="16" t="n">
        <x:f>MAX(0,(M1360-N1360)*24)</x:f>
        <x:v>0</x:v>
      </x:c>
      <x:c r="P1360" s="9" t="str">
        <x:v>No</x:v>
      </x:c>
      <x:c r="Q1360" s="15" t="n">
        <x:v>28</x:v>
      </x:c>
      <x:c r="R1360" s="13" t="n">
        <x:f>J1360+Q1360/1440</x:f>
        <x:v>46304.37847222222</x:v>
      </x:c>
      <x:c r="S1360" s="2" t="str">
        <x:f>VLOOKUP(C1360,'MES orders'!$A$8:$H$127,6,FALSE)</x:f>
        <x:v>Normal</x:v>
      </x:c>
      <x:c r="T1360" s="9" t="str"/>
    </x:row>
    <x:row r="1361" ht="22" customHeight="1">
      <x:c r="A1361" s="2" t="str">
        <x:v>L00415-030</x:v>
      </x:c>
      <x:c r="B1361" s="2" t="str">
        <x:v>L00415</x:v>
      </x:c>
      <x:c r="C1361" s="2" t="str">
        <x:v>SO-26083</x:v>
      </x:c>
      <x:c r="D1361" s="2" t="str">
        <x:v>S-L-AL</x:v>
      </x:c>
      <x:c r="E1361" s="14" t="n">
        <x:v>15</x:v>
      </x:c>
      <x:c r="F1361" s="2" t="str">
        <x:v>Wash &amp; dry</x:v>
      </x:c>
      <x:c r="G1361" s="9" t="str">
        <x:v>WS-01</x:v>
      </x:c>
      <x:c r="H1361" s="15" t="n">
        <x:v>129</x:v>
      </x:c>
      <x:c r="I1361" s="9" t="str">
        <x:v>P06</x:v>
      </x:c>
      <x:c r="J1361" s="11" t="n">
        <x:v>46304.35902777778</x:v>
      </x:c>
      <x:c r="K1361" s="15" t="n">
        <x:v>12</x:v>
      </x:c>
      <x:c r="L1361" s="15" t="n">
        <x:v>7</x:v>
      </x:c>
      <x:c r="M1361" s="13" t="n">
        <x:f>J1361+(K1361+L1361)/1440</x:f>
        <x:v>46304.37222222222</x:v>
      </x:c>
      <x:c r="N1361" s="13" t="n">
        <x:f>VLOOKUP(C1361,'MES orders'!$A$8:$H$127,5,FALSE)</x:f>
        <x:v>46304.666666666664</x:v>
      </x:c>
      <x:c r="O1361" s="16" t="n">
        <x:f>MAX(0,(M1361-N1361)*24)</x:f>
        <x:v>0</x:v>
      </x:c>
      <x:c r="P1361" s="9" t="str">
        <x:v>No</x:v>
      </x:c>
      <x:c r="Q1361" s="15" t="n">
        <x:v>19</x:v>
      </x:c>
      <x:c r="R1361" s="13" t="n">
        <x:f>J1361+Q1361/1440</x:f>
        <x:v>46304.37222222222</x:v>
      </x:c>
      <x:c r="S1361" s="2" t="str">
        <x:f>VLOOKUP(C1361,'MES orders'!$A$8:$H$127,6,FALSE)</x:f>
        <x:v>Normal</x:v>
      </x:c>
      <x:c r="T1361" s="9" t="str"/>
    </x:row>
    <x:row r="1362" ht="22" customHeight="1">
      <x:c r="A1362" s="2" t="str">
        <x:v>L00414-050</x:v>
      </x:c>
      <x:c r="B1362" s="2" t="str">
        <x:v>L00414</x:v>
      </x:c>
      <x:c r="C1362" s="2" t="str">
        <x:v>SO-26083</x:v>
      </x:c>
      <x:c r="D1362" s="2" t="str">
        <x:v>S-L-AL</x:v>
      </x:c>
      <x:c r="E1362" s="14" t="n">
        <x:v>15</x:v>
      </x:c>
      <x:c r="F1362" s="2" t="str">
        <x:v>Sensor installation</x:v>
      </x:c>
      <x:c r="G1362" s="9" t="str">
        <x:v>EL-02</x:v>
      </x:c>
      <x:c r="H1362" s="15" t="n">
        <x:v>27</x:v>
      </x:c>
      <x:c r="I1362" s="9" t="str">
        <x:v>P08</x:v>
      </x:c>
      <x:c r="J1362" s="11" t="n">
        <x:v>46304.36597222222</x:v>
      </x:c>
      <x:c r="K1362" s="15" t="n">
        <x:v>8</x:v>
      </x:c>
      <x:c r="L1362" s="15" t="n">
        <x:v>24</x:v>
      </x:c>
      <x:c r="M1362" s="13" t="n">
        <x:f>J1362+(K1362+L1362)/1440</x:f>
        <x:v>46304.388194444444</x:v>
      </x:c>
      <x:c r="N1362" s="13" t="n">
        <x:f>VLOOKUP(C1362,'MES orders'!$A$8:$H$127,5,FALSE)</x:f>
        <x:v>46304.666666666664</x:v>
      </x:c>
      <x:c r="O1362" s="16" t="n">
        <x:f>MAX(0,(M1362-N1362)*24)</x:f>
        <x:v>0</x:v>
      </x:c>
      <x:c r="P1362" s="9" t="str">
        <x:v>No</x:v>
      </x:c>
      <x:c r="Q1362" s="15" t="n">
        <x:v>32</x:v>
      </x:c>
      <x:c r="R1362" s="13" t="n">
        <x:f>J1362+Q1362/1440</x:f>
        <x:v>46304.388194444444</x:v>
      </x:c>
      <x:c r="S1362" s="2" t="str">
        <x:f>VLOOKUP(C1362,'MES orders'!$A$8:$H$127,6,FALSE)</x:f>
        <x:v>Normal</x:v>
      </x:c>
      <x:c r="T1362" s="9" t="str"/>
    </x:row>
    <x:row r="1363" ht="22" customHeight="1">
      <x:c r="A1363" s="2" t="str">
        <x:v>L00534-020</x:v>
      </x:c>
      <x:c r="B1363" s="2" t="str">
        <x:v>L00534</x:v>
      </x:c>
      <x:c r="C1363" s="2" t="str">
        <x:v>SO-26107</x:v>
      </x:c>
      <x:c r="D1363" s="2" t="str">
        <x:v>D-L-AL</x:v>
      </x:c>
      <x:c r="E1363" s="14" t="n">
        <x:v>25</x:v>
      </x:c>
      <x:c r="F1363" s="2" t="str">
        <x:v>Deburr &amp; inspect</x:v>
      </x:c>
      <x:c r="G1363" s="9" t="str">
        <x:v>DB-02</x:v>
      </x:c>
      <x:c r="H1363" s="15" t="n">
        <x:v>91</x:v>
      </x:c>
      <x:c r="I1363" s="9" t="str">
        <x:v>P02</x:v>
      </x:c>
      <x:c r="J1363" s="11" t="n">
        <x:v>46304.37013888889</x:v>
      </x:c>
      <x:c r="K1363" s="15" t="n">
        <x:v>4</x:v>
      </x:c>
      <x:c r="L1363" s="15" t="n">
        <x:v>24</x:v>
      </x:c>
      <x:c r="M1363" s="13" t="n">
        <x:f>J1363+(K1363+L1363)/1440</x:f>
        <x:v>46304.38958333333</x:v>
      </x:c>
      <x:c r="N1363" s="13" t="n">
        <x:f>VLOOKUP(C1363,'MES orders'!$A$8:$H$127,5,FALSE)</x:f>
        <x:v>46304.666666666664</x:v>
      </x:c>
      <x:c r="O1363" s="16" t="n">
        <x:f>MAX(0,(M1363-N1363)*24)</x:f>
        <x:v>0</x:v>
      </x:c>
      <x:c r="P1363" s="9" t="str">
        <x:v>No</x:v>
      </x:c>
      <x:c r="Q1363" s="15" t="n">
        <x:v>28</x:v>
      </x:c>
      <x:c r="R1363" s="13" t="n">
        <x:f>J1363+Q1363/1440</x:f>
        <x:v>46304.38958333333</x:v>
      </x:c>
      <x:c r="S1363" s="2" t="str">
        <x:f>VLOOKUP(C1363,'MES orders'!$A$8:$H$127,6,FALSE)</x:f>
        <x:v>Normal</x:v>
      </x:c>
      <x:c r="T1363" s="9" t="str"/>
    </x:row>
    <x:row r="1364" ht="22" customHeight="1">
      <x:c r="A1364" s="2" t="str">
        <x:v>L00415-040</x:v>
      </x:c>
      <x:c r="B1364" s="2" t="str">
        <x:v>L00415</x:v>
      </x:c>
      <x:c r="C1364" s="2" t="str">
        <x:v>SO-26083</x:v>
      </x:c>
      <x:c r="D1364" s="2" t="str">
        <x:v>S-L-AL</x:v>
      </x:c>
      <x:c r="E1364" s="14" t="n">
        <x:v>15</x:v>
      </x:c>
      <x:c r="F1364" s="2" t="str">
        <x:v>Mechanical preassembly</x:v>
      </x:c>
      <x:c r="G1364" s="9" t="str">
        <x:v>AS-02</x:v>
      </x:c>
      <x:c r="H1364" s="15" t="n">
        <x:v>91</x:v>
      </x:c>
      <x:c r="I1364" s="9" t="str">
        <x:v>P04</x:v>
      </x:c>
      <x:c r="J1364" s="11" t="n">
        <x:v>46304.37222222222</x:v>
      </x:c>
      <x:c r="K1364" s="15" t="n">
        <x:v>6</x:v>
      </x:c>
      <x:c r="L1364" s="15" t="n">
        <x:v>22</x:v>
      </x:c>
      <x:c r="M1364" s="13" t="n">
        <x:f>J1364+(K1364+L1364)/1440</x:f>
        <x:v>46304.39166666666</x:v>
      </x:c>
      <x:c r="N1364" s="13" t="n">
        <x:f>VLOOKUP(C1364,'MES orders'!$A$8:$H$127,5,FALSE)</x:f>
        <x:v>46304.666666666664</x:v>
      </x:c>
      <x:c r="O1364" s="16" t="n">
        <x:f>MAX(0,(M1364-N1364)*24)</x:f>
        <x:v>0</x:v>
      </x:c>
      <x:c r="P1364" s="9" t="str">
        <x:v>No</x:v>
      </x:c>
      <x:c r="Q1364" s="15" t="n">
        <x:v>28</x:v>
      </x:c>
      <x:c r="R1364" s="13" t="n">
        <x:f>J1364+Q1364/1440</x:f>
        <x:v>46304.39166666666</x:v>
      </x:c>
      <x:c r="S1364" s="2" t="str">
        <x:f>VLOOKUP(C1364,'MES orders'!$A$8:$H$127,6,FALSE)</x:f>
        <x:v>Normal</x:v>
      </x:c>
      <x:c r="T1364" s="9" t="str"/>
    </x:row>
    <x:row r="1365" ht="22" customHeight="1">
      <x:c r="A1365" s="2" t="str">
        <x:v>L00453-040</x:v>
      </x:c>
      <x:c r="B1365" s="2" t="str">
        <x:v>L00453</x:v>
      </x:c>
      <x:c r="C1365" s="2" t="str">
        <x:v>SO-26091</x:v>
      </x:c>
      <x:c r="D1365" s="2" t="str">
        <x:v>D-C-AL</x:v>
      </x:c>
      <x:c r="E1365" s="14" t="n">
        <x:v>10</x:v>
      </x:c>
      <x:c r="F1365" s="2" t="str">
        <x:v>Mechanical assembly</x:v>
      </x:c>
      <x:c r="G1365" s="9" t="str">
        <x:v>AS-03</x:v>
      </x:c>
      <x:c r="H1365" s="15" t="n">
        <x:v>69</x:v>
      </x:c>
      <x:c r="I1365" s="9" t="str">
        <x:v>P06</x:v>
      </x:c>
      <x:c r="J1365" s="11" t="n">
        <x:v>46304.37222222222</x:v>
      </x:c>
      <x:c r="K1365" s="15" t="n">
        <x:v>8</x:v>
      </x:c>
      <x:c r="L1365" s="15" t="n">
        <x:v>14</x:v>
      </x:c>
      <x:c r="M1365" s="13" t="n">
        <x:f>J1365+(K1365+L1365)/1440</x:f>
        <x:v>46304.3875</x:v>
      </x:c>
      <x:c r="N1365" s="13" t="n">
        <x:f>VLOOKUP(C1365,'MES orders'!$A$8:$H$127,5,FALSE)</x:f>
        <x:v>46304.666666666664</x:v>
      </x:c>
      <x:c r="O1365" s="16" t="n">
        <x:f>MAX(0,(M1365-N1365)*24)</x:f>
        <x:v>0</x:v>
      </x:c>
      <x:c r="P1365" s="9" t="str">
        <x:v>No</x:v>
      </x:c>
      <x:c r="Q1365" s="15" t="n">
        <x:v>22</x:v>
      </x:c>
      <x:c r="R1365" s="13" t="n">
        <x:f>J1365+Q1365/1440</x:f>
        <x:v>46304.3875</x:v>
      </x:c>
      <x:c r="S1365" s="2" t="str">
        <x:f>VLOOKUP(C1365,'MES orders'!$A$8:$H$127,6,FALSE)</x:f>
        <x:v>Normal</x:v>
      </x:c>
      <x:c r="T1365" s="9" t="str"/>
    </x:row>
    <x:row r="1366" ht="22" customHeight="1">
      <x:c r="A1366" s="2" t="str">
        <x:v>L00372-080</x:v>
      </x:c>
      <x:c r="B1366" s="2" t="str">
        <x:v>L00372</x:v>
      </x:c>
      <x:c r="C1366" s="2" t="str">
        <x:v>SO-26075</x:v>
      </x:c>
      <x:c r="D1366" s="2" t="str">
        <x:v>S-S-AL</x:v>
      </x:c>
      <x:c r="E1366" s="14" t="n">
        <x:v>25</x:v>
      </x:c>
      <x:c r="F1366" s="2" t="str">
        <x:v>Final leak / function test</x:v>
      </x:c>
      <x:c r="G1366" s="9" t="str">
        <x:v>QA-02</x:v>
      </x:c>
      <x:c r="H1366" s="15" t="n">
        <x:v>94</x:v>
      </x:c>
      <x:c r="I1366" s="9" t="str">
        <x:v>P11</x:v>
      </x:c>
      <x:c r="J1366" s="11" t="n">
        <x:v>46304.37569444445</x:v>
      </x:c>
      <x:c r="K1366" s="15" t="n">
        <x:v>10</x:v>
      </x:c>
      <x:c r="L1366" s="15" t="n">
        <x:v>22</x:v>
      </x:c>
      <x:c r="M1366" s="13" t="n">
        <x:f>J1366+(K1366+L1366)/1440</x:f>
        <x:v>46304.39791666667</x:v>
      </x:c>
      <x:c r="N1366" s="13" t="n">
        <x:f>VLOOKUP(C1366,'MES orders'!$A$8:$H$127,5,FALSE)</x:f>
        <x:v>46304.666666666664</x:v>
      </x:c>
      <x:c r="O1366" s="16" t="n">
        <x:f>MAX(0,(M1366-N1366)*24)</x:f>
        <x:v>0</x:v>
      </x:c>
      <x:c r="P1366" s="9" t="str">
        <x:v>No</x:v>
      </x:c>
      <x:c r="Q1366" s="15" t="n">
        <x:v>32</x:v>
      </x:c>
      <x:c r="R1366" s="13" t="n">
        <x:f>J1366+Q1366/1440</x:f>
        <x:v>46304.39791666667</x:v>
      </x:c>
      <x:c r="S1366" s="2" t="str">
        <x:f>VLOOKUP(C1366,'MES orders'!$A$8:$H$127,6,FALSE)</x:f>
        <x:v>Normal</x:v>
      </x:c>
      <x:c r="T1366" s="9" t="str"/>
    </x:row>
    <x:row r="1367" ht="22" customHeight="1">
      <x:c r="A1367" s="2" t="str">
        <x:v>L00455-030</x:v>
      </x:c>
      <x:c r="B1367" s="2" t="str">
        <x:v>L00455</x:v>
      </x:c>
      <x:c r="C1367" s="2" t="str">
        <x:v>SO-26091</x:v>
      </x:c>
      <x:c r="D1367" s="2" t="str">
        <x:v>D-C-AL</x:v>
      </x:c>
      <x:c r="E1367" s="14" t="n">
        <x:v>10</x:v>
      </x:c>
      <x:c r="F1367" s="2" t="str">
        <x:v>Wash &amp; dry</x:v>
      </x:c>
      <x:c r="G1367" s="9" t="str">
        <x:v>WS-01</x:v>
      </x:c>
      <x:c r="H1367" s="15" t="n">
        <x:v>130</x:v>
      </x:c>
      <x:c r="I1367" s="9" t="str">
        <x:v>P05</x:v>
      </x:c>
      <x:c r="J1367" s="11" t="n">
        <x:v>46304.37569444445</x:v>
      </x:c>
      <x:c r="K1367" s="15" t="n">
        <x:v>12</x:v>
      </x:c>
      <x:c r="L1367" s="15" t="n">
        <x:v>3</x:v>
      </x:c>
      <x:c r="M1367" s="13" t="n">
        <x:f>J1367+(K1367+L1367)/1440</x:f>
        <x:v>46304.38611111111</x:v>
      </x:c>
      <x:c r="N1367" s="13" t="n">
        <x:f>VLOOKUP(C1367,'MES orders'!$A$8:$H$127,5,FALSE)</x:f>
        <x:v>46304.666666666664</x:v>
      </x:c>
      <x:c r="O1367" s="16" t="n">
        <x:f>MAX(0,(M1367-N1367)*24)</x:f>
        <x:v>0</x:v>
      </x:c>
      <x:c r="P1367" s="9" t="str">
        <x:v>No</x:v>
      </x:c>
      <x:c r="Q1367" s="15" t="n">
        <x:v>15</x:v>
      </x:c>
      <x:c r="R1367" s="13" t="n">
        <x:f>J1367+Q1367/1440</x:f>
        <x:v>46304.38611111111</x:v>
      </x:c>
      <x:c r="S1367" s="2" t="str">
        <x:f>VLOOKUP(C1367,'MES orders'!$A$8:$H$127,6,FALSE)</x:f>
        <x:v>Normal</x:v>
      </x:c>
      <x:c r="T1367" s="9" t="str"/>
    </x:row>
    <x:row r="1368" ht="22" customHeight="1">
      <x:c r="A1368" s="2" t="str">
        <x:v>L00577-020</x:v>
      </x:c>
      <x:c r="B1368" s="2" t="str">
        <x:v>L00577</x:v>
      </x:c>
      <x:c r="C1368" s="2" t="str">
        <x:v>SO-26116</x:v>
      </x:c>
      <x:c r="D1368" s="2" t="str">
        <x:v>S-C-SS</x:v>
      </x:c>
      <x:c r="E1368" s="14" t="n">
        <x:v>5</x:v>
      </x:c>
      <x:c r="F1368" s="2" t="str">
        <x:v>Deburr &amp; inspect</x:v>
      </x:c>
      <x:c r="G1368" s="9" t="str">
        <x:v>DB-01</x:v>
      </x:c>
      <x:c r="H1368" s="15" t="n">
        <x:v>133</x:v>
      </x:c>
      <x:c r="I1368" s="9" t="str">
        <x:v>P03</x:v>
      </x:c>
      <x:c r="J1368" s="11" t="n">
        <x:v>46304.37847222222</x:v>
      </x:c>
      <x:c r="K1368" s="15" t="n">
        <x:v>4</x:v>
      </x:c>
      <x:c r="L1368" s="15" t="n">
        <x:v>3</x:v>
      </x:c>
      <x:c r="M1368" s="13" t="n">
        <x:f>J1368+(K1368+L1368)/1440</x:f>
        <x:v>46304.38333333333</x:v>
      </x:c>
      <x:c r="N1368" s="13" t="n">
        <x:f>VLOOKUP(C1368,'MES orders'!$A$8:$H$127,5,FALSE)</x:f>
        <x:v>46307.666666666664</x:v>
      </x:c>
      <x:c r="O1368" s="16" t="n">
        <x:f>MAX(0,(M1368-N1368)*24)</x:f>
        <x:v>0</x:v>
      </x:c>
      <x:c r="P1368" s="9" t="str">
        <x:v>No</x:v>
      </x:c>
      <x:c r="Q1368" s="15" t="n">
        <x:v>7</x:v>
      </x:c>
      <x:c r="R1368" s="13" t="n">
        <x:f>J1368+Q1368/1440</x:f>
        <x:v>46304.38333333333</x:v>
      </x:c>
      <x:c r="S1368" s="2" t="str">
        <x:f>VLOOKUP(C1368,'MES orders'!$A$8:$H$127,6,FALSE)</x:f>
        <x:v>Urgent</x:v>
      </x:c>
      <x:c r="T1368" s="9" t="str"/>
    </x:row>
    <x:row r="1369" ht="22" customHeight="1">
      <x:c r="A1369" s="2" t="str">
        <x:v>L00533-030</x:v>
      </x:c>
      <x:c r="B1369" s="2" t="str">
        <x:v>L00533</x:v>
      </x:c>
      <x:c r="C1369" s="2" t="str">
        <x:v>SO-26107</x:v>
      </x:c>
      <x:c r="D1369" s="2" t="str">
        <x:v>D-L-AL</x:v>
      </x:c>
      <x:c r="E1369" s="14" t="n">
        <x:v>25</x:v>
      </x:c>
      <x:c r="F1369" s="2" t="str">
        <x:v>Wash &amp; dry</x:v>
      </x:c>
      <x:c r="G1369" s="9" t="str">
        <x:v>WS-02</x:v>
      </x:c>
      <x:c r="H1369" s="15" t="n">
        <x:v>90</x:v>
      </x:c>
      <x:c r="I1369" s="9" t="str">
        <x:v>P01</x:v>
      </x:c>
      <x:c r="J1369" s="11" t="n">
        <x:v>46304.37847222222</x:v>
      </x:c>
      <x:c r="K1369" s="15" t="n">
        <x:v>12</x:v>
      </x:c>
      <x:c r="L1369" s="15" t="n">
        <x:v>12</x:v>
      </x:c>
      <x:c r="M1369" s="13" t="n">
        <x:f>J1369+(K1369+L1369)/1440</x:f>
        <x:v>46304.39513888889</x:v>
      </x:c>
      <x:c r="N1369" s="13" t="n">
        <x:f>VLOOKUP(C1369,'MES orders'!$A$8:$H$127,5,FALSE)</x:f>
        <x:v>46304.666666666664</x:v>
      </x:c>
      <x:c r="O1369" s="16" t="n">
        <x:f>MAX(0,(M1369-N1369)*24)</x:f>
        <x:v>0</x:v>
      </x:c>
      <x:c r="P1369" s="9" t="str">
        <x:v>No</x:v>
      </x:c>
      <x:c r="Q1369" s="15" t="n">
        <x:v>24</x:v>
      </x:c>
      <x:c r="R1369" s="13" t="n">
        <x:f>J1369+Q1369/1440</x:f>
        <x:v>46304.39513888889</x:v>
      </x:c>
      <x:c r="S1369" s="2" t="str">
        <x:f>VLOOKUP(C1369,'MES orders'!$A$8:$H$127,6,FALSE)</x:f>
        <x:v>Normal</x:v>
      </x:c>
      <x:c r="T1369" s="9" t="str"/>
    </x:row>
    <x:row r="1370" ht="22" customHeight="1">
      <x:c r="A1370" s="2" t="str">
        <x:v>L00578-010</x:v>
      </x:c>
      <x:c r="B1370" s="2" t="str">
        <x:v>L00578</x:v>
      </x:c>
      <x:c r="C1370" s="2" t="str">
        <x:v>SO-26116</x:v>
      </x:c>
      <x:c r="D1370" s="2" t="str">
        <x:v>S-C-SS</x:v>
      </x:c>
      <x:c r="E1370" s="14" t="n">
        <x:v>5</x:v>
      </x:c>
      <x:c r="F1370" s="2" t="str">
        <x:v>CNC machining</x:v>
      </x:c>
      <x:c r="G1370" s="9" t="str">
        <x:v>CNC-03</x:v>
      </x:c>
      <x:c r="H1370" s="15" t="n">
        <x:v>42</x:v>
      </x:c>
      <x:c r="I1370" s="9" t="str">
        <x:v>P03</x:v>
      </x:c>
      <x:c r="J1370" s="11" t="n">
        <x:v>46304.38333333333</x:v>
      </x:c>
      <x:c r="K1370" s="15" t="n">
        <x:v>18</x:v>
      </x:c>
      <x:c r="L1370" s="15" t="n">
        <x:v>12</x:v>
      </x:c>
      <x:c r="M1370" s="13" t="n">
        <x:f>J1370+(K1370+L1370)/1440</x:f>
        <x:v>46304.40416666667</x:v>
      </x:c>
      <x:c r="N1370" s="13" t="n">
        <x:f>VLOOKUP(C1370,'MES orders'!$A$8:$H$127,5,FALSE)</x:f>
        <x:v>46307.666666666664</x:v>
      </x:c>
      <x:c r="O1370" s="16" t="n">
        <x:f>MAX(0,(M1370-N1370)*24)</x:f>
        <x:v>0</x:v>
      </x:c>
      <x:c r="P1370" s="9" t="str">
        <x:v>No</x:v>
      </x:c>
      <x:c r="Q1370" s="15" t="n">
        <x:v>18</x:v>
      </x:c>
      <x:c r="R1370" s="13" t="n">
        <x:f>J1370+Q1370/1440</x:f>
        <x:v>46304.39583333333</x:v>
      </x:c>
      <x:c r="S1370" s="2" t="str">
        <x:f>VLOOKUP(C1370,'MES orders'!$A$8:$H$127,6,FALSE)</x:f>
        <x:v>Urgent</x:v>
      </x:c>
      <x:c r="T1370" s="9" t="str"/>
    </x:row>
    <x:row r="1371" ht="22" customHeight="1">
      <x:c r="A1371" s="2" t="str">
        <x:v>L00373-070</x:v>
      </x:c>
      <x:c r="B1371" s="2" t="str">
        <x:v>L00373</x:v>
      </x:c>
      <x:c r="C1371" s="2" t="str">
        <x:v>SO-26075</x:v>
      </x:c>
      <x:c r="D1371" s="2" t="str">
        <x:v>S-S-AL</x:v>
      </x:c>
      <x:c r="E1371" s="14" t="n">
        <x:v>25</x:v>
      </x:c>
      <x:c r="F1371" s="2" t="str">
        <x:v>Final assembly</x:v>
      </x:c>
      <x:c r="G1371" s="9" t="str">
        <x:v>AS-01</x:v>
      </x:c>
      <x:c r="H1371" s="15" t="n">
        <x:v>109</x:v>
      </x:c>
      <x:c r="I1371" s="9" t="str">
        <x:v>P05</x:v>
      </x:c>
      <x:c r="J1371" s="11" t="n">
        <x:v>46304.3875</x:v>
      </x:c>
      <x:c r="K1371" s="15" t="n">
        <x:v>5</x:v>
      </x:c>
      <x:c r="L1371" s="15" t="n">
        <x:v>20</x:v>
      </x:c>
      <x:c r="M1371" s="13" t="n">
        <x:f>J1371+(K1371+L1371)/1440</x:f>
        <x:v>46304.40486111111</x:v>
      </x:c>
      <x:c r="N1371" s="13" t="n">
        <x:f>VLOOKUP(C1371,'MES orders'!$A$8:$H$127,5,FALSE)</x:f>
        <x:v>46304.666666666664</x:v>
      </x:c>
      <x:c r="O1371" s="16" t="n">
        <x:f>MAX(0,(M1371-N1371)*24)</x:f>
        <x:v>0</x:v>
      </x:c>
      <x:c r="P1371" s="9" t="str">
        <x:v>No</x:v>
      </x:c>
      <x:c r="Q1371" s="15" t="n">
        <x:v>25</x:v>
      </x:c>
      <x:c r="R1371" s="13" t="n">
        <x:f>J1371+Q1371/1440</x:f>
        <x:v>46304.40486111111</x:v>
      </x:c>
      <x:c r="S1371" s="2" t="str">
        <x:f>VLOOKUP(C1371,'MES orders'!$A$8:$H$127,6,FALSE)</x:f>
        <x:v>Normal</x:v>
      </x:c>
      <x:c r="T1371" s="9" t="str"/>
    </x:row>
    <x:row r="1372" ht="22" customHeight="1">
      <x:c r="A1372" s="2" t="str">
        <x:v>L00454-040</x:v>
      </x:c>
      <x:c r="B1372" s="2" t="str">
        <x:v>L00454</x:v>
      </x:c>
      <x:c r="C1372" s="2" t="str">
        <x:v>SO-26091</x:v>
      </x:c>
      <x:c r="D1372" s="2" t="str">
        <x:v>D-C-AL</x:v>
      </x:c>
      <x:c r="E1372" s="14" t="n">
        <x:v>10</x:v>
      </x:c>
      <x:c r="F1372" s="2" t="str">
        <x:v>Mechanical assembly</x:v>
      </x:c>
      <x:c r="G1372" s="9" t="str">
        <x:v>AS-03</x:v>
      </x:c>
      <x:c r="H1372" s="15" t="n">
        <x:v>70</x:v>
      </x:c>
      <x:c r="I1372" s="9" t="str">
        <x:v>P06</x:v>
      </x:c>
      <x:c r="J1372" s="11" t="n">
        <x:v>46304.3875</x:v>
      </x:c>
      <x:c r="K1372" s="15" t="n">
        <x:v>8</x:v>
      </x:c>
      <x:c r="L1372" s="15" t="n">
        <x:v>14</x:v>
      </x:c>
      <x:c r="M1372" s="13" t="n">
        <x:f>J1372+(K1372+L1372)/1440</x:f>
        <x:v>46304.402777777774</x:v>
      </x:c>
      <x:c r="N1372" s="13" t="n">
        <x:f>VLOOKUP(C1372,'MES orders'!$A$8:$H$127,5,FALSE)</x:f>
        <x:v>46304.666666666664</x:v>
      </x:c>
      <x:c r="O1372" s="16" t="n">
        <x:f>MAX(0,(M1372-N1372)*24)</x:f>
        <x:v>0</x:v>
      </x:c>
      <x:c r="P1372" s="9" t="str">
        <x:v>No</x:v>
      </x:c>
      <x:c r="Q1372" s="15" t="n">
        <x:v>22</x:v>
      </x:c>
      <x:c r="R1372" s="13" t="n">
        <x:f>J1372+Q1372/1440</x:f>
        <x:v>46304.402777777774</x:v>
      </x:c>
      <x:c r="S1372" s="2" t="str">
        <x:f>VLOOKUP(C1372,'MES orders'!$A$8:$H$127,6,FALSE)</x:f>
        <x:v>Normal</x:v>
      </x:c>
      <x:c r="T1372" s="9" t="str"/>
    </x:row>
    <x:row r="1373" ht="22" customHeight="1">
      <x:c r="A1373" s="2" t="str">
        <x:v>L00374-060</x:v>
      </x:c>
      <x:c r="B1373" s="2" t="str">
        <x:v>L00374</x:v>
      </x:c>
      <x:c r="C1373" s="2" t="str">
        <x:v>SO-26075</x:v>
      </x:c>
      <x:c r="D1373" s="2" t="str">
        <x:v>S-S-AL</x:v>
      </x:c>
      <x:c r="E1373" s="14" t="n">
        <x:v>25</x:v>
      </x:c>
      <x:c r="F1373" s="2" t="str">
        <x:v>Sensor calibration</x:v>
      </x:c>
      <x:c r="G1373" s="9" t="str">
        <x:v>CAL-01</x:v>
      </x:c>
      <x:c r="H1373" s="15" t="n">
        <x:v>64</x:v>
      </x:c>
      <x:c r="I1373" s="9" t="str">
        <x:v>P09</x:v>
      </x:c>
      <x:c r="J1373" s="11" t="n">
        <x:v>46304.3875</x:v>
      </x:c>
      <x:c r="K1373" s="15" t="n">
        <x:v>10</x:v>
      </x:c>
      <x:c r="L1373" s="15" t="n">
        <x:v>32</x:v>
      </x:c>
      <x:c r="M1373" s="13" t="n">
        <x:f>J1373+(K1373+L1373)/1440</x:f>
        <x:v>46304.416666666664</x:v>
      </x:c>
      <x:c r="N1373" s="13" t="n">
        <x:f>VLOOKUP(C1373,'MES orders'!$A$8:$H$127,5,FALSE)</x:f>
        <x:v>46304.666666666664</x:v>
      </x:c>
      <x:c r="O1373" s="16" t="n">
        <x:f>MAX(0,(M1373-N1373)*24)</x:f>
        <x:v>0</x:v>
      </x:c>
      <x:c r="P1373" s="9" t="str">
        <x:v>No</x:v>
      </x:c>
      <x:c r="Q1373" s="15" t="n">
        <x:v>42</x:v>
      </x:c>
      <x:c r="R1373" s="13" t="n">
        <x:f>J1373+Q1373/1440</x:f>
        <x:v>46304.416666666664</x:v>
      </x:c>
      <x:c r="S1373" s="2" t="str">
        <x:f>VLOOKUP(C1373,'MES orders'!$A$8:$H$127,6,FALSE)</x:f>
        <x:v>Normal</x:v>
      </x:c>
      <x:c r="T1373" s="9" t="str"/>
    </x:row>
    <x:row r="1374" ht="22" customHeight="1">
      <x:c r="A1374" s="2" t="str">
        <x:v>L00453-050</x:v>
      </x:c>
      <x:c r="B1374" s="2" t="str">
        <x:v>L00453</x:v>
      </x:c>
      <x:c r="C1374" s="2" t="str">
        <x:v>SO-26091</x:v>
      </x:c>
      <x:c r="D1374" s="2" t="str">
        <x:v>D-C-AL</x:v>
      </x:c>
      <x:c r="E1374" s="14" t="n">
        <x:v>10</x:v>
      </x:c>
      <x:c r="F1374" s="2" t="str">
        <x:v>Final leak / function test</x:v>
      </x:c>
      <x:c r="G1374" s="9" t="str">
        <x:v>QA-01</x:v>
      </x:c>
      <x:c r="H1374" s="15" t="n">
        <x:v>53</x:v>
      </x:c>
      <x:c r="I1374" s="9" t="str">
        <x:v>P12</x:v>
      </x:c>
      <x:c r="J1374" s="11" t="n">
        <x:v>46304.3875</x:v>
      </x:c>
      <x:c r="K1374" s="15" t="n">
        <x:v>10</x:v>
      </x:c>
      <x:c r="L1374" s="15" t="n">
        <x:v>7</x:v>
      </x:c>
      <x:c r="M1374" s="13" t="n">
        <x:f>J1374+(K1374+L1374)/1440</x:f>
        <x:v>46304.399305555555</x:v>
      </x:c>
      <x:c r="N1374" s="13" t="n">
        <x:f>VLOOKUP(C1374,'MES orders'!$A$8:$H$127,5,FALSE)</x:f>
        <x:v>46304.666666666664</x:v>
      </x:c>
      <x:c r="O1374" s="16" t="n">
        <x:f>MAX(0,(M1374-N1374)*24)</x:f>
        <x:v>0</x:v>
      </x:c>
      <x:c r="P1374" s="9" t="str">
        <x:v>No</x:v>
      </x:c>
      <x:c r="Q1374" s="15" t="n">
        <x:v>17</x:v>
      </x:c>
      <x:c r="R1374" s="13" t="n">
        <x:f>J1374+Q1374/1440</x:f>
        <x:v>46304.399305555555</x:v>
      </x:c>
      <x:c r="S1374" s="2" t="str">
        <x:f>VLOOKUP(C1374,'MES orders'!$A$8:$H$127,6,FALSE)</x:f>
        <x:v>Normal</x:v>
      </x:c>
      <x:c r="T1374" s="9" t="str"/>
    </x:row>
    <x:row r="1375" ht="22" customHeight="1">
      <x:c r="A1375" s="2" t="str">
        <x:v>L00534-030</x:v>
      </x:c>
      <x:c r="B1375" s="2" t="str">
        <x:v>L00534</x:v>
      </x:c>
      <x:c r="C1375" s="2" t="str">
        <x:v>SO-26107</x:v>
      </x:c>
      <x:c r="D1375" s="2" t="str">
        <x:v>D-L-AL</x:v>
      </x:c>
      <x:c r="E1375" s="14" t="n">
        <x:v>25</x:v>
      </x:c>
      <x:c r="F1375" s="2" t="str">
        <x:v>Wash &amp; dry</x:v>
      </x:c>
      <x:c r="G1375" s="9" t="str">
        <x:v>WS-01</x:v>
      </x:c>
      <x:c r="H1375" s="15" t="n">
        <x:v>131</x:v>
      </x:c>
      <x:c r="I1375" s="9" t="str">
        <x:v>P02</x:v>
      </x:c>
      <x:c r="J1375" s="11" t="n">
        <x:v>46304.38958333333</x:v>
      </x:c>
      <x:c r="K1375" s="15" t="n">
        <x:v>12</x:v>
      </x:c>
      <x:c r="L1375" s="15" t="n">
        <x:v>12</x:v>
      </x:c>
      <x:c r="M1375" s="13" t="n">
        <x:f>J1375+(K1375+L1375)/1440</x:f>
        <x:v>46304.40625</x:v>
      </x:c>
      <x:c r="N1375" s="13" t="n">
        <x:f>VLOOKUP(C1375,'MES orders'!$A$8:$H$127,5,FALSE)</x:f>
        <x:v>46304.666666666664</x:v>
      </x:c>
      <x:c r="O1375" s="16" t="n">
        <x:f>MAX(0,(M1375-N1375)*24)</x:f>
        <x:v>0</x:v>
      </x:c>
      <x:c r="P1375" s="9" t="str">
        <x:v>No</x:v>
      </x:c>
      <x:c r="Q1375" s="15" t="n">
        <x:v>24</x:v>
      </x:c>
      <x:c r="R1375" s="13" t="n">
        <x:f>J1375+Q1375/1440</x:f>
        <x:v>46304.40625</x:v>
      </x:c>
      <x:c r="S1375" s="2" t="str">
        <x:f>VLOOKUP(C1375,'MES orders'!$A$8:$H$127,6,FALSE)</x:f>
        <x:v>Normal</x:v>
      </x:c>
      <x:c r="T1375" s="9" t="str"/>
    </x:row>
    <x:row r="1376" ht="22" customHeight="1">
      <x:c r="A1376" s="2" t="str">
        <x:v>L00455-040</x:v>
      </x:c>
      <x:c r="B1376" s="2" t="str">
        <x:v>L00455</x:v>
      </x:c>
      <x:c r="C1376" s="2" t="str">
        <x:v>SO-26091</x:v>
      </x:c>
      <x:c r="D1376" s="2" t="str">
        <x:v>D-C-AL</x:v>
      </x:c>
      <x:c r="E1376" s="14" t="n">
        <x:v>10</x:v>
      </x:c>
      <x:c r="F1376" s="2" t="str">
        <x:v>Mechanical assembly</x:v>
      </x:c>
      <x:c r="G1376" s="9" t="str">
        <x:v>AS-02</x:v>
      </x:c>
      <x:c r="H1376" s="15" t="n">
        <x:v>92</x:v>
      </x:c>
      <x:c r="I1376" s="9" t="str">
        <x:v>P04</x:v>
      </x:c>
      <x:c r="J1376" s="11" t="n">
        <x:v>46304.39166666667</x:v>
      </x:c>
      <x:c r="K1376" s="15" t="n">
        <x:v>8</x:v>
      </x:c>
      <x:c r="L1376" s="15" t="n">
        <x:v>14</x:v>
      </x:c>
      <x:c r="M1376" s="13" t="n">
        <x:f>J1376+(K1376+L1376)/1440</x:f>
        <x:v>46304.40694444445</x:v>
      </x:c>
      <x:c r="N1376" s="13" t="n">
        <x:f>VLOOKUP(C1376,'MES orders'!$A$8:$H$127,5,FALSE)</x:f>
        <x:v>46304.666666666664</x:v>
      </x:c>
      <x:c r="O1376" s="16" t="n">
        <x:f>MAX(0,(M1376-N1376)*24)</x:f>
        <x:v>0</x:v>
      </x:c>
      <x:c r="P1376" s="9" t="str">
        <x:v>No</x:v>
      </x:c>
      <x:c r="Q1376" s="15" t="n">
        <x:v>22</x:v>
      </x:c>
      <x:c r="R1376" s="13" t="n">
        <x:f>J1376+Q1376/1440</x:f>
        <x:v>46304.40694444445</x:v>
      </x:c>
      <x:c r="S1376" s="2" t="str">
        <x:f>VLOOKUP(C1376,'MES orders'!$A$8:$H$127,6,FALSE)</x:f>
        <x:v>Normal</x:v>
      </x:c>
      <x:c r="T1376" s="9" t="str"/>
    </x:row>
    <x:row r="1377" ht="22" customHeight="1">
      <x:c r="A1377" s="2" t="str">
        <x:v>L00415-050</x:v>
      </x:c>
      <x:c r="B1377" s="2" t="str">
        <x:v>L00415</x:v>
      </x:c>
      <x:c r="C1377" s="2" t="str">
        <x:v>SO-26083</x:v>
      </x:c>
      <x:c r="D1377" s="2" t="str">
        <x:v>S-L-AL</x:v>
      </x:c>
      <x:c r="E1377" s="14" t="n">
        <x:v>15</x:v>
      </x:c>
      <x:c r="F1377" s="2" t="str">
        <x:v>Sensor installation</x:v>
      </x:c>
      <x:c r="G1377" s="9" t="str">
        <x:v>EL-01</x:v>
      </x:c>
      <x:c r="H1377" s="15" t="n">
        <x:v>43</x:v>
      </x:c>
      <x:c r="I1377" s="9" t="str">
        <x:v>P07</x:v>
      </x:c>
      <x:c r="J1377" s="11" t="n">
        <x:v>46304.39166666667</x:v>
      </x:c>
      <x:c r="K1377" s="15" t="n">
        <x:v>8</x:v>
      </x:c>
      <x:c r="L1377" s="15" t="n">
        <x:v>24</x:v>
      </x:c>
      <x:c r="M1377" s="13" t="n">
        <x:f>J1377+(K1377+L1377)/1440</x:f>
        <x:v>46304.41388888889</x:v>
      </x:c>
      <x:c r="N1377" s="13" t="n">
        <x:f>VLOOKUP(C1377,'MES orders'!$A$8:$H$127,5,FALSE)</x:f>
        <x:v>46304.666666666664</x:v>
      </x:c>
      <x:c r="O1377" s="16" t="n">
        <x:f>MAX(0,(M1377-N1377)*24)</x:f>
        <x:v>0</x:v>
      </x:c>
      <x:c r="P1377" s="9" t="str">
        <x:v>No</x:v>
      </x:c>
      <x:c r="Q1377" s="15" t="n">
        <x:v>32</x:v>
      </x:c>
      <x:c r="R1377" s="13" t="n">
        <x:f>J1377+Q1377/1440</x:f>
        <x:v>46304.41388888889</x:v>
      </x:c>
      <x:c r="S1377" s="2" t="str">
        <x:f>VLOOKUP(C1377,'MES orders'!$A$8:$H$127,6,FALSE)</x:f>
        <x:v>Normal</x:v>
      </x:c>
      <x:c r="T1377" s="9" t="str"/>
    </x:row>
    <x:row r="1378" ht="22" customHeight="1">
      <x:c r="A1378" s="2" t="str">
        <x:v>L00577-030</x:v>
      </x:c>
      <x:c r="B1378" s="2" t="str">
        <x:v>L00577</x:v>
      </x:c>
      <x:c r="C1378" s="2" t="str">
        <x:v>SO-26116</x:v>
      </x:c>
      <x:c r="D1378" s="2" t="str">
        <x:v>S-C-SS</x:v>
      </x:c>
      <x:c r="E1378" s="14" t="n">
        <x:v>5</x:v>
      </x:c>
      <x:c r="F1378" s="2" t="str">
        <x:v>Wash &amp; dry</x:v>
      </x:c>
      <x:c r="G1378" s="9" t="str">
        <x:v>WS-02</x:v>
      </x:c>
      <x:c r="H1378" s="15" t="n">
        <x:v>91</x:v>
      </x:c>
      <x:c r="I1378" s="9" t="str">
        <x:v>P01</x:v>
      </x:c>
      <x:c r="J1378" s="11" t="n">
        <x:v>46304.39513888889</x:v>
      </x:c>
      <x:c r="K1378" s="15" t="n">
        <x:v>12</x:v>
      </x:c>
      <x:c r="L1378" s="15" t="n">
        <x:v>1</x:v>
      </x:c>
      <x:c r="M1378" s="13" t="n">
        <x:f>J1378+(K1378+L1378)/1440</x:f>
        <x:v>46304.40416666667</x:v>
      </x:c>
      <x:c r="N1378" s="13" t="n">
        <x:f>VLOOKUP(C1378,'MES orders'!$A$8:$H$127,5,FALSE)</x:f>
        <x:v>46307.666666666664</x:v>
      </x:c>
      <x:c r="O1378" s="16" t="n">
        <x:f>MAX(0,(M1378-N1378)*24)</x:f>
        <x:v>0</x:v>
      </x:c>
      <x:c r="P1378" s="9" t="str">
        <x:v>No</x:v>
      </x:c>
      <x:c r="Q1378" s="15" t="n">
        <x:v>13</x:v>
      </x:c>
      <x:c r="R1378" s="13" t="n">
        <x:f>J1378+Q1378/1440</x:f>
        <x:v>46304.40416666667</x:v>
      </x:c>
      <x:c r="S1378" s="2" t="str">
        <x:f>VLOOKUP(C1378,'MES orders'!$A$8:$H$127,6,FALSE)</x:f>
        <x:v>Urgent</x:v>
      </x:c>
      <x:c r="T1378" s="9" t="str"/>
    </x:row>
    <x:row r="1379" ht="22" customHeight="1">
      <x:c r="A1379" s="2" t="str">
        <x:v>L00572-050</x:v>
      </x:c>
      <x:c r="B1379" s="2" t="str">
        <x:v>L00572</x:v>
      </x:c>
      <x:c r="C1379" s="2" t="str">
        <x:v>SO-26115</x:v>
      </x:c>
      <x:c r="D1379" s="2" t="str">
        <x:v>R-C-AL</x:v>
      </x:c>
      <x:c r="E1379" s="14" t="n">
        <x:v>5</x:v>
      </x:c>
      <x:c r="F1379" s="2" t="str">
        <x:v>Valve adjustment</x:v>
      </x:c>
      <x:c r="G1379" s="9" t="str">
        <x:v>AS-03</x:v>
      </x:c>
      <x:c r="H1379" s="15" t="n">
        <x:v>71</x:v>
      </x:c>
      <x:c r="I1379" s="9" t="str">
        <x:v>P06</x:v>
      </x:c>
      <x:c r="J1379" s="11" t="n">
        <x:v>46304.40277777778</x:v>
      </x:c>
      <x:c r="K1379" s="15" t="n">
        <x:v>6</x:v>
      </x:c>
      <x:c r="L1379" s="15" t="n">
        <x:v>4</x:v>
      </x:c>
      <x:c r="M1379" s="13" t="n">
        <x:f>J1379+(K1379+L1379)/1440</x:f>
        <x:v>46304.409722222226</x:v>
      </x:c>
      <x:c r="N1379" s="13" t="n">
        <x:f>VLOOKUP(C1379,'MES orders'!$A$8:$H$127,5,FALSE)</x:f>
        <x:v>46304.666666666664</x:v>
      </x:c>
      <x:c r="O1379" s="16" t="n">
        <x:f>MAX(0,(M1379-N1379)*24)</x:f>
        <x:v>0</x:v>
      </x:c>
      <x:c r="P1379" s="9" t="str">
        <x:v>No</x:v>
      </x:c>
      <x:c r="Q1379" s="15" t="n">
        <x:v>10</x:v>
      </x:c>
      <x:c r="R1379" s="13" t="n">
        <x:f>J1379+Q1379/1440</x:f>
        <x:v>46304.409722222226</x:v>
      </x:c>
      <x:c r="S1379" s="2" t="str">
        <x:f>VLOOKUP(C1379,'MES orders'!$A$8:$H$127,6,FALSE)</x:f>
        <x:v>Normal</x:v>
      </x:c>
      <x:c r="T1379" s="9" t="str"/>
    </x:row>
    <x:row r="1380" ht="22" customHeight="1">
      <x:c r="A1380" s="2" t="str">
        <x:v>L00454-050</x:v>
      </x:c>
      <x:c r="B1380" s="2" t="str">
        <x:v>L00454</x:v>
      </x:c>
      <x:c r="C1380" s="2" t="str">
        <x:v>SO-26091</x:v>
      </x:c>
      <x:c r="D1380" s="2" t="str">
        <x:v>D-C-AL</x:v>
      </x:c>
      <x:c r="E1380" s="14" t="n">
        <x:v>10</x:v>
      </x:c>
      <x:c r="F1380" s="2" t="str">
        <x:v>Final leak / function test</x:v>
      </x:c>
      <x:c r="G1380" s="9" t="str">
        <x:v>QA-01</x:v>
      </x:c>
      <x:c r="H1380" s="15" t="n">
        <x:v>54</x:v>
      </x:c>
      <x:c r="I1380" s="9" t="str">
        <x:v>P11</x:v>
      </x:c>
      <x:c r="J1380" s="11" t="n">
        <x:v>46304.40277777778</x:v>
      </x:c>
      <x:c r="K1380" s="15" t="n">
        <x:v>10</x:v>
      </x:c>
      <x:c r="L1380" s="15" t="n">
        <x:v>7</x:v>
      </x:c>
      <x:c r="M1380" s="13" t="n">
        <x:f>J1380+(K1380+L1380)/1440</x:f>
        <x:v>46304.41458333334</x:v>
      </x:c>
      <x:c r="N1380" s="13" t="n">
        <x:f>VLOOKUP(C1380,'MES orders'!$A$8:$H$127,5,FALSE)</x:f>
        <x:v>46304.666666666664</x:v>
      </x:c>
      <x:c r="O1380" s="16" t="n">
        <x:f>MAX(0,(M1380-N1380)*24)</x:f>
        <x:v>0</x:v>
      </x:c>
      <x:c r="P1380" s="9" t="str">
        <x:v>No</x:v>
      </x:c>
      <x:c r="Q1380" s="15" t="n">
        <x:v>17</x:v>
      </x:c>
      <x:c r="R1380" s="13" t="n">
        <x:f>J1380+Q1380/1440</x:f>
        <x:v>46304.41458333334</x:v>
      </x:c>
      <x:c r="S1380" s="2" t="str">
        <x:f>VLOOKUP(C1380,'MES orders'!$A$8:$H$127,6,FALSE)</x:f>
        <x:v>Normal</x:v>
      </x:c>
      <x:c r="T1380" s="9" t="str"/>
    </x:row>
    <x:row r="1381" ht="22" customHeight="1">
      <x:c r="A1381" s="2" t="str">
        <x:v>L00577-040</x:v>
      </x:c>
      <x:c r="B1381" s="2" t="str">
        <x:v>L00577</x:v>
      </x:c>
      <x:c r="C1381" s="2" t="str">
        <x:v>SO-26116</x:v>
      </x:c>
      <x:c r="D1381" s="2" t="str">
        <x:v>S-C-SS</x:v>
      </x:c>
      <x:c r="E1381" s="14" t="n">
        <x:v>5</x:v>
      </x:c>
      <x:c r="F1381" s="2" t="str">
        <x:v>Mechanical preassembly</x:v>
      </x:c>
      <x:c r="G1381" s="9" t="str">
        <x:v>AS-04</x:v>
      </x:c>
      <x:c r="H1381" s="15" t="n">
        <x:v>47</x:v>
      </x:c>
      <x:c r="I1381" s="9" t="str">
        <x:v>P01</x:v>
      </x:c>
      <x:c r="J1381" s="11" t="n">
        <x:v>46304.40416666667</x:v>
      </x:c>
      <x:c r="K1381" s="15" t="n">
        <x:v>6</x:v>
      </x:c>
      <x:c r="L1381" s="15" t="n">
        <x:v>4</x:v>
      </x:c>
      <x:c r="M1381" s="13" t="n">
        <x:f>J1381+(K1381+L1381)/1440</x:f>
        <x:v>46304.41111111111</x:v>
      </x:c>
      <x:c r="N1381" s="13" t="n">
        <x:f>VLOOKUP(C1381,'MES orders'!$A$8:$H$127,5,FALSE)</x:f>
        <x:v>46307.666666666664</x:v>
      </x:c>
      <x:c r="O1381" s="16" t="n">
        <x:f>MAX(0,(M1381-N1381)*24)</x:f>
        <x:v>0</x:v>
      </x:c>
      <x:c r="P1381" s="9" t="str">
        <x:v>No</x:v>
      </x:c>
      <x:c r="Q1381" s="15" t="n">
        <x:v>10</x:v>
      </x:c>
      <x:c r="R1381" s="13" t="n">
        <x:f>J1381+Q1381/1440</x:f>
        <x:v>46304.41111111111</x:v>
      </x:c>
      <x:c r="S1381" s="2" t="str">
        <x:f>VLOOKUP(C1381,'MES orders'!$A$8:$H$127,6,FALSE)</x:f>
        <x:v>Urgent</x:v>
      </x:c>
      <x:c r="T1381" s="9" t="str"/>
    </x:row>
    <x:row r="1382" ht="22" customHeight="1">
      <x:c r="A1382" s="2" t="str">
        <x:v>L00578-020</x:v>
      </x:c>
      <x:c r="B1382" s="2" t="str">
        <x:v>L00578</x:v>
      </x:c>
      <x:c r="C1382" s="2" t="str">
        <x:v>SO-26116</x:v>
      </x:c>
      <x:c r="D1382" s="2" t="str">
        <x:v>S-C-SS</x:v>
      </x:c>
      <x:c r="E1382" s="14" t="n">
        <x:v>5</x:v>
      </x:c>
      <x:c r="F1382" s="2" t="str">
        <x:v>Deburr &amp; inspect</x:v>
      </x:c>
      <x:c r="G1382" s="9" t="str">
        <x:v>DB-01</x:v>
      </x:c>
      <x:c r="H1382" s="15" t="n">
        <x:v>134</x:v>
      </x:c>
      <x:c r="I1382" s="9" t="str">
        <x:v>P03</x:v>
      </x:c>
      <x:c r="J1382" s="11" t="n">
        <x:v>46304.40416666667</x:v>
      </x:c>
      <x:c r="K1382" s="15" t="n">
        <x:v>4</x:v>
      </x:c>
      <x:c r="L1382" s="15" t="n">
        <x:v>3</x:v>
      </x:c>
      <x:c r="M1382" s="13" t="n">
        <x:f>J1382+(K1382+L1382)/1440</x:f>
        <x:v>46304.40902777778</x:v>
      </x:c>
      <x:c r="N1382" s="13" t="n">
        <x:f>VLOOKUP(C1382,'MES orders'!$A$8:$H$127,5,FALSE)</x:f>
        <x:v>46307.666666666664</x:v>
      </x:c>
      <x:c r="O1382" s="16" t="n">
        <x:f>MAX(0,(M1382-N1382)*24)</x:f>
        <x:v>0</x:v>
      </x:c>
      <x:c r="P1382" s="9" t="str">
        <x:v>No</x:v>
      </x:c>
      <x:c r="Q1382" s="15" t="n">
        <x:v>7</x:v>
      </x:c>
      <x:c r="R1382" s="13" t="n">
        <x:f>J1382+Q1382/1440</x:f>
        <x:v>46304.40902777778</x:v>
      </x:c>
      <x:c r="S1382" s="2" t="str">
        <x:f>VLOOKUP(C1382,'MES orders'!$A$8:$H$127,6,FALSE)</x:f>
        <x:v>Urgent</x:v>
      </x:c>
      <x:c r="T1382" s="9" t="str"/>
    </x:row>
    <x:row r="1383" ht="22" customHeight="1">
      <x:c r="A1383" s="2" t="str">
        <x:v>L00573-050</x:v>
      </x:c>
      <x:c r="B1383" s="2" t="str">
        <x:v>L00573</x:v>
      </x:c>
      <x:c r="C1383" s="2" t="str">
        <x:v>SO-26115</x:v>
      </x:c>
      <x:c r="D1383" s="2" t="str">
        <x:v>R-C-AL</x:v>
      </x:c>
      <x:c r="E1383" s="14" t="n">
        <x:v>5</x:v>
      </x:c>
      <x:c r="F1383" s="2" t="str">
        <x:v>Valve adjustment</x:v>
      </x:c>
      <x:c r="G1383" s="9" t="str">
        <x:v>AS-01</x:v>
      </x:c>
      <x:c r="H1383" s="15" t="n">
        <x:v>110</x:v>
      </x:c>
      <x:c r="I1383" s="9" t="str">
        <x:v>P05</x:v>
      </x:c>
      <x:c r="J1383" s="11" t="n">
        <x:v>46304.404861111114</x:v>
      </x:c>
      <x:c r="K1383" s="15" t="n">
        <x:v>6</x:v>
      </x:c>
      <x:c r="L1383" s="15" t="n">
        <x:v>4</x:v>
      </x:c>
      <x:c r="M1383" s="13" t="n">
        <x:f>J1383+(K1383+L1383)/1440</x:f>
        <x:v>46304.41180555556</x:v>
      </x:c>
      <x:c r="N1383" s="13" t="n">
        <x:f>VLOOKUP(C1383,'MES orders'!$A$8:$H$127,5,FALSE)</x:f>
        <x:v>46304.666666666664</x:v>
      </x:c>
      <x:c r="O1383" s="16" t="n">
        <x:f>MAX(0,(M1383-N1383)*24)</x:f>
        <x:v>0</x:v>
      </x:c>
      <x:c r="P1383" s="9" t="str">
        <x:v>No</x:v>
      </x:c>
      <x:c r="Q1383" s="15" t="n">
        <x:v>10</x:v>
      </x:c>
      <x:c r="R1383" s="13" t="n">
        <x:f>J1383+Q1383/1440</x:f>
        <x:v>46304.41180555556</x:v>
      </x:c>
      <x:c r="S1383" s="2" t="str">
        <x:f>VLOOKUP(C1383,'MES orders'!$A$8:$H$127,6,FALSE)</x:f>
        <x:v>Normal</x:v>
      </x:c>
      <x:c r="T1383" s="9" t="str"/>
    </x:row>
    <x:row r="1384" ht="22" customHeight="1">
      <x:c r="A1384" s="2" t="str">
        <x:v>L00574-030</x:v>
      </x:c>
      <x:c r="B1384" s="2" t="str">
        <x:v>L00574</x:v>
      </x:c>
      <x:c r="C1384" s="2" t="str">
        <x:v>SO-26115</x:v>
      </x:c>
      <x:c r="D1384" s="2" t="str">
        <x:v>R-C-AL</x:v>
      </x:c>
      <x:c r="E1384" s="14" t="n">
        <x:v>5</x:v>
      </x:c>
      <x:c r="F1384" s="2" t="str">
        <x:v>Wash &amp; dry</x:v>
      </x:c>
      <x:c r="G1384" s="9" t="str">
        <x:v>WS-01</x:v>
      </x:c>
      <x:c r="H1384" s="15" t="n">
        <x:v>132</x:v>
      </x:c>
      <x:c r="I1384" s="9" t="str">
        <x:v>P04</x:v>
      </x:c>
      <x:c r="J1384" s="11" t="n">
        <x:v>46304.40694444445</x:v>
      </x:c>
      <x:c r="K1384" s="15" t="n">
        <x:v>12</x:v>
      </x:c>
      <x:c r="L1384" s="15" t="n">
        <x:v>1</x:v>
      </x:c>
      <x:c r="M1384" s="13" t="n">
        <x:f>J1384+(K1384+L1384)/1440</x:f>
        <x:v>46304.415972222225</x:v>
      </x:c>
      <x:c r="N1384" s="13" t="n">
        <x:f>VLOOKUP(C1384,'MES orders'!$A$8:$H$127,5,FALSE)</x:f>
        <x:v>46304.666666666664</x:v>
      </x:c>
      <x:c r="O1384" s="16" t="n">
        <x:f>MAX(0,(M1384-N1384)*24)</x:f>
        <x:v>0</x:v>
      </x:c>
      <x:c r="P1384" s="9" t="str">
        <x:v>No</x:v>
      </x:c>
      <x:c r="Q1384" s="15" t="n">
        <x:v>13</x:v>
      </x:c>
      <x:c r="R1384" s="13" t="n">
        <x:f>J1384+Q1384/1440</x:f>
        <x:v>46304.415972222225</x:v>
      </x:c>
      <x:c r="S1384" s="2" t="str">
        <x:f>VLOOKUP(C1384,'MES orders'!$A$8:$H$127,6,FALSE)</x:f>
        <x:v>Normal</x:v>
      </x:c>
      <x:c r="T1384" s="9" t="str"/>
    </x:row>
    <x:row r="1385" ht="22" customHeight="1">
      <x:c r="A1385" s="2" t="str">
        <x:v>L00575-020</x:v>
      </x:c>
      <x:c r="B1385" s="2" t="str">
        <x:v>L00575</x:v>
      </x:c>
      <x:c r="C1385" s="2" t="str">
        <x:v>SO-26115</x:v>
      </x:c>
      <x:c r="D1385" s="2" t="str">
        <x:v>R-C-AL</x:v>
      </x:c>
      <x:c r="E1385" s="14" t="n">
        <x:v>5</x:v>
      </x:c>
      <x:c r="F1385" s="2" t="str">
        <x:v>Deburr &amp; inspect</x:v>
      </x:c>
      <x:c r="G1385" s="9" t="str">
        <x:v>DB-01</x:v>
      </x:c>
      <x:c r="H1385" s="15" t="n">
        <x:v>135</x:v>
      </x:c>
      <x:c r="I1385" s="9" t="str">
        <x:v>P06</x:v>
      </x:c>
      <x:c r="J1385" s="11" t="n">
        <x:v>46304.40972222222</x:v>
      </x:c>
      <x:c r="K1385" s="15" t="n">
        <x:v>4</x:v>
      </x:c>
      <x:c r="L1385" s="15" t="n">
        <x:v>3</x:v>
      </x:c>
      <x:c r="M1385" s="13" t="n">
        <x:f>J1385+(K1385+L1385)/1440</x:f>
        <x:v>46304.41458333333</x:v>
      </x:c>
      <x:c r="N1385" s="13" t="n">
        <x:f>VLOOKUP(C1385,'MES orders'!$A$8:$H$127,5,FALSE)</x:f>
        <x:v>46304.666666666664</x:v>
      </x:c>
      <x:c r="O1385" s="16" t="n">
        <x:f>MAX(0,(M1385-N1385)*24)</x:f>
        <x:v>0</x:v>
      </x:c>
      <x:c r="P1385" s="9" t="str">
        <x:v>No</x:v>
      </x:c>
      <x:c r="Q1385" s="15" t="n">
        <x:v>7</x:v>
      </x:c>
      <x:c r="R1385" s="13" t="n">
        <x:f>J1385+Q1385/1440</x:f>
        <x:v>46304.41458333333</x:v>
      </x:c>
      <x:c r="S1385" s="2" t="str">
        <x:f>VLOOKUP(C1385,'MES orders'!$A$8:$H$127,6,FALSE)</x:f>
        <x:v>Normal</x:v>
      </x:c>
      <x:c r="T1385" s="9" t="str"/>
    </x:row>
    <x:row r="1386" ht="22" customHeight="1">
      <x:c r="A1386" s="2" t="str">
        <x:v>L00576-020</x:v>
      </x:c>
      <x:c r="B1386" s="2" t="str">
        <x:v>L00576</x:v>
      </x:c>
      <x:c r="C1386" s="2" t="str">
        <x:v>SO-26116</x:v>
      </x:c>
      <x:c r="D1386" s="2" t="str">
        <x:v>S-C-SS</x:v>
      </x:c>
      <x:c r="E1386" s="14" t="n">
        <x:v>5</x:v>
      </x:c>
      <x:c r="F1386" s="2" t="str">
        <x:v>Deburr &amp; inspect</x:v>
      </x:c>
      <x:c r="G1386" s="9" t="str">
        <x:v>DB-02</x:v>
      </x:c>
      <x:c r="H1386" s="15" t="n">
        <x:v>92</x:v>
      </x:c>
      <x:c r="I1386" s="9" t="str">
        <x:v>P05</x:v>
      </x:c>
      <x:c r="J1386" s="11" t="n">
        <x:v>46304.41180555556</x:v>
      </x:c>
      <x:c r="K1386" s="15" t="n">
        <x:v>4</x:v>
      </x:c>
      <x:c r="L1386" s="15" t="n">
        <x:v>3</x:v>
      </x:c>
      <x:c r="M1386" s="13" t="n">
        <x:f>J1386+(K1386+L1386)/1440</x:f>
        <x:v>46304.41666666667</x:v>
      </x:c>
      <x:c r="N1386" s="13" t="n">
        <x:f>VLOOKUP(C1386,'MES orders'!$A$8:$H$127,5,FALSE)</x:f>
        <x:v>46307.666666666664</x:v>
      </x:c>
      <x:c r="O1386" s="16" t="n">
        <x:f>MAX(0,(M1386-N1386)*24)</x:f>
        <x:v>0</x:v>
      </x:c>
      <x:c r="P1386" s="9" t="str">
        <x:v>No</x:v>
      </x:c>
      <x:c r="Q1386" s="15" t="n">
        <x:v>7</x:v>
      </x:c>
      <x:c r="R1386" s="13" t="n">
        <x:f>J1386+Q1386/1440</x:f>
        <x:v>46304.41666666667</x:v>
      </x:c>
      <x:c r="S1386" s="2" t="str">
        <x:f>VLOOKUP(C1386,'MES orders'!$A$8:$H$127,6,FALSE)</x:f>
        <x:v>Urgent</x:v>
      </x:c>
      <x:c r="T1386" s="9" t="str"/>
    </x:row>
    <x:row r="1387" ht="22" customHeight="1">
      <x:c r="A1387" s="2" t="str">
        <x:v>L00374-070</x:v>
      </x:c>
      <x:c r="B1387" s="2" t="str">
        <x:v>L00374</x:v>
      </x:c>
      <x:c r="C1387" s="2" t="str">
        <x:v>SO-26075</x:v>
      </x:c>
      <x:c r="D1387" s="2" t="str">
        <x:v>S-S-AL</x:v>
      </x:c>
      <x:c r="E1387" s="14" t="n">
        <x:v>25</x:v>
      </x:c>
      <x:c r="F1387" s="2" t="str">
        <x:v>Final assembly</x:v>
      </x:c>
      <x:c r="G1387" s="9" t="str">
        <x:v>AS-01</x:v>
      </x:c>
      <x:c r="H1387" s="15" t="n">
        <x:v>111</x:v>
      </x:c>
      <x:c r="I1387" s="9" t="str">
        <x:v>P05</x:v>
      </x:c>
      <x:c r="J1387" s="11" t="n">
        <x:v>46304.4375</x:v>
      </x:c>
      <x:c r="K1387" s="15" t="n">
        <x:v>5</x:v>
      </x:c>
      <x:c r="L1387" s="15" t="n">
        <x:v>20</x:v>
      </x:c>
      <x:c r="M1387" s="13" t="n">
        <x:f>J1387+(K1387+L1387)/1440</x:f>
        <x:v>46304.45486111111</x:v>
      </x:c>
      <x:c r="N1387" s="13" t="n">
        <x:f>VLOOKUP(C1387,'MES orders'!$A$8:$H$127,5,FALSE)</x:f>
        <x:v>46304.666666666664</x:v>
      </x:c>
      <x:c r="O1387" s="16" t="n">
        <x:f>MAX(0,(M1387-N1387)*24)</x:f>
        <x:v>0</x:v>
      </x:c>
      <x:c r="P1387" s="9" t="str">
        <x:v>No</x:v>
      </x:c>
      <x:c r="Q1387" s="15" t="n">
        <x:v>25</x:v>
      </x:c>
      <x:c r="R1387" s="13" t="n">
        <x:f>J1387+Q1387/1440</x:f>
        <x:v>46304.45486111111</x:v>
      </x:c>
      <x:c r="S1387" s="2" t="str">
        <x:f>VLOOKUP(C1387,'MES orders'!$A$8:$H$127,6,FALSE)</x:f>
        <x:v>Normal</x:v>
      </x:c>
      <x:c r="T1387" s="9" t="str"/>
    </x:row>
    <x:row r="1388" ht="22" customHeight="1">
      <x:c r="A1388" s="2" t="str">
        <x:v>L00531-040</x:v>
      </x:c>
      <x:c r="B1388" s="2" t="str">
        <x:v>L00531</x:v>
      </x:c>
      <x:c r="C1388" s="2" t="str">
        <x:v>SO-26107</x:v>
      </x:c>
      <x:c r="D1388" s="2" t="str">
        <x:v>D-L-AL</x:v>
      </x:c>
      <x:c r="E1388" s="14" t="n">
        <x:v>25</x:v>
      </x:c>
      <x:c r="F1388" s="2" t="str">
        <x:v>Mechanical assembly</x:v>
      </x:c>
      <x:c r="G1388" s="9" t="str">
        <x:v>AS-02</x:v>
      </x:c>
      <x:c r="H1388" s="15" t="n">
        <x:v>93</x:v>
      </x:c>
      <x:c r="I1388" s="9" t="str">
        <x:v>P04</x:v>
      </x:c>
      <x:c r="J1388" s="11" t="n">
        <x:v>46304.4375</x:v>
      </x:c>
      <x:c r="K1388" s="15" t="n">
        <x:v>8</x:v>
      </x:c>
      <x:c r="L1388" s="15" t="n">
        <x:v>61</x:v>
      </x:c>
      <x:c r="M1388" s="13" t="n">
        <x:f>J1388+(K1388+L1388)/1440</x:f>
        <x:v>46304.48541666667</x:v>
      </x:c>
      <x:c r="N1388" s="13" t="n">
        <x:f>VLOOKUP(C1388,'MES orders'!$A$8:$H$127,5,FALSE)</x:f>
        <x:v>46304.666666666664</x:v>
      </x:c>
      <x:c r="O1388" s="16" t="n">
        <x:f>MAX(0,(M1388-N1388)*24)</x:f>
        <x:v>0</x:v>
      </x:c>
      <x:c r="P1388" s="9" t="str">
        <x:v>No</x:v>
      </x:c>
      <x:c r="Q1388" s="15" t="n">
        <x:v>69</x:v>
      </x:c>
      <x:c r="R1388" s="13" t="n">
        <x:f>J1388+Q1388/1440</x:f>
        <x:v>46304.48541666667</x:v>
      </x:c>
      <x:c r="S1388" s="2" t="str">
        <x:f>VLOOKUP(C1388,'MES orders'!$A$8:$H$127,6,FALSE)</x:f>
        <x:v>Normal</x:v>
      </x:c>
      <x:c r="T1388" s="9" t="str"/>
    </x:row>
    <x:row r="1389" ht="22" customHeight="1">
      <x:c r="A1389" s="2" t="str">
        <x:v>L00375-060</x:v>
      </x:c>
      <x:c r="B1389" s="2" t="str">
        <x:v>L00375</x:v>
      </x:c>
      <x:c r="C1389" s="2" t="str">
        <x:v>SO-26075</x:v>
      </x:c>
      <x:c r="D1389" s="2" t="str">
        <x:v>S-S-AL</x:v>
      </x:c>
      <x:c r="E1389" s="14" t="n">
        <x:v>25</x:v>
      </x:c>
      <x:c r="F1389" s="2" t="str">
        <x:v>Sensor calibration</x:v>
      </x:c>
      <x:c r="G1389" s="9" t="str">
        <x:v>CAL-01</x:v>
      </x:c>
      <x:c r="H1389" s="15" t="n">
        <x:v>65</x:v>
      </x:c>
      <x:c r="I1389" s="9" t="str">
        <x:v>P09</x:v>
      </x:c>
      <x:c r="J1389" s="11" t="n">
        <x:v>46304.4375</x:v>
      </x:c>
      <x:c r="K1389" s="15" t="n">
        <x:v>10</x:v>
      </x:c>
      <x:c r="L1389" s="15" t="n">
        <x:v>32</x:v>
      </x:c>
      <x:c r="M1389" s="13" t="n">
        <x:f>J1389+(K1389+L1389)/1440</x:f>
        <x:v>46304.46666666667</x:v>
      </x:c>
      <x:c r="N1389" s="13" t="n">
        <x:f>VLOOKUP(C1389,'MES orders'!$A$8:$H$127,5,FALSE)</x:f>
        <x:v>46304.666666666664</x:v>
      </x:c>
      <x:c r="O1389" s="16" t="n">
        <x:f>MAX(0,(M1389-N1389)*24)</x:f>
        <x:v>0</x:v>
      </x:c>
      <x:c r="P1389" s="9" t="str">
        <x:v>No</x:v>
      </x:c>
      <x:c r="Q1389" s="15" t="n">
        <x:v>42</x:v>
      </x:c>
      <x:c r="R1389" s="13" t="n">
        <x:f>J1389+Q1389/1440</x:f>
        <x:v>46304.46666666667</x:v>
      </x:c>
      <x:c r="S1389" s="2" t="str">
        <x:f>VLOOKUP(C1389,'MES orders'!$A$8:$H$127,6,FALSE)</x:f>
        <x:v>Normal</x:v>
      </x:c>
      <x:c r="T1389" s="9" t="str"/>
    </x:row>
    <x:row r="1390" ht="22" customHeight="1">
      <x:c r="A1390" s="2" t="str">
        <x:v>L00535-020</x:v>
      </x:c>
      <x:c r="B1390" s="2" t="str">
        <x:v>L00535</x:v>
      </x:c>
      <x:c r="C1390" s="2" t="str">
        <x:v>SO-26107</x:v>
      </x:c>
      <x:c r="D1390" s="2" t="str">
        <x:v>D-L-AL</x:v>
      </x:c>
      <x:c r="E1390" s="14" t="n">
        <x:v>25</x:v>
      </x:c>
      <x:c r="F1390" s="2" t="str">
        <x:v>Deburr &amp; inspect</x:v>
      </x:c>
      <x:c r="G1390" s="9" t="str">
        <x:v>DB-01</x:v>
      </x:c>
      <x:c r="H1390" s="15" t="n">
        <x:v>136</x:v>
      </x:c>
      <x:c r="I1390" s="9" t="str">
        <x:v>P01</x:v>
      </x:c>
      <x:c r="J1390" s="11" t="n">
        <x:v>46304.4375</x:v>
      </x:c>
      <x:c r="K1390" s="15" t="n">
        <x:v>4</x:v>
      </x:c>
      <x:c r="L1390" s="15" t="n">
        <x:v>24</x:v>
      </x:c>
      <x:c r="M1390" s="13" t="n">
        <x:f>J1390+(K1390+L1390)/1440</x:f>
        <x:v>46304.45694444444</x:v>
      </x:c>
      <x:c r="N1390" s="13" t="n">
        <x:f>VLOOKUP(C1390,'MES orders'!$A$8:$H$127,5,FALSE)</x:f>
        <x:v>46304.666666666664</x:v>
      </x:c>
      <x:c r="O1390" s="16" t="n">
        <x:f>MAX(0,(M1390-N1390)*24)</x:f>
        <x:v>0</x:v>
      </x:c>
      <x:c r="P1390" s="9" t="str">
        <x:v>No</x:v>
      </x:c>
      <x:c r="Q1390" s="15" t="n">
        <x:v>28</x:v>
      </x:c>
      <x:c r="R1390" s="13" t="n">
        <x:f>J1390+Q1390/1440</x:f>
        <x:v>46304.45694444444</x:v>
      </x:c>
      <x:c r="S1390" s="2" t="str">
        <x:f>VLOOKUP(C1390,'MES orders'!$A$8:$H$127,6,FALSE)</x:f>
        <x:v>Normal</x:v>
      </x:c>
      <x:c r="T1390" s="9" t="str"/>
    </x:row>
    <x:row r="1391" ht="22" customHeight="1">
      <x:c r="A1391" s="2" t="str">
        <x:v>L00577-050</x:v>
      </x:c>
      <x:c r="B1391" s="2" t="str">
        <x:v>L00577</x:v>
      </x:c>
      <x:c r="C1391" s="2" t="str">
        <x:v>SO-26116</x:v>
      </x:c>
      <x:c r="D1391" s="2" t="str">
        <x:v>S-C-SS</x:v>
      </x:c>
      <x:c r="E1391" s="14" t="n">
        <x:v>5</x:v>
      </x:c>
      <x:c r="F1391" s="2" t="str">
        <x:v>Sensor installation</x:v>
      </x:c>
      <x:c r="G1391" s="9" t="str">
        <x:v>EL-01</x:v>
      </x:c>
      <x:c r="H1391" s="15" t="n">
        <x:v>44</x:v>
      </x:c>
      <x:c r="I1391" s="9" t="str">
        <x:v>P07</x:v>
      </x:c>
      <x:c r="J1391" s="11" t="n">
        <x:v>46304.4375</x:v>
      </x:c>
      <x:c r="K1391" s="15" t="n">
        <x:v>8</x:v>
      </x:c>
      <x:c r="L1391" s="15" t="n">
        <x:v>5</x:v>
      </x:c>
      <x:c r="M1391" s="13" t="n">
        <x:f>J1391+(K1391+L1391)/1440</x:f>
        <x:v>46304.44652777778</x:v>
      </x:c>
      <x:c r="N1391" s="13" t="n">
        <x:f>VLOOKUP(C1391,'MES orders'!$A$8:$H$127,5,FALSE)</x:f>
        <x:v>46307.666666666664</x:v>
      </x:c>
      <x:c r="O1391" s="16" t="n">
        <x:f>MAX(0,(M1391-N1391)*24)</x:f>
        <x:v>0</x:v>
      </x:c>
      <x:c r="P1391" s="9" t="str">
        <x:v>No</x:v>
      </x:c>
      <x:c r="Q1391" s="15" t="n">
        <x:v>13</x:v>
      </x:c>
      <x:c r="R1391" s="13" t="n">
        <x:f>J1391+Q1391/1440</x:f>
        <x:v>46304.44652777778</x:v>
      </x:c>
      <x:c r="S1391" s="2" t="str">
        <x:f>VLOOKUP(C1391,'MES orders'!$A$8:$H$127,6,FALSE)</x:f>
        <x:v>Urgent</x:v>
      </x:c>
      <x:c r="T1391" s="9" t="str"/>
    </x:row>
    <x:row r="1392" ht="22" customHeight="1">
      <x:c r="A1392" s="2" t="str">
        <x:v>L00455-050</x:v>
      </x:c>
      <x:c r="B1392" s="2" t="str">
        <x:v>L00455</x:v>
      </x:c>
      <x:c r="C1392" s="2" t="str">
        <x:v>SO-26091</x:v>
      </x:c>
      <x:c r="D1392" s="2" t="str">
        <x:v>D-C-AL</x:v>
      </x:c>
      <x:c r="E1392" s="14" t="n">
        <x:v>10</x:v>
      </x:c>
      <x:c r="F1392" s="2" t="str">
        <x:v>Final leak / function test</x:v>
      </x:c>
      <x:c r="G1392" s="9" t="str">
        <x:v>QA-01</x:v>
      </x:c>
      <x:c r="H1392" s="15" t="n">
        <x:v>55</x:v>
      </x:c>
      <x:c r="I1392" s="9" t="str">
        <x:v>P12</x:v>
      </x:c>
      <x:c r="J1392" s="11" t="n">
        <x:v>46304.4375</x:v>
      </x:c>
      <x:c r="K1392" s="15" t="n">
        <x:v>10</x:v>
      </x:c>
      <x:c r="L1392" s="15" t="n">
        <x:v>7</x:v>
      </x:c>
      <x:c r="M1392" s="13" t="n">
        <x:f>J1392+(K1392+L1392)/1440</x:f>
        <x:v>46304.44930555556</x:v>
      </x:c>
      <x:c r="N1392" s="13" t="n">
        <x:f>VLOOKUP(C1392,'MES orders'!$A$8:$H$127,5,FALSE)</x:f>
        <x:v>46304.666666666664</x:v>
      </x:c>
      <x:c r="O1392" s="16" t="n">
        <x:f>MAX(0,(M1392-N1392)*24)</x:f>
        <x:v>0</x:v>
      </x:c>
      <x:c r="P1392" s="9" t="str">
        <x:v>No</x:v>
      </x:c>
      <x:c r="Q1392" s="15" t="n">
        <x:v>17</x:v>
      </x:c>
      <x:c r="R1392" s="13" t="n">
        <x:f>J1392+Q1392/1440</x:f>
        <x:v>46304.44930555556</x:v>
      </x:c>
      <x:c r="S1392" s="2" t="str">
        <x:f>VLOOKUP(C1392,'MES orders'!$A$8:$H$127,6,FALSE)</x:f>
        <x:v>Normal</x:v>
      </x:c>
      <x:c r="T1392" s="9" t="str"/>
    </x:row>
    <x:row r="1393" ht="22" customHeight="1">
      <x:c r="A1393" s="2" t="str">
        <x:v>L00373-080</x:v>
      </x:c>
      <x:c r="B1393" s="2" t="str">
        <x:v>L00373</x:v>
      </x:c>
      <x:c r="C1393" s="2" t="str">
        <x:v>SO-26075</x:v>
      </x:c>
      <x:c r="D1393" s="2" t="str">
        <x:v>S-S-AL</x:v>
      </x:c>
      <x:c r="E1393" s="14" t="n">
        <x:v>25</x:v>
      </x:c>
      <x:c r="F1393" s="2" t="str">
        <x:v>Final leak / function test</x:v>
      </x:c>
      <x:c r="G1393" s="9" t="str">
        <x:v>QA-02</x:v>
      </x:c>
      <x:c r="H1393" s="15" t="n">
        <x:v>95</x:v>
      </x:c>
      <x:c r="I1393" s="9" t="str">
        <x:v>P11</x:v>
      </x:c>
      <x:c r="J1393" s="11" t="n">
        <x:v>46304.4375</x:v>
      </x:c>
      <x:c r="K1393" s="15" t="n">
        <x:v>10</x:v>
      </x:c>
      <x:c r="L1393" s="15" t="n">
        <x:v>22</x:v>
      </x:c>
      <x:c r="M1393" s="13" t="n">
        <x:f>J1393+(K1393+L1393)/1440</x:f>
        <x:v>46304.45972222222</x:v>
      </x:c>
      <x:c r="N1393" s="13" t="n">
        <x:f>VLOOKUP(C1393,'MES orders'!$A$8:$H$127,5,FALSE)</x:f>
        <x:v>46304.666666666664</x:v>
      </x:c>
      <x:c r="O1393" s="16" t="n">
        <x:f>MAX(0,(M1393-N1393)*24)</x:f>
        <x:v>0</x:v>
      </x:c>
      <x:c r="P1393" s="9" t="str">
        <x:v>No</x:v>
      </x:c>
      <x:c r="Q1393" s="15" t="n">
        <x:v>32</x:v>
      </x:c>
      <x:c r="R1393" s="13" t="n">
        <x:f>J1393+Q1393/1440</x:f>
        <x:v>46304.45972222222</x:v>
      </x:c>
      <x:c r="S1393" s="2" t="str">
        <x:f>VLOOKUP(C1393,'MES orders'!$A$8:$H$127,6,FALSE)</x:f>
        <x:v>Normal</x:v>
      </x:c>
      <x:c r="T1393" s="9" t="str"/>
    </x:row>
    <x:row r="1394" ht="22" customHeight="1">
      <x:c r="A1394" s="2" t="str">
        <x:v>L00532-030</x:v>
      </x:c>
      <x:c r="B1394" s="2" t="str">
        <x:v>L00532</x:v>
      </x:c>
      <x:c r="C1394" s="2" t="str">
        <x:v>SO-26107</x:v>
      </x:c>
      <x:c r="D1394" s="2" t="str">
        <x:v>D-L-AL</x:v>
      </x:c>
      <x:c r="E1394" s="14" t="n">
        <x:v>25</x:v>
      </x:c>
      <x:c r="F1394" s="2" t="str">
        <x:v>Wash &amp; dry</x:v>
      </x:c>
      <x:c r="G1394" s="9" t="str">
        <x:v>WS-01</x:v>
      </x:c>
      <x:c r="H1394" s="15" t="n">
        <x:v>133</x:v>
      </x:c>
      <x:c r="I1394" s="9" t="str">
        <x:v>P06</x:v>
      </x:c>
      <x:c r="J1394" s="11" t="n">
        <x:v>46304.4375</x:v>
      </x:c>
      <x:c r="K1394" s="15" t="n">
        <x:v>12</x:v>
      </x:c>
      <x:c r="L1394" s="15" t="n">
        <x:v>12</x:v>
      </x:c>
      <x:c r="M1394" s="13" t="n">
        <x:f>J1394+(K1394+L1394)/1440</x:f>
        <x:v>46304.45416666667</x:v>
      </x:c>
      <x:c r="N1394" s="13" t="n">
        <x:f>VLOOKUP(C1394,'MES orders'!$A$8:$H$127,5,FALSE)</x:f>
        <x:v>46304.666666666664</x:v>
      </x:c>
      <x:c r="O1394" s="16" t="n">
        <x:f>MAX(0,(M1394-N1394)*24)</x:f>
        <x:v>0</x:v>
      </x:c>
      <x:c r="P1394" s="9" t="str">
        <x:v>No</x:v>
      </x:c>
      <x:c r="Q1394" s="15" t="n">
        <x:v>24</x:v>
      </x:c>
      <x:c r="R1394" s="13" t="n">
        <x:f>J1394+Q1394/1440</x:f>
        <x:v>46304.45416666667</x:v>
      </x:c>
      <x:c r="S1394" s="2" t="str">
        <x:f>VLOOKUP(C1394,'MES orders'!$A$8:$H$127,6,FALSE)</x:f>
        <x:v>Normal</x:v>
      </x:c>
      <x:c r="T1394" s="9" t="str"/>
    </x:row>
    <x:row r="1395" ht="22" customHeight="1">
      <x:c r="A1395" s="2" t="str">
        <x:v>L00576-030</x:v>
      </x:c>
      <x:c r="B1395" s="2" t="str">
        <x:v>L00576</x:v>
      </x:c>
      <x:c r="C1395" s="2" t="str">
        <x:v>SO-26116</x:v>
      </x:c>
      <x:c r="D1395" s="2" t="str">
        <x:v>S-C-SS</x:v>
      </x:c>
      <x:c r="E1395" s="14" t="n">
        <x:v>5</x:v>
      </x:c>
      <x:c r="F1395" s="2" t="str">
        <x:v>Wash &amp; dry</x:v>
      </x:c>
      <x:c r="G1395" s="9" t="str">
        <x:v>WS-02</x:v>
      </x:c>
      <x:c r="H1395" s="15" t="n">
        <x:v>92</x:v>
      </x:c>
      <x:c r="I1395" s="9" t="str">
        <x:v>P02</x:v>
      </x:c>
      <x:c r="J1395" s="11" t="n">
        <x:v>46304.4375</x:v>
      </x:c>
      <x:c r="K1395" s="15" t="n">
        <x:v>12</x:v>
      </x:c>
      <x:c r="L1395" s="15" t="n">
        <x:v>1</x:v>
      </x:c>
      <x:c r="M1395" s="13" t="n">
        <x:f>J1395+(K1395+L1395)/1440</x:f>
        <x:v>46304.44652777778</x:v>
      </x:c>
      <x:c r="N1395" s="13" t="n">
        <x:f>VLOOKUP(C1395,'MES orders'!$A$8:$H$127,5,FALSE)</x:f>
        <x:v>46307.666666666664</x:v>
      </x:c>
      <x:c r="O1395" s="16" t="n">
        <x:f>MAX(0,(M1395-N1395)*24)</x:f>
        <x:v>0</x:v>
      </x:c>
      <x:c r="P1395" s="9" t="str">
        <x:v>No</x:v>
      </x:c>
      <x:c r="Q1395" s="15" t="n">
        <x:v>13</x:v>
      </x:c>
      <x:c r="R1395" s="13" t="n">
        <x:f>J1395+Q1395/1440</x:f>
        <x:v>46304.44652777778</x:v>
      </x:c>
      <x:c r="S1395" s="2" t="str">
        <x:f>VLOOKUP(C1395,'MES orders'!$A$8:$H$127,6,FALSE)</x:f>
        <x:v>Urgent</x:v>
      </x:c>
      <x:c r="T1395" s="9" t="str"/>
    </x:row>
    <x:row r="1396" ht="22" customHeight="1">
      <x:c r="A1396" s="2" t="str">
        <x:v>L00576-040</x:v>
      </x:c>
      <x:c r="B1396" s="2" t="str">
        <x:v>L00576</x:v>
      </x:c>
      <x:c r="C1396" s="2" t="str">
        <x:v>SO-26116</x:v>
      </x:c>
      <x:c r="D1396" s="2" t="str">
        <x:v>S-C-SS</x:v>
      </x:c>
      <x:c r="E1396" s="14" t="n">
        <x:v>5</x:v>
      </x:c>
      <x:c r="F1396" s="2" t="str">
        <x:v>Mechanical preassembly</x:v>
      </x:c>
      <x:c r="G1396" s="9" t="str">
        <x:v>AS-03</x:v>
      </x:c>
      <x:c r="H1396" s="15" t="n">
        <x:v>72</x:v>
      </x:c>
      <x:c r="I1396" s="9" t="str">
        <x:v>P02</x:v>
      </x:c>
      <x:c r="J1396" s="11" t="n">
        <x:v>46304.44652777778</x:v>
      </x:c>
      <x:c r="K1396" s="15" t="n">
        <x:v>6</x:v>
      </x:c>
      <x:c r="L1396" s="15" t="n">
        <x:v>4</x:v>
      </x:c>
      <x:c r="M1396" s="13" t="n">
        <x:f>J1396+(K1396+L1396)/1440</x:f>
        <x:v>46304.45347222222</x:v>
      </x:c>
      <x:c r="N1396" s="13" t="n">
        <x:f>VLOOKUP(C1396,'MES orders'!$A$8:$H$127,5,FALSE)</x:f>
        <x:v>46307.666666666664</x:v>
      </x:c>
      <x:c r="O1396" s="16" t="n">
        <x:f>MAX(0,(M1396-N1396)*24)</x:f>
        <x:v>0</x:v>
      </x:c>
      <x:c r="P1396" s="9" t="str">
        <x:v>No</x:v>
      </x:c>
      <x:c r="Q1396" s="15" t="n">
        <x:v>10</x:v>
      </x:c>
      <x:c r="R1396" s="13" t="n">
        <x:f>J1396+Q1396/1440</x:f>
        <x:v>46304.45347222222</x:v>
      </x:c>
      <x:c r="S1396" s="2" t="str">
        <x:f>VLOOKUP(C1396,'MES orders'!$A$8:$H$127,6,FALSE)</x:f>
        <x:v>Urgent</x:v>
      </x:c>
      <x:c r="T1396" s="9" t="str"/>
    </x:row>
    <x:row r="1397" ht="22" customHeight="1">
      <x:c r="A1397" s="2" t="str">
        <x:v>L00578-030</x:v>
      </x:c>
      <x:c r="B1397" s="2" t="str">
        <x:v>L00578</x:v>
      </x:c>
      <x:c r="C1397" s="2" t="str">
        <x:v>SO-26116</x:v>
      </x:c>
      <x:c r="D1397" s="2" t="str">
        <x:v>S-C-SS</x:v>
      </x:c>
      <x:c r="E1397" s="14" t="n">
        <x:v>5</x:v>
      </x:c>
      <x:c r="F1397" s="2" t="str">
        <x:v>Wash &amp; dry</x:v>
      </x:c>
      <x:c r="G1397" s="9" t="str">
        <x:v>WS-02</x:v>
      </x:c>
      <x:c r="H1397" s="15" t="n">
        <x:v>93</x:v>
      </x:c>
      <x:c r="I1397" s="9" t="str">
        <x:v>P03</x:v>
      </x:c>
      <x:c r="J1397" s="11" t="n">
        <x:v>46304.44652777778</x:v>
      </x:c>
      <x:c r="K1397" s="15" t="n">
        <x:v>12</x:v>
      </x:c>
      <x:c r="L1397" s="15" t="n">
        <x:v>1</x:v>
      </x:c>
      <x:c r="M1397" s="13" t="n">
        <x:f>J1397+(K1397+L1397)/1440</x:f>
        <x:v>46304.455555555556</x:v>
      </x:c>
      <x:c r="N1397" s="13" t="n">
        <x:f>VLOOKUP(C1397,'MES orders'!$A$8:$H$127,5,FALSE)</x:f>
        <x:v>46307.666666666664</x:v>
      </x:c>
      <x:c r="O1397" s="16" t="n">
        <x:f>MAX(0,(M1397-N1397)*24)</x:f>
        <x:v>0</x:v>
      </x:c>
      <x:c r="P1397" s="9" t="str">
        <x:v>No</x:v>
      </x:c>
      <x:c r="Q1397" s="15" t="n">
        <x:v>13</x:v>
      </x:c>
      <x:c r="R1397" s="13" t="n">
        <x:f>J1397+Q1397/1440</x:f>
        <x:v>46304.455555555556</x:v>
      </x:c>
      <x:c r="S1397" s="2" t="str">
        <x:f>VLOOKUP(C1397,'MES orders'!$A$8:$H$127,6,FALSE)</x:f>
        <x:v>Urgent</x:v>
      </x:c>
      <x:c r="T1397" s="9" t="str"/>
    </x:row>
    <x:row r="1398" ht="22" customHeight="1">
      <x:c r="A1398" s="2" t="str">
        <x:v>L00576-050</x:v>
      </x:c>
      <x:c r="B1398" s="2" t="str">
        <x:v>L00576</x:v>
      </x:c>
      <x:c r="C1398" s="2" t="str">
        <x:v>SO-26116</x:v>
      </x:c>
      <x:c r="D1398" s="2" t="str">
        <x:v>S-C-SS</x:v>
      </x:c>
      <x:c r="E1398" s="14" t="n">
        <x:v>5</x:v>
      </x:c>
      <x:c r="F1398" s="2" t="str">
        <x:v>Sensor installation</x:v>
      </x:c>
      <x:c r="G1398" s="9" t="str">
        <x:v>EL-01</x:v>
      </x:c>
      <x:c r="H1398" s="15" t="n">
        <x:v>45</x:v>
      </x:c>
      <x:c r="I1398" s="9" t="str">
        <x:v>P07</x:v>
      </x:c>
      <x:c r="J1398" s="11" t="n">
        <x:v>46304.45347222222</x:v>
      </x:c>
      <x:c r="K1398" s="15" t="n">
        <x:v>8</x:v>
      </x:c>
      <x:c r="L1398" s="15" t="n">
        <x:v>5</x:v>
      </x:c>
      <x:c r="M1398" s="13" t="n">
        <x:f>J1398+(K1398+L1398)/1440</x:f>
        <x:v>46304.4625</x:v>
      </x:c>
      <x:c r="N1398" s="13" t="n">
        <x:f>VLOOKUP(C1398,'MES orders'!$A$8:$H$127,5,FALSE)</x:f>
        <x:v>46307.666666666664</x:v>
      </x:c>
      <x:c r="O1398" s="16" t="n">
        <x:f>MAX(0,(M1398-N1398)*24)</x:f>
        <x:v>0</x:v>
      </x:c>
      <x:c r="P1398" s="9" t="str">
        <x:v>No</x:v>
      </x:c>
      <x:c r="Q1398" s="15" t="n">
        <x:v>13</x:v>
      </x:c>
      <x:c r="R1398" s="13" t="n">
        <x:f>J1398+Q1398/1440</x:f>
        <x:v>46304.4625</x:v>
      </x:c>
      <x:c r="S1398" s="2" t="str">
        <x:f>VLOOKUP(C1398,'MES orders'!$A$8:$H$127,6,FALSE)</x:f>
        <x:v>Urgent</x:v>
      </x:c>
      <x:c r="T1398" s="9" t="str"/>
    </x:row>
    <x:row r="1399" ht="22" customHeight="1">
      <x:c r="A1399" s="2" t="str">
        <x:v>L00532-040</x:v>
      </x:c>
      <x:c r="B1399" s="2" t="str">
        <x:v>L00532</x:v>
      </x:c>
      <x:c r="C1399" s="2" t="str">
        <x:v>SO-26107</x:v>
      </x:c>
      <x:c r="D1399" s="2" t="str">
        <x:v>D-L-AL</x:v>
      </x:c>
      <x:c r="E1399" s="14" t="n">
        <x:v>25</x:v>
      </x:c>
      <x:c r="F1399" s="2" t="str">
        <x:v>Mechanical assembly</x:v>
      </x:c>
      <x:c r="G1399" s="9" t="str">
        <x:v>AS-03</x:v>
      </x:c>
      <x:c r="H1399" s="15" t="n">
        <x:v>73</x:v>
      </x:c>
      <x:c r="I1399" s="9" t="str">
        <x:v>P06</x:v>
      </x:c>
      <x:c r="J1399" s="11" t="n">
        <x:v>46304.45416666667</x:v>
      </x:c>
      <x:c r="K1399" s="15" t="n">
        <x:v>8</x:v>
      </x:c>
      <x:c r="L1399" s="15" t="n">
        <x:v>61</x:v>
      </x:c>
      <x:c r="M1399" s="13" t="n">
        <x:f>J1399+(K1399+L1399)/1440</x:f>
        <x:v>46304.50208333334</x:v>
      </x:c>
      <x:c r="N1399" s="13" t="n">
        <x:f>VLOOKUP(C1399,'MES orders'!$A$8:$H$127,5,FALSE)</x:f>
        <x:v>46304.666666666664</x:v>
      </x:c>
      <x:c r="O1399" s="16" t="n">
        <x:f>MAX(0,(M1399-N1399)*24)</x:f>
        <x:v>0</x:v>
      </x:c>
      <x:c r="P1399" s="9" t="str">
        <x:v>No</x:v>
      </x:c>
      <x:c r="Q1399" s="15" t="n">
        <x:v>69</x:v>
      </x:c>
      <x:c r="R1399" s="13" t="n">
        <x:f>J1399+Q1399/1440</x:f>
        <x:v>46304.50208333334</x:v>
      </x:c>
      <x:c r="S1399" s="2" t="str">
        <x:f>VLOOKUP(C1399,'MES orders'!$A$8:$H$127,6,FALSE)</x:f>
        <x:v>Normal</x:v>
      </x:c>
      <x:c r="T1399" s="9" t="str"/>
    </x:row>
    <x:row r="1400" ht="22" customHeight="1">
      <x:c r="A1400" s="2" t="str">
        <x:v>L00574-040</x:v>
      </x:c>
      <x:c r="B1400" s="2" t="str">
        <x:v>L00574</x:v>
      </x:c>
      <x:c r="C1400" s="2" t="str">
        <x:v>SO-26115</x:v>
      </x:c>
      <x:c r="D1400" s="2" t="str">
        <x:v>R-C-AL</x:v>
      </x:c>
      <x:c r="E1400" s="14" t="n">
        <x:v>5</x:v>
      </x:c>
      <x:c r="F1400" s="2" t="str">
        <x:v>Mechanical assembly</x:v>
      </x:c>
      <x:c r="G1400" s="9" t="str">
        <x:v>AS-01</x:v>
      </x:c>
      <x:c r="H1400" s="15" t="n">
        <x:v>112</x:v>
      </x:c>
      <x:c r="I1400" s="9" t="str">
        <x:v>P05</x:v>
      </x:c>
      <x:c r="J1400" s="11" t="n">
        <x:v>46304.45486111111</x:v>
      </x:c>
      <x:c r="K1400" s="15" t="n">
        <x:v>8</x:v>
      </x:c>
      <x:c r="L1400" s="15" t="n">
        <x:v>7</x:v>
      </x:c>
      <x:c r="M1400" s="13" t="n">
        <x:f>J1400+(K1400+L1400)/1440</x:f>
        <x:v>46304.465277777774</x:v>
      </x:c>
      <x:c r="N1400" s="13" t="n">
        <x:f>VLOOKUP(C1400,'MES orders'!$A$8:$H$127,5,FALSE)</x:f>
        <x:v>46304.666666666664</x:v>
      </x:c>
      <x:c r="O1400" s="16" t="n">
        <x:f>MAX(0,(M1400-N1400)*24)</x:f>
        <x:v>0</x:v>
      </x:c>
      <x:c r="P1400" s="9" t="str">
        <x:v>No</x:v>
      </x:c>
      <x:c r="Q1400" s="15" t="n">
        <x:v>15</x:v>
      </x:c>
      <x:c r="R1400" s="13" t="n">
        <x:f>J1400+Q1400/1440</x:f>
        <x:v>46304.465277777774</x:v>
      </x:c>
      <x:c r="S1400" s="2" t="str">
        <x:f>VLOOKUP(C1400,'MES orders'!$A$8:$H$127,6,FALSE)</x:f>
        <x:v>Normal</x:v>
      </x:c>
      <x:c r="T1400" s="9" t="str"/>
    </x:row>
    <x:row r="1401" ht="22" customHeight="1">
      <x:c r="A1401" s="2" t="str">
        <x:v>L00374-080</x:v>
      </x:c>
      <x:c r="B1401" s="2" t="str">
        <x:v>L00374</x:v>
      </x:c>
      <x:c r="C1401" s="2" t="str">
        <x:v>SO-26075</x:v>
      </x:c>
      <x:c r="D1401" s="2" t="str">
        <x:v>S-S-AL</x:v>
      </x:c>
      <x:c r="E1401" s="14" t="n">
        <x:v>25</x:v>
      </x:c>
      <x:c r="F1401" s="2" t="str">
        <x:v>Final leak / function test</x:v>
      </x:c>
      <x:c r="G1401" s="9" t="str">
        <x:v>QA-03</x:v>
      </x:c>
      <x:c r="H1401" s="15" t="n">
        <x:v>60</x:v>
      </x:c>
      <x:c r="I1401" s="9" t="str">
        <x:v>P12</x:v>
      </x:c>
      <x:c r="J1401" s="11" t="n">
        <x:v>46304.45486111111</x:v>
      </x:c>
      <x:c r="K1401" s="15" t="n">
        <x:v>10</x:v>
      </x:c>
      <x:c r="L1401" s="15" t="n">
        <x:v>22</x:v>
      </x:c>
      <x:c r="M1401" s="13" t="n">
        <x:f>J1401+(K1401+L1401)/1440</x:f>
        <x:v>46304.47708333333</x:v>
      </x:c>
      <x:c r="N1401" s="13" t="n">
        <x:f>VLOOKUP(C1401,'MES orders'!$A$8:$H$127,5,FALSE)</x:f>
        <x:v>46304.666666666664</x:v>
      </x:c>
      <x:c r="O1401" s="16" t="n">
        <x:f>MAX(0,(M1401-N1401)*24)</x:f>
        <x:v>0</x:v>
      </x:c>
      <x:c r="P1401" s="9" t="str">
        <x:v>No</x:v>
      </x:c>
      <x:c r="Q1401" s="15" t="n">
        <x:v>32</x:v>
      </x:c>
      <x:c r="R1401" s="13" t="n">
        <x:f>J1401+Q1401/1440</x:f>
        <x:v>46304.47708333333</x:v>
      </x:c>
      <x:c r="S1401" s="2" t="str">
        <x:f>VLOOKUP(C1401,'MES orders'!$A$8:$H$127,6,FALSE)</x:f>
        <x:v>Normal</x:v>
      </x:c>
      <x:c r="T1401" s="9" t="str"/>
    </x:row>
    <x:row r="1402" ht="22" customHeight="1">
      <x:c r="A1402" s="2" t="str">
        <x:v>L00578-040</x:v>
      </x:c>
      <x:c r="B1402" s="2" t="str">
        <x:v>L00578</x:v>
      </x:c>
      <x:c r="C1402" s="2" t="str">
        <x:v>SO-26116</x:v>
      </x:c>
      <x:c r="D1402" s="2" t="str">
        <x:v>S-C-SS</x:v>
      </x:c>
      <x:c r="E1402" s="14" t="n">
        <x:v>5</x:v>
      </x:c>
      <x:c r="F1402" s="2" t="str">
        <x:v>Mechanical preassembly</x:v>
      </x:c>
      <x:c r="G1402" s="9" t="str">
        <x:v>AS-04</x:v>
      </x:c>
      <x:c r="H1402" s="15" t="n">
        <x:v>48</x:v>
      </x:c>
      <x:c r="I1402" s="9" t="str">
        <x:v>P02</x:v>
      </x:c>
      <x:c r="J1402" s="11" t="n">
        <x:v>46304.455555555556</x:v>
      </x:c>
      <x:c r="K1402" s="15" t="n">
        <x:v>6</x:v>
      </x:c>
      <x:c r="L1402" s="15" t="n">
        <x:v>4</x:v>
      </x:c>
      <x:c r="M1402" s="13" t="n">
        <x:f>J1402+(K1402+L1402)/1440</x:f>
        <x:v>46304.4625</x:v>
      </x:c>
      <x:c r="N1402" s="13" t="n">
        <x:f>VLOOKUP(C1402,'MES orders'!$A$8:$H$127,5,FALSE)</x:f>
        <x:v>46307.666666666664</x:v>
      </x:c>
      <x:c r="O1402" s="16" t="n">
        <x:f>MAX(0,(M1402-N1402)*24)</x:f>
        <x:v>0</x:v>
      </x:c>
      <x:c r="P1402" s="9" t="str">
        <x:v>No</x:v>
      </x:c>
      <x:c r="Q1402" s="15" t="n">
        <x:v>10</x:v>
      </x:c>
      <x:c r="R1402" s="13" t="n">
        <x:f>J1402+Q1402/1440</x:f>
        <x:v>46304.4625</x:v>
      </x:c>
      <x:c r="S1402" s="2" t="str">
        <x:f>VLOOKUP(C1402,'MES orders'!$A$8:$H$127,6,FALSE)</x:f>
        <x:v>Urgent</x:v>
      </x:c>
      <x:c r="T1402" s="9" t="str"/>
    </x:row>
    <x:row r="1403" ht="22" customHeight="1">
      <x:c r="A1403" s="2" t="str">
        <x:v>L00579-010</x:v>
      </x:c>
      <x:c r="B1403" s="2" t="str">
        <x:v>L00579</x:v>
      </x:c>
      <x:c r="C1403" s="2" t="str">
        <x:v>SO-26116</x:v>
      </x:c>
      <x:c r="D1403" s="2" t="str">
        <x:v>S-C-SS</x:v>
      </x:c>
      <x:c r="E1403" s="14" t="n">
        <x:v>5</x:v>
      </x:c>
      <x:c r="F1403" s="2" t="str">
        <x:v>CNC machining</x:v>
      </x:c>
      <x:c r="G1403" s="9" t="str">
        <x:v>CNC-03</x:v>
      </x:c>
      <x:c r="H1403" s="15" t="n">
        <x:v>43</x:v>
      </x:c>
      <x:c r="I1403" s="9" t="str">
        <x:v>P03</x:v>
      </x:c>
      <x:c r="J1403" s="11" t="n">
        <x:v>46304.455555555556</x:v>
      </x:c>
      <x:c r="K1403" s="15" t="n">
        <x:v>18</x:v>
      </x:c>
      <x:c r="L1403" s="15" t="n">
        <x:v>12</x:v>
      </x:c>
      <x:c r="M1403" s="13" t="n">
        <x:f>J1403+(K1403+L1403)/1440</x:f>
        <x:v>46304.47638888889</x:v>
      </x:c>
      <x:c r="N1403" s="13" t="n">
        <x:f>VLOOKUP(C1403,'MES orders'!$A$8:$H$127,5,FALSE)</x:f>
        <x:v>46307.666666666664</x:v>
      </x:c>
      <x:c r="O1403" s="16" t="n">
        <x:f>MAX(0,(M1403-N1403)*24)</x:f>
        <x:v>0</x:v>
      </x:c>
      <x:c r="P1403" s="9" t="str">
        <x:v>No</x:v>
      </x:c>
      <x:c r="Q1403" s="15" t="n">
        <x:v>18</x:v>
      </x:c>
      <x:c r="R1403" s="13" t="n">
        <x:f>J1403+Q1403/1440</x:f>
        <x:v>46304.46805555555</x:v>
      </x:c>
      <x:c r="S1403" s="2" t="str">
        <x:f>VLOOKUP(C1403,'MES orders'!$A$8:$H$127,6,FALSE)</x:f>
        <x:v>Urgent</x:v>
      </x:c>
      <x:c r="T1403" s="9" t="str"/>
    </x:row>
    <x:row r="1404" ht="22" customHeight="1">
      <x:c r="A1404" s="2" t="str">
        <x:v>L00580-010</x:v>
      </x:c>
      <x:c r="B1404" s="2" t="str">
        <x:v>L00580</x:v>
      </x:c>
      <x:c r="C1404" s="2" t="str">
        <x:v>SO-26116</x:v>
      </x:c>
      <x:c r="D1404" s="2" t="str">
        <x:v>S-C-SS</x:v>
      </x:c>
      <x:c r="E1404" s="14" t="n">
        <x:v>5</x:v>
      </x:c>
      <x:c r="F1404" s="2" t="str">
        <x:v>CNC machining</x:v>
      </x:c>
      <x:c r="G1404" s="9" t="str">
        <x:v>CNC-04</x:v>
      </x:c>
      <x:c r="H1404" s="15" t="n">
        <x:v>41</x:v>
      </x:c>
      <x:c r="I1404" s="9" t="str">
        <x:v>P01</x:v>
      </x:c>
      <x:c r="J1404" s="11" t="n">
        <x:v>46304.45694444444</x:v>
      </x:c>
      <x:c r="K1404" s="15" t="n">
        <x:v>18</x:v>
      </x:c>
      <x:c r="L1404" s="15" t="n">
        <x:v>12</x:v>
      </x:c>
      <x:c r="M1404" s="13" t="n">
        <x:f>J1404+(K1404+L1404)/1440</x:f>
        <x:v>46304.47777777778</x:v>
      </x:c>
      <x:c r="N1404" s="13" t="n">
        <x:f>VLOOKUP(C1404,'MES orders'!$A$8:$H$127,5,FALSE)</x:f>
        <x:v>46307.666666666664</x:v>
      </x:c>
      <x:c r="O1404" s="16" t="n">
        <x:f>MAX(0,(M1404-N1404)*24)</x:f>
        <x:v>0</x:v>
      </x:c>
      <x:c r="P1404" s="9" t="str">
        <x:v>No</x:v>
      </x:c>
      <x:c r="Q1404" s="15" t="n">
        <x:v>18</x:v>
      </x:c>
      <x:c r="R1404" s="13" t="n">
        <x:f>J1404+Q1404/1440</x:f>
        <x:v>46304.46944444444</x:v>
      </x:c>
      <x:c r="S1404" s="2" t="str">
        <x:f>VLOOKUP(C1404,'MES orders'!$A$8:$H$127,6,FALSE)</x:f>
        <x:v>Urgent</x:v>
      </x:c>
      <x:c r="T1404" s="9" t="str"/>
    </x:row>
    <x:row r="1405" ht="22" customHeight="1">
      <x:c r="A1405" s="2" t="str">
        <x:v>L00572-060</x:v>
      </x:c>
      <x:c r="B1405" s="2" t="str">
        <x:v>L00572</x:v>
      </x:c>
      <x:c r="C1405" s="2" t="str">
        <x:v>SO-26115</x:v>
      </x:c>
      <x:c r="D1405" s="2" t="str">
        <x:v>R-C-AL</x:v>
      </x:c>
      <x:c r="E1405" s="14" t="n">
        <x:v>5</x:v>
      </x:c>
      <x:c r="F1405" s="2" t="str">
        <x:v>Final leak / function test</x:v>
      </x:c>
      <x:c r="G1405" s="9" t="str">
        <x:v>QA-02</x:v>
      </x:c>
      <x:c r="H1405" s="15" t="n">
        <x:v>96</x:v>
      </x:c>
      <x:c r="I1405" s="9" t="str">
        <x:v>P11</x:v>
      </x:c>
      <x:c r="J1405" s="11" t="n">
        <x:v>46304.45972222222</x:v>
      </x:c>
      <x:c r="K1405" s="15" t="n">
        <x:v>10</x:v>
      </x:c>
      <x:c r="L1405" s="15" t="n">
        <x:v>4</x:v>
      </x:c>
      <x:c r="M1405" s="13" t="n">
        <x:f>J1405+(K1405+L1405)/1440</x:f>
        <x:v>46304.46944444445</x:v>
      </x:c>
      <x:c r="N1405" s="13" t="n">
        <x:f>VLOOKUP(C1405,'MES orders'!$A$8:$H$127,5,FALSE)</x:f>
        <x:v>46304.666666666664</x:v>
      </x:c>
      <x:c r="O1405" s="16" t="n">
        <x:f>MAX(0,(M1405-N1405)*24)</x:f>
        <x:v>0</x:v>
      </x:c>
      <x:c r="P1405" s="9" t="str">
        <x:v>No</x:v>
      </x:c>
      <x:c r="Q1405" s="15" t="n">
        <x:v>14</x:v>
      </x:c>
      <x:c r="R1405" s="13" t="n">
        <x:f>J1405+Q1405/1440</x:f>
        <x:v>46304.46944444445</x:v>
      </x:c>
      <x:c r="S1405" s="2" t="str">
        <x:f>VLOOKUP(C1405,'MES orders'!$A$8:$H$127,6,FALSE)</x:f>
        <x:v>Normal</x:v>
      </x:c>
      <x:c r="T1405" s="9" t="str"/>
    </x:row>
    <x:row r="1406" ht="22" customHeight="1">
      <x:c r="A1406" s="2" t="str">
        <x:v>L00176-010</x:v>
      </x:c>
      <x:c r="B1406" s="2" t="str">
        <x:v>L00176</x:v>
      </x:c>
      <x:c r="C1406" s="2" t="str">
        <x:v>SO-26036</x:v>
      </x:c>
      <x:c r="D1406" s="2" t="str">
        <x:v>R-L-SS</x:v>
      </x:c>
      <x:c r="E1406" s="14" t="n">
        <x:v>5</x:v>
      </x:c>
      <x:c r="F1406" s="2" t="str">
        <x:v>CNC machining</x:v>
      </x:c>
      <x:c r="G1406" s="9" t="str">
        <x:v>CNC-05</x:v>
      </x:c>
      <x:c r="H1406" s="15" t="n">
        <x:v>37</x:v>
      </x:c>
      <x:c r="I1406" s="9" t="str">
        <x:v>P02</x:v>
      </x:c>
      <x:c r="J1406" s="11" t="n">
        <x:v>46304.4625</x:v>
      </x:c>
      <x:c r="K1406" s="15" t="n">
        <x:v>18</x:v>
      </x:c>
      <x:c r="L1406" s="15" t="n">
        <x:v>20</x:v>
      </x:c>
      <x:c r="M1406" s="13" t="n">
        <x:f>J1406+(K1406+L1406)/1440</x:f>
        <x:v>46304.48888888889</x:v>
      </x:c>
      <x:c r="N1406" s="13" t="n">
        <x:f>VLOOKUP(C1406,'MES orders'!$A$8:$H$127,5,FALSE)</x:f>
        <x:v>46307.666666666664</x:v>
      </x:c>
      <x:c r="O1406" s="16" t="n">
        <x:f>MAX(0,(M1406-N1406)*24)</x:f>
        <x:v>0</x:v>
      </x:c>
      <x:c r="P1406" s="9" t="str">
        <x:v>No</x:v>
      </x:c>
      <x:c r="Q1406" s="15" t="n">
        <x:v>18</x:v>
      </x:c>
      <x:c r="R1406" s="13" t="n">
        <x:f>J1406+Q1406/1440</x:f>
        <x:v>46304.475</x:v>
      </x:c>
      <x:c r="S1406" s="2" t="str">
        <x:f>VLOOKUP(C1406,'MES orders'!$A$8:$H$127,6,FALSE)</x:f>
        <x:v>High</x:v>
      </x:c>
      <x:c r="T1406" s="9" t="str"/>
    </x:row>
    <x:row r="1407" ht="22" customHeight="1">
      <x:c r="A1407" s="2" t="str">
        <x:v>L00578-050</x:v>
      </x:c>
      <x:c r="B1407" s="2" t="str">
        <x:v>L00578</x:v>
      </x:c>
      <x:c r="C1407" s="2" t="str">
        <x:v>SO-26116</x:v>
      </x:c>
      <x:c r="D1407" s="2" t="str">
        <x:v>S-C-SS</x:v>
      </x:c>
      <x:c r="E1407" s="14" t="n">
        <x:v>5</x:v>
      </x:c>
      <x:c r="F1407" s="2" t="str">
        <x:v>Sensor installation</x:v>
      </x:c>
      <x:c r="G1407" s="9" t="str">
        <x:v>EL-01</x:v>
      </x:c>
      <x:c r="H1407" s="15" t="n">
        <x:v>46</x:v>
      </x:c>
      <x:c r="I1407" s="9" t="str">
        <x:v>P07</x:v>
      </x:c>
      <x:c r="J1407" s="11" t="n">
        <x:v>46304.4625</x:v>
      </x:c>
      <x:c r="K1407" s="15" t="n">
        <x:v>8</x:v>
      </x:c>
      <x:c r="L1407" s="15" t="n">
        <x:v>5</x:v>
      </x:c>
      <x:c r="M1407" s="13" t="n">
        <x:f>J1407+(K1407+L1407)/1440</x:f>
        <x:v>46304.47152777778</x:v>
      </x:c>
      <x:c r="N1407" s="13" t="n">
        <x:f>VLOOKUP(C1407,'MES orders'!$A$8:$H$127,5,FALSE)</x:f>
        <x:v>46307.666666666664</x:v>
      </x:c>
      <x:c r="O1407" s="16" t="n">
        <x:f>MAX(0,(M1407-N1407)*24)</x:f>
        <x:v>0</x:v>
      </x:c>
      <x:c r="P1407" s="9" t="str">
        <x:v>No</x:v>
      </x:c>
      <x:c r="Q1407" s="15" t="n">
        <x:v>13</x:v>
      </x:c>
      <x:c r="R1407" s="13" t="n">
        <x:f>J1407+Q1407/1440</x:f>
        <x:v>46304.47152777778</x:v>
      </x:c>
      <x:c r="S1407" s="2" t="str">
        <x:f>VLOOKUP(C1407,'MES orders'!$A$8:$H$127,6,FALSE)</x:f>
        <x:v>Urgent</x:v>
      </x:c>
      <x:c r="T1407" s="9" t="str"/>
    </x:row>
    <x:row r="1408" ht="22" customHeight="1">
      <x:c r="A1408" s="2" t="str">
        <x:v>L00375-070</x:v>
      </x:c>
      <x:c r="B1408" s="2" t="str">
        <x:v>L00375</x:v>
      </x:c>
      <x:c r="C1408" s="2" t="str">
        <x:v>SO-26075</x:v>
      </x:c>
      <x:c r="D1408" s="2" t="str">
        <x:v>S-S-AL</x:v>
      </x:c>
      <x:c r="E1408" s="14" t="n">
        <x:v>25</x:v>
      </x:c>
      <x:c r="F1408" s="2" t="str">
        <x:v>Final assembly</x:v>
      </x:c>
      <x:c r="G1408" s="9" t="str">
        <x:v>AS-01</x:v>
      </x:c>
      <x:c r="H1408" s="15" t="n">
        <x:v>113</x:v>
      </x:c>
      <x:c r="I1408" s="9" t="str">
        <x:v>P05</x:v>
      </x:c>
      <x:c r="J1408" s="11" t="n">
        <x:v>46304.46666666667</x:v>
      </x:c>
      <x:c r="K1408" s="15" t="n">
        <x:v>5</x:v>
      </x:c>
      <x:c r="L1408" s="15" t="n">
        <x:v>20</x:v>
      </x:c>
      <x:c r="M1408" s="13" t="n">
        <x:f>J1408+(K1408+L1408)/1440</x:f>
        <x:v>46304.48402777778</x:v>
      </x:c>
      <x:c r="N1408" s="13" t="n">
        <x:f>VLOOKUP(C1408,'MES orders'!$A$8:$H$127,5,FALSE)</x:f>
        <x:v>46304.666666666664</x:v>
      </x:c>
      <x:c r="O1408" s="16" t="n">
        <x:f>MAX(0,(M1408-N1408)*24)</x:f>
        <x:v>0</x:v>
      </x:c>
      <x:c r="P1408" s="9" t="str">
        <x:v>No</x:v>
      </x:c>
      <x:c r="Q1408" s="15" t="n">
        <x:v>25</x:v>
      </x:c>
      <x:c r="R1408" s="13" t="n">
        <x:f>J1408+Q1408/1440</x:f>
        <x:v>46304.48402777778</x:v>
      </x:c>
      <x:c r="S1408" s="2" t="str">
        <x:f>VLOOKUP(C1408,'MES orders'!$A$8:$H$127,6,FALSE)</x:f>
        <x:v>Normal</x:v>
      </x:c>
      <x:c r="T1408" s="9" t="str"/>
    </x:row>
    <x:row r="1409" ht="22" customHeight="1">
      <x:c r="A1409" s="2" t="str">
        <x:v>L00411-060</x:v>
      </x:c>
      <x:c r="B1409" s="2" t="str">
        <x:v>L00411</x:v>
      </x:c>
      <x:c r="C1409" s="2" t="str">
        <x:v>SO-26083</x:v>
      </x:c>
      <x:c r="D1409" s="2" t="str">
        <x:v>S-L-AL</x:v>
      </x:c>
      <x:c r="E1409" s="14" t="n">
        <x:v>15</x:v>
      </x:c>
      <x:c r="F1409" s="2" t="str">
        <x:v>Sensor calibration</x:v>
      </x:c>
      <x:c r="G1409" s="9" t="str">
        <x:v>CAL-01</x:v>
      </x:c>
      <x:c r="H1409" s="15" t="n">
        <x:v>66</x:v>
      </x:c>
      <x:c r="I1409" s="9" t="str">
        <x:v>P09</x:v>
      </x:c>
      <x:c r="J1409" s="11" t="n">
        <x:v>46304.46666666667</x:v>
      </x:c>
      <x:c r="K1409" s="15" t="n">
        <x:v>10</x:v>
      </x:c>
      <x:c r="L1409" s="15" t="n">
        <x:v>26</x:v>
      </x:c>
      <x:c r="M1409" s="13" t="n">
        <x:f>J1409+(K1409+L1409)/1440</x:f>
        <x:v>46304.49166666667</x:v>
      </x:c>
      <x:c r="N1409" s="13" t="n">
        <x:f>VLOOKUP(C1409,'MES orders'!$A$8:$H$127,5,FALSE)</x:f>
        <x:v>46304.666666666664</x:v>
      </x:c>
      <x:c r="O1409" s="16" t="n">
        <x:f>MAX(0,(M1409-N1409)*24)</x:f>
        <x:v>0</x:v>
      </x:c>
      <x:c r="P1409" s="9" t="str">
        <x:v>No</x:v>
      </x:c>
      <x:c r="Q1409" s="15" t="n">
        <x:v>36</x:v>
      </x:c>
      <x:c r="R1409" s="13" t="n">
        <x:f>J1409+Q1409/1440</x:f>
        <x:v>46304.49166666667</x:v>
      </x:c>
      <x:c r="S1409" s="2" t="str">
        <x:f>VLOOKUP(C1409,'MES orders'!$A$8:$H$127,6,FALSE)</x:f>
        <x:v>Normal</x:v>
      </x:c>
      <x:c r="T1409" s="9" t="str"/>
    </x:row>
    <x:row r="1410" ht="22" customHeight="1">
      <x:c r="A1410" s="2" t="str">
        <x:v>L00177-010</x:v>
      </x:c>
      <x:c r="B1410" s="2" t="str">
        <x:v>L00177</x:v>
      </x:c>
      <x:c r="C1410" s="2" t="str">
        <x:v>SO-26036</x:v>
      </x:c>
      <x:c r="D1410" s="2" t="str">
        <x:v>R-L-SS</x:v>
      </x:c>
      <x:c r="E1410" s="14" t="n">
        <x:v>5</x:v>
      </x:c>
      <x:c r="F1410" s="2" t="str">
        <x:v>CNC machining</x:v>
      </x:c>
      <x:c r="G1410" s="9" t="str">
        <x:v>CNC-06</x:v>
      </x:c>
      <x:c r="H1410" s="15" t="n">
        <x:v>34</x:v>
      </x:c>
      <x:c r="I1410" s="9" t="str">
        <x:v>P03</x:v>
      </x:c>
      <x:c r="J1410" s="11" t="n">
        <x:v>46304.46805555555</x:v>
      </x:c>
      <x:c r="K1410" s="15" t="n">
        <x:v>18</x:v>
      </x:c>
      <x:c r="L1410" s="15" t="n">
        <x:v>20</x:v>
      </x:c>
      <x:c r="M1410" s="13" t="n">
        <x:f>J1410+(K1410+L1410)/1440</x:f>
        <x:v>46304.49444444444</x:v>
      </x:c>
      <x:c r="N1410" s="13" t="n">
        <x:f>VLOOKUP(C1410,'MES orders'!$A$8:$H$127,5,FALSE)</x:f>
        <x:v>46307.666666666664</x:v>
      </x:c>
      <x:c r="O1410" s="16" t="n">
        <x:f>MAX(0,(M1410-N1410)*24)</x:f>
        <x:v>0</x:v>
      </x:c>
      <x:c r="P1410" s="9" t="str">
        <x:v>No</x:v>
      </x:c>
      <x:c r="Q1410" s="15" t="n">
        <x:v>18</x:v>
      </x:c>
      <x:c r="R1410" s="13" t="n">
        <x:f>J1410+Q1410/1440</x:f>
        <x:v>46304.48055555555</x:v>
      </x:c>
      <x:c r="S1410" s="2" t="str">
        <x:f>VLOOKUP(C1410,'MES orders'!$A$8:$H$127,6,FALSE)</x:f>
        <x:v>High</x:v>
      </x:c>
      <x:c r="T1410" s="9" t="str"/>
    </x:row>
    <x:row r="1411" ht="22" customHeight="1">
      <x:c r="A1411" s="2" t="str">
        <x:v>L00573-060</x:v>
      </x:c>
      <x:c r="B1411" s="2" t="str">
        <x:v>L00573</x:v>
      </x:c>
      <x:c r="C1411" s="2" t="str">
        <x:v>SO-26115</x:v>
      </x:c>
      <x:c r="D1411" s="2" t="str">
        <x:v>R-C-AL</x:v>
      </x:c>
      <x:c r="E1411" s="14" t="n">
        <x:v>5</x:v>
      </x:c>
      <x:c r="F1411" s="2" t="str">
        <x:v>Final leak / function test</x:v>
      </x:c>
      <x:c r="G1411" s="9" t="str">
        <x:v>QA-02</x:v>
      </x:c>
      <x:c r="H1411" s="15" t="n">
        <x:v>97</x:v>
      </x:c>
      <x:c r="I1411" s="9" t="str">
        <x:v>P11</x:v>
      </x:c>
      <x:c r="J1411" s="11" t="n">
        <x:v>46304.46944444445</x:v>
      </x:c>
      <x:c r="K1411" s="15" t="n">
        <x:v>10</x:v>
      </x:c>
      <x:c r="L1411" s="15" t="n">
        <x:v>4</x:v>
      </x:c>
      <x:c r="M1411" s="13" t="n">
        <x:f>J1411+(K1411+L1411)/1440</x:f>
        <x:v>46304.47916666667</x:v>
      </x:c>
      <x:c r="N1411" s="13" t="n">
        <x:f>VLOOKUP(C1411,'MES orders'!$A$8:$H$127,5,FALSE)</x:f>
        <x:v>46304.666666666664</x:v>
      </x:c>
      <x:c r="O1411" s="16" t="n">
        <x:f>MAX(0,(M1411-N1411)*24)</x:f>
        <x:v>0</x:v>
      </x:c>
      <x:c r="P1411" s="9" t="str">
        <x:v>No</x:v>
      </x:c>
      <x:c r="Q1411" s="15" t="n">
        <x:v>14</x:v>
      </x:c>
      <x:c r="R1411" s="13" t="n">
        <x:f>J1411+Q1411/1440</x:f>
        <x:v>46304.47916666667</x:v>
      </x:c>
      <x:c r="S1411" s="2" t="str">
        <x:f>VLOOKUP(C1411,'MES orders'!$A$8:$H$127,6,FALSE)</x:f>
        <x:v>Normal</x:v>
      </x:c>
      <x:c r="T1411" s="9" t="str"/>
    </x:row>
    <x:row r="1412" ht="22" customHeight="1">
      <x:c r="A1412" s="2" t="str">
        <x:v>L00178-010</x:v>
      </x:c>
      <x:c r="B1412" s="2" t="str">
        <x:v>L00178</x:v>
      </x:c>
      <x:c r="C1412" s="2" t="str">
        <x:v>SO-26036</x:v>
      </x:c>
      <x:c r="D1412" s="2" t="str">
        <x:v>R-L-SS</x:v>
      </x:c>
      <x:c r="E1412" s="14" t="n">
        <x:v>5</x:v>
      </x:c>
      <x:c r="F1412" s="2" t="str">
        <x:v>CNC machining</x:v>
      </x:c>
      <x:c r="G1412" s="9" t="str">
        <x:v>CNC-03</x:v>
      </x:c>
      <x:c r="H1412" s="15" t="n">
        <x:v>44</x:v>
      </x:c>
      <x:c r="I1412" s="9" t="str">
        <x:v>P01</x:v>
      </x:c>
      <x:c r="J1412" s="11" t="n">
        <x:v>46304.47638888889</x:v>
      </x:c>
      <x:c r="K1412" s="15" t="n">
        <x:v>18</x:v>
      </x:c>
      <x:c r="L1412" s="15" t="n">
        <x:v>20</x:v>
      </x:c>
      <x:c r="M1412" s="13" t="n">
        <x:f>J1412+(K1412+L1412)/1440</x:f>
        <x:v>46304.50277777778</x:v>
      </x:c>
      <x:c r="N1412" s="13" t="n">
        <x:f>VLOOKUP(C1412,'MES orders'!$A$8:$H$127,5,FALSE)</x:f>
        <x:v>46307.666666666664</x:v>
      </x:c>
      <x:c r="O1412" s="16" t="n">
        <x:f>MAX(0,(M1412-N1412)*24)</x:f>
        <x:v>0</x:v>
      </x:c>
      <x:c r="P1412" s="9" t="str">
        <x:v>No</x:v>
      </x:c>
      <x:c r="Q1412" s="15" t="n">
        <x:v>18</x:v>
      </x:c>
      <x:c r="R1412" s="13" t="n">
        <x:f>J1412+Q1412/1440</x:f>
        <x:v>46304.48888888889</x:v>
      </x:c>
      <x:c r="S1412" s="2" t="str">
        <x:f>VLOOKUP(C1412,'MES orders'!$A$8:$H$127,6,FALSE)</x:f>
        <x:v>High</x:v>
      </x:c>
      <x:c r="T1412" s="9" t="str"/>
    </x:row>
    <x:row r="1413" ht="22" customHeight="1">
      <x:c r="A1413" s="2" t="str">
        <x:v>L00179-010</x:v>
      </x:c>
      <x:c r="B1413" s="2" t="str">
        <x:v>L00179</x:v>
      </x:c>
      <x:c r="C1413" s="2" t="str">
        <x:v>SO-26036</x:v>
      </x:c>
      <x:c r="D1413" s="2" t="str">
        <x:v>R-L-SS</x:v>
      </x:c>
      <x:c r="E1413" s="14" t="n">
        <x:v>5</x:v>
      </x:c>
      <x:c r="F1413" s="2" t="str">
        <x:v>CNC machining</x:v>
      </x:c>
      <x:c r="G1413" s="9" t="str">
        <x:v>CNC-04</x:v>
      </x:c>
      <x:c r="H1413" s="15" t="n">
        <x:v>42</x:v>
      </x:c>
      <x:c r="I1413" s="9" t="str">
        <x:v>P02</x:v>
      </x:c>
      <x:c r="J1413" s="11" t="n">
        <x:v>46304.47777777778</x:v>
      </x:c>
      <x:c r="K1413" s="15" t="n">
        <x:v>18</x:v>
      </x:c>
      <x:c r="L1413" s="15" t="n">
        <x:v>20</x:v>
      </x:c>
      <x:c r="M1413" s="13" t="n">
        <x:f>J1413+(K1413+L1413)/1440</x:f>
        <x:v>46304.504166666666</x:v>
      </x:c>
      <x:c r="N1413" s="13" t="n">
        <x:f>VLOOKUP(C1413,'MES orders'!$A$8:$H$127,5,FALSE)</x:f>
        <x:v>46307.666666666664</x:v>
      </x:c>
      <x:c r="O1413" s="16" t="n">
        <x:f>MAX(0,(M1413-N1413)*24)</x:f>
        <x:v>0</x:v>
      </x:c>
      <x:c r="P1413" s="9" t="str">
        <x:v>No</x:v>
      </x:c>
      <x:c r="Q1413" s="15" t="n">
        <x:v>18</x:v>
      </x:c>
      <x:c r="R1413" s="13" t="n">
        <x:f>J1413+Q1413/1440</x:f>
        <x:v>46304.490277777775</x:v>
      </x:c>
      <x:c r="S1413" s="2" t="str">
        <x:f>VLOOKUP(C1413,'MES orders'!$A$8:$H$127,6,FALSE)</x:f>
        <x:v>High</x:v>
      </x:c>
      <x:c r="T1413" s="9" t="str"/>
    </x:row>
    <x:row r="1414" ht="22" customHeight="1">
      <x:c r="A1414" s="2" t="str">
        <x:v>L00461-010</x:v>
      </x:c>
      <x:c r="B1414" s="2" t="str">
        <x:v>L00461</x:v>
      </x:c>
      <x:c r="C1414" s="2" t="str">
        <x:v>SO-26093</x:v>
      </x:c>
      <x:c r="D1414" s="2" t="str">
        <x:v>S-S-AL</x:v>
      </x:c>
      <x:c r="E1414" s="14" t="n">
        <x:v>15</x:v>
      </x:c>
      <x:c r="F1414" s="2" t="str">
        <x:v>CNC machining</x:v>
      </x:c>
      <x:c r="G1414" s="9" t="str">
        <x:v>CNC-01</x:v>
      </x:c>
      <x:c r="H1414" s="15" t="n">
        <x:v>47</x:v>
      </x:c>
      <x:c r="I1414" s="9" t="str">
        <x:v>P03</x:v>
      </x:c>
      <x:c r="J1414" s="11" t="n">
        <x:v>46304.48055555556</x:v>
      </x:c>
      <x:c r="K1414" s="15" t="n">
        <x:v>18</x:v>
      </x:c>
      <x:c r="L1414" s="15" t="n">
        <x:v>36</x:v>
      </x:c>
      <x:c r="M1414" s="13" t="n">
        <x:f>J1414+(K1414+L1414)/1440</x:f>
        <x:v>46304.518055555556</x:v>
      </x:c>
      <x:c r="N1414" s="13" t="n">
        <x:f>VLOOKUP(C1414,'MES orders'!$A$8:$H$127,5,FALSE)</x:f>
        <x:v>46308.666666666664</x:v>
      </x:c>
      <x:c r="O1414" s="16" t="n">
        <x:f>MAX(0,(M1414-N1414)*24)</x:f>
        <x:v>0</x:v>
      </x:c>
      <x:c r="P1414" s="9" t="str">
        <x:v>No</x:v>
      </x:c>
      <x:c r="Q1414" s="15" t="n">
        <x:v>18</x:v>
      </x:c>
      <x:c r="R1414" s="13" t="n">
        <x:f>J1414+Q1414/1440</x:f>
        <x:v>46304.493055555555</x:v>
      </x:c>
      <x:c r="S1414" s="2" t="str">
        <x:f>VLOOKUP(C1414,'MES orders'!$A$8:$H$127,6,FALSE)</x:f>
        <x:v>Urgent</x:v>
      </x:c>
      <x:c r="T1414" s="9" t="str"/>
    </x:row>
    <x:row r="1415" ht="22" customHeight="1">
      <x:c r="A1415" s="2" t="str">
        <x:v>L00574-050</x:v>
      </x:c>
      <x:c r="B1415" s="2" t="str">
        <x:v>L00574</x:v>
      </x:c>
      <x:c r="C1415" s="2" t="str">
        <x:v>SO-26115</x:v>
      </x:c>
      <x:c r="D1415" s="2" t="str">
        <x:v>R-C-AL</x:v>
      </x:c>
      <x:c r="E1415" s="14" t="n">
        <x:v>5</x:v>
      </x:c>
      <x:c r="F1415" s="2" t="str">
        <x:v>Valve adjustment</x:v>
      </x:c>
      <x:c r="G1415" s="9" t="str">
        <x:v>AS-01</x:v>
      </x:c>
      <x:c r="H1415" s="15" t="n">
        <x:v>114</x:v>
      </x:c>
      <x:c r="I1415" s="9" t="str">
        <x:v>P05</x:v>
      </x:c>
      <x:c r="J1415" s="11" t="n">
        <x:v>46304.48402777778</x:v>
      </x:c>
      <x:c r="K1415" s="15" t="n">
        <x:v>6</x:v>
      </x:c>
      <x:c r="L1415" s="15" t="n">
        <x:v>4</x:v>
      </x:c>
      <x:c r="M1415" s="13" t="n">
        <x:f>J1415+(K1415+L1415)/1440</x:f>
        <x:v>46304.49097222222</x:v>
      </x:c>
      <x:c r="N1415" s="13" t="n">
        <x:f>VLOOKUP(C1415,'MES orders'!$A$8:$H$127,5,FALSE)</x:f>
        <x:v>46304.666666666664</x:v>
      </x:c>
      <x:c r="O1415" s="16" t="n">
        <x:f>MAX(0,(M1415-N1415)*24)</x:f>
        <x:v>0</x:v>
      </x:c>
      <x:c r="P1415" s="9" t="str">
        <x:v>No</x:v>
      </x:c>
      <x:c r="Q1415" s="15" t="n">
        <x:v>10</x:v>
      </x:c>
      <x:c r="R1415" s="13" t="n">
        <x:f>J1415+Q1415/1440</x:f>
        <x:v>46304.49097222222</x:v>
      </x:c>
      <x:c r="S1415" s="2" t="str">
        <x:f>VLOOKUP(C1415,'MES orders'!$A$8:$H$127,6,FALSE)</x:f>
        <x:v>Normal</x:v>
      </x:c>
      <x:c r="T1415" s="9" t="str"/>
    </x:row>
    <x:row r="1416" ht="22" customHeight="1">
      <x:c r="A1416" s="2" t="str">
        <x:v>L00375-080</x:v>
      </x:c>
      <x:c r="B1416" s="2" t="str">
        <x:v>L00375</x:v>
      </x:c>
      <x:c r="C1416" s="2" t="str">
        <x:v>SO-26075</x:v>
      </x:c>
      <x:c r="D1416" s="2" t="str">
        <x:v>S-S-AL</x:v>
      </x:c>
      <x:c r="E1416" s="14" t="n">
        <x:v>25</x:v>
      </x:c>
      <x:c r="F1416" s="2" t="str">
        <x:v>Final leak / function test</x:v>
      </x:c>
      <x:c r="G1416" s="9" t="str">
        <x:v>QA-02</x:v>
      </x:c>
      <x:c r="H1416" s="15" t="n">
        <x:v>98</x:v>
      </x:c>
      <x:c r="I1416" s="9" t="str">
        <x:v>P11</x:v>
      </x:c>
      <x:c r="J1416" s="11" t="n">
        <x:v>46304.48402777778</x:v>
      </x:c>
      <x:c r="K1416" s="15" t="n">
        <x:v>10</x:v>
      </x:c>
      <x:c r="L1416" s="15" t="n">
        <x:v>22</x:v>
      </x:c>
      <x:c r="M1416" s="13" t="n">
        <x:f>J1416+(K1416+L1416)/1440</x:f>
        <x:v>46304.50625</x:v>
      </x:c>
      <x:c r="N1416" s="13" t="n">
        <x:f>VLOOKUP(C1416,'MES orders'!$A$8:$H$127,5,FALSE)</x:f>
        <x:v>46304.666666666664</x:v>
      </x:c>
      <x:c r="O1416" s="16" t="n">
        <x:f>MAX(0,(M1416-N1416)*24)</x:f>
        <x:v>0</x:v>
      </x:c>
      <x:c r="P1416" s="9" t="str">
        <x:v>No</x:v>
      </x:c>
      <x:c r="Q1416" s="15" t="n">
        <x:v>32</x:v>
      </x:c>
      <x:c r="R1416" s="13" t="n">
        <x:f>J1416+Q1416/1440</x:f>
        <x:v>46304.50625</x:v>
      </x:c>
      <x:c r="S1416" s="2" t="str">
        <x:f>VLOOKUP(C1416,'MES orders'!$A$8:$H$127,6,FALSE)</x:f>
        <x:v>Normal</x:v>
      </x:c>
      <x:c r="T1416" s="9" t="str"/>
    </x:row>
    <x:row r="1417" ht="22" customHeight="1">
      <x:c r="A1417" s="2" t="str">
        <x:v>L00533-040</x:v>
      </x:c>
      <x:c r="B1417" s="2" t="str">
        <x:v>L00533</x:v>
      </x:c>
      <x:c r="C1417" s="2" t="str">
        <x:v>SO-26107</x:v>
      </x:c>
      <x:c r="D1417" s="2" t="str">
        <x:v>D-L-AL</x:v>
      </x:c>
      <x:c r="E1417" s="14" t="n">
        <x:v>25</x:v>
      </x:c>
      <x:c r="F1417" s="2" t="str">
        <x:v>Mechanical assembly</x:v>
      </x:c>
      <x:c r="G1417" s="9" t="str">
        <x:v>AS-02</x:v>
      </x:c>
      <x:c r="H1417" s="15" t="n">
        <x:v>94</x:v>
      </x:c>
      <x:c r="I1417" s="9" t="str">
        <x:v>P04</x:v>
      </x:c>
      <x:c r="J1417" s="11" t="n">
        <x:v>46304.48541666667</x:v>
      </x:c>
      <x:c r="K1417" s="15" t="n">
        <x:v>8</x:v>
      </x:c>
      <x:c r="L1417" s="15" t="n">
        <x:v>61</x:v>
      </x:c>
      <x:c r="M1417" s="13" t="n">
        <x:f>J1417+(K1417+L1417)/1440</x:f>
        <x:v>46304.53333333334</x:v>
      </x:c>
      <x:c r="N1417" s="13" t="n">
        <x:f>VLOOKUP(C1417,'MES orders'!$A$8:$H$127,5,FALSE)</x:f>
        <x:v>46304.666666666664</x:v>
      </x:c>
      <x:c r="O1417" s="16" t="n">
        <x:f>MAX(0,(M1417-N1417)*24)</x:f>
        <x:v>0</x:v>
      </x:c>
      <x:c r="P1417" s="9" t="str">
        <x:v>No</x:v>
      </x:c>
      <x:c r="Q1417" s="15" t="n">
        <x:v>69</x:v>
      </x:c>
      <x:c r="R1417" s="13" t="n">
        <x:f>J1417+Q1417/1440</x:f>
        <x:v>46304.53333333334</x:v>
      </x:c>
      <x:c r="S1417" s="2" t="str">
        <x:f>VLOOKUP(C1417,'MES orders'!$A$8:$H$127,6,FALSE)</x:f>
        <x:v>Normal</x:v>
      </x:c>
      <x:c r="T1417" s="9" t="str"/>
    </x:row>
    <x:row r="1418" ht="22" customHeight="1">
      <x:c r="A1418" s="2" t="str">
        <x:v>L00531-050</x:v>
      </x:c>
      <x:c r="B1418" s="2" t="str">
        <x:v>L00531</x:v>
      </x:c>
      <x:c r="C1418" s="2" t="str">
        <x:v>SO-26107</x:v>
      </x:c>
      <x:c r="D1418" s="2" t="str">
        <x:v>D-L-AL</x:v>
      </x:c>
      <x:c r="E1418" s="14" t="n">
        <x:v>25</x:v>
      </x:c>
      <x:c r="F1418" s="2" t="str">
        <x:v>Final leak / function test</x:v>
      </x:c>
      <x:c r="G1418" s="9" t="str">
        <x:v>QA-01</x:v>
      </x:c>
      <x:c r="H1418" s="15" t="n">
        <x:v>56</x:v>
      </x:c>
      <x:c r="I1418" s="9" t="str">
        <x:v>P12</x:v>
      </x:c>
      <x:c r="J1418" s="11" t="n">
        <x:v>46304.48541666667</x:v>
      </x:c>
      <x:c r="K1418" s="15" t="n">
        <x:v>10</x:v>
      </x:c>
      <x:c r="L1418" s="15" t="n">
        <x:v>30</x:v>
      </x:c>
      <x:c r="M1418" s="13" t="n">
        <x:f>J1418+(K1418+L1418)/1440</x:f>
        <x:v>46304.51319444445</x:v>
      </x:c>
      <x:c r="N1418" s="13" t="n">
        <x:f>VLOOKUP(C1418,'MES orders'!$A$8:$H$127,5,FALSE)</x:f>
        <x:v>46304.666666666664</x:v>
      </x:c>
      <x:c r="O1418" s="16" t="n">
        <x:f>MAX(0,(M1418-N1418)*24)</x:f>
        <x:v>0</x:v>
      </x:c>
      <x:c r="P1418" s="9" t="str">
        <x:v>No</x:v>
      </x:c>
      <x:c r="Q1418" s="15" t="n">
        <x:v>40</x:v>
      </x:c>
      <x:c r="R1418" s="13" t="n">
        <x:f>J1418+Q1418/1440</x:f>
        <x:v>46304.51319444445</x:v>
      </x:c>
      <x:c r="S1418" s="2" t="str">
        <x:f>VLOOKUP(C1418,'MES orders'!$A$8:$H$127,6,FALSE)</x:f>
        <x:v>Normal</x:v>
      </x:c>
      <x:c r="T1418" s="9" t="str"/>
    </x:row>
    <x:row r="1419" ht="22" customHeight="1">
      <x:c r="A1419" s="2" t="str">
        <x:v>L00180-010</x:v>
      </x:c>
      <x:c r="B1419" s="2" t="str">
        <x:v>L00180</x:v>
      </x:c>
      <x:c r="C1419" s="2" t="str">
        <x:v>SO-26036</x:v>
      </x:c>
      <x:c r="D1419" s="2" t="str">
        <x:v>R-L-SS</x:v>
      </x:c>
      <x:c r="E1419" s="14" t="n">
        <x:v>5</x:v>
      </x:c>
      <x:c r="F1419" s="2" t="str">
        <x:v>CNC machining</x:v>
      </x:c>
      <x:c r="G1419" s="9" t="str">
        <x:v>CNC-05</x:v>
      </x:c>
      <x:c r="H1419" s="15" t="n">
        <x:v>38</x:v>
      </x:c>
      <x:c r="I1419" s="9" t="str">
        <x:v>P01</x:v>
      </x:c>
      <x:c r="J1419" s="11" t="n">
        <x:v>46304.48888888889</x:v>
      </x:c>
      <x:c r="K1419" s="15" t="n">
        <x:v>18</x:v>
      </x:c>
      <x:c r="L1419" s="15" t="n">
        <x:v>20</x:v>
      </x:c>
      <x:c r="M1419" s="13" t="n">
        <x:f>J1419+(K1419+L1419)/1440</x:f>
        <x:v>46304.51527777778</x:v>
      </x:c>
      <x:c r="N1419" s="13" t="n">
        <x:f>VLOOKUP(C1419,'MES orders'!$A$8:$H$127,5,FALSE)</x:f>
        <x:v>46307.666666666664</x:v>
      </x:c>
      <x:c r="O1419" s="16" t="n">
        <x:f>MAX(0,(M1419-N1419)*24)</x:f>
        <x:v>0</x:v>
      </x:c>
      <x:c r="P1419" s="9" t="str">
        <x:v>No</x:v>
      </x:c>
      <x:c r="Q1419" s="15" t="n">
        <x:v>18</x:v>
      </x:c>
      <x:c r="R1419" s="13" t="n">
        <x:f>J1419+Q1419/1440</x:f>
        <x:v>46304.501388888886</x:v>
      </x:c>
      <x:c r="S1419" s="2" t="str">
        <x:f>VLOOKUP(C1419,'MES orders'!$A$8:$H$127,6,FALSE)</x:f>
        <x:v>High</x:v>
      </x:c>
      <x:c r="T1419" s="9" t="str"/>
    </x:row>
    <x:row r="1420" ht="22" customHeight="1">
      <x:c r="A1420" s="2" t="str">
        <x:v>L00462-010</x:v>
      </x:c>
      <x:c r="B1420" s="2" t="str">
        <x:v>L00462</x:v>
      </x:c>
      <x:c r="C1420" s="2" t="str">
        <x:v>SO-26093</x:v>
      </x:c>
      <x:c r="D1420" s="2" t="str">
        <x:v>S-S-AL</x:v>
      </x:c>
      <x:c r="E1420" s="14" t="n">
        <x:v>15</x:v>
      </x:c>
      <x:c r="F1420" s="2" t="str">
        <x:v>CNC machining</x:v>
      </x:c>
      <x:c r="G1420" s="9" t="str">
        <x:v>CNC-02</x:v>
      </x:c>
      <x:c r="H1420" s="15" t="n">
        <x:v>32</x:v>
      </x:c>
      <x:c r="I1420" s="9" t="str">
        <x:v>P02</x:v>
      </x:c>
      <x:c r="J1420" s="11" t="n">
        <x:v>46304.490277777775</x:v>
      </x:c>
      <x:c r="K1420" s="15" t="n">
        <x:v>18</x:v>
      </x:c>
      <x:c r="L1420" s="15" t="n">
        <x:v>36</x:v>
      </x:c>
      <x:c r="M1420" s="13" t="n">
        <x:f>J1420+(K1420+L1420)/1440</x:f>
        <x:v>46304.527777777774</x:v>
      </x:c>
      <x:c r="N1420" s="13" t="n">
        <x:f>VLOOKUP(C1420,'MES orders'!$A$8:$H$127,5,FALSE)</x:f>
        <x:v>46308.666666666664</x:v>
      </x:c>
      <x:c r="O1420" s="16" t="n">
        <x:f>MAX(0,(M1420-N1420)*24)</x:f>
        <x:v>0</x:v>
      </x:c>
      <x:c r="P1420" s="9" t="str">
        <x:v>No</x:v>
      </x:c>
      <x:c r="Q1420" s="15" t="n">
        <x:v>18</x:v>
      </x:c>
      <x:c r="R1420" s="13" t="n">
        <x:f>J1420+Q1420/1440</x:f>
        <x:v>46304.50277777777</x:v>
      </x:c>
      <x:c r="S1420" s="2" t="str">
        <x:f>VLOOKUP(C1420,'MES orders'!$A$8:$H$127,6,FALSE)</x:f>
        <x:v>Urgent</x:v>
      </x:c>
      <x:c r="T1420" s="9" t="str"/>
    </x:row>
    <x:row r="1421" ht="22" customHeight="1">
      <x:c r="A1421" s="2" t="str">
        <x:v>L00411-070</x:v>
      </x:c>
      <x:c r="B1421" s="2" t="str">
        <x:v>L00411</x:v>
      </x:c>
      <x:c r="C1421" s="2" t="str">
        <x:v>SO-26083</x:v>
      </x:c>
      <x:c r="D1421" s="2" t="str">
        <x:v>S-L-AL</x:v>
      </x:c>
      <x:c r="E1421" s="14" t="n">
        <x:v>15</x:v>
      </x:c>
      <x:c r="F1421" s="2" t="str">
        <x:v>Final assembly</x:v>
      </x:c>
      <x:c r="G1421" s="9" t="str">
        <x:v>AS-01</x:v>
      </x:c>
      <x:c r="H1421" s="15" t="n">
        <x:v>115</x:v>
      </x:c>
      <x:c r="I1421" s="9" t="str">
        <x:v>P05</x:v>
      </x:c>
      <x:c r="J1421" s="11" t="n">
        <x:v>46304.49166666667</x:v>
      </x:c>
      <x:c r="K1421" s="15" t="n">
        <x:v>5</x:v>
      </x:c>
      <x:c r="L1421" s="15" t="n">
        <x:v>16</x:v>
      </x:c>
      <x:c r="M1421" s="13" t="n">
        <x:f>J1421+(K1421+L1421)/1440</x:f>
        <x:v>46304.50625</x:v>
      </x:c>
      <x:c r="N1421" s="13" t="n">
        <x:f>VLOOKUP(C1421,'MES orders'!$A$8:$H$127,5,FALSE)</x:f>
        <x:v>46304.666666666664</x:v>
      </x:c>
      <x:c r="O1421" s="16" t="n">
        <x:f>MAX(0,(M1421-N1421)*24)</x:f>
        <x:v>0</x:v>
      </x:c>
      <x:c r="P1421" s="9" t="str">
        <x:v>No</x:v>
      </x:c>
      <x:c r="Q1421" s="15" t="n">
        <x:v>21</x:v>
      </x:c>
      <x:c r="R1421" s="13" t="n">
        <x:f>J1421+Q1421/1440</x:f>
        <x:v>46304.50625</x:v>
      </x:c>
      <x:c r="S1421" s="2" t="str">
        <x:f>VLOOKUP(C1421,'MES orders'!$A$8:$H$127,6,FALSE)</x:f>
        <x:v>Normal</x:v>
      </x:c>
      <x:c r="T1421" s="9" t="str"/>
    </x:row>
    <x:row r="1422" ht="22" customHeight="1">
      <x:c r="A1422" s="2" t="str">
        <x:v>L00412-060</x:v>
      </x:c>
      <x:c r="B1422" s="2" t="str">
        <x:v>L00412</x:v>
      </x:c>
      <x:c r="C1422" s="2" t="str">
        <x:v>SO-26083</x:v>
      </x:c>
      <x:c r="D1422" s="2" t="str">
        <x:v>S-L-AL</x:v>
      </x:c>
      <x:c r="E1422" s="14" t="n">
        <x:v>15</x:v>
      </x:c>
      <x:c r="F1422" s="2" t="str">
        <x:v>Sensor calibration</x:v>
      </x:c>
      <x:c r="G1422" s="9" t="str">
        <x:v>CAL-01</x:v>
      </x:c>
      <x:c r="H1422" s="15" t="n">
        <x:v>67</x:v>
      </x:c>
      <x:c r="I1422" s="9" t="str">
        <x:v>P09</x:v>
      </x:c>
      <x:c r="J1422" s="11" t="n">
        <x:v>46304.49166666667</x:v>
      </x:c>
      <x:c r="K1422" s="15" t="n">
        <x:v>10</x:v>
      </x:c>
      <x:c r="L1422" s="15" t="n">
        <x:v>26</x:v>
      </x:c>
      <x:c r="M1422" s="13" t="n">
        <x:f>J1422+(K1422+L1422)/1440</x:f>
        <x:v>46304.51666666667</x:v>
      </x:c>
      <x:c r="N1422" s="13" t="n">
        <x:f>VLOOKUP(C1422,'MES orders'!$A$8:$H$127,5,FALSE)</x:f>
        <x:v>46304.666666666664</x:v>
      </x:c>
      <x:c r="O1422" s="16" t="n">
        <x:f>MAX(0,(M1422-N1422)*24)</x:f>
        <x:v>0</x:v>
      </x:c>
      <x:c r="P1422" s="9" t="str">
        <x:v>No</x:v>
      </x:c>
      <x:c r="Q1422" s="15" t="n">
        <x:v>36</x:v>
      </x:c>
      <x:c r="R1422" s="13" t="n">
        <x:f>J1422+Q1422/1440</x:f>
        <x:v>46304.51666666667</x:v>
      </x:c>
      <x:c r="S1422" s="2" t="str">
        <x:f>VLOOKUP(C1422,'MES orders'!$A$8:$H$127,6,FALSE)</x:f>
        <x:v>Normal</x:v>
      </x:c>
      <x:c r="T1422" s="9" t="str"/>
    </x:row>
    <x:row r="1423" ht="22" customHeight="1">
      <x:c r="A1423" s="2" t="str">
        <x:v>L00456-010</x:v>
      </x:c>
      <x:c r="B1423" s="2" t="str">
        <x:v>L00456</x:v>
      </x:c>
      <x:c r="C1423" s="2" t="str">
        <x:v>SO-26092</x:v>
      </x:c>
      <x:c r="D1423" s="2" t="str">
        <x:v>R-C-SS</x:v>
      </x:c>
      <x:c r="E1423" s="14" t="n">
        <x:v>25</x:v>
      </x:c>
      <x:c r="F1423" s="2" t="str">
        <x:v>CNC machining</x:v>
      </x:c>
      <x:c r="G1423" s="9" t="str">
        <x:v>CNC-06</x:v>
      </x:c>
      <x:c r="H1423" s="15" t="n">
        <x:v>35</x:v>
      </x:c>
      <x:c r="I1423" s="9" t="str">
        <x:v>P03</x:v>
      </x:c>
      <x:c r="J1423" s="11" t="n">
        <x:v>46304.49444444444</x:v>
      </x:c>
      <x:c r="K1423" s="15" t="n">
        <x:v>18</x:v>
      </x:c>
      <x:c r="L1423" s="15" t="n">
        <x:v>60</x:v>
      </x:c>
      <x:c r="M1423" s="13" t="n">
        <x:f>J1423+(K1423+L1423)/1440</x:f>
        <x:v>46304.54861111111</x:v>
      </x:c>
      <x:c r="N1423" s="13" t="n">
        <x:f>VLOOKUP(C1423,'MES orders'!$A$8:$H$127,5,FALSE)</x:f>
        <x:v>46307.666666666664</x:v>
      </x:c>
      <x:c r="O1423" s="16" t="n">
        <x:f>MAX(0,(M1423-N1423)*24)</x:f>
        <x:v>0</x:v>
      </x:c>
      <x:c r="P1423" s="9" t="str">
        <x:v>No</x:v>
      </x:c>
      <x:c r="Q1423" s="15" t="n">
        <x:v>18</x:v>
      </x:c>
      <x:c r="R1423" s="13" t="n">
        <x:f>J1423+Q1423/1440</x:f>
        <x:v>46304.50694444444</x:v>
      </x:c>
      <x:c r="S1423" s="2" t="str">
        <x:f>VLOOKUP(C1423,'MES orders'!$A$8:$H$127,6,FALSE)</x:f>
        <x:v>High</x:v>
      </x:c>
      <x:c r="T1423" s="9" t="str"/>
    </x:row>
    <x:row r="1424" ht="22" customHeight="1">
      <x:c r="A1424" s="2" t="str">
        <x:v>L00534-040</x:v>
      </x:c>
      <x:c r="B1424" s="2" t="str">
        <x:v>L00534</x:v>
      </x:c>
      <x:c r="C1424" s="2" t="str">
        <x:v>SO-26107</x:v>
      </x:c>
      <x:c r="D1424" s="2" t="str">
        <x:v>D-L-AL</x:v>
      </x:c>
      <x:c r="E1424" s="14" t="n">
        <x:v>25</x:v>
      </x:c>
      <x:c r="F1424" s="2" t="str">
        <x:v>Mechanical assembly</x:v>
      </x:c>
      <x:c r="G1424" s="9" t="str">
        <x:v>AS-03</x:v>
      </x:c>
      <x:c r="H1424" s="15" t="n">
        <x:v>74</x:v>
      </x:c>
      <x:c r="I1424" s="9" t="str">
        <x:v>P06</x:v>
      </x:c>
      <x:c r="J1424" s="11" t="n">
        <x:v>46304.50208333333</x:v>
      </x:c>
      <x:c r="K1424" s="15" t="n">
        <x:v>8</x:v>
      </x:c>
      <x:c r="L1424" s="15" t="n">
        <x:v>61</x:v>
      </x:c>
      <x:c r="M1424" s="13" t="n">
        <x:f>J1424+(K1424+L1424)/1440</x:f>
        <x:v>46304.55</x:v>
      </x:c>
      <x:c r="N1424" s="13" t="n">
        <x:f>VLOOKUP(C1424,'MES orders'!$A$8:$H$127,5,FALSE)</x:f>
        <x:v>46304.666666666664</x:v>
      </x:c>
      <x:c r="O1424" s="16" t="n">
        <x:f>MAX(0,(M1424-N1424)*24)</x:f>
        <x:v>0</x:v>
      </x:c>
      <x:c r="P1424" s="9" t="str">
        <x:v>No</x:v>
      </x:c>
      <x:c r="Q1424" s="15" t="n">
        <x:v>69</x:v>
      </x:c>
      <x:c r="R1424" s="13" t="n">
        <x:f>J1424+Q1424/1440</x:f>
        <x:v>46304.55</x:v>
      </x:c>
      <x:c r="S1424" s="2" t="str">
        <x:f>VLOOKUP(C1424,'MES orders'!$A$8:$H$127,6,FALSE)</x:f>
        <x:v>Normal</x:v>
      </x:c>
      <x:c r="T1424" s="9" t="str"/>
    </x:row>
    <x:row r="1425" ht="22" customHeight="1">
      <x:c r="A1425" s="2" t="str">
        <x:v>L00178-020</x:v>
      </x:c>
      <x:c r="B1425" s="2" t="str">
        <x:v>L00178</x:v>
      </x:c>
      <x:c r="C1425" s="2" t="str">
        <x:v>SO-26036</x:v>
      </x:c>
      <x:c r="D1425" s="2" t="str">
        <x:v>R-L-SS</x:v>
      </x:c>
      <x:c r="E1425" s="14" t="n">
        <x:v>5</x:v>
      </x:c>
      <x:c r="F1425" s="2" t="str">
        <x:v>Deburr &amp; inspect</x:v>
      </x:c>
      <x:c r="G1425" s="9" t="str">
        <x:v>DB-01</x:v>
      </x:c>
      <x:c r="H1425" s="15" t="n">
        <x:v>137</x:v>
      </x:c>
      <x:c r="I1425" s="9" t="str">
        <x:v>P01</x:v>
      </x:c>
      <x:c r="J1425" s="11" t="n">
        <x:v>46304.50277777778</x:v>
      </x:c>
      <x:c r="K1425" s="15" t="n">
        <x:v>4</x:v>
      </x:c>
      <x:c r="L1425" s="15" t="n">
        <x:v>5</x:v>
      </x:c>
      <x:c r="M1425" s="13" t="n">
        <x:f>J1425+(K1425+L1425)/1440</x:f>
        <x:v>46304.50902777778</x:v>
      </x:c>
      <x:c r="N1425" s="13" t="n">
        <x:f>VLOOKUP(C1425,'MES orders'!$A$8:$H$127,5,FALSE)</x:f>
        <x:v>46307.666666666664</x:v>
      </x:c>
      <x:c r="O1425" s="16" t="n">
        <x:f>MAX(0,(M1425-N1425)*24)</x:f>
        <x:v>0</x:v>
      </x:c>
      <x:c r="P1425" s="9" t="str">
        <x:v>No</x:v>
      </x:c>
      <x:c r="Q1425" s="15" t="n">
        <x:v>9</x:v>
      </x:c>
      <x:c r="R1425" s="13" t="n">
        <x:f>J1425+Q1425/1440</x:f>
        <x:v>46304.50902777778</x:v>
      </x:c>
      <x:c r="S1425" s="2" t="str">
        <x:f>VLOOKUP(C1425,'MES orders'!$A$8:$H$127,6,FALSE)</x:f>
        <x:v>High</x:v>
      </x:c>
      <x:c r="T1425" s="9" t="str"/>
    </x:row>
    <x:row r="1426" ht="22" customHeight="1">
      <x:c r="A1426" s="2" t="str">
        <x:v>L00179-020</x:v>
      </x:c>
      <x:c r="B1426" s="2" t="str">
        <x:v>L00179</x:v>
      </x:c>
      <x:c r="C1426" s="2" t="str">
        <x:v>SO-26036</x:v>
      </x:c>
      <x:c r="D1426" s="2" t="str">
        <x:v>R-L-SS</x:v>
      </x:c>
      <x:c r="E1426" s="14" t="n">
        <x:v>5</x:v>
      </x:c>
      <x:c r="F1426" s="2" t="str">
        <x:v>Deburr &amp; inspect</x:v>
      </x:c>
      <x:c r="G1426" s="9" t="str">
        <x:v>DB-02</x:v>
      </x:c>
      <x:c r="H1426" s="15" t="n">
        <x:v>93</x:v>
      </x:c>
      <x:c r="I1426" s="9" t="str">
        <x:v>P02</x:v>
      </x:c>
      <x:c r="J1426" s="11" t="n">
        <x:v>46304.504166666666</x:v>
      </x:c>
      <x:c r="K1426" s="15" t="n">
        <x:v>4</x:v>
      </x:c>
      <x:c r="L1426" s="15" t="n">
        <x:v>5</x:v>
      </x:c>
      <x:c r="M1426" s="13" t="n">
        <x:f>J1426+(K1426+L1426)/1440</x:f>
        <x:v>46304.510416666664</x:v>
      </x:c>
      <x:c r="N1426" s="13" t="n">
        <x:f>VLOOKUP(C1426,'MES orders'!$A$8:$H$127,5,FALSE)</x:f>
        <x:v>46307.666666666664</x:v>
      </x:c>
      <x:c r="O1426" s="16" t="n">
        <x:f>MAX(0,(M1426-N1426)*24)</x:f>
        <x:v>0</x:v>
      </x:c>
      <x:c r="P1426" s="9" t="str">
        <x:v>No</x:v>
      </x:c>
      <x:c r="Q1426" s="15" t="n">
        <x:v>9</x:v>
      </x:c>
      <x:c r="R1426" s="13" t="n">
        <x:f>J1426+Q1426/1440</x:f>
        <x:v>46304.510416666664</x:v>
      </x:c>
      <x:c r="S1426" s="2" t="str">
        <x:f>VLOOKUP(C1426,'MES orders'!$A$8:$H$127,6,FALSE)</x:f>
        <x:v>High</x:v>
      </x:c>
      <x:c r="T1426" s="9" t="str"/>
    </x:row>
    <x:row r="1427" ht="22" customHeight="1">
      <x:c r="A1427" s="2" t="str">
        <x:v>L00411-080</x:v>
      </x:c>
      <x:c r="B1427" s="2" t="str">
        <x:v>L00411</x:v>
      </x:c>
      <x:c r="C1427" s="2" t="str">
        <x:v>SO-26083</x:v>
      </x:c>
      <x:c r="D1427" s="2" t="str">
        <x:v>S-L-AL</x:v>
      </x:c>
      <x:c r="E1427" s="14" t="n">
        <x:v>15</x:v>
      </x:c>
      <x:c r="F1427" s="2" t="str">
        <x:v>Final leak / function test</x:v>
      </x:c>
      <x:c r="G1427" s="9" t="str">
        <x:v>QA-02</x:v>
      </x:c>
      <x:c r="H1427" s="15" t="n">
        <x:v>99</x:v>
      </x:c>
      <x:c r="I1427" s="9" t="str">
        <x:v>P11</x:v>
      </x:c>
      <x:c r="J1427" s="11" t="n">
        <x:v>46304.50625</x:v>
      </x:c>
      <x:c r="K1427" s="15" t="n">
        <x:v>10</x:v>
      </x:c>
      <x:c r="L1427" s="15" t="n">
        <x:v>18</x:v>
      </x:c>
      <x:c r="M1427" s="13" t="n">
        <x:f>J1427+(K1427+L1427)/1440</x:f>
        <x:v>46304.52569444444</x:v>
      </x:c>
      <x:c r="N1427" s="13" t="n">
        <x:f>VLOOKUP(C1427,'MES orders'!$A$8:$H$127,5,FALSE)</x:f>
        <x:v>46304.666666666664</x:v>
      </x:c>
      <x:c r="O1427" s="16" t="n">
        <x:f>MAX(0,(M1427-N1427)*24)</x:f>
        <x:v>0</x:v>
      </x:c>
      <x:c r="P1427" s="9" t="str">
        <x:v>No</x:v>
      </x:c>
      <x:c r="Q1427" s="15" t="n">
        <x:v>28</x:v>
      </x:c>
      <x:c r="R1427" s="13" t="n">
        <x:f>J1427+Q1427/1440</x:f>
        <x:v>46304.52569444444</x:v>
      </x:c>
      <x:c r="S1427" s="2" t="str">
        <x:f>VLOOKUP(C1427,'MES orders'!$A$8:$H$127,6,FALSE)</x:f>
        <x:v>Normal</x:v>
      </x:c>
      <x:c r="T1427" s="9" t="str"/>
    </x:row>
    <x:row r="1428" ht="22" customHeight="1">
      <x:c r="A1428" s="2" t="str">
        <x:v>L00575-030</x:v>
      </x:c>
      <x:c r="B1428" s="2" t="str">
        <x:v>L00575</x:v>
      </x:c>
      <x:c r="C1428" s="2" t="str">
        <x:v>SO-26115</x:v>
      </x:c>
      <x:c r="D1428" s="2" t="str">
        <x:v>R-C-AL</x:v>
      </x:c>
      <x:c r="E1428" s="14" t="n">
        <x:v>5</x:v>
      </x:c>
      <x:c r="F1428" s="2" t="str">
        <x:v>Wash &amp; dry</x:v>
      </x:c>
      <x:c r="G1428" s="9" t="str">
        <x:v>WS-01</x:v>
      </x:c>
      <x:c r="H1428" s="15" t="n">
        <x:v>134</x:v>
      </x:c>
      <x:c r="I1428" s="9" t="str">
        <x:v>P05</x:v>
      </x:c>
      <x:c r="J1428" s="11" t="n">
        <x:v>46304.50625</x:v>
      </x:c>
      <x:c r="K1428" s="15" t="n">
        <x:v>12</x:v>
      </x:c>
      <x:c r="L1428" s="15" t="n">
        <x:v>1</x:v>
      </x:c>
      <x:c r="M1428" s="13" t="n">
        <x:f>J1428+(K1428+L1428)/1440</x:f>
        <x:v>46304.51527777778</x:v>
      </x:c>
      <x:c r="N1428" s="13" t="n">
        <x:f>VLOOKUP(C1428,'MES orders'!$A$8:$H$127,5,FALSE)</x:f>
        <x:v>46304.666666666664</x:v>
      </x:c>
      <x:c r="O1428" s="16" t="n">
        <x:f>MAX(0,(M1428-N1428)*24)</x:f>
        <x:v>0</x:v>
      </x:c>
      <x:c r="P1428" s="9" t="str">
        <x:v>No</x:v>
      </x:c>
      <x:c r="Q1428" s="15" t="n">
        <x:v>13</x:v>
      </x:c>
      <x:c r="R1428" s="13" t="n">
        <x:f>J1428+Q1428/1440</x:f>
        <x:v>46304.51527777778</x:v>
      </x:c>
      <x:c r="S1428" s="2" t="str">
        <x:f>VLOOKUP(C1428,'MES orders'!$A$8:$H$127,6,FALSE)</x:f>
        <x:v>Normal</x:v>
      </x:c>
      <x:c r="T1428" s="9" t="str"/>
    </x:row>
    <x:row r="1429" ht="22" customHeight="1">
      <x:c r="A1429" s="2" t="str">
        <x:v>L00178-030</x:v>
      </x:c>
      <x:c r="B1429" s="2" t="str">
        <x:v>L00178</x:v>
      </x:c>
      <x:c r="C1429" s="2" t="str">
        <x:v>SO-26036</x:v>
      </x:c>
      <x:c r="D1429" s="2" t="str">
        <x:v>R-L-SS</x:v>
      </x:c>
      <x:c r="E1429" s="14" t="n">
        <x:v>5</x:v>
      </x:c>
      <x:c r="F1429" s="2" t="str">
        <x:v>Wash &amp; dry</x:v>
      </x:c>
      <x:c r="G1429" s="9" t="str">
        <x:v>WS-02</x:v>
      </x:c>
      <x:c r="H1429" s="15" t="n">
        <x:v>94</x:v>
      </x:c>
      <x:c r="I1429" s="9" t="str">
        <x:v>P01</x:v>
      </x:c>
      <x:c r="J1429" s="11" t="n">
        <x:v>46304.50902777778</x:v>
      </x:c>
      <x:c r="K1429" s="15" t="n">
        <x:v>12</x:v>
      </x:c>
      <x:c r="L1429" s="15" t="n">
        <x:v>2</x:v>
      </x:c>
      <x:c r="M1429" s="13" t="n">
        <x:f>J1429+(K1429+L1429)/1440</x:f>
        <x:v>46304.51875</x:v>
      </x:c>
      <x:c r="N1429" s="13" t="n">
        <x:f>VLOOKUP(C1429,'MES orders'!$A$8:$H$127,5,FALSE)</x:f>
        <x:v>46307.666666666664</x:v>
      </x:c>
      <x:c r="O1429" s="16" t="n">
        <x:f>MAX(0,(M1429-N1429)*24)</x:f>
        <x:v>0</x:v>
      </x:c>
      <x:c r="P1429" s="9" t="str">
        <x:v>No</x:v>
      </x:c>
      <x:c r="Q1429" s="15" t="n">
        <x:v>14</x:v>
      </x:c>
      <x:c r="R1429" s="13" t="n">
        <x:f>J1429+Q1429/1440</x:f>
        <x:v>46304.51875</x:v>
      </x:c>
      <x:c r="S1429" s="2" t="str">
        <x:f>VLOOKUP(C1429,'MES orders'!$A$8:$H$127,6,FALSE)</x:f>
        <x:v>High</x:v>
      </x:c>
      <x:c r="T1429" s="9" t="str"/>
    </x:row>
    <x:row r="1430" ht="22" customHeight="1">
      <x:c r="A1430" s="2" t="str">
        <x:v>L00532-050</x:v>
      </x:c>
      <x:c r="B1430" s="2" t="str">
        <x:v>L00532</x:v>
      </x:c>
      <x:c r="C1430" s="2" t="str">
        <x:v>SO-26107</x:v>
      </x:c>
      <x:c r="D1430" s="2" t="str">
        <x:v>D-L-AL</x:v>
      </x:c>
      <x:c r="E1430" s="14" t="n">
        <x:v>25</x:v>
      </x:c>
      <x:c r="F1430" s="2" t="str">
        <x:v>Final leak / function test</x:v>
      </x:c>
      <x:c r="G1430" s="9" t="str">
        <x:v>QA-01</x:v>
      </x:c>
      <x:c r="H1430" s="15" t="n">
        <x:v>57</x:v>
      </x:c>
      <x:c r="I1430" s="9" t="str">
        <x:v>P12</x:v>
      </x:c>
      <x:c r="J1430" s="11" t="n">
        <x:v>46304.513194444444</x:v>
      </x:c>
      <x:c r="K1430" s="15" t="n">
        <x:v>10</x:v>
      </x:c>
      <x:c r="L1430" s="15" t="n">
        <x:v>30</x:v>
      </x:c>
      <x:c r="M1430" s="13" t="n">
        <x:f>J1430+(K1430+L1430)/1440</x:f>
        <x:v>46304.540972222225</x:v>
      </x:c>
      <x:c r="N1430" s="13" t="n">
        <x:f>VLOOKUP(C1430,'MES orders'!$A$8:$H$127,5,FALSE)</x:f>
        <x:v>46304.666666666664</x:v>
      </x:c>
      <x:c r="O1430" s="16" t="n">
        <x:f>MAX(0,(M1430-N1430)*24)</x:f>
        <x:v>0</x:v>
      </x:c>
      <x:c r="P1430" s="9" t="str">
        <x:v>No</x:v>
      </x:c>
      <x:c r="Q1430" s="15" t="n">
        <x:v>40</x:v>
      </x:c>
      <x:c r="R1430" s="13" t="n">
        <x:f>J1430+Q1430/1440</x:f>
        <x:v>46304.540972222225</x:v>
      </x:c>
      <x:c r="S1430" s="2" t="str">
        <x:f>VLOOKUP(C1430,'MES orders'!$A$8:$H$127,6,FALSE)</x:f>
        <x:v>Normal</x:v>
      </x:c>
      <x:c r="T1430" s="9" t="str"/>
    </x:row>
    <x:row r="1431" ht="22" customHeight="1">
      <x:c r="A1431" s="2" t="str">
        <x:v>L00180-020</x:v>
      </x:c>
      <x:c r="B1431" s="2" t="str">
        <x:v>L00180</x:v>
      </x:c>
      <x:c r="C1431" s="2" t="str">
        <x:v>SO-26036</x:v>
      </x:c>
      <x:c r="D1431" s="2" t="str">
        <x:v>R-L-SS</x:v>
      </x:c>
      <x:c r="E1431" s="14" t="n">
        <x:v>5</x:v>
      </x:c>
      <x:c r="F1431" s="2" t="str">
        <x:v>Deburr &amp; inspect</x:v>
      </x:c>
      <x:c r="G1431" s="9" t="str">
        <x:v>DB-01</x:v>
      </x:c>
      <x:c r="H1431" s="15" t="n">
        <x:v>138</x:v>
      </x:c>
      <x:c r="I1431" s="9" t="str">
        <x:v>P03</x:v>
      </x:c>
      <x:c r="J1431" s="11" t="n">
        <x:v>46304.51527777778</x:v>
      </x:c>
      <x:c r="K1431" s="15" t="n">
        <x:v>4</x:v>
      </x:c>
      <x:c r="L1431" s="15" t="n">
        <x:v>5</x:v>
      </x:c>
      <x:c r="M1431" s="13" t="n">
        <x:f>J1431+(K1431+L1431)/1440</x:f>
        <x:v>46304.521527777775</x:v>
      </x:c>
      <x:c r="N1431" s="13" t="n">
        <x:f>VLOOKUP(C1431,'MES orders'!$A$8:$H$127,5,FALSE)</x:f>
        <x:v>46307.666666666664</x:v>
      </x:c>
      <x:c r="O1431" s="16" t="n">
        <x:f>MAX(0,(M1431-N1431)*24)</x:f>
        <x:v>0</x:v>
      </x:c>
      <x:c r="P1431" s="9" t="str">
        <x:v>No</x:v>
      </x:c>
      <x:c r="Q1431" s="15" t="n">
        <x:v>9</x:v>
      </x:c>
      <x:c r="R1431" s="13" t="n">
        <x:f>J1431+Q1431/1440</x:f>
        <x:v>46304.521527777775</x:v>
      </x:c>
      <x:c r="S1431" s="2" t="str">
        <x:f>VLOOKUP(C1431,'MES orders'!$A$8:$H$127,6,FALSE)</x:f>
        <x:v>High</x:v>
      </x:c>
      <x:c r="T1431" s="9" t="str"/>
    </x:row>
    <x:row r="1432" ht="22" customHeight="1">
      <x:c r="A1432" s="2" t="str">
        <x:v>L00179-030</x:v>
      </x:c>
      <x:c r="B1432" s="2" t="str">
        <x:v>L00179</x:v>
      </x:c>
      <x:c r="C1432" s="2" t="str">
        <x:v>SO-26036</x:v>
      </x:c>
      <x:c r="D1432" s="2" t="str">
        <x:v>R-L-SS</x:v>
      </x:c>
      <x:c r="E1432" s="14" t="n">
        <x:v>5</x:v>
      </x:c>
      <x:c r="F1432" s="2" t="str">
        <x:v>Wash &amp; dry</x:v>
      </x:c>
      <x:c r="G1432" s="9" t="str">
        <x:v>WS-01</x:v>
      </x:c>
      <x:c r="H1432" s="15" t="n">
        <x:v>135</x:v>
      </x:c>
      <x:c r="I1432" s="9" t="str">
        <x:v>P02</x:v>
      </x:c>
      <x:c r="J1432" s="11" t="n">
        <x:v>46304.51527777778</x:v>
      </x:c>
      <x:c r="K1432" s="15" t="n">
        <x:v>12</x:v>
      </x:c>
      <x:c r="L1432" s="15" t="n">
        <x:v>2</x:v>
      </x:c>
      <x:c r="M1432" s="13" t="n">
        <x:f>J1432+(K1432+L1432)/1440</x:f>
        <x:v>46304.525</x:v>
      </x:c>
      <x:c r="N1432" s="13" t="n">
        <x:f>VLOOKUP(C1432,'MES orders'!$A$8:$H$127,5,FALSE)</x:f>
        <x:v>46307.666666666664</x:v>
      </x:c>
      <x:c r="O1432" s="16" t="n">
        <x:f>MAX(0,(M1432-N1432)*24)</x:f>
        <x:v>0</x:v>
      </x:c>
      <x:c r="P1432" s="9" t="str">
        <x:v>No</x:v>
      </x:c>
      <x:c r="Q1432" s="15" t="n">
        <x:v>14</x:v>
      </x:c>
      <x:c r="R1432" s="13" t="n">
        <x:f>J1432+Q1432/1440</x:f>
        <x:v>46304.525</x:v>
      </x:c>
      <x:c r="S1432" s="2" t="str">
        <x:f>VLOOKUP(C1432,'MES orders'!$A$8:$H$127,6,FALSE)</x:f>
        <x:v>High</x:v>
      </x:c>
      <x:c r="T1432" s="9" t="str"/>
    </x:row>
    <x:row r="1433" ht="22" customHeight="1">
      <x:c r="A1433" s="2" t="str">
        <x:v>L00412-070</x:v>
      </x:c>
      <x:c r="B1433" s="2" t="str">
        <x:v>L00412</x:v>
      </x:c>
      <x:c r="C1433" s="2" t="str">
        <x:v>SO-26083</x:v>
      </x:c>
      <x:c r="D1433" s="2" t="str">
        <x:v>S-L-AL</x:v>
      </x:c>
      <x:c r="E1433" s="14" t="n">
        <x:v>15</x:v>
      </x:c>
      <x:c r="F1433" s="2" t="str">
        <x:v>Final assembly</x:v>
      </x:c>
      <x:c r="G1433" s="9" t="str">
        <x:v>AS-01</x:v>
      </x:c>
      <x:c r="H1433" s="15" t="n">
        <x:v>116</x:v>
      </x:c>
      <x:c r="I1433" s="9" t="str">
        <x:v>P05</x:v>
      </x:c>
      <x:c r="J1433" s="11" t="n">
        <x:v>46304.51666666667</x:v>
      </x:c>
      <x:c r="K1433" s="15" t="n">
        <x:v>5</x:v>
      </x:c>
      <x:c r="L1433" s="15" t="n">
        <x:v>16</x:v>
      </x:c>
      <x:c r="M1433" s="13" t="n">
        <x:f>J1433+(K1433+L1433)/1440</x:f>
        <x:v>46304.53125</x:v>
      </x:c>
      <x:c r="N1433" s="13" t="n">
        <x:f>VLOOKUP(C1433,'MES orders'!$A$8:$H$127,5,FALSE)</x:f>
        <x:v>46304.666666666664</x:v>
      </x:c>
      <x:c r="O1433" s="16" t="n">
        <x:f>MAX(0,(M1433-N1433)*24)</x:f>
        <x:v>0</x:v>
      </x:c>
      <x:c r="P1433" s="9" t="str">
        <x:v>No</x:v>
      </x:c>
      <x:c r="Q1433" s="15" t="n">
        <x:v>21</x:v>
      </x:c>
      <x:c r="R1433" s="13" t="n">
        <x:f>J1433+Q1433/1440</x:f>
        <x:v>46304.53125</x:v>
      </x:c>
      <x:c r="S1433" s="2" t="str">
        <x:f>VLOOKUP(C1433,'MES orders'!$A$8:$H$127,6,FALSE)</x:f>
        <x:v>Normal</x:v>
      </x:c>
      <x:c r="T1433" s="9" t="str"/>
    </x:row>
    <x:row r="1434" ht="22" customHeight="1">
      <x:c r="A1434" s="2" t="str">
        <x:v>L00413-060</x:v>
      </x:c>
      <x:c r="B1434" s="2" t="str">
        <x:v>L00413</x:v>
      </x:c>
      <x:c r="C1434" s="2" t="str">
        <x:v>SO-26083</x:v>
      </x:c>
      <x:c r="D1434" s="2" t="str">
        <x:v>S-L-AL</x:v>
      </x:c>
      <x:c r="E1434" s="14" t="n">
        <x:v>15</x:v>
      </x:c>
      <x:c r="F1434" s="2" t="str">
        <x:v>Sensor calibration</x:v>
      </x:c>
      <x:c r="G1434" s="9" t="str">
        <x:v>CAL-01</x:v>
      </x:c>
      <x:c r="H1434" s="15" t="n">
        <x:v>68</x:v>
      </x:c>
      <x:c r="I1434" s="9" t="str">
        <x:v>P09</x:v>
      </x:c>
      <x:c r="J1434" s="11" t="n">
        <x:v>46304.51666666667</x:v>
      </x:c>
      <x:c r="K1434" s="15" t="n">
        <x:v>10</x:v>
      </x:c>
      <x:c r="L1434" s="15" t="n">
        <x:v>26</x:v>
      </x:c>
      <x:c r="M1434" s="13" t="n">
        <x:f>J1434+(K1434+L1434)/1440</x:f>
        <x:v>46304.54166666667</x:v>
      </x:c>
      <x:c r="N1434" s="13" t="n">
        <x:f>VLOOKUP(C1434,'MES orders'!$A$8:$H$127,5,FALSE)</x:f>
        <x:v>46304.666666666664</x:v>
      </x:c>
      <x:c r="O1434" s="16" t="n">
        <x:f>MAX(0,(M1434-N1434)*24)</x:f>
        <x:v>0</x:v>
      </x:c>
      <x:c r="P1434" s="9" t="str">
        <x:v>No</x:v>
      </x:c>
      <x:c r="Q1434" s="15" t="n">
        <x:v>36</x:v>
      </x:c>
      <x:c r="R1434" s="13" t="n">
        <x:f>J1434+Q1434/1440</x:f>
        <x:v>46304.54166666667</x:v>
      </x:c>
      <x:c r="S1434" s="2" t="str">
        <x:f>VLOOKUP(C1434,'MES orders'!$A$8:$H$127,6,FALSE)</x:f>
        <x:v>Normal</x:v>
      </x:c>
      <x:c r="T1434" s="9" t="str"/>
    </x:row>
    <x:row r="1435" ht="22" customHeight="1">
      <x:c r="A1435" s="2" t="str">
        <x:v>L00461-020</x:v>
      </x:c>
      <x:c r="B1435" s="2" t="str">
        <x:v>L00461</x:v>
      </x:c>
      <x:c r="C1435" s="2" t="str">
        <x:v>SO-26093</x:v>
      </x:c>
      <x:c r="D1435" s="2" t="str">
        <x:v>S-S-AL</x:v>
      </x:c>
      <x:c r="E1435" s="14" t="n">
        <x:v>15</x:v>
      </x:c>
      <x:c r="F1435" s="2" t="str">
        <x:v>Deburr &amp; inspect</x:v>
      </x:c>
      <x:c r="G1435" s="9" t="str">
        <x:v>DB-02</x:v>
      </x:c>
      <x:c r="H1435" s="15" t="n">
        <x:v>94</x:v>
      </x:c>
      <x:c r="I1435" s="9" t="str">
        <x:v>P07</x:v>
      </x:c>
      <x:c r="J1435" s="11" t="n">
        <x:v>46304.518055555556</x:v>
      </x:c>
      <x:c r="K1435" s="15" t="n">
        <x:v>4</x:v>
      </x:c>
      <x:c r="L1435" s="15" t="n">
        <x:v>10</x:v>
      </x:c>
      <x:c r="M1435" s="13" t="n">
        <x:f>J1435+(K1435+L1435)/1440</x:f>
        <x:v>46304.52777777778</x:v>
      </x:c>
      <x:c r="N1435" s="13" t="n">
        <x:f>VLOOKUP(C1435,'MES orders'!$A$8:$H$127,5,FALSE)</x:f>
        <x:v>46308.666666666664</x:v>
      </x:c>
      <x:c r="O1435" s="16" t="n">
        <x:f>MAX(0,(M1435-N1435)*24)</x:f>
        <x:v>0</x:v>
      </x:c>
      <x:c r="P1435" s="9" t="str">
        <x:v>No</x:v>
      </x:c>
      <x:c r="Q1435" s="15" t="n">
        <x:v>14</x:v>
      </x:c>
      <x:c r="R1435" s="13" t="n">
        <x:f>J1435+Q1435/1440</x:f>
        <x:v>46304.52777777778</x:v>
      </x:c>
      <x:c r="S1435" s="2" t="str">
        <x:f>VLOOKUP(C1435,'MES orders'!$A$8:$H$127,6,FALSE)</x:f>
        <x:v>Urgent</x:v>
      </x:c>
      <x:c r="T1435" s="9" t="str"/>
    </x:row>
    <x:row r="1436" ht="22" customHeight="1">
      <x:c r="A1436" s="2" t="str">
        <x:v>L00178-040</x:v>
      </x:c>
      <x:c r="B1436" s="2" t="str">
        <x:v>L00178</x:v>
      </x:c>
      <x:c r="C1436" s="2" t="str">
        <x:v>SO-26036</x:v>
      </x:c>
      <x:c r="D1436" s="2" t="str">
        <x:v>R-L-SS</x:v>
      </x:c>
      <x:c r="E1436" s="14" t="n">
        <x:v>5</x:v>
      </x:c>
      <x:c r="F1436" s="2" t="str">
        <x:v>Mechanical assembly</x:v>
      </x:c>
      <x:c r="G1436" s="9" t="str">
        <x:v>AS-04</x:v>
      </x:c>
      <x:c r="H1436" s="15" t="n">
        <x:v>49</x:v>
      </x:c>
      <x:c r="I1436" s="9" t="str">
        <x:v>P01</x:v>
      </x:c>
      <x:c r="J1436" s="11" t="n">
        <x:v>46304.51875</x:v>
      </x:c>
      <x:c r="K1436" s="15" t="n">
        <x:v>8</x:v>
      </x:c>
      <x:c r="L1436" s="15" t="n">
        <x:v>12</x:v>
      </x:c>
      <x:c r="M1436" s="13" t="n">
        <x:f>J1436+(K1436+L1436)/1440</x:f>
        <x:v>46304.53263888889</x:v>
      </x:c>
      <x:c r="N1436" s="13" t="n">
        <x:f>VLOOKUP(C1436,'MES orders'!$A$8:$H$127,5,FALSE)</x:f>
        <x:v>46307.666666666664</x:v>
      </x:c>
      <x:c r="O1436" s="16" t="n">
        <x:f>MAX(0,(M1436-N1436)*24)</x:f>
        <x:v>0</x:v>
      </x:c>
      <x:c r="P1436" s="9" t="str">
        <x:v>No</x:v>
      </x:c>
      <x:c r="Q1436" s="15" t="n">
        <x:v>20</x:v>
      </x:c>
      <x:c r="R1436" s="13" t="n">
        <x:f>J1436+Q1436/1440</x:f>
        <x:v>46304.53263888889</x:v>
      </x:c>
      <x:c r="S1436" s="2" t="str">
        <x:f>VLOOKUP(C1436,'MES orders'!$A$8:$H$127,6,FALSE)</x:f>
        <x:v>High</x:v>
      </x:c>
      <x:c r="T1436" s="9" t="str"/>
    </x:row>
    <x:row r="1437" ht="22" customHeight="1">
      <x:c r="A1437" s="2" t="str">
        <x:v>L00180-030</x:v>
      </x:c>
      <x:c r="B1437" s="2" t="str">
        <x:v>L00180</x:v>
      </x:c>
      <x:c r="C1437" s="2" t="str">
        <x:v>SO-26036</x:v>
      </x:c>
      <x:c r="D1437" s="2" t="str">
        <x:v>R-L-SS</x:v>
      </x:c>
      <x:c r="E1437" s="14" t="n">
        <x:v>5</x:v>
      </x:c>
      <x:c r="F1437" s="2" t="str">
        <x:v>Wash &amp; dry</x:v>
      </x:c>
      <x:c r="G1437" s="9" t="str">
        <x:v>WS-02</x:v>
      </x:c>
      <x:c r="H1437" s="15" t="n">
        <x:v>95</x:v>
      </x:c>
      <x:c r="I1437" s="9" t="str">
        <x:v>P03</x:v>
      </x:c>
      <x:c r="J1437" s="11" t="n">
        <x:v>46304.521527777775</x:v>
      </x:c>
      <x:c r="K1437" s="15" t="n">
        <x:v>12</x:v>
      </x:c>
      <x:c r="L1437" s="15" t="n">
        <x:v>2</x:v>
      </x:c>
      <x:c r="M1437" s="13" t="n">
        <x:f>J1437+(K1437+L1437)/1440</x:f>
        <x:v>46304.53125</x:v>
      </x:c>
      <x:c r="N1437" s="13" t="n">
        <x:f>VLOOKUP(C1437,'MES orders'!$A$8:$H$127,5,FALSE)</x:f>
        <x:v>46307.666666666664</x:v>
      </x:c>
      <x:c r="O1437" s="16" t="n">
        <x:f>MAX(0,(M1437-N1437)*24)</x:f>
        <x:v>0</x:v>
      </x:c>
      <x:c r="P1437" s="9" t="str">
        <x:v>No</x:v>
      </x:c>
      <x:c r="Q1437" s="15" t="n">
        <x:v>14</x:v>
      </x:c>
      <x:c r="R1437" s="13" t="n">
        <x:f>J1437+Q1437/1440</x:f>
        <x:v>46304.53125</x:v>
      </x:c>
      <x:c r="S1437" s="2" t="str">
        <x:f>VLOOKUP(C1437,'MES orders'!$A$8:$H$127,6,FALSE)</x:f>
        <x:v>High</x:v>
      </x:c>
      <x:c r="T1437" s="9" t="str"/>
    </x:row>
    <x:row r="1438" ht="22" customHeight="1">
      <x:c r="A1438" s="2" t="str">
        <x:v>L00179-040</x:v>
      </x:c>
      <x:c r="B1438" s="2" t="str">
        <x:v>L00179</x:v>
      </x:c>
      <x:c r="C1438" s="2" t="str">
        <x:v>SO-26036</x:v>
      </x:c>
      <x:c r="D1438" s="2" t="str">
        <x:v>R-L-SS</x:v>
      </x:c>
      <x:c r="E1438" s="14" t="n">
        <x:v>5</x:v>
      </x:c>
      <x:c r="F1438" s="2" t="str">
        <x:v>Mechanical assembly</x:v>
      </x:c>
      <x:c r="G1438" s="9" t="str">
        <x:v>AS-05</x:v>
      </x:c>
      <x:c r="H1438" s="15" t="n">
        <x:v>30</x:v>
      </x:c>
      <x:c r="I1438" s="9" t="str">
        <x:v>P02</x:v>
      </x:c>
      <x:c r="J1438" s="11" t="n">
        <x:v>46304.525</x:v>
      </x:c>
      <x:c r="K1438" s="15" t="n">
        <x:v>8</x:v>
      </x:c>
      <x:c r="L1438" s="15" t="n">
        <x:v>12</x:v>
      </x:c>
      <x:c r="M1438" s="13" t="n">
        <x:f>J1438+(K1438+L1438)/1440</x:f>
        <x:v>46304.53888888889</x:v>
      </x:c>
      <x:c r="N1438" s="13" t="n">
        <x:f>VLOOKUP(C1438,'MES orders'!$A$8:$H$127,5,FALSE)</x:f>
        <x:v>46307.666666666664</x:v>
      </x:c>
      <x:c r="O1438" s="16" t="n">
        <x:f>MAX(0,(M1438-N1438)*24)</x:f>
        <x:v>0</x:v>
      </x:c>
      <x:c r="P1438" s="9" t="str">
        <x:v>No</x:v>
      </x:c>
      <x:c r="Q1438" s="15" t="n">
        <x:v>20</x:v>
      </x:c>
      <x:c r="R1438" s="13" t="n">
        <x:f>J1438+Q1438/1440</x:f>
        <x:v>46304.53888888889</x:v>
      </x:c>
      <x:c r="S1438" s="2" t="str">
        <x:f>VLOOKUP(C1438,'MES orders'!$A$8:$H$127,6,FALSE)</x:f>
        <x:v>High</x:v>
      </x:c>
      <x:c r="T1438" s="9" t="str"/>
    </x:row>
    <x:row r="1439" ht="22" customHeight="1">
      <x:c r="A1439" s="2" t="str">
        <x:v>L00575-040</x:v>
      </x:c>
      <x:c r="B1439" s="2" t="str">
        <x:v>L00575</x:v>
      </x:c>
      <x:c r="C1439" s="2" t="str">
        <x:v>SO-26115</x:v>
      </x:c>
      <x:c r="D1439" s="2" t="str">
        <x:v>R-C-AL</x:v>
      </x:c>
      <x:c r="E1439" s="14" t="n">
        <x:v>5</x:v>
      </x:c>
      <x:c r="F1439" s="2" t="str">
        <x:v>Mechanical assembly</x:v>
      </x:c>
      <x:c r="G1439" s="9" t="str">
        <x:v>AS-01</x:v>
      </x:c>
      <x:c r="H1439" s="15" t="n">
        <x:v>117</x:v>
      </x:c>
      <x:c r="I1439" s="9" t="str">
        <x:v>P05</x:v>
      </x:c>
      <x:c r="J1439" s="11" t="n">
        <x:v>46304.53125</x:v>
      </x:c>
      <x:c r="K1439" s="15" t="n">
        <x:v>8</x:v>
      </x:c>
      <x:c r="L1439" s="15" t="n">
        <x:v>7</x:v>
      </x:c>
      <x:c r="M1439" s="13" t="n">
        <x:f>J1439+(K1439+L1439)/1440</x:f>
        <x:v>46304.541666666664</x:v>
      </x:c>
      <x:c r="N1439" s="13" t="n">
        <x:f>VLOOKUP(C1439,'MES orders'!$A$8:$H$127,5,FALSE)</x:f>
        <x:v>46304.666666666664</x:v>
      </x:c>
      <x:c r="O1439" s="16" t="n">
        <x:f>MAX(0,(M1439-N1439)*24)</x:f>
        <x:v>0</x:v>
      </x:c>
      <x:c r="P1439" s="9" t="str">
        <x:v>No</x:v>
      </x:c>
      <x:c r="Q1439" s="15" t="n">
        <x:v>15</x:v>
      </x:c>
      <x:c r="R1439" s="13" t="n">
        <x:f>J1439+Q1439/1440</x:f>
        <x:v>46304.541666666664</x:v>
      </x:c>
      <x:c r="S1439" s="2" t="str">
        <x:f>VLOOKUP(C1439,'MES orders'!$A$8:$H$127,6,FALSE)</x:f>
        <x:v>Normal</x:v>
      </x:c>
      <x:c r="T1439" s="9" t="str"/>
    </x:row>
    <x:row r="1440" ht="22" customHeight="1">
      <x:c r="A1440" s="2" t="str">
        <x:v>L00180-040</x:v>
      </x:c>
      <x:c r="B1440" s="2" t="str">
        <x:v>L00180</x:v>
      </x:c>
      <x:c r="C1440" s="2" t="str">
        <x:v>SO-26036</x:v>
      </x:c>
      <x:c r="D1440" s="2" t="str">
        <x:v>R-L-SS</x:v>
      </x:c>
      <x:c r="E1440" s="14" t="n">
        <x:v>5</x:v>
      </x:c>
      <x:c r="F1440" s="2" t="str">
        <x:v>Mechanical assembly</x:v>
      </x:c>
      <x:c r="G1440" s="9" t="str">
        <x:v>AS-06</x:v>
      </x:c>
      <x:c r="H1440" s="15" t="n">
        <x:v>11</x:v>
      </x:c>
      <x:c r="I1440" s="9" t="str">
        <x:v>P03</x:v>
      </x:c>
      <x:c r="J1440" s="11" t="n">
        <x:v>46304.53125</x:v>
      </x:c>
      <x:c r="K1440" s="15" t="n">
        <x:v>8</x:v>
      </x:c>
      <x:c r="L1440" s="15" t="n">
        <x:v>12</x:v>
      </x:c>
      <x:c r="M1440" s="13" t="n">
        <x:f>J1440+(K1440+L1440)/1440</x:f>
        <x:v>46304.54513888889</x:v>
      </x:c>
      <x:c r="N1440" s="13" t="n">
        <x:f>VLOOKUP(C1440,'MES orders'!$A$8:$H$127,5,FALSE)</x:f>
        <x:v>46307.666666666664</x:v>
      </x:c>
      <x:c r="O1440" s="16" t="n">
        <x:f>MAX(0,(M1440-N1440)*24)</x:f>
        <x:v>0</x:v>
      </x:c>
      <x:c r="P1440" s="9" t="str">
        <x:v>No</x:v>
      </x:c>
      <x:c r="Q1440" s="15" t="n">
        <x:v>20</x:v>
      </x:c>
      <x:c r="R1440" s="13" t="n">
        <x:f>J1440+Q1440/1440</x:f>
        <x:v>46304.54513888889</x:v>
      </x:c>
      <x:c r="S1440" s="2" t="str">
        <x:f>VLOOKUP(C1440,'MES orders'!$A$8:$H$127,6,FALSE)</x:f>
        <x:v>High</x:v>
      </x:c>
      <x:c r="T1440" s="9" t="str"/>
    </x:row>
    <x:row r="1441" ht="22" customHeight="1">
      <x:c r="A1441" s="2" t="str">
        <x:v>L00412-080</x:v>
      </x:c>
      <x:c r="B1441" s="2" t="str">
        <x:v>L00412</x:v>
      </x:c>
      <x:c r="C1441" s="2" t="str">
        <x:v>SO-26083</x:v>
      </x:c>
      <x:c r="D1441" s="2" t="str">
        <x:v>S-L-AL</x:v>
      </x:c>
      <x:c r="E1441" s="14" t="n">
        <x:v>15</x:v>
      </x:c>
      <x:c r="F1441" s="2" t="str">
        <x:v>Final leak / function test</x:v>
      </x:c>
      <x:c r="G1441" s="9" t="str">
        <x:v>QA-02</x:v>
      </x:c>
      <x:c r="H1441" s="15" t="n">
        <x:v>100</x:v>
      </x:c>
      <x:c r="I1441" s="9" t="str">
        <x:v>P11</x:v>
      </x:c>
      <x:c r="J1441" s="11" t="n">
        <x:v>46304.53125</x:v>
      </x:c>
      <x:c r="K1441" s="15" t="n">
        <x:v>10</x:v>
      </x:c>
      <x:c r="L1441" s="15" t="n">
        <x:v>18</x:v>
      </x:c>
      <x:c r="M1441" s="13" t="n">
        <x:f>J1441+(K1441+L1441)/1440</x:f>
        <x:v>46304.55069444444</x:v>
      </x:c>
      <x:c r="N1441" s="13" t="n">
        <x:f>VLOOKUP(C1441,'MES orders'!$A$8:$H$127,5,FALSE)</x:f>
        <x:v>46304.666666666664</x:v>
      </x:c>
      <x:c r="O1441" s="16" t="n">
        <x:f>MAX(0,(M1441-N1441)*24)</x:f>
        <x:v>0</x:v>
      </x:c>
      <x:c r="P1441" s="9" t="str">
        <x:v>No</x:v>
      </x:c>
      <x:c r="Q1441" s="15" t="n">
        <x:v>28</x:v>
      </x:c>
      <x:c r="R1441" s="13" t="n">
        <x:f>J1441+Q1441/1440</x:f>
        <x:v>46304.55069444444</x:v>
      </x:c>
      <x:c r="S1441" s="2" t="str">
        <x:f>VLOOKUP(C1441,'MES orders'!$A$8:$H$127,6,FALSE)</x:f>
        <x:v>Normal</x:v>
      </x:c>
      <x:c r="T1441" s="9" t="str"/>
    </x:row>
    <x:row r="1442" ht="22" customHeight="1">
      <x:c r="A1442" s="2" t="str">
        <x:v>L00461-030</x:v>
      </x:c>
      <x:c r="B1442" s="2" t="str">
        <x:v>L00461</x:v>
      </x:c>
      <x:c r="C1442" s="2" t="str">
        <x:v>SO-26093</x:v>
      </x:c>
      <x:c r="D1442" s="2" t="str">
        <x:v>S-S-AL</x:v>
      </x:c>
      <x:c r="E1442" s="14" t="n">
        <x:v>15</x:v>
      </x:c>
      <x:c r="F1442" s="2" t="str">
        <x:v>Wash &amp; dry</x:v>
      </x:c>
      <x:c r="G1442" s="9" t="str">
        <x:v>WS-02</x:v>
      </x:c>
      <x:c r="H1442" s="15" t="n">
        <x:v>96</x:v>
      </x:c>
      <x:c r="I1442" s="9" t="str">
        <x:v>P07</x:v>
      </x:c>
      <x:c r="J1442" s="11" t="n">
        <x:v>46304.53125</x:v>
      </x:c>
      <x:c r="K1442" s="15" t="n">
        <x:v>12</x:v>
      </x:c>
      <x:c r="L1442" s="15" t="n">
        <x:v>5</x:v>
      </x:c>
      <x:c r="M1442" s="13" t="n">
        <x:f>J1442+(K1442+L1442)/1440</x:f>
        <x:v>46304.54305555556</x:v>
      </x:c>
      <x:c r="N1442" s="13" t="n">
        <x:f>VLOOKUP(C1442,'MES orders'!$A$8:$H$127,5,FALSE)</x:f>
        <x:v>46308.666666666664</x:v>
      </x:c>
      <x:c r="O1442" s="16" t="n">
        <x:f>MAX(0,(M1442-N1442)*24)</x:f>
        <x:v>0</x:v>
      </x:c>
      <x:c r="P1442" s="9" t="str">
        <x:v>No</x:v>
      </x:c>
      <x:c r="Q1442" s="15" t="n">
        <x:v>17</x:v>
      </x:c>
      <x:c r="R1442" s="13" t="n">
        <x:f>J1442+Q1442/1440</x:f>
        <x:v>46304.54305555556</x:v>
      </x:c>
      <x:c r="S1442" s="2" t="str">
        <x:f>VLOOKUP(C1442,'MES orders'!$A$8:$H$127,6,FALSE)</x:f>
        <x:v>Urgent</x:v>
      </x:c>
      <x:c r="T1442" s="9" t="str"/>
    </x:row>
    <x:row r="1443" ht="22" customHeight="1">
      <x:c r="A1443" s="2" t="str">
        <x:v>L00178-050</x:v>
      </x:c>
      <x:c r="B1443" s="2" t="str">
        <x:v>L00178</x:v>
      </x:c>
      <x:c r="C1443" s="2" t="str">
        <x:v>SO-26036</x:v>
      </x:c>
      <x:c r="D1443" s="2" t="str">
        <x:v>R-L-SS</x:v>
      </x:c>
      <x:c r="E1443" s="14" t="n">
        <x:v>5</x:v>
      </x:c>
      <x:c r="F1443" s="2" t="str">
        <x:v>Valve adjustment</x:v>
      </x:c>
      <x:c r="G1443" s="9" t="str">
        <x:v>AS-04</x:v>
      </x:c>
      <x:c r="H1443" s="15" t="n">
        <x:v>50</x:v>
      </x:c>
      <x:c r="I1443" s="9" t="str">
        <x:v>P08</x:v>
      </x:c>
      <x:c r="J1443" s="11" t="n">
        <x:v>46304.532638888886</x:v>
      </x:c>
      <x:c r="K1443" s="15" t="n">
        <x:v>6</x:v>
      </x:c>
      <x:c r="L1443" s="15" t="n">
        <x:v>7</x:v>
      </x:c>
      <x:c r="M1443" s="13" t="n">
        <x:f>J1443+(K1443+L1443)/1440</x:f>
        <x:v>46304.541666666664</x:v>
      </x:c>
      <x:c r="N1443" s="13" t="n">
        <x:f>VLOOKUP(C1443,'MES orders'!$A$8:$H$127,5,FALSE)</x:f>
        <x:v>46307.666666666664</x:v>
      </x:c>
      <x:c r="O1443" s="16" t="n">
        <x:f>MAX(0,(M1443-N1443)*24)</x:f>
        <x:v>0</x:v>
      </x:c>
      <x:c r="P1443" s="9" t="str">
        <x:v>No</x:v>
      </x:c>
      <x:c r="Q1443" s="15" t="n">
        <x:v>13</x:v>
      </x:c>
      <x:c r="R1443" s="13" t="n">
        <x:f>J1443+Q1443/1440</x:f>
        <x:v>46304.541666666664</x:v>
      </x:c>
      <x:c r="S1443" s="2" t="str">
        <x:f>VLOOKUP(C1443,'MES orders'!$A$8:$H$127,6,FALSE)</x:f>
        <x:v>High</x:v>
      </x:c>
      <x:c r="T1443" s="9" t="str"/>
    </x:row>
    <x:row r="1444" ht="22" customHeight="1">
      <x:c r="A1444" s="2" t="str">
        <x:v>L00457-010</x:v>
      </x:c>
      <x:c r="B1444" s="2" t="str">
        <x:v>L00457</x:v>
      </x:c>
      <x:c r="C1444" s="2" t="str">
        <x:v>SO-26092</x:v>
      </x:c>
      <x:c r="D1444" s="2" t="str">
        <x:v>R-C-SS</x:v>
      </x:c>
      <x:c r="E1444" s="14" t="n">
        <x:v>25</x:v>
      </x:c>
      <x:c r="F1444" s="2" t="str">
        <x:v>CNC machining</x:v>
      </x:c>
      <x:c r="G1444" s="9" t="str">
        <x:v>CNC-03</x:v>
      </x:c>
      <x:c r="H1444" s="15" t="n">
        <x:v>45</x:v>
      </x:c>
      <x:c r="I1444" s="9" t="str">
        <x:v>P01</x:v>
      </x:c>
      <x:c r="J1444" s="11" t="n">
        <x:v>46304.532638888886</x:v>
      </x:c>
      <x:c r="K1444" s="15" t="n">
        <x:v>18</x:v>
      </x:c>
      <x:c r="L1444" s="15" t="n">
        <x:v>60</x:v>
      </x:c>
      <x:c r="M1444" s="13" t="n">
        <x:f>J1444+(K1444+L1444)/1440</x:f>
        <x:v>46304.586805555555</x:v>
      </x:c>
      <x:c r="N1444" s="13" t="n">
        <x:f>VLOOKUP(C1444,'MES orders'!$A$8:$H$127,5,FALSE)</x:f>
        <x:v>46307.666666666664</x:v>
      </x:c>
      <x:c r="O1444" s="16" t="n">
        <x:f>MAX(0,(M1444-N1444)*24)</x:f>
        <x:v>0</x:v>
      </x:c>
      <x:c r="P1444" s="9" t="str">
        <x:v>No</x:v>
      </x:c>
      <x:c r="Q1444" s="15" t="n">
        <x:v>18</x:v>
      </x:c>
      <x:c r="R1444" s="13" t="n">
        <x:f>J1444+Q1444/1440</x:f>
        <x:v>46304.54513888888</x:v>
      </x:c>
      <x:c r="S1444" s="2" t="str">
        <x:f>VLOOKUP(C1444,'MES orders'!$A$8:$H$127,6,FALSE)</x:f>
        <x:v>High</x:v>
      </x:c>
      <x:c r="T1444" s="9" t="str"/>
    </x:row>
    <x:row r="1445" ht="22" customHeight="1">
      <x:c r="A1445" s="2" t="str">
        <x:v>L00535-030</x:v>
      </x:c>
      <x:c r="B1445" s="2" t="str">
        <x:v>L00535</x:v>
      </x:c>
      <x:c r="C1445" s="2" t="str">
        <x:v>SO-26107</x:v>
      </x:c>
      <x:c r="D1445" s="2" t="str">
        <x:v>D-L-AL</x:v>
      </x:c>
      <x:c r="E1445" s="14" t="n">
        <x:v>25</x:v>
      </x:c>
      <x:c r="F1445" s="2" t="str">
        <x:v>Wash &amp; dry</x:v>
      </x:c>
      <x:c r="G1445" s="9" t="str">
        <x:v>WS-01</x:v>
      </x:c>
      <x:c r="H1445" s="15" t="n">
        <x:v>136</x:v>
      </x:c>
      <x:c r="I1445" s="9" t="str">
        <x:v>P04</x:v>
      </x:c>
      <x:c r="J1445" s="11" t="n">
        <x:v>46304.53333333333</x:v>
      </x:c>
      <x:c r="K1445" s="15" t="n">
        <x:v>12</x:v>
      </x:c>
      <x:c r="L1445" s="15" t="n">
        <x:v>12</x:v>
      </x:c>
      <x:c r="M1445" s="13" t="n">
        <x:f>J1445+(K1445+L1445)/1440</x:f>
        <x:v>46304.55</x:v>
      </x:c>
      <x:c r="N1445" s="13" t="n">
        <x:f>VLOOKUP(C1445,'MES orders'!$A$8:$H$127,5,FALSE)</x:f>
        <x:v>46304.666666666664</x:v>
      </x:c>
      <x:c r="O1445" s="16" t="n">
        <x:f>MAX(0,(M1445-N1445)*24)</x:f>
        <x:v>0</x:v>
      </x:c>
      <x:c r="P1445" s="9" t="str">
        <x:v>No</x:v>
      </x:c>
      <x:c r="Q1445" s="15" t="n">
        <x:v>24</x:v>
      </x:c>
      <x:c r="R1445" s="13" t="n">
        <x:f>J1445+Q1445/1440</x:f>
        <x:v>46304.55</x:v>
      </x:c>
      <x:c r="S1445" s="2" t="str">
        <x:f>VLOOKUP(C1445,'MES orders'!$A$8:$H$127,6,FALSE)</x:f>
        <x:v>Normal</x:v>
      </x:c>
      <x:c r="T1445" s="9" t="str"/>
    </x:row>
    <x:row r="1446" ht="22" customHeight="1">
      <x:c r="A1446" s="2" t="str">
        <x:v>L00458-010</x:v>
      </x:c>
      <x:c r="B1446" s="2" t="str">
        <x:v>L00458</x:v>
      </x:c>
      <x:c r="C1446" s="2" t="str">
        <x:v>SO-26092</x:v>
      </x:c>
      <x:c r="D1446" s="2" t="str">
        <x:v>R-C-SS</x:v>
      </x:c>
      <x:c r="E1446" s="14" t="n">
        <x:v>25</x:v>
      </x:c>
      <x:c r="F1446" s="2" t="str">
        <x:v>CNC machining</x:v>
      </x:c>
      <x:c r="G1446" s="9" t="str">
        <x:v>CNC-04</x:v>
      </x:c>
      <x:c r="H1446" s="15" t="n">
        <x:v>43</x:v>
      </x:c>
      <x:c r="I1446" s="9" t="str">
        <x:v>P02</x:v>
      </x:c>
      <x:c r="J1446" s="11" t="n">
        <x:v>46304.53888888889</x:v>
      </x:c>
      <x:c r="K1446" s="15" t="n">
        <x:v>18</x:v>
      </x:c>
      <x:c r="L1446" s="15" t="n">
        <x:v>60</x:v>
      </x:c>
      <x:c r="M1446" s="13" t="n">
        <x:f>J1446+(K1446+L1446)/1440</x:f>
        <x:v>46304.59305555556</x:v>
      </x:c>
      <x:c r="N1446" s="13" t="n">
        <x:f>VLOOKUP(C1446,'MES orders'!$A$8:$H$127,5,FALSE)</x:f>
        <x:v>46307.666666666664</x:v>
      </x:c>
      <x:c r="O1446" s="16" t="n">
        <x:f>MAX(0,(M1446-N1446)*24)</x:f>
        <x:v>0</x:v>
      </x:c>
      <x:c r="P1446" s="9" t="str">
        <x:v>No</x:v>
      </x:c>
      <x:c r="Q1446" s="15" t="n">
        <x:v>18</x:v>
      </x:c>
      <x:c r="R1446" s="13" t="n">
        <x:f>J1446+Q1446/1440</x:f>
        <x:v>46304.55138888889</x:v>
      </x:c>
      <x:c r="S1446" s="2" t="str">
        <x:f>VLOOKUP(C1446,'MES orders'!$A$8:$H$127,6,FALSE)</x:f>
        <x:v>High</x:v>
      </x:c>
      <x:c r="T1446" s="9" t="str"/>
    </x:row>
    <x:row r="1447" ht="22" customHeight="1">
      <x:c r="A1447" s="2" t="str">
        <x:v>L00533-050</x:v>
      </x:c>
      <x:c r="B1447" s="2" t="str">
        <x:v>L00533</x:v>
      </x:c>
      <x:c r="C1447" s="2" t="str">
        <x:v>SO-26107</x:v>
      </x:c>
      <x:c r="D1447" s="2" t="str">
        <x:v>D-L-AL</x:v>
      </x:c>
      <x:c r="E1447" s="14" t="n">
        <x:v>25</x:v>
      </x:c>
      <x:c r="F1447" s="2" t="str">
        <x:v>Final leak / function test</x:v>
      </x:c>
      <x:c r="G1447" s="9" t="str">
        <x:v>QA-01</x:v>
      </x:c>
      <x:c r="H1447" s="15" t="n">
        <x:v>58</x:v>
      </x:c>
      <x:c r="I1447" s="9" t="str">
        <x:v>P12</x:v>
      </x:c>
      <x:c r="J1447" s="11" t="n">
        <x:v>46304.540972222225</x:v>
      </x:c>
      <x:c r="K1447" s="15" t="n">
        <x:v>10</x:v>
      </x:c>
      <x:c r="L1447" s="15" t="n">
        <x:v>30</x:v>
      </x:c>
      <x:c r="M1447" s="13" t="n">
        <x:f>J1447+(K1447+L1447)/1440</x:f>
        <x:v>46304.568750000006</x:v>
      </x:c>
      <x:c r="N1447" s="13" t="n">
        <x:f>VLOOKUP(C1447,'MES orders'!$A$8:$H$127,5,FALSE)</x:f>
        <x:v>46304.666666666664</x:v>
      </x:c>
      <x:c r="O1447" s="16" t="n">
        <x:f>MAX(0,(M1447-N1447)*24)</x:f>
        <x:v>0</x:v>
      </x:c>
      <x:c r="P1447" s="9" t="str">
        <x:v>No</x:v>
      </x:c>
      <x:c r="Q1447" s="15" t="n">
        <x:v>40</x:v>
      </x:c>
      <x:c r="R1447" s="13" t="n">
        <x:f>J1447+Q1447/1440</x:f>
        <x:v>46304.568750000006</x:v>
      </x:c>
      <x:c r="S1447" s="2" t="str">
        <x:f>VLOOKUP(C1447,'MES orders'!$A$8:$H$127,6,FALSE)</x:f>
        <x:v>Normal</x:v>
      </x:c>
      <x:c r="T1447" s="9" t="str"/>
    </x:row>
    <x:row r="1448" ht="22" customHeight="1">
      <x:c r="A1448" s="2" t="str">
        <x:v>L00413-070</x:v>
      </x:c>
      <x:c r="B1448" s="2" t="str">
        <x:v>L00413</x:v>
      </x:c>
      <x:c r="C1448" s="2" t="str">
        <x:v>SO-26083</x:v>
      </x:c>
      <x:c r="D1448" s="2" t="str">
        <x:v>S-L-AL</x:v>
      </x:c>
      <x:c r="E1448" s="14" t="n">
        <x:v>15</x:v>
      </x:c>
      <x:c r="F1448" s="2" t="str">
        <x:v>Final assembly</x:v>
      </x:c>
      <x:c r="G1448" s="9" t="str">
        <x:v>AS-01</x:v>
      </x:c>
      <x:c r="H1448" s="15" t="n">
        <x:v>118</x:v>
      </x:c>
      <x:c r="I1448" s="9" t="str">
        <x:v>P05</x:v>
      </x:c>
      <x:c r="J1448" s="11" t="n">
        <x:v>46304.541666666664</x:v>
      </x:c>
      <x:c r="K1448" s="15" t="n">
        <x:v>5</x:v>
      </x:c>
      <x:c r="L1448" s="15" t="n">
        <x:v>16</x:v>
      </x:c>
      <x:c r="M1448" s="13" t="n">
        <x:f>J1448+(K1448+L1448)/1440</x:f>
        <x:v>46304.556249999994</x:v>
      </x:c>
      <x:c r="N1448" s="13" t="n">
        <x:f>VLOOKUP(C1448,'MES orders'!$A$8:$H$127,5,FALSE)</x:f>
        <x:v>46304.666666666664</x:v>
      </x:c>
      <x:c r="O1448" s="16" t="n">
        <x:f>MAX(0,(M1448-N1448)*24)</x:f>
        <x:v>0</x:v>
      </x:c>
      <x:c r="P1448" s="9" t="str">
        <x:v>No</x:v>
      </x:c>
      <x:c r="Q1448" s="15" t="n">
        <x:v>21</x:v>
      </x:c>
      <x:c r="R1448" s="13" t="n">
        <x:f>J1448+Q1448/1440</x:f>
        <x:v>46304.556249999994</x:v>
      </x:c>
      <x:c r="S1448" s="2" t="str">
        <x:f>VLOOKUP(C1448,'MES orders'!$A$8:$H$127,6,FALSE)</x:f>
        <x:v>Normal</x:v>
      </x:c>
      <x:c r="T1448" s="9" t="str"/>
    </x:row>
    <x:row r="1449" ht="22" customHeight="1">
      <x:c r="A1449" s="2" t="str">
        <x:v>L00179-050</x:v>
      </x:c>
      <x:c r="B1449" s="2" t="str">
        <x:v>L00179</x:v>
      </x:c>
      <x:c r="C1449" s="2" t="str">
        <x:v>SO-26036</x:v>
      </x:c>
      <x:c r="D1449" s="2" t="str">
        <x:v>R-L-SS</x:v>
      </x:c>
      <x:c r="E1449" s="14" t="n">
        <x:v>5</x:v>
      </x:c>
      <x:c r="F1449" s="2" t="str">
        <x:v>Valve adjustment</x:v>
      </x:c>
      <x:c r="G1449" s="9" t="str">
        <x:v>AS-04</x:v>
      </x:c>
      <x:c r="H1449" s="15" t="n">
        <x:v>51</x:v>
      </x:c>
      <x:c r="I1449" s="9" t="str">
        <x:v>P08</x:v>
      </x:c>
      <x:c r="J1449" s="11" t="n">
        <x:v>46304.541666666664</x:v>
      </x:c>
      <x:c r="K1449" s="15" t="n">
        <x:v>6</x:v>
      </x:c>
      <x:c r="L1449" s="15" t="n">
        <x:v>7</x:v>
      </x:c>
      <x:c r="M1449" s="13" t="n">
        <x:f>J1449+(K1449+L1449)/1440</x:f>
        <x:v>46304.55069444444</x:v>
      </x:c>
      <x:c r="N1449" s="13" t="n">
        <x:f>VLOOKUP(C1449,'MES orders'!$A$8:$H$127,5,FALSE)</x:f>
        <x:v>46307.666666666664</x:v>
      </x:c>
      <x:c r="O1449" s="16" t="n">
        <x:f>MAX(0,(M1449-N1449)*24)</x:f>
        <x:v>0</x:v>
      </x:c>
      <x:c r="P1449" s="9" t="str">
        <x:v>No</x:v>
      </x:c>
      <x:c r="Q1449" s="15" t="n">
        <x:v>13</x:v>
      </x:c>
      <x:c r="R1449" s="13" t="n">
        <x:f>J1449+Q1449/1440</x:f>
        <x:v>46304.55069444444</x:v>
      </x:c>
      <x:c r="S1449" s="2" t="str">
        <x:f>VLOOKUP(C1449,'MES orders'!$A$8:$H$127,6,FALSE)</x:f>
        <x:v>High</x:v>
      </x:c>
      <x:c r="T1449" s="9" t="str"/>
    </x:row>
    <x:row r="1450" ht="22" customHeight="1">
      <x:c r="A1450" s="2" t="str">
        <x:v>L00414-060</x:v>
      </x:c>
      <x:c r="B1450" s="2" t="str">
        <x:v>L00414</x:v>
      </x:c>
      <x:c r="C1450" s="2" t="str">
        <x:v>SO-26083</x:v>
      </x:c>
      <x:c r="D1450" s="2" t="str">
        <x:v>S-L-AL</x:v>
      </x:c>
      <x:c r="E1450" s="14" t="n">
        <x:v>15</x:v>
      </x:c>
      <x:c r="F1450" s="2" t="str">
        <x:v>Sensor calibration</x:v>
      </x:c>
      <x:c r="G1450" s="9" t="str">
        <x:v>CAL-01</x:v>
      </x:c>
      <x:c r="H1450" s="15" t="n">
        <x:v>69</x:v>
      </x:c>
      <x:c r="I1450" s="9" t="str">
        <x:v>P09</x:v>
      </x:c>
      <x:c r="J1450" s="11" t="n">
        <x:v>46304.541666666664</x:v>
      </x:c>
      <x:c r="K1450" s="15" t="n">
        <x:v>10</x:v>
      </x:c>
      <x:c r="L1450" s="15" t="n">
        <x:v>26</x:v>
      </x:c>
      <x:c r="M1450" s="13" t="n">
        <x:f>J1450+(K1450+L1450)/1440</x:f>
        <x:v>46304.566666666666</x:v>
      </x:c>
      <x:c r="N1450" s="13" t="n">
        <x:f>VLOOKUP(C1450,'MES orders'!$A$8:$H$127,5,FALSE)</x:f>
        <x:v>46304.666666666664</x:v>
      </x:c>
      <x:c r="O1450" s="16" t="n">
        <x:f>MAX(0,(M1450-N1450)*24)</x:f>
        <x:v>0</x:v>
      </x:c>
      <x:c r="P1450" s="9" t="str">
        <x:v>No</x:v>
      </x:c>
      <x:c r="Q1450" s="15" t="n">
        <x:v>36</x:v>
      </x:c>
      <x:c r="R1450" s="13" t="n">
        <x:f>J1450+Q1450/1440</x:f>
        <x:v>46304.566666666666</x:v>
      </x:c>
      <x:c r="S1450" s="2" t="str">
        <x:f>VLOOKUP(C1450,'MES orders'!$A$8:$H$127,6,FALSE)</x:f>
        <x:v>Normal</x:v>
      </x:c>
      <x:c r="T1450" s="9" t="str"/>
    </x:row>
    <x:row r="1451" ht="22" customHeight="1">
      <x:c r="A1451" s="2" t="str">
        <x:v>L00178-060</x:v>
      </x:c>
      <x:c r="B1451" s="2" t="str">
        <x:v>L00178</x:v>
      </x:c>
      <x:c r="C1451" s="2" t="str">
        <x:v>SO-26036</x:v>
      </x:c>
      <x:c r="D1451" s="2" t="str">
        <x:v>R-L-SS</x:v>
      </x:c>
      <x:c r="E1451" s="14" t="n">
        <x:v>5</x:v>
      </x:c>
      <x:c r="F1451" s="2" t="str">
        <x:v>Final leak / function test</x:v>
      </x:c>
      <x:c r="G1451" s="9" t="str">
        <x:v>QA-03</x:v>
      </x:c>
      <x:c r="H1451" s="15" t="n">
        <x:v>61</x:v>
      </x:c>
      <x:c r="I1451" s="9" t="str">
        <x:v>P10</x:v>
      </x:c>
      <x:c r="J1451" s="11" t="n">
        <x:v>46304.541666666664</x:v>
      </x:c>
      <x:c r="K1451" s="15" t="n">
        <x:v>10</x:v>
      </x:c>
      <x:c r="L1451" s="15" t="n">
        <x:v>6</x:v>
      </x:c>
      <x:c r="M1451" s="13" t="n">
        <x:f>J1451+(K1451+L1451)/1440</x:f>
        <x:v>46304.552777777775</x:v>
      </x:c>
      <x:c r="N1451" s="13" t="n">
        <x:f>VLOOKUP(C1451,'MES orders'!$A$8:$H$127,5,FALSE)</x:f>
        <x:v>46307.666666666664</x:v>
      </x:c>
      <x:c r="O1451" s="16" t="n">
        <x:f>MAX(0,(M1451-N1451)*24)</x:f>
        <x:v>0</x:v>
      </x:c>
      <x:c r="P1451" s="9" t="str">
        <x:v>No</x:v>
      </x:c>
      <x:c r="Q1451" s="15" t="n">
        <x:v>16</x:v>
      </x:c>
      <x:c r="R1451" s="13" t="n">
        <x:f>J1451+Q1451/1440</x:f>
        <x:v>46304.552777777775</x:v>
      </x:c>
      <x:c r="S1451" s="2" t="str">
        <x:f>VLOOKUP(C1451,'MES orders'!$A$8:$H$127,6,FALSE)</x:f>
        <x:v>High</x:v>
      </x:c>
      <x:c r="T1451" s="9" t="str"/>
    </x:row>
    <x:row r="1452" ht="22" customHeight="1">
      <x:c r="A1452" s="2" t="str">
        <x:v>L00461-040</x:v>
      </x:c>
      <x:c r="B1452" s="2" t="str">
        <x:v>L00461</x:v>
      </x:c>
      <x:c r="C1452" s="2" t="str">
        <x:v>SO-26093</x:v>
      </x:c>
      <x:c r="D1452" s="2" t="str">
        <x:v>S-S-AL</x:v>
      </x:c>
      <x:c r="E1452" s="14" t="n">
        <x:v>15</x:v>
      </x:c>
      <x:c r="F1452" s="2" t="str">
        <x:v>Mechanical preassembly</x:v>
      </x:c>
      <x:c r="G1452" s="9" t="str">
        <x:v>AS-05</x:v>
      </x:c>
      <x:c r="H1452" s="15" t="n">
        <x:v>31</x:v>
      </x:c>
      <x:c r="I1452" s="9" t="str">
        <x:v>P07</x:v>
      </x:c>
      <x:c r="J1452" s="11" t="n">
        <x:v>46304.54305555556</x:v>
      </x:c>
      <x:c r="K1452" s="15" t="n">
        <x:v>6</x:v>
      </x:c>
      <x:c r="L1452" s="15" t="n">
        <x:v>16</x:v>
      </x:c>
      <x:c r="M1452" s="13" t="n">
        <x:f>J1452+(K1452+L1452)/1440</x:f>
        <x:v>46304.558333333334</x:v>
      </x:c>
      <x:c r="N1452" s="13" t="n">
        <x:f>VLOOKUP(C1452,'MES orders'!$A$8:$H$127,5,FALSE)</x:f>
        <x:v>46308.666666666664</x:v>
      </x:c>
      <x:c r="O1452" s="16" t="n">
        <x:f>MAX(0,(M1452-N1452)*24)</x:f>
        <x:v>0</x:v>
      </x:c>
      <x:c r="P1452" s="9" t="str">
        <x:v>No</x:v>
      </x:c>
      <x:c r="Q1452" s="15" t="n">
        <x:v>22</x:v>
      </x:c>
      <x:c r="R1452" s="13" t="n">
        <x:f>J1452+Q1452/1440</x:f>
        <x:v>46304.558333333334</x:v>
      </x:c>
      <x:c r="S1452" s="2" t="str">
        <x:f>VLOOKUP(C1452,'MES orders'!$A$8:$H$127,6,FALSE)</x:f>
        <x:v>Urgent</x:v>
      </x:c>
      <x:c r="T1452" s="9" t="str"/>
    </x:row>
    <x:row r="1453" ht="22" customHeight="1">
      <x:c r="A1453" s="2" t="str">
        <x:v>L00459-010</x:v>
      </x:c>
      <x:c r="B1453" s="2" t="str">
        <x:v>L00459</x:v>
      </x:c>
      <x:c r="C1453" s="2" t="str">
        <x:v>SO-26092</x:v>
      </x:c>
      <x:c r="D1453" s="2" t="str">
        <x:v>R-C-SS</x:v>
      </x:c>
      <x:c r="E1453" s="14" t="n">
        <x:v>25</x:v>
      </x:c>
      <x:c r="F1453" s="2" t="str">
        <x:v>CNC machining</x:v>
      </x:c>
      <x:c r="G1453" s="9" t="str">
        <x:v>CNC-05</x:v>
      </x:c>
      <x:c r="H1453" s="15" t="n">
        <x:v>39</x:v>
      </x:c>
      <x:c r="I1453" s="9" t="str">
        <x:v>P01</x:v>
      </x:c>
      <x:c r="J1453" s="11" t="n">
        <x:v>46304.54513888889</x:v>
      </x:c>
      <x:c r="K1453" s="15" t="n">
        <x:v>18</x:v>
      </x:c>
      <x:c r="L1453" s="15" t="n">
        <x:v>60</x:v>
      </x:c>
      <x:c r="M1453" s="13" t="n">
        <x:f>J1453+(K1453+L1453)/1440</x:f>
        <x:v>46304.59930555556</x:v>
      </x:c>
      <x:c r="N1453" s="13" t="n">
        <x:f>VLOOKUP(C1453,'MES orders'!$A$8:$H$127,5,FALSE)</x:f>
        <x:v>46307.666666666664</x:v>
      </x:c>
      <x:c r="O1453" s="16" t="n">
        <x:f>MAX(0,(M1453-N1453)*24)</x:f>
        <x:v>0</x:v>
      </x:c>
      <x:c r="P1453" s="9" t="str">
        <x:v>No</x:v>
      </x:c>
      <x:c r="Q1453" s="15" t="n">
        <x:v>18</x:v>
      </x:c>
      <x:c r="R1453" s="13" t="n">
        <x:f>J1453+Q1453/1440</x:f>
        <x:v>46304.55763888889</x:v>
      </x:c>
      <x:c r="S1453" s="2" t="str">
        <x:f>VLOOKUP(C1453,'MES orders'!$A$8:$H$127,6,FALSE)</x:f>
        <x:v>High</x:v>
      </x:c>
      <x:c r="T1453" s="9" t="str"/>
    </x:row>
    <x:row r="1454" ht="22" customHeight="1">
      <x:c r="A1454" s="2" t="str">
        <x:v>L00460-010</x:v>
      </x:c>
      <x:c r="B1454" s="2" t="str">
        <x:v>L00460</x:v>
      </x:c>
      <x:c r="C1454" s="2" t="str">
        <x:v>SO-26092</x:v>
      </x:c>
      <x:c r="D1454" s="2" t="str">
        <x:v>R-C-SS</x:v>
      </x:c>
      <x:c r="E1454" s="14" t="n">
        <x:v>25</x:v>
      </x:c>
      <x:c r="F1454" s="2" t="str">
        <x:v>CNC machining</x:v>
      </x:c>
      <x:c r="G1454" s="9" t="str">
        <x:v>CNC-06</x:v>
      </x:c>
      <x:c r="H1454" s="15" t="n">
        <x:v>36</x:v>
      </x:c>
      <x:c r="I1454" s="9" t="str">
        <x:v>P03</x:v>
      </x:c>
      <x:c r="J1454" s="11" t="n">
        <x:v>46304.54861111111</x:v>
      </x:c>
      <x:c r="K1454" s="15" t="n">
        <x:v>18</x:v>
      </x:c>
      <x:c r="L1454" s="15" t="n">
        <x:v>60</x:v>
      </x:c>
      <x:c r="M1454" s="13" t="n">
        <x:f>J1454+(K1454+L1454)/1440</x:f>
        <x:v>46304.60277777778</x:v>
      </x:c>
      <x:c r="N1454" s="13" t="n">
        <x:f>VLOOKUP(C1454,'MES orders'!$A$8:$H$127,5,FALSE)</x:f>
        <x:v>46307.666666666664</x:v>
      </x:c>
      <x:c r="O1454" s="16" t="n">
        <x:f>MAX(0,(M1454-N1454)*24)</x:f>
        <x:v>0</x:v>
      </x:c>
      <x:c r="P1454" s="9" t="str">
        <x:v>No</x:v>
      </x:c>
      <x:c r="Q1454" s="15" t="n">
        <x:v>18</x:v>
      </x:c>
      <x:c r="R1454" s="13" t="n">
        <x:f>J1454+Q1454/1440</x:f>
        <x:v>46304.56111111111</x:v>
      </x:c>
      <x:c r="S1454" s="2" t="str">
        <x:f>VLOOKUP(C1454,'MES orders'!$A$8:$H$127,6,FALSE)</x:f>
        <x:v>High</x:v>
      </x:c>
      <x:c r="T1454" s="9" t="str"/>
    </x:row>
    <x:row r="1455" ht="22" customHeight="1">
      <x:c r="A1455" s="2" t="str">
        <x:v>L00575-050</x:v>
      </x:c>
      <x:c r="B1455" s="2" t="str">
        <x:v>L00575</x:v>
      </x:c>
      <x:c r="C1455" s="2" t="str">
        <x:v>SO-26115</x:v>
      </x:c>
      <x:c r="D1455" s="2" t="str">
        <x:v>R-C-AL</x:v>
      </x:c>
      <x:c r="E1455" s="14" t="n">
        <x:v>5</x:v>
      </x:c>
      <x:c r="F1455" s="2" t="str">
        <x:v>Valve adjustment</x:v>
      </x:c>
      <x:c r="G1455" s="9" t="str">
        <x:v>AS-02</x:v>
      </x:c>
      <x:c r="H1455" s="15" t="n">
        <x:v>95</x:v>
      </x:c>
      <x:c r="I1455" s="9" t="str">
        <x:v>P06</x:v>
      </x:c>
      <x:c r="J1455" s="11" t="n">
        <x:v>46304.55</x:v>
      </x:c>
      <x:c r="K1455" s="15" t="n">
        <x:v>6</x:v>
      </x:c>
      <x:c r="L1455" s="15" t="n">
        <x:v>4</x:v>
      </x:c>
      <x:c r="M1455" s="13" t="n">
        <x:f>J1455+(K1455+L1455)/1440</x:f>
        <x:v>46304.55694444445</x:v>
      </x:c>
      <x:c r="N1455" s="13" t="n">
        <x:f>VLOOKUP(C1455,'MES orders'!$A$8:$H$127,5,FALSE)</x:f>
        <x:v>46304.666666666664</x:v>
      </x:c>
      <x:c r="O1455" s="16" t="n">
        <x:f>MAX(0,(M1455-N1455)*24)</x:f>
        <x:v>0</x:v>
      </x:c>
      <x:c r="P1455" s="9" t="str">
        <x:v>No</x:v>
      </x:c>
      <x:c r="Q1455" s="15" t="n">
        <x:v>10</x:v>
      </x:c>
      <x:c r="R1455" s="13" t="n">
        <x:f>J1455+Q1455/1440</x:f>
        <x:v>46304.55694444445</x:v>
      </x:c>
      <x:c r="S1455" s="2" t="str">
        <x:f>VLOOKUP(C1455,'MES orders'!$A$8:$H$127,6,FALSE)</x:f>
        <x:v>Normal</x:v>
      </x:c>
      <x:c r="T1455" s="9" t="str"/>
    </x:row>
    <x:row r="1456" ht="22" customHeight="1">
      <x:c r="A1456" s="2" t="str">
        <x:v>L00579-020</x:v>
      </x:c>
      <x:c r="B1456" s="2" t="str">
        <x:v>L00579</x:v>
      </x:c>
      <x:c r="C1456" s="2" t="str">
        <x:v>SO-26116</x:v>
      </x:c>
      <x:c r="D1456" s="2" t="str">
        <x:v>S-C-SS</x:v>
      </x:c>
      <x:c r="E1456" s="14" t="n">
        <x:v>5</x:v>
      </x:c>
      <x:c r="F1456" s="2" t="str">
        <x:v>Deburr &amp; inspect</x:v>
      </x:c>
      <x:c r="G1456" s="9" t="str">
        <x:v>DB-01</x:v>
      </x:c>
      <x:c r="H1456" s="15" t="n">
        <x:v>139</x:v>
      </x:c>
      <x:c r="I1456" s="9" t="str">
        <x:v>P04</x:v>
      </x:c>
      <x:c r="J1456" s="11" t="n">
        <x:v>46304.55</x:v>
      </x:c>
      <x:c r="K1456" s="15" t="n">
        <x:v>4</x:v>
      </x:c>
      <x:c r="L1456" s="15" t="n">
        <x:v>3</x:v>
      </x:c>
      <x:c r="M1456" s="13" t="n">
        <x:f>J1456+(K1456+L1456)/1440</x:f>
        <x:v>46304.554861111115</x:v>
      </x:c>
      <x:c r="N1456" s="13" t="n">
        <x:f>VLOOKUP(C1456,'MES orders'!$A$8:$H$127,5,FALSE)</x:f>
        <x:v>46307.666666666664</x:v>
      </x:c>
      <x:c r="O1456" s="16" t="n">
        <x:f>MAX(0,(M1456-N1456)*24)</x:f>
        <x:v>0</x:v>
      </x:c>
      <x:c r="P1456" s="9" t="str">
        <x:v>No</x:v>
      </x:c>
      <x:c r="Q1456" s="15" t="n">
        <x:v>7</x:v>
      </x:c>
      <x:c r="R1456" s="13" t="n">
        <x:f>J1456+Q1456/1440</x:f>
        <x:v>46304.554861111115</x:v>
      </x:c>
      <x:c r="S1456" s="2" t="str">
        <x:f>VLOOKUP(C1456,'MES orders'!$A$8:$H$127,6,FALSE)</x:f>
        <x:v>Urgent</x:v>
      </x:c>
      <x:c r="T1456" s="9" t="str"/>
    </x:row>
    <x:row r="1457" ht="22" customHeight="1">
      <x:c r="A1457" s="2" t="str">
        <x:v>L00462-020</x:v>
      </x:c>
      <x:c r="B1457" s="2" t="str">
        <x:v>L00462</x:v>
      </x:c>
      <x:c r="C1457" s="2" t="str">
        <x:v>SO-26093</x:v>
      </x:c>
      <x:c r="D1457" s="2" t="str">
        <x:v>S-S-AL</x:v>
      </x:c>
      <x:c r="E1457" s="14" t="n">
        <x:v>15</x:v>
      </x:c>
      <x:c r="F1457" s="2" t="str">
        <x:v>Deburr &amp; inspect</x:v>
      </x:c>
      <x:c r="G1457" s="9" t="str">
        <x:v>DB-02</x:v>
      </x:c>
      <x:c r="H1457" s="15" t="n">
        <x:v>95</x:v>
      </x:c>
      <x:c r="I1457" s="9" t="str">
        <x:v>P02</x:v>
      </x:c>
      <x:c r="J1457" s="11" t="n">
        <x:v>46304.55138888889</x:v>
      </x:c>
      <x:c r="K1457" s="15" t="n">
        <x:v>4</x:v>
      </x:c>
      <x:c r="L1457" s="15" t="n">
        <x:v>10</x:v>
      </x:c>
      <x:c r="M1457" s="13" t="n">
        <x:f>J1457+(K1457+L1457)/1440</x:f>
        <x:v>46304.561111111114</x:v>
      </x:c>
      <x:c r="N1457" s="13" t="n">
        <x:f>VLOOKUP(C1457,'MES orders'!$A$8:$H$127,5,FALSE)</x:f>
        <x:v>46308.666666666664</x:v>
      </x:c>
      <x:c r="O1457" s="16" t="n">
        <x:f>MAX(0,(M1457-N1457)*24)</x:f>
        <x:v>0</x:v>
      </x:c>
      <x:c r="P1457" s="9" t="str">
        <x:v>No</x:v>
      </x:c>
      <x:c r="Q1457" s="15" t="n">
        <x:v>14</x:v>
      </x:c>
      <x:c r="R1457" s="13" t="n">
        <x:f>J1457+Q1457/1440</x:f>
        <x:v>46304.561111111114</x:v>
      </x:c>
      <x:c r="S1457" s="2" t="str">
        <x:f>VLOOKUP(C1457,'MES orders'!$A$8:$H$127,6,FALSE)</x:f>
        <x:v>Urgent</x:v>
      </x:c>
      <x:c r="T1457" s="9" t="str"/>
    </x:row>
    <x:row r="1458" ht="22" customHeight="1">
      <x:c r="A1458" s="2" t="str">
        <x:v>L00179-060</x:v>
      </x:c>
      <x:c r="B1458" s="2" t="str">
        <x:v>L00179</x:v>
      </x:c>
      <x:c r="C1458" s="2" t="str">
        <x:v>SO-26036</x:v>
      </x:c>
      <x:c r="D1458" s="2" t="str">
        <x:v>R-L-SS</x:v>
      </x:c>
      <x:c r="E1458" s="14" t="n">
        <x:v>5</x:v>
      </x:c>
      <x:c r="F1458" s="2" t="str">
        <x:v>Final leak / function test</x:v>
      </x:c>
      <x:c r="G1458" s="9" t="str">
        <x:v>QA-03</x:v>
      </x:c>
      <x:c r="H1458" s="15" t="n">
        <x:v>62</x:v>
      </x:c>
      <x:c r="I1458" s="9" t="str">
        <x:v>P10</x:v>
      </x:c>
      <x:c r="J1458" s="11" t="n">
        <x:v>46304.552777777775</x:v>
      </x:c>
      <x:c r="K1458" s="15" t="n">
        <x:v>10</x:v>
      </x:c>
      <x:c r="L1458" s="15" t="n">
        <x:v>6</x:v>
      </x:c>
      <x:c r="M1458" s="13" t="n">
        <x:f>J1458+(K1458+L1458)/1440</x:f>
        <x:v>46304.563888888886</x:v>
      </x:c>
      <x:c r="N1458" s="13" t="n">
        <x:f>VLOOKUP(C1458,'MES orders'!$A$8:$H$127,5,FALSE)</x:f>
        <x:v>46307.666666666664</x:v>
      </x:c>
      <x:c r="O1458" s="16" t="n">
        <x:f>MAX(0,(M1458-N1458)*24)</x:f>
        <x:v>0</x:v>
      </x:c>
      <x:c r="P1458" s="9" t="str">
        <x:v>No</x:v>
      </x:c>
      <x:c r="Q1458" s="15" t="n">
        <x:v>16</x:v>
      </x:c>
      <x:c r="R1458" s="13" t="n">
        <x:f>J1458+Q1458/1440</x:f>
        <x:v>46304.563888888886</x:v>
      </x:c>
      <x:c r="S1458" s="2" t="str">
        <x:f>VLOOKUP(C1458,'MES orders'!$A$8:$H$127,6,FALSE)</x:f>
        <x:v>High</x:v>
      </x:c>
      <x:c r="T1458" s="9" t="str"/>
    </x:row>
    <x:row r="1459" ht="22" customHeight="1">
      <x:c r="A1459" s="2" t="str">
        <x:v>L00579-030</x:v>
      </x:c>
      <x:c r="B1459" s="2" t="str">
        <x:v>L00579</x:v>
      </x:c>
      <x:c r="C1459" s="2" t="str">
        <x:v>SO-26116</x:v>
      </x:c>
      <x:c r="D1459" s="2" t="str">
        <x:v>S-C-SS</x:v>
      </x:c>
      <x:c r="E1459" s="14" t="n">
        <x:v>5</x:v>
      </x:c>
      <x:c r="F1459" s="2" t="str">
        <x:v>Wash &amp; dry</x:v>
      </x:c>
      <x:c r="G1459" s="9" t="str">
        <x:v>WS-01</x:v>
      </x:c>
      <x:c r="H1459" s="15" t="n">
        <x:v>137</x:v>
      </x:c>
      <x:c r="I1459" s="9" t="str">
        <x:v>P04</x:v>
      </x:c>
      <x:c r="J1459" s="11" t="n">
        <x:v>46304.55486111111</x:v>
      </x:c>
      <x:c r="K1459" s="15" t="n">
        <x:v>12</x:v>
      </x:c>
      <x:c r="L1459" s="15" t="n">
        <x:v>1</x:v>
      </x:c>
      <x:c r="M1459" s="13" t="n">
        <x:f>J1459+(K1459+L1459)/1440</x:f>
        <x:v>46304.563888888886</x:v>
      </x:c>
      <x:c r="N1459" s="13" t="n">
        <x:f>VLOOKUP(C1459,'MES orders'!$A$8:$H$127,5,FALSE)</x:f>
        <x:v>46307.666666666664</x:v>
      </x:c>
      <x:c r="O1459" s="16" t="n">
        <x:f>MAX(0,(M1459-N1459)*24)</x:f>
        <x:v>0</x:v>
      </x:c>
      <x:c r="P1459" s="9" t="str">
        <x:v>No</x:v>
      </x:c>
      <x:c r="Q1459" s="15" t="n">
        <x:v>13</x:v>
      </x:c>
      <x:c r="R1459" s="13" t="n">
        <x:f>J1459+Q1459/1440</x:f>
        <x:v>46304.563888888886</x:v>
      </x:c>
      <x:c r="S1459" s="2" t="str">
        <x:f>VLOOKUP(C1459,'MES orders'!$A$8:$H$127,6,FALSE)</x:f>
        <x:v>Urgent</x:v>
      </x:c>
      <x:c r="T1459" s="9" t="str"/>
    </x:row>
    <x:row r="1460" ht="22" customHeight="1">
      <x:c r="A1460" s="2" t="str">
        <x:v>L00580-020</x:v>
      </x:c>
      <x:c r="B1460" s="2" t="str">
        <x:v>L00580</x:v>
      </x:c>
      <x:c r="C1460" s="2" t="str">
        <x:v>SO-26116</x:v>
      </x:c>
      <x:c r="D1460" s="2" t="str">
        <x:v>S-C-SS</x:v>
      </x:c>
      <x:c r="E1460" s="14" t="n">
        <x:v>5</x:v>
      </x:c>
      <x:c r="F1460" s="2" t="str">
        <x:v>Deburr &amp; inspect</x:v>
      </x:c>
      <x:c r="G1460" s="9" t="str">
        <x:v>DB-01</x:v>
      </x:c>
      <x:c r="H1460" s="15" t="n">
        <x:v>140</x:v>
      </x:c>
      <x:c r="I1460" s="9" t="str">
        <x:v>P05</x:v>
      </x:c>
      <x:c r="J1460" s="11" t="n">
        <x:v>46304.55625</x:v>
      </x:c>
      <x:c r="K1460" s="15" t="n">
        <x:v>4</x:v>
      </x:c>
      <x:c r="L1460" s="15" t="n">
        <x:v>3</x:v>
      </x:c>
      <x:c r="M1460" s="13" t="n">
        <x:f>J1460+(K1460+L1460)/1440</x:f>
        <x:v>46304.561111111114</x:v>
      </x:c>
      <x:c r="N1460" s="13" t="n">
        <x:f>VLOOKUP(C1460,'MES orders'!$A$8:$H$127,5,FALSE)</x:f>
        <x:v>46307.666666666664</x:v>
      </x:c>
      <x:c r="O1460" s="16" t="n">
        <x:f>MAX(0,(M1460-N1460)*24)</x:f>
        <x:v>0</x:v>
      </x:c>
      <x:c r="P1460" s="9" t="str">
        <x:v>No</x:v>
      </x:c>
      <x:c r="Q1460" s="15" t="n">
        <x:v>7</x:v>
      </x:c>
      <x:c r="R1460" s="13" t="n">
        <x:f>J1460+Q1460/1440</x:f>
        <x:v>46304.561111111114</x:v>
      </x:c>
      <x:c r="S1460" s="2" t="str">
        <x:f>VLOOKUP(C1460,'MES orders'!$A$8:$H$127,6,FALSE)</x:f>
        <x:v>Urgent</x:v>
      </x:c>
      <x:c r="T1460" s="9" t="str"/>
    </x:row>
    <x:row r="1461" ht="22" customHeight="1">
      <x:c r="A1461" s="2" t="str">
        <x:v>L00413-080</x:v>
      </x:c>
      <x:c r="B1461" s="2" t="str">
        <x:v>L00413</x:v>
      </x:c>
      <x:c r="C1461" s="2" t="str">
        <x:v>SO-26083</x:v>
      </x:c>
      <x:c r="D1461" s="2" t="str">
        <x:v>S-L-AL</x:v>
      </x:c>
      <x:c r="E1461" s="14" t="n">
        <x:v>15</x:v>
      </x:c>
      <x:c r="F1461" s="2" t="str">
        <x:v>Final leak / function test</x:v>
      </x:c>
      <x:c r="G1461" s="9" t="str">
        <x:v>QA-02</x:v>
      </x:c>
      <x:c r="H1461" s="15" t="n">
        <x:v>101</x:v>
      </x:c>
      <x:c r="I1461" s="9" t="str">
        <x:v>P11</x:v>
      </x:c>
      <x:c r="J1461" s="11" t="n">
        <x:v>46304.55625</x:v>
      </x:c>
      <x:c r="K1461" s="15" t="n">
        <x:v>10</x:v>
      </x:c>
      <x:c r="L1461" s="15" t="n">
        <x:v>18</x:v>
      </x:c>
      <x:c r="M1461" s="13" t="n">
        <x:f>J1461+(K1461+L1461)/1440</x:f>
        <x:v>46304.575694444444</x:v>
      </x:c>
      <x:c r="N1461" s="13" t="n">
        <x:f>VLOOKUP(C1461,'MES orders'!$A$8:$H$127,5,FALSE)</x:f>
        <x:v>46304.666666666664</x:v>
      </x:c>
      <x:c r="O1461" s="16" t="n">
        <x:f>MAX(0,(M1461-N1461)*24)</x:f>
        <x:v>0</x:v>
      </x:c>
      <x:c r="P1461" s="9" t="str">
        <x:v>No</x:v>
      </x:c>
      <x:c r="Q1461" s="15" t="n">
        <x:v>28</x:v>
      </x:c>
      <x:c r="R1461" s="13" t="n">
        <x:f>J1461+Q1461/1440</x:f>
        <x:v>46304.575694444444</x:v>
      </x:c>
      <x:c r="S1461" s="2" t="str">
        <x:f>VLOOKUP(C1461,'MES orders'!$A$8:$H$127,6,FALSE)</x:f>
        <x:v>Normal</x:v>
      </x:c>
      <x:c r="T1461" s="9" t="str"/>
    </x:row>
    <x:row r="1462" ht="22" customHeight="1">
      <x:c r="A1462" s="2" t="str">
        <x:v>L00461-050</x:v>
      </x:c>
      <x:c r="B1462" s="2" t="str">
        <x:v>L00461</x:v>
      </x:c>
      <x:c r="C1462" s="2" t="str">
        <x:v>SO-26093</x:v>
      </x:c>
      <x:c r="D1462" s="2" t="str">
        <x:v>S-S-AL</x:v>
      </x:c>
      <x:c r="E1462" s="14" t="n">
        <x:v>15</x:v>
      </x:c>
      <x:c r="F1462" s="2" t="str">
        <x:v>Sensor installation</x:v>
      </x:c>
      <x:c r="G1462" s="9" t="str">
        <x:v>EL-02</x:v>
      </x:c>
      <x:c r="H1462" s="15" t="n">
        <x:v>28</x:v>
      </x:c>
      <x:c r="I1462" s="9" t="str">
        <x:v>P08</x:v>
      </x:c>
      <x:c r="J1462" s="11" t="n">
        <x:v>46304.558333333334</x:v>
      </x:c>
      <x:c r="K1462" s="15" t="n">
        <x:v>8</x:v>
      </x:c>
      <x:c r="L1462" s="15" t="n">
        <x:v>18</x:v>
      </x:c>
      <x:c r="M1462" s="13" t="n">
        <x:f>J1462+(K1462+L1462)/1440</x:f>
        <x:v>46304.57638888889</x:v>
      </x:c>
      <x:c r="N1462" s="13" t="n">
        <x:f>VLOOKUP(C1462,'MES orders'!$A$8:$H$127,5,FALSE)</x:f>
        <x:v>46308.666666666664</x:v>
      </x:c>
      <x:c r="O1462" s="16" t="n">
        <x:f>MAX(0,(M1462-N1462)*24)</x:f>
        <x:v>0</x:v>
      </x:c>
      <x:c r="P1462" s="9" t="str">
        <x:v>No</x:v>
      </x:c>
      <x:c r="Q1462" s="15" t="n">
        <x:v>26</x:v>
      </x:c>
      <x:c r="R1462" s="13" t="n">
        <x:f>J1462+Q1462/1440</x:f>
        <x:v>46304.57638888889</x:v>
      </x:c>
      <x:c r="S1462" s="2" t="str">
        <x:f>VLOOKUP(C1462,'MES orders'!$A$8:$H$127,6,FALSE)</x:f>
        <x:v>Urgent</x:v>
      </x:c>
      <x:c r="T1462" s="9" t="str"/>
    </x:row>
    <x:row r="1463" ht="22" customHeight="1">
      <x:c r="A1463" s="2" t="str">
        <x:v>L00463-010</x:v>
      </x:c>
      <x:c r="B1463" s="2" t="str">
        <x:v>L00463</x:v>
      </x:c>
      <x:c r="C1463" s="2" t="str">
        <x:v>SO-26093</x:v>
      </x:c>
      <x:c r="D1463" s="2" t="str">
        <x:v>S-S-AL</x:v>
      </x:c>
      <x:c r="E1463" s="14" t="n">
        <x:v>15</x:v>
      </x:c>
      <x:c r="F1463" s="2" t="str">
        <x:v>CNC machining</x:v>
      </x:c>
      <x:c r="G1463" s="9" t="str">
        <x:v>CNC-01</x:v>
      </x:c>
      <x:c r="H1463" s="15" t="n">
        <x:v>48</x:v>
      </x:c>
      <x:c r="I1463" s="9" t="str">
        <x:v>P02</x:v>
      </x:c>
      <x:c r="J1463" s="11" t="n">
        <x:v>46304.561111111114</x:v>
      </x:c>
      <x:c r="K1463" s="15" t="n">
        <x:v>18</x:v>
      </x:c>
      <x:c r="L1463" s="15" t="n">
        <x:v>36</x:v>
      </x:c>
      <x:c r="M1463" s="13" t="n">
        <x:f>J1463+(K1463+L1463)/1440</x:f>
        <x:v>46304.59861111111</x:v>
      </x:c>
      <x:c r="N1463" s="13" t="n">
        <x:f>VLOOKUP(C1463,'MES orders'!$A$8:$H$127,5,FALSE)</x:f>
        <x:v>46308.666666666664</x:v>
      </x:c>
      <x:c r="O1463" s="16" t="n">
        <x:f>MAX(0,(M1463-N1463)*24)</x:f>
        <x:v>0</x:v>
      </x:c>
      <x:c r="P1463" s="9" t="str">
        <x:v>No</x:v>
      </x:c>
      <x:c r="Q1463" s="15" t="n">
        <x:v>18</x:v>
      </x:c>
      <x:c r="R1463" s="13" t="n">
        <x:f>J1463+Q1463/1440</x:f>
        <x:v>46304.57361111111</x:v>
      </x:c>
      <x:c r="S1463" s="2" t="str">
        <x:f>VLOOKUP(C1463,'MES orders'!$A$8:$H$127,6,FALSE)</x:f>
        <x:v>Urgent</x:v>
      </x:c>
      <x:c r="T1463" s="9" t="str"/>
    </x:row>
    <x:row r="1464" ht="22" customHeight="1">
      <x:c r="A1464" s="2" t="str">
        <x:v>L00464-010</x:v>
      </x:c>
      <x:c r="B1464" s="2" t="str">
        <x:v>L00464</x:v>
      </x:c>
      <x:c r="C1464" s="2" t="str">
        <x:v>SO-26093</x:v>
      </x:c>
      <x:c r="D1464" s="2" t="str">
        <x:v>S-S-AL</x:v>
      </x:c>
      <x:c r="E1464" s="14" t="n">
        <x:v>15</x:v>
      </x:c>
      <x:c r="F1464" s="2" t="str">
        <x:v>CNC machining</x:v>
      </x:c>
      <x:c r="G1464" s="9" t="str">
        <x:v>CNC-02</x:v>
      </x:c>
      <x:c r="H1464" s="15" t="n">
        <x:v>33</x:v>
      </x:c>
      <x:c r="I1464" s="9" t="str">
        <x:v>P03</x:v>
      </x:c>
      <x:c r="J1464" s="11" t="n">
        <x:v>46304.561111111114</x:v>
      </x:c>
      <x:c r="K1464" s="15" t="n">
        <x:v>18</x:v>
      </x:c>
      <x:c r="L1464" s="15" t="n">
        <x:v>36</x:v>
      </x:c>
      <x:c r="M1464" s="13" t="n">
        <x:f>J1464+(K1464+L1464)/1440</x:f>
        <x:v>46304.59861111111</x:v>
      </x:c>
      <x:c r="N1464" s="13" t="n">
        <x:f>VLOOKUP(C1464,'MES orders'!$A$8:$H$127,5,FALSE)</x:f>
        <x:v>46308.666666666664</x:v>
      </x:c>
      <x:c r="O1464" s="16" t="n">
        <x:f>MAX(0,(M1464-N1464)*24)</x:f>
        <x:v>0</x:v>
      </x:c>
      <x:c r="P1464" s="9" t="str">
        <x:v>No</x:v>
      </x:c>
      <x:c r="Q1464" s="15" t="n">
        <x:v>18</x:v>
      </x:c>
      <x:c r="R1464" s="13" t="n">
        <x:f>J1464+Q1464/1440</x:f>
        <x:v>46304.57361111111</x:v>
      </x:c>
      <x:c r="S1464" s="2" t="str">
        <x:f>VLOOKUP(C1464,'MES orders'!$A$8:$H$127,6,FALSE)</x:f>
        <x:v>Urgent</x:v>
      </x:c>
      <x:c r="T1464" s="9" t="str"/>
    </x:row>
    <x:row r="1465" ht="22" customHeight="1">
      <x:c r="A1465" s="2" t="str">
        <x:v>L00580-030</x:v>
      </x:c>
      <x:c r="B1465" s="2" t="str">
        <x:v>L00580</x:v>
      </x:c>
      <x:c r="C1465" s="2" t="str">
        <x:v>SO-26116</x:v>
      </x:c>
      <x:c r="D1465" s="2" t="str">
        <x:v>S-C-SS</x:v>
      </x:c>
      <x:c r="E1465" s="14" t="n">
        <x:v>5</x:v>
      </x:c>
      <x:c r="F1465" s="2" t="str">
        <x:v>Wash &amp; dry</x:v>
      </x:c>
      <x:c r="G1465" s="9" t="str">
        <x:v>WS-02</x:v>
      </x:c>
      <x:c r="H1465" s="15" t="n">
        <x:v>97</x:v>
      </x:c>
      <x:c r="I1465" s="9" t="str">
        <x:v>P06</x:v>
      </x:c>
      <x:c r="J1465" s="11" t="n">
        <x:v>46304.561111111114</x:v>
      </x:c>
      <x:c r="K1465" s="15" t="n">
        <x:v>12</x:v>
      </x:c>
      <x:c r="L1465" s="15" t="n">
        <x:v>1</x:v>
      </x:c>
      <x:c r="M1465" s="13" t="n">
        <x:f>J1465+(K1465+L1465)/1440</x:f>
        <x:v>46304.57013888889</x:v>
      </x:c>
      <x:c r="N1465" s="13" t="n">
        <x:f>VLOOKUP(C1465,'MES orders'!$A$8:$H$127,5,FALSE)</x:f>
        <x:v>46307.666666666664</x:v>
      </x:c>
      <x:c r="O1465" s="16" t="n">
        <x:f>MAX(0,(M1465-N1465)*24)</x:f>
        <x:v>0</x:v>
      </x:c>
      <x:c r="P1465" s="9" t="str">
        <x:v>No</x:v>
      </x:c>
      <x:c r="Q1465" s="15" t="n">
        <x:v>13</x:v>
      </x:c>
      <x:c r="R1465" s="13" t="n">
        <x:f>J1465+Q1465/1440</x:f>
        <x:v>46304.57013888889</x:v>
      </x:c>
      <x:c r="S1465" s="2" t="str">
        <x:f>VLOOKUP(C1465,'MES orders'!$A$8:$H$127,6,FALSE)</x:f>
        <x:v>Urgent</x:v>
      </x:c>
      <x:c r="T1465" s="9" t="str"/>
    </x:row>
    <x:row r="1466" ht="22" customHeight="1">
      <x:c r="A1466" s="2" t="str">
        <x:v>L00579-040</x:v>
      </x:c>
      <x:c r="B1466" s="2" t="str">
        <x:v>L00579</x:v>
      </x:c>
      <x:c r="C1466" s="2" t="str">
        <x:v>SO-26116</x:v>
      </x:c>
      <x:c r="D1466" s="2" t="str">
        <x:v>S-C-SS</x:v>
      </x:c>
      <x:c r="E1466" s="14" t="n">
        <x:v>5</x:v>
      </x:c>
      <x:c r="F1466" s="2" t="str">
        <x:v>Mechanical preassembly</x:v>
      </x:c>
      <x:c r="G1466" s="9" t="str">
        <x:v>AS-02</x:v>
      </x:c>
      <x:c r="H1466" s="15" t="n">
        <x:v>96</x:v>
      </x:c>
      <x:c r="I1466" s="9" t="str">
        <x:v>P04</x:v>
      </x:c>
      <x:c r="J1466" s="11" t="n">
        <x:v>46304.563888888886</x:v>
      </x:c>
      <x:c r="K1466" s="15" t="n">
        <x:v>6</x:v>
      </x:c>
      <x:c r="L1466" s="15" t="n">
        <x:v>4</x:v>
      </x:c>
      <x:c r="M1466" s="13" t="n">
        <x:f>J1466+(K1466+L1466)/1440</x:f>
        <x:v>46304.57083333333</x:v>
      </x:c>
      <x:c r="N1466" s="13" t="n">
        <x:f>VLOOKUP(C1466,'MES orders'!$A$8:$H$127,5,FALSE)</x:f>
        <x:v>46307.666666666664</x:v>
      </x:c>
      <x:c r="O1466" s="16" t="n">
        <x:f>MAX(0,(M1466-N1466)*24)</x:f>
        <x:v>0</x:v>
      </x:c>
      <x:c r="P1466" s="9" t="str">
        <x:v>No</x:v>
      </x:c>
      <x:c r="Q1466" s="15" t="n">
        <x:v>10</x:v>
      </x:c>
      <x:c r="R1466" s="13" t="n">
        <x:f>J1466+Q1466/1440</x:f>
        <x:v>46304.57083333333</x:v>
      </x:c>
      <x:c r="S1466" s="2" t="str">
        <x:f>VLOOKUP(C1466,'MES orders'!$A$8:$H$127,6,FALSE)</x:f>
        <x:v>Urgent</x:v>
      </x:c>
      <x:c r="T1466" s="9" t="str"/>
    </x:row>
    <x:row r="1467" ht="22" customHeight="1">
      <x:c r="A1467" s="2" t="str">
        <x:v>L00462-030</x:v>
      </x:c>
      <x:c r="B1467" s="2" t="str">
        <x:v>L00462</x:v>
      </x:c>
      <x:c r="C1467" s="2" t="str">
        <x:v>SO-26093</x:v>
      </x:c>
      <x:c r="D1467" s="2" t="str">
        <x:v>S-S-AL</x:v>
      </x:c>
      <x:c r="E1467" s="14" t="n">
        <x:v>15</x:v>
      </x:c>
      <x:c r="F1467" s="2" t="str">
        <x:v>Wash &amp; dry</x:v>
      </x:c>
      <x:c r="G1467" s="9" t="str">
        <x:v>WS-01</x:v>
      </x:c>
      <x:c r="H1467" s="15" t="n">
        <x:v>138</x:v>
      </x:c>
      <x:c r="I1467" s="9" t="str">
        <x:v>P01</x:v>
      </x:c>
      <x:c r="J1467" s="11" t="n">
        <x:v>46304.563888888886</x:v>
      </x:c>
      <x:c r="K1467" s="15" t="n">
        <x:v>12</x:v>
      </x:c>
      <x:c r="L1467" s="15" t="n">
        <x:v>5</x:v>
      </x:c>
      <x:c r="M1467" s="13" t="n">
        <x:f>J1467+(K1467+L1467)/1440</x:f>
        <x:v>46304.575694444444</x:v>
      </x:c>
      <x:c r="N1467" s="13" t="n">
        <x:f>VLOOKUP(C1467,'MES orders'!$A$8:$H$127,5,FALSE)</x:f>
        <x:v>46308.666666666664</x:v>
      </x:c>
      <x:c r="O1467" s="16" t="n">
        <x:f>MAX(0,(M1467-N1467)*24)</x:f>
        <x:v>0</x:v>
      </x:c>
      <x:c r="P1467" s="9" t="str">
        <x:v>No</x:v>
      </x:c>
      <x:c r="Q1467" s="15" t="n">
        <x:v>17</x:v>
      </x:c>
      <x:c r="R1467" s="13" t="n">
        <x:f>J1467+Q1467/1440</x:f>
        <x:v>46304.575694444444</x:v>
      </x:c>
      <x:c r="S1467" s="2" t="str">
        <x:f>VLOOKUP(C1467,'MES orders'!$A$8:$H$127,6,FALSE)</x:f>
        <x:v>Urgent</x:v>
      </x:c>
      <x:c r="T1467" s="9" t="str"/>
    </x:row>
    <x:row r="1468" ht="22" customHeight="1">
      <x:c r="A1468" s="2" t="str">
        <x:v>L00414-070</x:v>
      </x:c>
      <x:c r="B1468" s="2" t="str">
        <x:v>L00414</x:v>
      </x:c>
      <x:c r="C1468" s="2" t="str">
        <x:v>SO-26083</x:v>
      </x:c>
      <x:c r="D1468" s="2" t="str">
        <x:v>S-L-AL</x:v>
      </x:c>
      <x:c r="E1468" s="14" t="n">
        <x:v>15</x:v>
      </x:c>
      <x:c r="F1468" s="2" t="str">
        <x:v>Final assembly</x:v>
      </x:c>
      <x:c r="G1468" s="9" t="str">
        <x:v>AS-01</x:v>
      </x:c>
      <x:c r="H1468" s="15" t="n">
        <x:v>119</x:v>
      </x:c>
      <x:c r="I1468" s="9" t="str">
        <x:v>P05</x:v>
      </x:c>
      <x:c r="J1468" s="11" t="n">
        <x:v>46304.566666666666</x:v>
      </x:c>
      <x:c r="K1468" s="15" t="n">
        <x:v>5</x:v>
      </x:c>
      <x:c r="L1468" s="15" t="n">
        <x:v>16</x:v>
      </x:c>
      <x:c r="M1468" s="13" t="n">
        <x:f>J1468+(K1468+L1468)/1440</x:f>
        <x:v>46304.581249999996</x:v>
      </x:c>
      <x:c r="N1468" s="13" t="n">
        <x:f>VLOOKUP(C1468,'MES orders'!$A$8:$H$127,5,FALSE)</x:f>
        <x:v>46304.666666666664</x:v>
      </x:c>
      <x:c r="O1468" s="16" t="n">
        <x:f>MAX(0,(M1468-N1468)*24)</x:f>
        <x:v>0</x:v>
      </x:c>
      <x:c r="P1468" s="9" t="str">
        <x:v>No</x:v>
      </x:c>
      <x:c r="Q1468" s="15" t="n">
        <x:v>21</x:v>
      </x:c>
      <x:c r="R1468" s="13" t="n">
        <x:f>J1468+Q1468/1440</x:f>
        <x:v>46304.581249999996</x:v>
      </x:c>
      <x:c r="S1468" s="2" t="str">
        <x:f>VLOOKUP(C1468,'MES orders'!$A$8:$H$127,6,FALSE)</x:f>
        <x:v>Normal</x:v>
      </x:c>
      <x:c r="T1468" s="9" t="str"/>
    </x:row>
    <x:row r="1469" ht="22" customHeight="1">
      <x:c r="A1469" s="2" t="str">
        <x:v>L00576-060</x:v>
      </x:c>
      <x:c r="B1469" s="2" t="str">
        <x:v>L00576</x:v>
      </x:c>
      <x:c r="C1469" s="2" t="str">
        <x:v>SO-26116</x:v>
      </x:c>
      <x:c r="D1469" s="2" t="str">
        <x:v>S-C-SS</x:v>
      </x:c>
      <x:c r="E1469" s="14" t="n">
        <x:v>5</x:v>
      </x:c>
      <x:c r="F1469" s="2" t="str">
        <x:v>Sensor calibration</x:v>
      </x:c>
      <x:c r="G1469" s="9" t="str">
        <x:v>CAL-01</x:v>
      </x:c>
      <x:c r="H1469" s="15" t="n">
        <x:v>70</x:v>
      </x:c>
      <x:c r="I1469" s="9" t="str">
        <x:v>P09</x:v>
      </x:c>
      <x:c r="J1469" s="11" t="n">
        <x:v>46304.566666666666</x:v>
      </x:c>
      <x:c r="K1469" s="15" t="n">
        <x:v>10</x:v>
      </x:c>
      <x:c r="L1469" s="15" t="n">
        <x:v>5</x:v>
      </x:c>
      <x:c r="M1469" s="13" t="n">
        <x:f>J1469+(K1469+L1469)/1440</x:f>
        <x:v>46304.57708333333</x:v>
      </x:c>
      <x:c r="N1469" s="13" t="n">
        <x:f>VLOOKUP(C1469,'MES orders'!$A$8:$H$127,5,FALSE)</x:f>
        <x:v>46307.666666666664</x:v>
      </x:c>
      <x:c r="O1469" s="16" t="n">
        <x:f>MAX(0,(M1469-N1469)*24)</x:f>
        <x:v>0</x:v>
      </x:c>
      <x:c r="P1469" s="9" t="str">
        <x:v>No</x:v>
      </x:c>
      <x:c r="Q1469" s="15" t="n">
        <x:v>15</x:v>
      </x:c>
      <x:c r="R1469" s="13" t="n">
        <x:f>J1469+Q1469/1440</x:f>
        <x:v>46304.57708333333</x:v>
      </x:c>
      <x:c r="S1469" s="2" t="str">
        <x:f>VLOOKUP(C1469,'MES orders'!$A$8:$H$127,6,FALSE)</x:f>
        <x:v>Urgent</x:v>
      </x:c>
      <x:c r="T1469" s="9" t="str"/>
    </x:row>
    <x:row r="1470" ht="22" customHeight="1">
      <x:c r="A1470" s="2" t="str">
        <x:v>L00574-060</x:v>
      </x:c>
      <x:c r="B1470" s="2" t="str">
        <x:v>L00574</x:v>
      </x:c>
      <x:c r="C1470" s="2" t="str">
        <x:v>SO-26115</x:v>
      </x:c>
      <x:c r="D1470" s="2" t="str">
        <x:v>R-C-AL</x:v>
      </x:c>
      <x:c r="E1470" s="14" t="n">
        <x:v>5</x:v>
      </x:c>
      <x:c r="F1470" s="2" t="str">
        <x:v>Final leak / function test</x:v>
      </x:c>
      <x:c r="G1470" s="9" t="str">
        <x:v>QA-03</x:v>
      </x:c>
      <x:c r="H1470" s="15" t="n">
        <x:v>63</x:v>
      </x:c>
      <x:c r="I1470" s="9" t="str">
        <x:v>P12</x:v>
      </x:c>
      <x:c r="J1470" s="11" t="n">
        <x:v>46304.56875</x:v>
      </x:c>
      <x:c r="K1470" s="15" t="n">
        <x:v>10</x:v>
      </x:c>
      <x:c r="L1470" s="15" t="n">
        <x:v>4</x:v>
      </x:c>
      <x:c r="M1470" s="13" t="n">
        <x:f>J1470+(K1470+L1470)/1440</x:f>
        <x:v>46304.57847222222</x:v>
      </x:c>
      <x:c r="N1470" s="13" t="n">
        <x:f>VLOOKUP(C1470,'MES orders'!$A$8:$H$127,5,FALSE)</x:f>
        <x:v>46304.666666666664</x:v>
      </x:c>
      <x:c r="O1470" s="16" t="n">
        <x:f>MAX(0,(M1470-N1470)*24)</x:f>
        <x:v>0</x:v>
      </x:c>
      <x:c r="P1470" s="9" t="str">
        <x:v>No</x:v>
      </x:c>
      <x:c r="Q1470" s="15" t="n">
        <x:v>14</x:v>
      </x:c>
      <x:c r="R1470" s="13" t="n">
        <x:f>J1470+Q1470/1440</x:f>
        <x:v>46304.57847222222</x:v>
      </x:c>
      <x:c r="S1470" s="2" t="str">
        <x:f>VLOOKUP(C1470,'MES orders'!$A$8:$H$127,6,FALSE)</x:f>
        <x:v>Normal</x:v>
      </x:c>
      <x:c r="T1470" s="9" t="str"/>
    </x:row>
    <x:row r="1471" ht="22" customHeight="1">
      <x:c r="A1471" s="2" t="str">
        <x:v>L00580-040</x:v>
      </x:c>
      <x:c r="B1471" s="2" t="str">
        <x:v>L00580</x:v>
      </x:c>
      <x:c r="C1471" s="2" t="str">
        <x:v>SO-26116</x:v>
      </x:c>
      <x:c r="D1471" s="2" t="str">
        <x:v>S-C-SS</x:v>
      </x:c>
      <x:c r="E1471" s="14" t="n">
        <x:v>5</x:v>
      </x:c>
      <x:c r="F1471" s="2" t="str">
        <x:v>Mechanical preassembly</x:v>
      </x:c>
      <x:c r="G1471" s="9" t="str">
        <x:v>AS-03</x:v>
      </x:c>
      <x:c r="H1471" s="15" t="n">
        <x:v>75</x:v>
      </x:c>
      <x:c r="I1471" s="9" t="str">
        <x:v>P06</x:v>
      </x:c>
      <x:c r="J1471" s="11" t="n">
        <x:v>46304.57013888889</x:v>
      </x:c>
      <x:c r="K1471" s="15" t="n">
        <x:v>6</x:v>
      </x:c>
      <x:c r="L1471" s="15" t="n">
        <x:v>4</x:v>
      </x:c>
      <x:c r="M1471" s="13" t="n">
        <x:f>J1471+(K1471+L1471)/1440</x:f>
        <x:v>46304.57708333334</x:v>
      </x:c>
      <x:c r="N1471" s="13" t="n">
        <x:f>VLOOKUP(C1471,'MES orders'!$A$8:$H$127,5,FALSE)</x:f>
        <x:v>46307.666666666664</x:v>
      </x:c>
      <x:c r="O1471" s="16" t="n">
        <x:f>MAX(0,(M1471-N1471)*24)</x:f>
        <x:v>0</x:v>
      </x:c>
      <x:c r="P1471" s="9" t="str">
        <x:v>No</x:v>
      </x:c>
      <x:c r="Q1471" s="15" t="n">
        <x:v>10</x:v>
      </x:c>
      <x:c r="R1471" s="13" t="n">
        <x:f>J1471+Q1471/1440</x:f>
        <x:v>46304.57708333334</x:v>
      </x:c>
      <x:c r="S1471" s="2" t="str">
        <x:f>VLOOKUP(C1471,'MES orders'!$A$8:$H$127,6,FALSE)</x:f>
        <x:v>Urgent</x:v>
      </x:c>
      <x:c r="T1471" s="9" t="str"/>
    </x:row>
    <x:row r="1472" ht="22" customHeight="1">
      <x:c r="A1472" s="2" t="str">
        <x:v>L00176-020</x:v>
      </x:c>
      <x:c r="B1472" s="2" t="str">
        <x:v>L00176</x:v>
      </x:c>
      <x:c r="C1472" s="2" t="str">
        <x:v>SO-26036</x:v>
      </x:c>
      <x:c r="D1472" s="2" t="str">
        <x:v>R-L-SS</x:v>
      </x:c>
      <x:c r="E1472" s="14" t="n">
        <x:v>5</x:v>
      </x:c>
      <x:c r="F1472" s="2" t="str">
        <x:v>Deburr &amp; inspect</x:v>
      </x:c>
      <x:c r="G1472" s="9" t="str">
        <x:v>DB-01</x:v>
      </x:c>
      <x:c r="H1472" s="15" t="n">
        <x:v>141</x:v>
      </x:c>
      <x:c r="I1472" s="9" t="str">
        <x:v>P04</x:v>
      </x:c>
      <x:c r="J1472" s="11" t="n">
        <x:v>46304.57083333333</x:v>
      </x:c>
      <x:c r="K1472" s="15" t="n">
        <x:v>4</x:v>
      </x:c>
      <x:c r="L1472" s="15" t="n">
        <x:v>5</x:v>
      </x:c>
      <x:c r="M1472" s="13" t="n">
        <x:f>J1472+(K1472+L1472)/1440</x:f>
        <x:v>46304.57708333333</x:v>
      </x:c>
      <x:c r="N1472" s="13" t="n">
        <x:f>VLOOKUP(C1472,'MES orders'!$A$8:$H$127,5,FALSE)</x:f>
        <x:v>46307.666666666664</x:v>
      </x:c>
      <x:c r="O1472" s="16" t="n">
        <x:f>MAX(0,(M1472-N1472)*24)</x:f>
        <x:v>0</x:v>
      </x:c>
      <x:c r="P1472" s="9" t="str">
        <x:v>No</x:v>
      </x:c>
      <x:c r="Q1472" s="15" t="n">
        <x:v>9</x:v>
      </x:c>
      <x:c r="R1472" s="13" t="n">
        <x:f>J1472+Q1472/1440</x:f>
        <x:v>46304.57708333333</x:v>
      </x:c>
      <x:c r="S1472" s="2" t="str">
        <x:f>VLOOKUP(C1472,'MES orders'!$A$8:$H$127,6,FALSE)</x:f>
        <x:v>High</x:v>
      </x:c>
      <x:c r="T1472" s="9" t="str"/>
    </x:row>
    <x:row r="1473" ht="22" customHeight="1">
      <x:c r="A1473" s="2" t="str">
        <x:v>L00579-050</x:v>
      </x:c>
      <x:c r="B1473" s="2" t="str">
        <x:v>L00579</x:v>
      </x:c>
      <x:c r="C1473" s="2" t="str">
        <x:v>SO-26116</x:v>
      </x:c>
      <x:c r="D1473" s="2" t="str">
        <x:v>S-C-SS</x:v>
      </x:c>
      <x:c r="E1473" s="14" t="n">
        <x:v>5</x:v>
      </x:c>
      <x:c r="F1473" s="2" t="str">
        <x:v>Sensor installation</x:v>
      </x:c>
      <x:c r="G1473" s="9" t="str">
        <x:v>EL-01</x:v>
      </x:c>
      <x:c r="H1473" s="15" t="n">
        <x:v>47</x:v>
      </x:c>
      <x:c r="I1473" s="9" t="str">
        <x:v>P07</x:v>
      </x:c>
      <x:c r="J1473" s="11" t="n">
        <x:v>46304.57083333333</x:v>
      </x:c>
      <x:c r="K1473" s="15" t="n">
        <x:v>8</x:v>
      </x:c>
      <x:c r="L1473" s="15" t="n">
        <x:v>5</x:v>
      </x:c>
      <x:c r="M1473" s="13" t="n">
        <x:f>J1473+(K1473+L1473)/1440</x:f>
        <x:v>46304.57986111111</x:v>
      </x:c>
      <x:c r="N1473" s="13" t="n">
        <x:f>VLOOKUP(C1473,'MES orders'!$A$8:$H$127,5,FALSE)</x:f>
        <x:v>46307.666666666664</x:v>
      </x:c>
      <x:c r="O1473" s="16" t="n">
        <x:f>MAX(0,(M1473-N1473)*24)</x:f>
        <x:v>0</x:v>
      </x:c>
      <x:c r="P1473" s="9" t="str">
        <x:v>No</x:v>
      </x:c>
      <x:c r="Q1473" s="15" t="n">
        <x:v>13</x:v>
      </x:c>
      <x:c r="R1473" s="13" t="n">
        <x:f>J1473+Q1473/1440</x:f>
        <x:v>46304.57986111111</x:v>
      </x:c>
      <x:c r="S1473" s="2" t="str">
        <x:f>VLOOKUP(C1473,'MES orders'!$A$8:$H$127,6,FALSE)</x:f>
        <x:v>Urgent</x:v>
      </x:c>
      <x:c r="T1473" s="9" t="str"/>
    </x:row>
    <x:row r="1474" ht="22" customHeight="1">
      <x:c r="A1474" s="2" t="str">
        <x:v>L00576-070</x:v>
      </x:c>
      <x:c r="B1474" s="2" t="str">
        <x:v>L00576</x:v>
      </x:c>
      <x:c r="C1474" s="2" t="str">
        <x:v>SO-26116</x:v>
      </x:c>
      <x:c r="D1474" s="2" t="str">
        <x:v>S-C-SS</x:v>
      </x:c>
      <x:c r="E1474" s="14" t="n">
        <x:v>5</x:v>
      </x:c>
      <x:c r="F1474" s="2" t="str">
        <x:v>Final assembly</x:v>
      </x:c>
      <x:c r="G1474" s="9" t="str">
        <x:v>AS-02</x:v>
      </x:c>
      <x:c r="H1474" s="15" t="n">
        <x:v>97</x:v>
      </x:c>
      <x:c r="I1474" s="9" t="str">
        <x:v>P06</x:v>
      </x:c>
      <x:c r="J1474" s="11" t="n">
        <x:v>46304.57708333333</x:v>
      </x:c>
      <x:c r="K1474" s="15" t="n">
        <x:v>5</x:v>
      </x:c>
      <x:c r="L1474" s="15" t="n">
        <x:v>3</x:v>
      </x:c>
      <x:c r="M1474" s="13" t="n">
        <x:f>J1474+(K1474+L1474)/1440</x:f>
        <x:v>46304.58263888889</x:v>
      </x:c>
      <x:c r="N1474" s="13" t="n">
        <x:f>VLOOKUP(C1474,'MES orders'!$A$8:$H$127,5,FALSE)</x:f>
        <x:v>46307.666666666664</x:v>
      </x:c>
      <x:c r="O1474" s="16" t="n">
        <x:f>MAX(0,(M1474-N1474)*24)</x:f>
        <x:v>0</x:v>
      </x:c>
      <x:c r="P1474" s="9" t="str">
        <x:v>No</x:v>
      </x:c>
      <x:c r="Q1474" s="15" t="n">
        <x:v>8</x:v>
      </x:c>
      <x:c r="R1474" s="13" t="n">
        <x:f>J1474+Q1474/1440</x:f>
        <x:v>46304.58263888889</x:v>
      </x:c>
      <x:c r="S1474" s="2" t="str">
        <x:f>VLOOKUP(C1474,'MES orders'!$A$8:$H$127,6,FALSE)</x:f>
        <x:v>Urgent</x:v>
      </x:c>
      <x:c r="T1474" s="9" t="str"/>
    </x:row>
    <x:row r="1475" ht="22" customHeight="1">
      <x:c r="A1475" s="2" t="str">
        <x:v>L00177-020</x:v>
      </x:c>
      <x:c r="B1475" s="2" t="str">
        <x:v>L00177</x:v>
      </x:c>
      <x:c r="C1475" s="2" t="str">
        <x:v>SO-26036</x:v>
      </x:c>
      <x:c r="D1475" s="2" t="str">
        <x:v>R-L-SS</x:v>
      </x:c>
      <x:c r="E1475" s="14" t="n">
        <x:v>5</x:v>
      </x:c>
      <x:c r="F1475" s="2" t="str">
        <x:v>Deburr &amp; inspect</x:v>
      </x:c>
      <x:c r="G1475" s="9" t="str">
        <x:v>DB-01</x:v>
      </x:c>
      <x:c r="H1475" s="15" t="n">
        <x:v>142</x:v>
      </x:c>
      <x:c r="I1475" s="9" t="str">
        <x:v>P04</x:v>
      </x:c>
      <x:c r="J1475" s="11" t="n">
        <x:v>46304.57708333333</x:v>
      </x:c>
      <x:c r="K1475" s="15" t="n">
        <x:v>4</x:v>
      </x:c>
      <x:c r="L1475" s="15" t="n">
        <x:v>5</x:v>
      </x:c>
      <x:c r="M1475" s="13" t="n">
        <x:f>J1475+(K1475+L1475)/1440</x:f>
        <x:v>46304.58333333333</x:v>
      </x:c>
      <x:c r="N1475" s="13" t="n">
        <x:f>VLOOKUP(C1475,'MES orders'!$A$8:$H$127,5,FALSE)</x:f>
        <x:v>46307.666666666664</x:v>
      </x:c>
      <x:c r="O1475" s="16" t="n">
        <x:f>MAX(0,(M1475-N1475)*24)</x:f>
        <x:v>0</x:v>
      </x:c>
      <x:c r="P1475" s="9" t="str">
        <x:v>No</x:v>
      </x:c>
      <x:c r="Q1475" s="15" t="n">
        <x:v>9</x:v>
      </x:c>
      <x:c r="R1475" s="13" t="n">
        <x:f>J1475+Q1475/1440</x:f>
        <x:v>46304.58333333333</x:v>
      </x:c>
      <x:c r="S1475" s="2" t="str">
        <x:f>VLOOKUP(C1475,'MES orders'!$A$8:$H$127,6,FALSE)</x:f>
        <x:v>High</x:v>
      </x:c>
      <x:c r="T1475" s="9" t="str"/>
    </x:row>
    <x:row r="1476" ht="22" customHeight="1">
      <x:c r="A1476" s="2" t="str">
        <x:v>L00535-040</x:v>
      </x:c>
      <x:c r="B1476" s="2" t="str">
        <x:v>L00535</x:v>
      </x:c>
      <x:c r="C1476" s="2" t="str">
        <x:v>SO-26107</x:v>
      </x:c>
      <x:c r="D1476" s="2" t="str">
        <x:v>D-L-AL</x:v>
      </x:c>
      <x:c r="E1476" s="14" t="n">
        <x:v>25</x:v>
      </x:c>
      <x:c r="F1476" s="2" t="str">
        <x:v>Mechanical assembly</x:v>
      </x:c>
      <x:c r="G1476" s="9" t="str">
        <x:v>AS-02</x:v>
      </x:c>
      <x:c r="H1476" s="15" t="n">
        <x:v>98</x:v>
      </x:c>
      <x:c r="I1476" s="9" t="str">
        <x:v>P16</x:v>
      </x:c>
      <x:c r="J1476" s="11" t="n">
        <x:v>46304.583333333336</x:v>
      </x:c>
      <x:c r="K1476" s="15" t="n">
        <x:v>8</x:v>
      </x:c>
      <x:c r="L1476" s="15" t="n">
        <x:v>61</x:v>
      </x:c>
      <x:c r="M1476" s="13" t="n">
        <x:f>J1476+(K1476+L1476)/1440</x:f>
        <x:v>46304.631250000006</x:v>
      </x:c>
      <x:c r="N1476" s="13" t="n">
        <x:f>VLOOKUP(C1476,'MES orders'!$A$8:$H$127,5,FALSE)</x:f>
        <x:v>46304.666666666664</x:v>
      </x:c>
      <x:c r="O1476" s="16" t="n">
        <x:f>MAX(0,(M1476-N1476)*24)</x:f>
        <x:v>0</x:v>
      </x:c>
      <x:c r="P1476" s="9" t="str">
        <x:v>No</x:v>
      </x:c>
      <x:c r="Q1476" s="15" t="n">
        <x:v>69</x:v>
      </x:c>
      <x:c r="R1476" s="13" t="n">
        <x:f>J1476+Q1476/1440</x:f>
        <x:v>46304.631250000006</x:v>
      </x:c>
      <x:c r="S1476" s="2" t="str">
        <x:f>VLOOKUP(C1476,'MES orders'!$A$8:$H$127,6,FALSE)</x:f>
        <x:v>Normal</x:v>
      </x:c>
      <x:c r="T1476" s="9" t="str"/>
    </x:row>
    <x:row r="1477" ht="22" customHeight="1">
      <x:c r="A1477" s="2" t="str">
        <x:v>L00462-040</x:v>
      </x:c>
      <x:c r="B1477" s="2" t="str">
        <x:v>L00462</x:v>
      </x:c>
      <x:c r="C1477" s="2" t="str">
        <x:v>SO-26093</x:v>
      </x:c>
      <x:c r="D1477" s="2" t="str">
        <x:v>S-S-AL</x:v>
      </x:c>
      <x:c r="E1477" s="14" t="n">
        <x:v>15</x:v>
      </x:c>
      <x:c r="F1477" s="2" t="str">
        <x:v>Mechanical preassembly</x:v>
      </x:c>
      <x:c r="G1477" s="9" t="str">
        <x:v>AS-04</x:v>
      </x:c>
      <x:c r="H1477" s="15" t="n">
        <x:v>52</x:v>
      </x:c>
      <x:c r="I1477" s="9" t="str">
        <x:v>P14</x:v>
      </x:c>
      <x:c r="J1477" s="11" t="n">
        <x:v>46304.583333333336</x:v>
      </x:c>
      <x:c r="K1477" s="15" t="n">
        <x:v>6</x:v>
      </x:c>
      <x:c r="L1477" s="15" t="n">
        <x:v>16</x:v>
      </x:c>
      <x:c r="M1477" s="13" t="n">
        <x:f>J1477+(K1477+L1477)/1440</x:f>
        <x:v>46304.59861111111</x:v>
      </x:c>
      <x:c r="N1477" s="13" t="n">
        <x:f>VLOOKUP(C1477,'MES orders'!$A$8:$H$127,5,FALSE)</x:f>
        <x:v>46308.666666666664</x:v>
      </x:c>
      <x:c r="O1477" s="16" t="n">
        <x:f>MAX(0,(M1477-N1477)*24)</x:f>
        <x:v>0</x:v>
      </x:c>
      <x:c r="P1477" s="9" t="str">
        <x:v>No</x:v>
      </x:c>
      <x:c r="Q1477" s="15" t="n">
        <x:v>22</x:v>
      </x:c>
      <x:c r="R1477" s="13" t="n">
        <x:f>J1477+Q1477/1440</x:f>
        <x:v>46304.59861111111</x:v>
      </x:c>
      <x:c r="S1477" s="2" t="str">
        <x:f>VLOOKUP(C1477,'MES orders'!$A$8:$H$127,6,FALSE)</x:f>
        <x:v>Urgent</x:v>
      </x:c>
      <x:c r="T1477" s="9" t="str"/>
    </x:row>
    <x:row r="1478" ht="22" customHeight="1">
      <x:c r="A1478" s="2" t="str">
        <x:v>L00415-060</x:v>
      </x:c>
      <x:c r="B1478" s="2" t="str">
        <x:v>L00415</x:v>
      </x:c>
      <x:c r="C1478" s="2" t="str">
        <x:v>SO-26083</x:v>
      </x:c>
      <x:c r="D1478" s="2" t="str">
        <x:v>S-L-AL</x:v>
      </x:c>
      <x:c r="E1478" s="14" t="n">
        <x:v>15</x:v>
      </x:c>
      <x:c r="F1478" s="2" t="str">
        <x:v>Sensor calibration</x:v>
      </x:c>
      <x:c r="G1478" s="9" t="str">
        <x:v>CAL-01</x:v>
      </x:c>
      <x:c r="H1478" s="15" t="n">
        <x:v>71</x:v>
      </x:c>
      <x:c r="I1478" s="9" t="str">
        <x:v>P21</x:v>
      </x:c>
      <x:c r="J1478" s="11" t="n">
        <x:v>46304.583333333336</x:v>
      </x:c>
      <x:c r="K1478" s="15" t="n">
        <x:v>10</x:v>
      </x:c>
      <x:c r="L1478" s="15" t="n">
        <x:v>26</x:v>
      </x:c>
      <x:c r="M1478" s="13" t="n">
        <x:f>J1478+(K1478+L1478)/1440</x:f>
        <x:v>46304.60833333334</x:v>
      </x:c>
      <x:c r="N1478" s="13" t="n">
        <x:f>VLOOKUP(C1478,'MES orders'!$A$8:$H$127,5,FALSE)</x:f>
        <x:v>46304.666666666664</x:v>
      </x:c>
      <x:c r="O1478" s="16" t="n">
        <x:f>MAX(0,(M1478-N1478)*24)</x:f>
        <x:v>0</x:v>
      </x:c>
      <x:c r="P1478" s="9" t="str">
        <x:v>No</x:v>
      </x:c>
      <x:c r="Q1478" s="15" t="n">
        <x:v>36</x:v>
      </x:c>
      <x:c r="R1478" s="13" t="n">
        <x:f>J1478+Q1478/1440</x:f>
        <x:v>46304.60833333334</x:v>
      </x:c>
      <x:c r="S1478" s="2" t="str">
        <x:f>VLOOKUP(C1478,'MES orders'!$A$8:$H$127,6,FALSE)</x:f>
        <x:v>Normal</x:v>
      </x:c>
      <x:c r="T1478" s="9" t="str"/>
    </x:row>
    <x:row r="1479" ht="22" customHeight="1">
      <x:c r="A1479" s="2" t="str">
        <x:v>L00580-050</x:v>
      </x:c>
      <x:c r="B1479" s="2" t="str">
        <x:v>L00580</x:v>
      </x:c>
      <x:c r="C1479" s="2" t="str">
        <x:v>SO-26116</x:v>
      </x:c>
      <x:c r="D1479" s="2" t="str">
        <x:v>S-C-SS</x:v>
      </x:c>
      <x:c r="E1479" s="14" t="n">
        <x:v>5</x:v>
      </x:c>
      <x:c r="F1479" s="2" t="str">
        <x:v>Sensor installation</x:v>
      </x:c>
      <x:c r="G1479" s="9" t="str">
        <x:v>EL-01</x:v>
      </x:c>
      <x:c r="H1479" s="15" t="n">
        <x:v>48</x:v>
      </x:c>
      <x:c r="I1479" s="9" t="str">
        <x:v>P19</x:v>
      </x:c>
      <x:c r="J1479" s="11" t="n">
        <x:v>46304.583333333336</x:v>
      </x:c>
      <x:c r="K1479" s="15" t="n">
        <x:v>8</x:v>
      </x:c>
      <x:c r="L1479" s="15" t="n">
        <x:v>5</x:v>
      </x:c>
      <x:c r="M1479" s="13" t="n">
        <x:f>J1479+(K1479+L1479)/1440</x:f>
        <x:v>46304.592361111114</x:v>
      </x:c>
      <x:c r="N1479" s="13" t="n">
        <x:f>VLOOKUP(C1479,'MES orders'!$A$8:$H$127,5,FALSE)</x:f>
        <x:v>46307.666666666664</x:v>
      </x:c>
      <x:c r="O1479" s="16" t="n">
        <x:f>MAX(0,(M1479-N1479)*24)</x:f>
        <x:v>0</x:v>
      </x:c>
      <x:c r="P1479" s="9" t="str">
        <x:v>No</x:v>
      </x:c>
      <x:c r="Q1479" s="15" t="n">
        <x:v>13</x:v>
      </x:c>
      <x:c r="R1479" s="13" t="n">
        <x:f>J1479+Q1479/1440</x:f>
        <x:v>46304.592361111114</x:v>
      </x:c>
      <x:c r="S1479" s="2" t="str">
        <x:f>VLOOKUP(C1479,'MES orders'!$A$8:$H$127,6,FALSE)</x:f>
        <x:v>Urgent</x:v>
      </x:c>
      <x:c r="T1479" s="9" t="str"/>
    </x:row>
    <x:row r="1480" ht="22" customHeight="1">
      <x:c r="A1480" s="2" t="str">
        <x:v>L00534-050</x:v>
      </x:c>
      <x:c r="B1480" s="2" t="str">
        <x:v>L00534</x:v>
      </x:c>
      <x:c r="C1480" s="2" t="str">
        <x:v>SO-26107</x:v>
      </x:c>
      <x:c r="D1480" s="2" t="str">
        <x:v>D-L-AL</x:v>
      </x:c>
      <x:c r="E1480" s="14" t="n">
        <x:v>25</x:v>
      </x:c>
      <x:c r="F1480" s="2" t="str">
        <x:v>Final leak / function test</x:v>
      </x:c>
      <x:c r="G1480" s="9" t="str">
        <x:v>QA-01</x:v>
      </x:c>
      <x:c r="H1480" s="15" t="n">
        <x:v>59</x:v>
      </x:c>
      <x:c r="I1480" s="9" t="str">
        <x:v>P24</x:v>
      </x:c>
      <x:c r="J1480" s="11" t="n">
        <x:v>46304.583333333336</x:v>
      </x:c>
      <x:c r="K1480" s="15" t="n">
        <x:v>10</x:v>
      </x:c>
      <x:c r="L1480" s="15" t="n">
        <x:v>30</x:v>
      </x:c>
      <x:c r="M1480" s="13" t="n">
        <x:f>J1480+(K1480+L1480)/1440</x:f>
        <x:v>46304.61111111112</x:v>
      </x:c>
      <x:c r="N1480" s="13" t="n">
        <x:f>VLOOKUP(C1480,'MES orders'!$A$8:$H$127,5,FALSE)</x:f>
        <x:v>46304.666666666664</x:v>
      </x:c>
      <x:c r="O1480" s="16" t="n">
        <x:f>MAX(0,(M1480-N1480)*24)</x:f>
        <x:v>0</x:v>
      </x:c>
      <x:c r="P1480" s="9" t="str">
        <x:v>No</x:v>
      </x:c>
      <x:c r="Q1480" s="15" t="n">
        <x:v>40</x:v>
      </x:c>
      <x:c r="R1480" s="13" t="n">
        <x:f>J1480+Q1480/1440</x:f>
        <x:v>46304.61111111112</x:v>
      </x:c>
      <x:c r="S1480" s="2" t="str">
        <x:f>VLOOKUP(C1480,'MES orders'!$A$8:$H$127,6,FALSE)</x:f>
        <x:v>Normal</x:v>
      </x:c>
      <x:c r="T1480" s="9" t="str"/>
    </x:row>
    <x:row r="1481" ht="22" customHeight="1">
      <x:c r="A1481" s="2" t="str">
        <x:v>L00414-080</x:v>
      </x:c>
      <x:c r="B1481" s="2" t="str">
        <x:v>L00414</x:v>
      </x:c>
      <x:c r="C1481" s="2" t="str">
        <x:v>SO-26083</x:v>
      </x:c>
      <x:c r="D1481" s="2" t="str">
        <x:v>S-L-AL</x:v>
      </x:c>
      <x:c r="E1481" s="14" t="n">
        <x:v>15</x:v>
      </x:c>
      <x:c r="F1481" s="2" t="str">
        <x:v>Final leak / function test</x:v>
      </x:c>
      <x:c r="G1481" s="9" t="str">
        <x:v>QA-02</x:v>
      </x:c>
      <x:c r="H1481" s="15" t="n">
        <x:v>102</x:v>
      </x:c>
      <x:c r="I1481" s="9" t="str">
        <x:v>P23</x:v>
      </x:c>
      <x:c r="J1481" s="11" t="n">
        <x:v>46304.583333333336</x:v>
      </x:c>
      <x:c r="K1481" s="15" t="n">
        <x:v>10</x:v>
      </x:c>
      <x:c r="L1481" s="15" t="n">
        <x:v>18</x:v>
      </x:c>
      <x:c r="M1481" s="13" t="n">
        <x:f>J1481+(K1481+L1481)/1440</x:f>
        <x:v>46304.60277777778</x:v>
      </x:c>
      <x:c r="N1481" s="13" t="n">
        <x:f>VLOOKUP(C1481,'MES orders'!$A$8:$H$127,5,FALSE)</x:f>
        <x:v>46304.666666666664</x:v>
      </x:c>
      <x:c r="O1481" s="16" t="n">
        <x:f>MAX(0,(M1481-N1481)*24)</x:f>
        <x:v>0</x:v>
      </x:c>
      <x:c r="P1481" s="9" t="str">
        <x:v>No</x:v>
      </x:c>
      <x:c r="Q1481" s="15" t="n">
        <x:v>28</x:v>
      </x:c>
      <x:c r="R1481" s="13" t="n">
        <x:f>J1481+Q1481/1440</x:f>
        <x:v>46304.60277777778</x:v>
      </x:c>
      <x:c r="S1481" s="2" t="str">
        <x:f>VLOOKUP(C1481,'MES orders'!$A$8:$H$127,6,FALSE)</x:f>
        <x:v>Normal</x:v>
      </x:c>
      <x:c r="T1481" s="9" t="str"/>
    </x:row>
    <x:row r="1482" ht="22" customHeight="1">
      <x:c r="A1482" s="2" t="str">
        <x:v>L00176-030</x:v>
      </x:c>
      <x:c r="B1482" s="2" t="str">
        <x:v>L00176</x:v>
      </x:c>
      <x:c r="C1482" s="2" t="str">
        <x:v>SO-26036</x:v>
      </x:c>
      <x:c r="D1482" s="2" t="str">
        <x:v>R-L-SS</x:v>
      </x:c>
      <x:c r="E1482" s="14" t="n">
        <x:v>5</x:v>
      </x:c>
      <x:c r="F1482" s="2" t="str">
        <x:v>Wash &amp; dry</x:v>
      </x:c>
      <x:c r="G1482" s="9" t="str">
        <x:v>WS-01</x:v>
      </x:c>
      <x:c r="H1482" s="15" t="n">
        <x:v>139</x:v>
      </x:c>
      <x:c r="I1482" s="9" t="str">
        <x:v>P17</x:v>
      </x:c>
      <x:c r="J1482" s="11" t="n">
        <x:v>46304.583333333336</x:v>
      </x:c>
      <x:c r="K1482" s="15" t="n">
        <x:v>12</x:v>
      </x:c>
      <x:c r="L1482" s="15" t="n">
        <x:v>2</x:v>
      </x:c>
      <x:c r="M1482" s="13" t="n">
        <x:f>J1482+(K1482+L1482)/1440</x:f>
        <x:v>46304.59305555556</x:v>
      </x:c>
      <x:c r="N1482" s="13" t="n">
        <x:f>VLOOKUP(C1482,'MES orders'!$A$8:$H$127,5,FALSE)</x:f>
        <x:v>46307.666666666664</x:v>
      </x:c>
      <x:c r="O1482" s="16" t="n">
        <x:f>MAX(0,(M1482-N1482)*24)</x:f>
        <x:v>0</x:v>
      </x:c>
      <x:c r="P1482" s="9" t="str">
        <x:v>No</x:v>
      </x:c>
      <x:c r="Q1482" s="15" t="n">
        <x:v>14</x:v>
      </x:c>
      <x:c r="R1482" s="13" t="n">
        <x:f>J1482+Q1482/1440</x:f>
        <x:v>46304.59305555556</x:v>
      </x:c>
      <x:c r="S1482" s="2" t="str">
        <x:f>VLOOKUP(C1482,'MES orders'!$A$8:$H$127,6,FALSE)</x:f>
        <x:v>High</x:v>
      </x:c>
      <x:c r="T1482" s="9" t="str"/>
    </x:row>
    <x:row r="1483" ht="22" customHeight="1">
      <x:c r="A1483" s="2" t="str">
        <x:v>L00177-030</x:v>
      </x:c>
      <x:c r="B1483" s="2" t="str">
        <x:v>L00177</x:v>
      </x:c>
      <x:c r="C1483" s="2" t="str">
        <x:v>SO-26036</x:v>
      </x:c>
      <x:c r="D1483" s="2" t="str">
        <x:v>R-L-SS</x:v>
      </x:c>
      <x:c r="E1483" s="14" t="n">
        <x:v>5</x:v>
      </x:c>
      <x:c r="F1483" s="2" t="str">
        <x:v>Wash &amp; dry</x:v>
      </x:c>
      <x:c r="G1483" s="9" t="str">
        <x:v>WS-02</x:v>
      </x:c>
      <x:c r="H1483" s="15" t="n">
        <x:v>98</x:v>
      </x:c>
      <x:c r="I1483" s="9" t="str">
        <x:v>P18</x:v>
      </x:c>
      <x:c r="J1483" s="11" t="n">
        <x:v>46304.583333333336</x:v>
      </x:c>
      <x:c r="K1483" s="15" t="n">
        <x:v>12</x:v>
      </x:c>
      <x:c r="L1483" s="15" t="n">
        <x:v>2</x:v>
      </x:c>
      <x:c r="M1483" s="13" t="n">
        <x:f>J1483+(K1483+L1483)/1440</x:f>
        <x:v>46304.59305555556</x:v>
      </x:c>
      <x:c r="N1483" s="13" t="n">
        <x:f>VLOOKUP(C1483,'MES orders'!$A$8:$H$127,5,FALSE)</x:f>
        <x:v>46307.666666666664</x:v>
      </x:c>
      <x:c r="O1483" s="16" t="n">
        <x:f>MAX(0,(M1483-N1483)*24)</x:f>
        <x:v>0</x:v>
      </x:c>
      <x:c r="P1483" s="9" t="str">
        <x:v>No</x:v>
      </x:c>
      <x:c r="Q1483" s="15" t="n">
        <x:v>14</x:v>
      </x:c>
      <x:c r="R1483" s="13" t="n">
        <x:f>J1483+Q1483/1440</x:f>
        <x:v>46304.59305555556</x:v>
      </x:c>
      <x:c r="S1483" s="2" t="str">
        <x:f>VLOOKUP(C1483,'MES orders'!$A$8:$H$127,6,FALSE)</x:f>
        <x:v>High</x:v>
      </x:c>
      <x:c r="T1483" s="9" t="str"/>
    </x:row>
    <x:row r="1484" ht="22" customHeight="1">
      <x:c r="A1484" s="2" t="str">
        <x:v>L00016-010</x:v>
      </x:c>
      <x:c r="B1484" s="2" t="str">
        <x:v>L00016</x:v>
      </x:c>
      <x:c r="C1484" s="2" t="str">
        <x:v>SO-26004</x:v>
      </x:c>
      <x:c r="D1484" s="2" t="str">
        <x:v>D-S-SS</x:v>
      </x:c>
      <x:c r="E1484" s="14" t="n">
        <x:v>10</x:v>
      </x:c>
      <x:c r="F1484" s="2" t="str">
        <x:v>CNC machining</x:v>
      </x:c>
      <x:c r="G1484" s="9" t="str">
        <x:v>CNC-03</x:v>
      </x:c>
      <x:c r="H1484" s="15" t="n">
        <x:v>46</x:v>
      </x:c>
      <x:c r="I1484" s="9" t="str">
        <x:v>P13</x:v>
      </x:c>
      <x:c r="J1484" s="11" t="n">
        <x:v>46304.586805555555</x:v>
      </x:c>
      <x:c r="K1484" s="15" t="n">
        <x:v>18</x:v>
      </x:c>
      <x:c r="L1484" s="15" t="n">
        <x:v>30</x:v>
      </x:c>
      <x:c r="M1484" s="13" t="n">
        <x:f>J1484+(K1484+L1484)/1440</x:f>
        <x:v>46304.62013888889</x:v>
      </x:c>
      <x:c r="N1484" s="13" t="n">
        <x:f>VLOOKUP(C1484,'MES orders'!$A$8:$H$127,5,FALSE)</x:f>
        <x:v>46307.666666666664</x:v>
      </x:c>
      <x:c r="O1484" s="16" t="n">
        <x:f>MAX(0,(M1484-N1484)*24)</x:f>
        <x:v>0</x:v>
      </x:c>
      <x:c r="P1484" s="9" t="str">
        <x:v>No</x:v>
      </x:c>
      <x:c r="Q1484" s="15" t="n">
        <x:v>18</x:v>
      </x:c>
      <x:c r="R1484" s="13" t="n">
        <x:f>J1484+Q1484/1440</x:f>
        <x:v>46304.59930555555</x:v>
      </x:c>
      <x:c r="S1484" s="2" t="str">
        <x:f>VLOOKUP(C1484,'MES orders'!$A$8:$H$127,6,FALSE)</x:f>
        <x:v>Normal</x:v>
      </x:c>
      <x:c r="T1484" s="9" t="str"/>
    </x:row>
    <x:row r="1485" ht="22" customHeight="1">
      <x:c r="A1485" s="2" t="str">
        <x:v>L00176-040</x:v>
      </x:c>
      <x:c r="B1485" s="2" t="str">
        <x:v>L00176</x:v>
      </x:c>
      <x:c r="C1485" s="2" t="str">
        <x:v>SO-26036</x:v>
      </x:c>
      <x:c r="D1485" s="2" t="str">
        <x:v>R-L-SS</x:v>
      </x:c>
      <x:c r="E1485" s="14" t="n">
        <x:v>5</x:v>
      </x:c>
      <x:c r="F1485" s="2" t="str">
        <x:v>Mechanical assembly</x:v>
      </x:c>
      <x:c r="G1485" s="9" t="str">
        <x:v>AS-01</x:v>
      </x:c>
      <x:c r="H1485" s="15" t="n">
        <x:v>120</x:v>
      </x:c>
      <x:c r="I1485" s="9" t="str">
        <x:v>P17</x:v>
      </x:c>
      <x:c r="J1485" s="11" t="n">
        <x:v>46304.59305555555</x:v>
      </x:c>
      <x:c r="K1485" s="15" t="n">
        <x:v>8</x:v>
      </x:c>
      <x:c r="L1485" s="15" t="n">
        <x:v>12</x:v>
      </x:c>
      <x:c r="M1485" s="13" t="n">
        <x:f>J1485+(K1485+L1485)/1440</x:f>
        <x:v>46304.606944444444</x:v>
      </x:c>
      <x:c r="N1485" s="13" t="n">
        <x:f>VLOOKUP(C1485,'MES orders'!$A$8:$H$127,5,FALSE)</x:f>
        <x:v>46307.666666666664</x:v>
      </x:c>
      <x:c r="O1485" s="16" t="n">
        <x:f>MAX(0,(M1485-N1485)*24)</x:f>
        <x:v>0</x:v>
      </x:c>
      <x:c r="P1485" s="9" t="str">
        <x:v>No</x:v>
      </x:c>
      <x:c r="Q1485" s="15" t="n">
        <x:v>20</x:v>
      </x:c>
      <x:c r="R1485" s="13" t="n">
        <x:f>J1485+Q1485/1440</x:f>
        <x:v>46304.606944444444</x:v>
      </x:c>
      <x:c r="S1485" s="2" t="str">
        <x:f>VLOOKUP(C1485,'MES orders'!$A$8:$H$127,6,FALSE)</x:f>
        <x:v>High</x:v>
      </x:c>
      <x:c r="T1485" s="9" t="str"/>
    </x:row>
    <x:row r="1486" ht="22" customHeight="1">
      <x:c r="A1486" s="2" t="str">
        <x:v>L00177-040</x:v>
      </x:c>
      <x:c r="B1486" s="2" t="str">
        <x:v>L00177</x:v>
      </x:c>
      <x:c r="C1486" s="2" t="str">
        <x:v>SO-26036</x:v>
      </x:c>
      <x:c r="D1486" s="2" t="str">
        <x:v>R-L-SS</x:v>
      </x:c>
      <x:c r="E1486" s="14" t="n">
        <x:v>5</x:v>
      </x:c>
      <x:c r="F1486" s="2" t="str">
        <x:v>Mechanical assembly</x:v>
      </x:c>
      <x:c r="G1486" s="9" t="str">
        <x:v>AS-03</x:v>
      </x:c>
      <x:c r="H1486" s="15" t="n">
        <x:v>76</x:v>
      </x:c>
      <x:c r="I1486" s="9" t="str">
        <x:v>P18</x:v>
      </x:c>
      <x:c r="J1486" s="11" t="n">
        <x:v>46304.59305555555</x:v>
      </x:c>
      <x:c r="K1486" s="15" t="n">
        <x:v>8</x:v>
      </x:c>
      <x:c r="L1486" s="15" t="n">
        <x:v>12</x:v>
      </x:c>
      <x:c r="M1486" s="13" t="n">
        <x:f>J1486+(K1486+L1486)/1440</x:f>
        <x:v>46304.606944444444</x:v>
      </x:c>
      <x:c r="N1486" s="13" t="n">
        <x:f>VLOOKUP(C1486,'MES orders'!$A$8:$H$127,5,FALSE)</x:f>
        <x:v>46307.666666666664</x:v>
      </x:c>
      <x:c r="O1486" s="16" t="n">
        <x:f>MAX(0,(M1486-N1486)*24)</x:f>
        <x:v>0</x:v>
      </x:c>
      <x:c r="P1486" s="9" t="str">
        <x:v>No</x:v>
      </x:c>
      <x:c r="Q1486" s="15" t="n">
        <x:v>20</x:v>
      </x:c>
      <x:c r="R1486" s="13" t="n">
        <x:f>J1486+Q1486/1440</x:f>
        <x:v>46304.606944444444</x:v>
      </x:c>
      <x:c r="S1486" s="2" t="str">
        <x:f>VLOOKUP(C1486,'MES orders'!$A$8:$H$127,6,FALSE)</x:f>
        <x:v>High</x:v>
      </x:c>
      <x:c r="T1486" s="9" t="str"/>
    </x:row>
    <x:row r="1487" ht="22" customHeight="1">
      <x:c r="A1487" s="2" t="str">
        <x:v>L00017-010</x:v>
      </x:c>
      <x:c r="B1487" s="2" t="str">
        <x:v>L00017</x:v>
      </x:c>
      <x:c r="C1487" s="2" t="str">
        <x:v>SO-26004</x:v>
      </x:c>
      <x:c r="D1487" s="2" t="str">
        <x:v>D-S-SS</x:v>
      </x:c>
      <x:c r="E1487" s="14" t="n">
        <x:v>10</x:v>
      </x:c>
      <x:c r="F1487" s="2" t="str">
        <x:v>CNC machining</x:v>
      </x:c>
      <x:c r="G1487" s="9" t="str">
        <x:v>CNC-04</x:v>
      </x:c>
      <x:c r="H1487" s="15" t="n">
        <x:v>44</x:v>
      </x:c>
      <x:c r="I1487" s="9" t="str">
        <x:v>P15</x:v>
      </x:c>
      <x:c r="J1487" s="11" t="n">
        <x:v>46304.59305555555</x:v>
      </x:c>
      <x:c r="K1487" s="15" t="n">
        <x:v>18</x:v>
      </x:c>
      <x:c r="L1487" s="15" t="n">
        <x:v>30</x:v>
      </x:c>
      <x:c r="M1487" s="13" t="n">
        <x:f>J1487+(K1487+L1487)/1440</x:f>
        <x:v>46304.626388888886</x:v>
      </x:c>
      <x:c r="N1487" s="13" t="n">
        <x:f>VLOOKUP(C1487,'MES orders'!$A$8:$H$127,5,FALSE)</x:f>
        <x:v>46307.666666666664</x:v>
      </x:c>
      <x:c r="O1487" s="16" t="n">
        <x:f>MAX(0,(M1487-N1487)*24)</x:f>
        <x:v>0</x:v>
      </x:c>
      <x:c r="P1487" s="9" t="str">
        <x:v>No</x:v>
      </x:c>
      <x:c r="Q1487" s="15" t="n">
        <x:v>18</x:v>
      </x:c>
      <x:c r="R1487" s="13" t="n">
        <x:f>J1487+Q1487/1440</x:f>
        <x:v>46304.60555555555</x:v>
      </x:c>
      <x:c r="S1487" s="2" t="str">
        <x:f>VLOOKUP(C1487,'MES orders'!$A$8:$H$127,6,FALSE)</x:f>
        <x:v>Normal</x:v>
      </x:c>
      <x:c r="T1487" s="9" t="str"/>
    </x:row>
    <x:row r="1488" ht="22" customHeight="1">
      <x:c r="A1488" s="2" t="str">
        <x:v>L00462-050</x:v>
      </x:c>
      <x:c r="B1488" s="2" t="str">
        <x:v>L00462</x:v>
      </x:c>
      <x:c r="C1488" s="2" t="str">
        <x:v>SO-26093</x:v>
      </x:c>
      <x:c r="D1488" s="2" t="str">
        <x:v>S-S-AL</x:v>
      </x:c>
      <x:c r="E1488" s="14" t="n">
        <x:v>15</x:v>
      </x:c>
      <x:c r="F1488" s="2" t="str">
        <x:v>Sensor installation</x:v>
      </x:c>
      <x:c r="G1488" s="9" t="str">
        <x:v>EL-01</x:v>
      </x:c>
      <x:c r="H1488" s="15" t="n">
        <x:v>49</x:v>
      </x:c>
      <x:c r="I1488" s="9" t="str">
        <x:v>P19</x:v>
      </x:c>
      <x:c r="J1488" s="11" t="n">
        <x:v>46304.59861111111</x:v>
      </x:c>
      <x:c r="K1488" s="15" t="n">
        <x:v>8</x:v>
      </x:c>
      <x:c r="L1488" s="15" t="n">
        <x:v>18</x:v>
      </x:c>
      <x:c r="M1488" s="13" t="n">
        <x:f>J1488+(K1488+L1488)/1440</x:f>
        <x:v>46304.61666666667</x:v>
      </x:c>
      <x:c r="N1488" s="13" t="n">
        <x:f>VLOOKUP(C1488,'MES orders'!$A$8:$H$127,5,FALSE)</x:f>
        <x:v>46308.666666666664</x:v>
      </x:c>
      <x:c r="O1488" s="16" t="n">
        <x:f>MAX(0,(M1488-N1488)*24)</x:f>
        <x:v>0</x:v>
      </x:c>
      <x:c r="P1488" s="9" t="str">
        <x:v>No</x:v>
      </x:c>
      <x:c r="Q1488" s="15" t="n">
        <x:v>26</x:v>
      </x:c>
      <x:c r="R1488" s="13" t="n">
        <x:f>J1488+Q1488/1440</x:f>
        <x:v>46304.61666666667</x:v>
      </x:c>
      <x:c r="S1488" s="2" t="str">
        <x:f>VLOOKUP(C1488,'MES orders'!$A$8:$H$127,6,FALSE)</x:f>
        <x:v>Urgent</x:v>
      </x:c>
      <x:c r="T1488" s="9" t="str"/>
    </x:row>
    <x:row r="1489" ht="22" customHeight="1">
      <x:c r="A1489" s="2" t="str">
        <x:v>L00459-020</x:v>
      </x:c>
      <x:c r="B1489" s="2" t="str">
        <x:v>L00459</x:v>
      </x:c>
      <x:c r="C1489" s="2" t="str">
        <x:v>SO-26092</x:v>
      </x:c>
      <x:c r="D1489" s="2" t="str">
        <x:v>R-C-SS</x:v>
      </x:c>
      <x:c r="E1489" s="14" t="n">
        <x:v>25</x:v>
      </x:c>
      <x:c r="F1489" s="2" t="str">
        <x:v>Deburr &amp; inspect</x:v>
      </x:c>
      <x:c r="G1489" s="9" t="str">
        <x:v>DB-01</x:v>
      </x:c>
      <x:c r="H1489" s="15" t="n">
        <x:v>143</x:v>
      </x:c>
      <x:c r="I1489" s="9" t="str">
        <x:v>P13</x:v>
      </x:c>
      <x:c r="J1489" s="11" t="n">
        <x:v>46304.59930555556</x:v>
      </x:c>
      <x:c r="K1489" s="15" t="n">
        <x:v>4</x:v>
      </x:c>
      <x:c r="L1489" s="15" t="n">
        <x:v>14</x:v>
      </x:c>
      <x:c r="M1489" s="13" t="n">
        <x:f>J1489+(K1489+L1489)/1440</x:f>
        <x:v>46304.611805555556</x:v>
      </x:c>
      <x:c r="N1489" s="13" t="n">
        <x:f>VLOOKUP(C1489,'MES orders'!$A$8:$H$127,5,FALSE)</x:f>
        <x:v>46307.666666666664</x:v>
      </x:c>
      <x:c r="O1489" s="16" t="n">
        <x:f>MAX(0,(M1489-N1489)*24)</x:f>
        <x:v>0</x:v>
      </x:c>
      <x:c r="P1489" s="9" t="str">
        <x:v>No</x:v>
      </x:c>
      <x:c r="Q1489" s="15" t="n">
        <x:v>18</x:v>
      </x:c>
      <x:c r="R1489" s="13" t="n">
        <x:f>J1489+Q1489/1440</x:f>
        <x:v>46304.611805555556</x:v>
      </x:c>
      <x:c r="S1489" s="2" t="str">
        <x:f>VLOOKUP(C1489,'MES orders'!$A$8:$H$127,6,FALSE)</x:f>
        <x:v>High</x:v>
      </x:c>
      <x:c r="T1489" s="9" t="str"/>
    </x:row>
    <x:row r="1490" ht="22" customHeight="1">
      <x:c r="A1490" s="2" t="str">
        <x:v>L00460-020</x:v>
      </x:c>
      <x:c r="B1490" s="2" t="str">
        <x:v>L00460</x:v>
      </x:c>
      <x:c r="C1490" s="2" t="str">
        <x:v>SO-26092</x:v>
      </x:c>
      <x:c r="D1490" s="2" t="str">
        <x:v>R-C-SS</x:v>
      </x:c>
      <x:c r="E1490" s="14" t="n">
        <x:v>25</x:v>
      </x:c>
      <x:c r="F1490" s="2" t="str">
        <x:v>Deburr &amp; inspect</x:v>
      </x:c>
      <x:c r="G1490" s="9" t="str">
        <x:v>DB-02</x:v>
      </x:c>
      <x:c r="H1490" s="15" t="n">
        <x:v>96</x:v>
      </x:c>
      <x:c r="I1490" s="9" t="str">
        <x:v>P14</x:v>
      </x:c>
      <x:c r="J1490" s="11" t="n">
        <x:v>46304.60277777778</x:v>
      </x:c>
      <x:c r="K1490" s="15" t="n">
        <x:v>4</x:v>
      </x:c>
      <x:c r="L1490" s="15" t="n">
        <x:v>14</x:v>
      </x:c>
      <x:c r="M1490" s="13" t="n">
        <x:f>J1490+(K1490+L1490)/1440</x:f>
        <x:v>46304.615277777775</x:v>
      </x:c>
      <x:c r="N1490" s="13" t="n">
        <x:f>VLOOKUP(C1490,'MES orders'!$A$8:$H$127,5,FALSE)</x:f>
        <x:v>46307.666666666664</x:v>
      </x:c>
      <x:c r="O1490" s="16" t="n">
        <x:f>MAX(0,(M1490-N1490)*24)</x:f>
        <x:v>0</x:v>
      </x:c>
      <x:c r="P1490" s="9" t="str">
        <x:v>No</x:v>
      </x:c>
      <x:c r="Q1490" s="15" t="n">
        <x:v>18</x:v>
      </x:c>
      <x:c r="R1490" s="13" t="n">
        <x:f>J1490+Q1490/1440</x:f>
        <x:v>46304.615277777775</x:v>
      </x:c>
      <x:c r="S1490" s="2" t="str">
        <x:f>VLOOKUP(C1490,'MES orders'!$A$8:$H$127,6,FALSE)</x:f>
        <x:v>High</x:v>
      </x:c>
      <x:c r="T1490" s="9" t="str"/>
    </x:row>
    <x:row r="1491" ht="22" customHeight="1">
      <x:c r="A1491" s="2" t="str">
        <x:v>L00575-060</x:v>
      </x:c>
      <x:c r="B1491" s="2" t="str">
        <x:v>L00575</x:v>
      </x:c>
      <x:c r="C1491" s="2" t="str">
        <x:v>SO-26115</x:v>
      </x:c>
      <x:c r="D1491" s="2" t="str">
        <x:v>R-C-AL</x:v>
      </x:c>
      <x:c r="E1491" s="14" t="n">
        <x:v>5</x:v>
      </x:c>
      <x:c r="F1491" s="2" t="str">
        <x:v>Final leak / function test</x:v>
      </x:c>
      <x:c r="G1491" s="9" t="str">
        <x:v>QA-02</x:v>
      </x:c>
      <x:c r="H1491" s="15" t="n">
        <x:v>103</x:v>
      </x:c>
      <x:c r="I1491" s="9" t="str">
        <x:v>P23</x:v>
      </x:c>
      <x:c r="J1491" s="11" t="n">
        <x:v>46304.60277777778</x:v>
      </x:c>
      <x:c r="K1491" s="15" t="n">
        <x:v>10</x:v>
      </x:c>
      <x:c r="L1491" s="15" t="n">
        <x:v>4</x:v>
      </x:c>
      <x:c r="M1491" s="13" t="n">
        <x:f>J1491+(K1491+L1491)/1440</x:f>
        <x:v>46304.6125</x:v>
      </x:c>
      <x:c r="N1491" s="13" t="n">
        <x:f>VLOOKUP(C1491,'MES orders'!$A$8:$H$127,5,FALSE)</x:f>
        <x:v>46304.666666666664</x:v>
      </x:c>
      <x:c r="O1491" s="16" t="n">
        <x:f>MAX(0,(M1491-N1491)*24)</x:f>
        <x:v>0</x:v>
      </x:c>
      <x:c r="P1491" s="9" t="str">
        <x:v>No</x:v>
      </x:c>
      <x:c r="Q1491" s="15" t="n">
        <x:v>14</x:v>
      </x:c>
      <x:c r="R1491" s="13" t="n">
        <x:f>J1491+Q1491/1440</x:f>
        <x:v>46304.6125</x:v>
      </x:c>
      <x:c r="S1491" s="2" t="str">
        <x:f>VLOOKUP(C1491,'MES orders'!$A$8:$H$127,6,FALSE)</x:f>
        <x:v>Normal</x:v>
      </x:c>
      <x:c r="T1491" s="9" t="str"/>
    </x:row>
    <x:row r="1492" ht="22" customHeight="1">
      <x:c r="A1492" s="2" t="str">
        <x:v>L00018-010</x:v>
      </x:c>
      <x:c r="B1492" s="2" t="str">
        <x:v>L00018</x:v>
      </x:c>
      <x:c r="C1492" s="2" t="str">
        <x:v>SO-26004</x:v>
      </x:c>
      <x:c r="D1492" s="2" t="str">
        <x:v>D-S-SS</x:v>
      </x:c>
      <x:c r="E1492" s="14" t="n">
        <x:v>10</x:v>
      </x:c>
      <x:c r="F1492" s="2" t="str">
        <x:v>CNC machining</x:v>
      </x:c>
      <x:c r="G1492" s="9" t="str">
        <x:v>CNC-05</x:v>
      </x:c>
      <x:c r="H1492" s="15" t="n">
        <x:v>40</x:v>
      </x:c>
      <x:c r="I1492" s="9" t="str">
        <x:v>P15</x:v>
      </x:c>
      <x:c r="J1492" s="11" t="n">
        <x:v>46304.60555555556</x:v>
      </x:c>
      <x:c r="K1492" s="15" t="n">
        <x:v>18</x:v>
      </x:c>
      <x:c r="L1492" s="15" t="n">
        <x:v>30</x:v>
      </x:c>
      <x:c r="M1492" s="13" t="n">
        <x:f>J1492+(K1492+L1492)/1440</x:f>
        <x:v>46304.63888888889</x:v>
      </x:c>
      <x:c r="N1492" s="13" t="n">
        <x:f>VLOOKUP(C1492,'MES orders'!$A$8:$H$127,5,FALSE)</x:f>
        <x:v>46307.666666666664</x:v>
      </x:c>
      <x:c r="O1492" s="16" t="n">
        <x:f>MAX(0,(M1492-N1492)*24)</x:f>
        <x:v>0</x:v>
      </x:c>
      <x:c r="P1492" s="9" t="str">
        <x:v>No</x:v>
      </x:c>
      <x:c r="Q1492" s="15" t="n">
        <x:v>18</x:v>
      </x:c>
      <x:c r="R1492" s="13" t="n">
        <x:f>J1492+Q1492/1440</x:f>
        <x:v>46304.618055555555</x:v>
      </x:c>
      <x:c r="S1492" s="2" t="str">
        <x:f>VLOOKUP(C1492,'MES orders'!$A$8:$H$127,6,FALSE)</x:f>
        <x:v>Normal</x:v>
      </x:c>
      <x:c r="T1492" s="9" t="str"/>
    </x:row>
    <x:row r="1493" ht="22" customHeight="1">
      <x:c r="A1493" s="2" t="str">
        <x:v>L00176-050</x:v>
      </x:c>
      <x:c r="B1493" s="2" t="str">
        <x:v>L00176</x:v>
      </x:c>
      <x:c r="C1493" s="2" t="str">
        <x:v>SO-26036</x:v>
      </x:c>
      <x:c r="D1493" s="2" t="str">
        <x:v>R-L-SS</x:v>
      </x:c>
      <x:c r="E1493" s="14" t="n">
        <x:v>5</x:v>
      </x:c>
      <x:c r="F1493" s="2" t="str">
        <x:v>Valve adjustment</x:v>
      </x:c>
      <x:c r="G1493" s="9" t="str">
        <x:v>AS-03</x:v>
      </x:c>
      <x:c r="H1493" s="15" t="n">
        <x:v>77</x:v>
      </x:c>
      <x:c r="I1493" s="9" t="str">
        <x:v>P18</x:v>
      </x:c>
      <x:c r="J1493" s="11" t="n">
        <x:v>46304.606944444444</x:v>
      </x:c>
      <x:c r="K1493" s="15" t="n">
        <x:v>6</x:v>
      </x:c>
      <x:c r="L1493" s="15" t="n">
        <x:v>7</x:v>
      </x:c>
      <x:c r="M1493" s="13" t="n">
        <x:f>J1493+(K1493+L1493)/1440</x:f>
        <x:v>46304.61597222222</x:v>
      </x:c>
      <x:c r="N1493" s="13" t="n">
        <x:f>VLOOKUP(C1493,'MES orders'!$A$8:$H$127,5,FALSE)</x:f>
        <x:v>46307.666666666664</x:v>
      </x:c>
      <x:c r="O1493" s="16" t="n">
        <x:f>MAX(0,(M1493-N1493)*24)</x:f>
        <x:v>0</x:v>
      </x:c>
      <x:c r="P1493" s="9" t="str">
        <x:v>No</x:v>
      </x:c>
      <x:c r="Q1493" s="15" t="n">
        <x:v>13</x:v>
      </x:c>
      <x:c r="R1493" s="13" t="n">
        <x:f>J1493+Q1493/1440</x:f>
        <x:v>46304.61597222222</x:v>
      </x:c>
      <x:c r="S1493" s="2" t="str">
        <x:f>VLOOKUP(C1493,'MES orders'!$A$8:$H$127,6,FALSE)</x:f>
        <x:v>High</x:v>
      </x:c>
      <x:c r="T1493" s="9" t="str"/>
    </x:row>
    <x:row r="1494" ht="22" customHeight="1">
      <x:c r="A1494" s="2" t="str">
        <x:v>L00415-070</x:v>
      </x:c>
      <x:c r="B1494" s="2" t="str">
        <x:v>L00415</x:v>
      </x:c>
      <x:c r="C1494" s="2" t="str">
        <x:v>SO-26083</x:v>
      </x:c>
      <x:c r="D1494" s="2" t="str">
        <x:v>S-L-AL</x:v>
      </x:c>
      <x:c r="E1494" s="14" t="n">
        <x:v>15</x:v>
      </x:c>
      <x:c r="F1494" s="2" t="str">
        <x:v>Final assembly</x:v>
      </x:c>
      <x:c r="G1494" s="9" t="str">
        <x:v>AS-01</x:v>
      </x:c>
      <x:c r="H1494" s="15" t="n">
        <x:v>121</x:v>
      </x:c>
      <x:c r="I1494" s="9" t="str">
        <x:v>P17</x:v>
      </x:c>
      <x:c r="J1494" s="11" t="n">
        <x:v>46304.60833333333</x:v>
      </x:c>
      <x:c r="K1494" s="15" t="n">
        <x:v>5</x:v>
      </x:c>
      <x:c r="L1494" s="15" t="n">
        <x:v>16</x:v>
      </x:c>
      <x:c r="M1494" s="13" t="n">
        <x:f>J1494+(K1494+L1494)/1440</x:f>
        <x:v>46304.62291666666</x:v>
      </x:c>
      <x:c r="N1494" s="13" t="n">
        <x:f>VLOOKUP(C1494,'MES orders'!$A$8:$H$127,5,FALSE)</x:f>
        <x:v>46304.666666666664</x:v>
      </x:c>
      <x:c r="O1494" s="16" t="n">
        <x:f>MAX(0,(M1494-N1494)*24)</x:f>
        <x:v>0</x:v>
      </x:c>
      <x:c r="P1494" s="9" t="str">
        <x:v>No</x:v>
      </x:c>
      <x:c r="Q1494" s="15" t="n">
        <x:v>21</x:v>
      </x:c>
      <x:c r="R1494" s="13" t="n">
        <x:f>J1494+Q1494/1440</x:f>
        <x:v>46304.62291666666</x:v>
      </x:c>
      <x:c r="S1494" s="2" t="str">
        <x:f>VLOOKUP(C1494,'MES orders'!$A$8:$H$127,6,FALSE)</x:f>
        <x:v>Normal</x:v>
      </x:c>
      <x:c r="T1494" s="9" t="str"/>
    </x:row>
    <x:row r="1495" ht="22" customHeight="1">
      <x:c r="A1495" s="2" t="str">
        <x:v>L00577-060</x:v>
      </x:c>
      <x:c r="B1495" s="2" t="str">
        <x:v>L00577</x:v>
      </x:c>
      <x:c r="C1495" s="2" t="str">
        <x:v>SO-26116</x:v>
      </x:c>
      <x:c r="D1495" s="2" t="str">
        <x:v>S-C-SS</x:v>
      </x:c>
      <x:c r="E1495" s="14" t="n">
        <x:v>5</x:v>
      </x:c>
      <x:c r="F1495" s="2" t="str">
        <x:v>Sensor calibration</x:v>
      </x:c>
      <x:c r="G1495" s="9" t="str">
        <x:v>CAL-01</x:v>
      </x:c>
      <x:c r="H1495" s="15" t="n">
        <x:v>72</x:v>
      </x:c>
      <x:c r="I1495" s="9" t="str">
        <x:v>P21</x:v>
      </x:c>
      <x:c r="J1495" s="11" t="n">
        <x:v>46304.60833333333</x:v>
      </x:c>
      <x:c r="K1495" s="15" t="n">
        <x:v>10</x:v>
      </x:c>
      <x:c r="L1495" s="15" t="n">
        <x:v>5</x:v>
      </x:c>
      <x:c r="M1495" s="13" t="n">
        <x:f>J1495+(K1495+L1495)/1440</x:f>
        <x:v>46304.618749999994</x:v>
      </x:c>
      <x:c r="N1495" s="13" t="n">
        <x:f>VLOOKUP(C1495,'MES orders'!$A$8:$H$127,5,FALSE)</x:f>
        <x:v>46307.666666666664</x:v>
      </x:c>
      <x:c r="O1495" s="16" t="n">
        <x:f>MAX(0,(M1495-N1495)*24)</x:f>
        <x:v>0</x:v>
      </x:c>
      <x:c r="P1495" s="9" t="str">
        <x:v>No</x:v>
      </x:c>
      <x:c r="Q1495" s="15" t="n">
        <x:v>15</x:v>
      </x:c>
      <x:c r="R1495" s="13" t="n">
        <x:f>J1495+Q1495/1440</x:f>
        <x:v>46304.618749999994</x:v>
      </x:c>
      <x:c r="S1495" s="2" t="str">
        <x:f>VLOOKUP(C1495,'MES orders'!$A$8:$H$127,6,FALSE)</x:f>
        <x:v>Urgent</x:v>
      </x:c>
      <x:c r="T1495" s="9" t="str"/>
    </x:row>
    <x:row r="1496" ht="22" customHeight="1">
      <x:c r="A1496" s="2" t="str">
        <x:v>L00576-080</x:v>
      </x:c>
      <x:c r="B1496" s="2" t="str">
        <x:v>L00576</x:v>
      </x:c>
      <x:c r="C1496" s="2" t="str">
        <x:v>SO-26116</x:v>
      </x:c>
      <x:c r="D1496" s="2" t="str">
        <x:v>S-C-SS</x:v>
      </x:c>
      <x:c r="E1496" s="14" t="n">
        <x:v>5</x:v>
      </x:c>
      <x:c r="F1496" s="2" t="str">
        <x:v>Final leak / function test</x:v>
      </x:c>
      <x:c r="G1496" s="9" t="str">
        <x:v>QA-03</x:v>
      </x:c>
      <x:c r="H1496" s="15" t="n">
        <x:v>64</x:v>
      </x:c>
      <x:c r="I1496" s="9" t="str">
        <x:v>P24</x:v>
      </x:c>
      <x:c r="J1496" s="11" t="n">
        <x:v>46304.61111111111</x:v>
      </x:c>
      <x:c r="K1496" s="15" t="n">
        <x:v>10</x:v>
      </x:c>
      <x:c r="L1496" s="15" t="n">
        <x:v>4</x:v>
      </x:c>
      <x:c r="M1496" s="13" t="n">
        <x:f>J1496+(K1496+L1496)/1440</x:f>
        <x:v>46304.620833333334</x:v>
      </x:c>
      <x:c r="N1496" s="13" t="n">
        <x:f>VLOOKUP(C1496,'MES orders'!$A$8:$H$127,5,FALSE)</x:f>
        <x:v>46307.666666666664</x:v>
      </x:c>
      <x:c r="O1496" s="16" t="n">
        <x:f>MAX(0,(M1496-N1496)*24)</x:f>
        <x:v>0</x:v>
      </x:c>
      <x:c r="P1496" s="9" t="str">
        <x:v>No</x:v>
      </x:c>
      <x:c r="Q1496" s="15" t="n">
        <x:v>14</x:v>
      </x:c>
      <x:c r="R1496" s="13" t="n">
        <x:f>J1496+Q1496/1440</x:f>
        <x:v>46304.620833333334</x:v>
      </x:c>
      <x:c r="S1496" s="2" t="str">
        <x:f>VLOOKUP(C1496,'MES orders'!$A$8:$H$127,6,FALSE)</x:f>
        <x:v>Urgent</x:v>
      </x:c>
      <x:c r="T1496" s="9" t="str"/>
    </x:row>
    <x:row r="1497" ht="22" customHeight="1">
      <x:c r="A1497" s="2" t="str">
        <x:v>L00459-030</x:v>
      </x:c>
      <x:c r="B1497" s="2" t="str">
        <x:v>L00459</x:v>
      </x:c>
      <x:c r="C1497" s="2" t="str">
        <x:v>SO-26092</x:v>
      </x:c>
      <x:c r="D1497" s="2" t="str">
        <x:v>R-C-SS</x:v>
      </x:c>
      <x:c r="E1497" s="14" t="n">
        <x:v>25</x:v>
      </x:c>
      <x:c r="F1497" s="2" t="str">
        <x:v>Wash &amp; dry</x:v>
      </x:c>
      <x:c r="G1497" s="9" t="str">
        <x:v>WS-01</x:v>
      </x:c>
      <x:c r="H1497" s="15" t="n">
        <x:v>140</x:v>
      </x:c>
      <x:c r="I1497" s="9" t="str">
        <x:v>P13</x:v>
      </x:c>
      <x:c r="J1497" s="11" t="n">
        <x:v>46304.611805555556</x:v>
      </x:c>
      <x:c r="K1497" s="15" t="n">
        <x:v>12</x:v>
      </x:c>
      <x:c r="L1497" s="15" t="n">
        <x:v>7</x:v>
      </x:c>
      <x:c r="M1497" s="13" t="n">
        <x:f>J1497+(K1497+L1497)/1440</x:f>
        <x:v>46304.625</x:v>
      </x:c>
      <x:c r="N1497" s="13" t="n">
        <x:f>VLOOKUP(C1497,'MES orders'!$A$8:$H$127,5,FALSE)</x:f>
        <x:v>46307.666666666664</x:v>
      </x:c>
      <x:c r="O1497" s="16" t="n">
        <x:f>MAX(0,(M1497-N1497)*24)</x:f>
        <x:v>0</x:v>
      </x:c>
      <x:c r="P1497" s="9" t="str">
        <x:v>No</x:v>
      </x:c>
      <x:c r="Q1497" s="15" t="n">
        <x:v>19</x:v>
      </x:c>
      <x:c r="R1497" s="13" t="n">
        <x:f>J1497+Q1497/1440</x:f>
        <x:v>46304.625</x:v>
      </x:c>
      <x:c r="S1497" s="2" t="str">
        <x:f>VLOOKUP(C1497,'MES orders'!$A$8:$H$127,6,FALSE)</x:f>
        <x:v>High</x:v>
      </x:c>
      <x:c r="T1497" s="9" t="str"/>
    </x:row>
    <x:row r="1498" ht="22" customHeight="1">
      <x:c r="A1498" s="2" t="str">
        <x:v>L00463-020</x:v>
      </x:c>
      <x:c r="B1498" s="2" t="str">
        <x:v>L00463</x:v>
      </x:c>
      <x:c r="C1498" s="2" t="str">
        <x:v>SO-26093</x:v>
      </x:c>
      <x:c r="D1498" s="2" t="str">
        <x:v>S-S-AL</x:v>
      </x:c>
      <x:c r="E1498" s="14" t="n">
        <x:v>15</x:v>
      </x:c>
      <x:c r="F1498" s="2" t="str">
        <x:v>Deburr &amp; inspect</x:v>
      </x:c>
      <x:c r="G1498" s="9" t="str">
        <x:v>DB-02</x:v>
      </x:c>
      <x:c r="H1498" s="15" t="n">
        <x:v>97</x:v>
      </x:c>
      <x:c r="I1498" s="9" t="str">
        <x:v>P20</x:v>
      </x:c>
      <x:c r="J1498" s="11" t="n">
        <x:v>46304.615277777775</x:v>
      </x:c>
      <x:c r="K1498" s="15" t="n">
        <x:v>4</x:v>
      </x:c>
      <x:c r="L1498" s="15" t="n">
        <x:v>10</x:v>
      </x:c>
      <x:c r="M1498" s="13" t="n">
        <x:f>J1498+(K1498+L1498)/1440</x:f>
        <x:v>46304.625</x:v>
      </x:c>
      <x:c r="N1498" s="13" t="n">
        <x:f>VLOOKUP(C1498,'MES orders'!$A$8:$H$127,5,FALSE)</x:f>
        <x:v>46308.666666666664</x:v>
      </x:c>
      <x:c r="O1498" s="16" t="n">
        <x:f>MAX(0,(M1498-N1498)*24)</x:f>
        <x:v>0</x:v>
      </x:c>
      <x:c r="P1498" s="9" t="str">
        <x:v>No</x:v>
      </x:c>
      <x:c r="Q1498" s="15" t="n">
        <x:v>14</x:v>
      </x:c>
      <x:c r="R1498" s="13" t="n">
        <x:f>J1498+Q1498/1440</x:f>
        <x:v>46304.625</x:v>
      </x:c>
      <x:c r="S1498" s="2" t="str">
        <x:f>VLOOKUP(C1498,'MES orders'!$A$8:$H$127,6,FALSE)</x:f>
        <x:v>Urgent</x:v>
      </x:c>
      <x:c r="T1498" s="9" t="str"/>
    </x:row>
    <x:row r="1499" ht="22" customHeight="1">
      <x:c r="A1499" s="2" t="str">
        <x:v>L00460-030</x:v>
      </x:c>
      <x:c r="B1499" s="2" t="str">
        <x:v>L00460</x:v>
      </x:c>
      <x:c r="C1499" s="2" t="str">
        <x:v>SO-26092</x:v>
      </x:c>
      <x:c r="D1499" s="2" t="str">
        <x:v>R-C-SS</x:v>
      </x:c>
      <x:c r="E1499" s="14" t="n">
        <x:v>25</x:v>
      </x:c>
      <x:c r="F1499" s="2" t="str">
        <x:v>Wash &amp; dry</x:v>
      </x:c>
      <x:c r="G1499" s="9" t="str">
        <x:v>WS-02</x:v>
      </x:c>
      <x:c r="H1499" s="15" t="n">
        <x:v>99</x:v>
      </x:c>
      <x:c r="I1499" s="9" t="str">
        <x:v>P14</x:v>
      </x:c>
      <x:c r="J1499" s="11" t="n">
        <x:v>46304.615277777775</x:v>
      </x:c>
      <x:c r="K1499" s="15" t="n">
        <x:v>12</x:v>
      </x:c>
      <x:c r="L1499" s="15" t="n">
        <x:v>7</x:v>
      </x:c>
      <x:c r="M1499" s="13" t="n">
        <x:f>J1499+(K1499+L1499)/1440</x:f>
        <x:v>46304.62847222222</x:v>
      </x:c>
      <x:c r="N1499" s="13" t="n">
        <x:f>VLOOKUP(C1499,'MES orders'!$A$8:$H$127,5,FALSE)</x:f>
        <x:v>46307.666666666664</x:v>
      </x:c>
      <x:c r="O1499" s="16" t="n">
        <x:f>MAX(0,(M1499-N1499)*24)</x:f>
        <x:v>0</x:v>
      </x:c>
      <x:c r="P1499" s="9" t="str">
        <x:v>No</x:v>
      </x:c>
      <x:c r="Q1499" s="15" t="n">
        <x:v>19</x:v>
      </x:c>
      <x:c r="R1499" s="13" t="n">
        <x:f>J1499+Q1499/1440</x:f>
        <x:v>46304.62847222222</x:v>
      </x:c>
      <x:c r="S1499" s="2" t="str">
        <x:f>VLOOKUP(C1499,'MES orders'!$A$8:$H$127,6,FALSE)</x:f>
        <x:v>High</x:v>
      </x:c>
      <x:c r="T1499" s="9" t="str"/>
    </x:row>
    <x:row r="1500" ht="22" customHeight="1">
      <x:c r="A1500" s="2" t="str">
        <x:v>L00577-070</x:v>
      </x:c>
      <x:c r="B1500" s="2" t="str">
        <x:v>L00577</x:v>
      </x:c>
      <x:c r="C1500" s="2" t="str">
        <x:v>SO-26116</x:v>
      </x:c>
      <x:c r="D1500" s="2" t="str">
        <x:v>S-C-SS</x:v>
      </x:c>
      <x:c r="E1500" s="14" t="n">
        <x:v>5</x:v>
      </x:c>
      <x:c r="F1500" s="2" t="str">
        <x:v>Final assembly</x:v>
      </x:c>
      <x:c r="G1500" s="9" t="str">
        <x:v>AS-03</x:v>
      </x:c>
      <x:c r="H1500" s="15" t="n">
        <x:v>78</x:v>
      </x:c>
      <x:c r="I1500" s="9" t="str">
        <x:v>P18</x:v>
      </x:c>
      <x:c r="J1500" s="11" t="n">
        <x:v>46304.61875</x:v>
      </x:c>
      <x:c r="K1500" s="15" t="n">
        <x:v>5</x:v>
      </x:c>
      <x:c r="L1500" s="15" t="n">
        <x:v>3</x:v>
      </x:c>
      <x:c r="M1500" s="13" t="n">
        <x:f>J1500+(K1500+L1500)/1440</x:f>
        <x:v>46304.62430555556</x:v>
      </x:c>
      <x:c r="N1500" s="13" t="n">
        <x:f>VLOOKUP(C1500,'MES orders'!$A$8:$H$127,5,FALSE)</x:f>
        <x:v>46307.666666666664</x:v>
      </x:c>
      <x:c r="O1500" s="16" t="n">
        <x:f>MAX(0,(M1500-N1500)*24)</x:f>
        <x:v>0</x:v>
      </x:c>
      <x:c r="P1500" s="9" t="str">
        <x:v>No</x:v>
      </x:c>
      <x:c r="Q1500" s="15" t="n">
        <x:v>8</x:v>
      </x:c>
      <x:c r="R1500" s="13" t="n">
        <x:f>J1500+Q1500/1440</x:f>
        <x:v>46304.62430555556</x:v>
      </x:c>
      <x:c r="S1500" s="2" t="str">
        <x:f>VLOOKUP(C1500,'MES orders'!$A$8:$H$127,6,FALSE)</x:f>
        <x:v>Urgent</x:v>
      </x:c>
      <x:c r="T1500" s="9" t="str"/>
    </x:row>
    <x:row r="1501" ht="22" customHeight="1">
      <x:c r="A1501" s="2" t="str">
        <x:v>L00578-060</x:v>
      </x:c>
      <x:c r="B1501" s="2" t="str">
        <x:v>L00578</x:v>
      </x:c>
      <x:c r="C1501" s="2" t="str">
        <x:v>SO-26116</x:v>
      </x:c>
      <x:c r="D1501" s="2" t="str">
        <x:v>S-C-SS</x:v>
      </x:c>
      <x:c r="E1501" s="14" t="n">
        <x:v>5</x:v>
      </x:c>
      <x:c r="F1501" s="2" t="str">
        <x:v>Sensor calibration</x:v>
      </x:c>
      <x:c r="G1501" s="9" t="str">
        <x:v>CAL-01</x:v>
      </x:c>
      <x:c r="H1501" s="15" t="n">
        <x:v>73</x:v>
      </x:c>
      <x:c r="I1501" s="9" t="str">
        <x:v>P21</x:v>
      </x:c>
      <x:c r="J1501" s="11" t="n">
        <x:v>46304.61875</x:v>
      </x:c>
      <x:c r="K1501" s="15" t="n">
        <x:v>10</x:v>
      </x:c>
      <x:c r="L1501" s="15" t="n">
        <x:v>5</x:v>
      </x:c>
      <x:c r="M1501" s="13" t="n">
        <x:f>J1501+(K1501+L1501)/1440</x:f>
        <x:v>46304.629166666666</x:v>
      </x:c>
      <x:c r="N1501" s="13" t="n">
        <x:f>VLOOKUP(C1501,'MES orders'!$A$8:$H$127,5,FALSE)</x:f>
        <x:v>46307.666666666664</x:v>
      </x:c>
      <x:c r="O1501" s="16" t="n">
        <x:f>MAX(0,(M1501-N1501)*24)</x:f>
        <x:v>0</x:v>
      </x:c>
      <x:c r="P1501" s="9" t="str">
        <x:v>No</x:v>
      </x:c>
      <x:c r="Q1501" s="15" t="n">
        <x:v>15</x:v>
      </x:c>
      <x:c r="R1501" s="13" t="n">
        <x:f>J1501+Q1501/1440</x:f>
        <x:v>46304.629166666666</x:v>
      </x:c>
      <x:c r="S1501" s="2" t="str">
        <x:f>VLOOKUP(C1501,'MES orders'!$A$8:$H$127,6,FALSE)</x:f>
        <x:v>Urgent</x:v>
      </x:c>
      <x:c r="T1501" s="9" t="str"/>
    </x:row>
    <x:row r="1502" ht="22" customHeight="1">
      <x:c r="A1502" s="2" t="str">
        <x:v>L00016-020</x:v>
      </x:c>
      <x:c r="B1502" s="2" t="str">
        <x:v>L00016</x:v>
      </x:c>
      <x:c r="C1502" s="2" t="str">
        <x:v>SO-26004</x:v>
      </x:c>
      <x:c r="D1502" s="2" t="str">
        <x:v>D-S-SS</x:v>
      </x:c>
      <x:c r="E1502" s="14" t="n">
        <x:v>10</x:v>
      </x:c>
      <x:c r="F1502" s="2" t="str">
        <x:v>Deburr &amp; inspect</x:v>
      </x:c>
      <x:c r="G1502" s="9" t="str">
        <x:v>DB-01</x:v>
      </x:c>
      <x:c r="H1502" s="15" t="n">
        <x:v>144</x:v>
      </x:c>
      <x:c r="I1502" s="9" t="str">
        <x:v>P15</x:v>
      </x:c>
      <x:c r="J1502" s="11" t="n">
        <x:v>46304.62013888889</x:v>
      </x:c>
      <x:c r="K1502" s="15" t="n">
        <x:v>4</x:v>
      </x:c>
      <x:c r="L1502" s="15" t="n">
        <x:v>7</x:v>
      </x:c>
      <x:c r="M1502" s="13" t="n">
        <x:f>J1502+(K1502+L1502)/1440</x:f>
        <x:v>46304.62777777778</x:v>
      </x:c>
      <x:c r="N1502" s="13" t="n">
        <x:f>VLOOKUP(C1502,'MES orders'!$A$8:$H$127,5,FALSE)</x:f>
        <x:v>46307.666666666664</x:v>
      </x:c>
      <x:c r="O1502" s="16" t="n">
        <x:f>MAX(0,(M1502-N1502)*24)</x:f>
        <x:v>0</x:v>
      </x:c>
      <x:c r="P1502" s="9" t="str">
        <x:v>No</x:v>
      </x:c>
      <x:c r="Q1502" s="15" t="n">
        <x:v>11</x:v>
      </x:c>
      <x:c r="R1502" s="13" t="n">
        <x:f>J1502+Q1502/1440</x:f>
        <x:v>46304.62777777778</x:v>
      </x:c>
      <x:c r="S1502" s="2" t="str">
        <x:f>VLOOKUP(C1502,'MES orders'!$A$8:$H$127,6,FALSE)</x:f>
        <x:v>Normal</x:v>
      </x:c>
      <x:c r="T1502" s="9" t="str"/>
    </x:row>
    <x:row r="1503" ht="22" customHeight="1">
      <x:c r="A1503" s="2" t="str">
        <x:v>L00415-080</x:v>
      </x:c>
      <x:c r="B1503" s="2" t="str">
        <x:v>L00415</x:v>
      </x:c>
      <x:c r="C1503" s="2" t="str">
        <x:v>SO-26083</x:v>
      </x:c>
      <x:c r="D1503" s="2" t="str">
        <x:v>S-L-AL</x:v>
      </x:c>
      <x:c r="E1503" s="14" t="n">
        <x:v>15</x:v>
      </x:c>
      <x:c r="F1503" s="2" t="str">
        <x:v>Final leak / function test</x:v>
      </x:c>
      <x:c r="G1503" s="9" t="str">
        <x:v>QA-02</x:v>
      </x:c>
      <x:c r="H1503" s="15" t="n">
        <x:v>104</x:v>
      </x:c>
      <x:c r="I1503" s="9" t="str">
        <x:v>P23</x:v>
      </x:c>
      <x:c r="J1503" s="11" t="n">
        <x:v>46304.62291666667</x:v>
      </x:c>
      <x:c r="K1503" s="15" t="n">
        <x:v>10</x:v>
      </x:c>
      <x:c r="L1503" s="15" t="n">
        <x:v>18</x:v>
      </x:c>
      <x:c r="M1503" s="13" t="n">
        <x:f>J1503+(K1503+L1503)/1440</x:f>
        <x:v>46304.64236111111</x:v>
      </x:c>
      <x:c r="N1503" s="13" t="n">
        <x:f>VLOOKUP(C1503,'MES orders'!$A$8:$H$127,5,FALSE)</x:f>
        <x:v>46304.666666666664</x:v>
      </x:c>
      <x:c r="O1503" s="16" t="n">
        <x:f>MAX(0,(M1503-N1503)*24)</x:f>
        <x:v>0</x:v>
      </x:c>
      <x:c r="P1503" s="9" t="str">
        <x:v>No</x:v>
      </x:c>
      <x:c r="Q1503" s="15" t="n">
        <x:v>28</x:v>
      </x:c>
      <x:c r="R1503" s="13" t="n">
        <x:f>J1503+Q1503/1440</x:f>
        <x:v>46304.64236111111</x:v>
      </x:c>
      <x:c r="S1503" s="2" t="str">
        <x:f>VLOOKUP(C1503,'MES orders'!$A$8:$H$127,6,FALSE)</x:f>
        <x:v>Normal</x:v>
      </x:c>
      <x:c r="T1503" s="9" t="str"/>
    </x:row>
    <x:row r="1504" ht="22" customHeight="1">
      <x:c r="A1504" s="2" t="str">
        <x:v>L00177-050</x:v>
      </x:c>
      <x:c r="B1504" s="2" t="str">
        <x:v>L00177</x:v>
      </x:c>
      <x:c r="C1504" s="2" t="str">
        <x:v>SO-26036</x:v>
      </x:c>
      <x:c r="D1504" s="2" t="str">
        <x:v>R-L-SS</x:v>
      </x:c>
      <x:c r="E1504" s="14" t="n">
        <x:v>5</x:v>
      </x:c>
      <x:c r="F1504" s="2" t="str">
        <x:v>Valve adjustment</x:v>
      </x:c>
      <x:c r="G1504" s="9" t="str">
        <x:v>AS-03</x:v>
      </x:c>
      <x:c r="H1504" s="15" t="n">
        <x:v>79</x:v>
      </x:c>
      <x:c r="I1504" s="9" t="str">
        <x:v>P18</x:v>
      </x:c>
      <x:c r="J1504" s="11" t="n">
        <x:v>46304.62430555555</x:v>
      </x:c>
      <x:c r="K1504" s="15" t="n">
        <x:v>6</x:v>
      </x:c>
      <x:c r="L1504" s="15" t="n">
        <x:v>7</x:v>
      </x:c>
      <x:c r="M1504" s="13" t="n">
        <x:f>J1504+(K1504+L1504)/1440</x:f>
        <x:v>46304.63333333333</x:v>
      </x:c>
      <x:c r="N1504" s="13" t="n">
        <x:f>VLOOKUP(C1504,'MES orders'!$A$8:$H$127,5,FALSE)</x:f>
        <x:v>46307.666666666664</x:v>
      </x:c>
      <x:c r="O1504" s="16" t="n">
        <x:f>MAX(0,(M1504-N1504)*24)</x:f>
        <x:v>0</x:v>
      </x:c>
      <x:c r="P1504" s="9" t="str">
        <x:v>No</x:v>
      </x:c>
      <x:c r="Q1504" s="15" t="n">
        <x:v>13</x:v>
      </x:c>
      <x:c r="R1504" s="13" t="n">
        <x:f>J1504+Q1504/1440</x:f>
        <x:v>46304.63333333333</x:v>
      </x:c>
      <x:c r="S1504" s="2" t="str">
        <x:f>VLOOKUP(C1504,'MES orders'!$A$8:$H$127,6,FALSE)</x:f>
        <x:v>High</x:v>
      </x:c>
      <x:c r="T1504" s="9" t="str"/>
    </x:row>
    <x:row r="1505" ht="22" customHeight="1">
      <x:c r="A1505" s="2" t="str">
        <x:v>L00459-040</x:v>
      </x:c>
      <x:c r="B1505" s="2" t="str">
        <x:v>L00459</x:v>
      </x:c>
      <x:c r="C1505" s="2" t="str">
        <x:v>SO-26092</x:v>
      </x:c>
      <x:c r="D1505" s="2" t="str">
        <x:v>R-C-SS</x:v>
      </x:c>
      <x:c r="E1505" s="14" t="n">
        <x:v>25</x:v>
      </x:c>
      <x:c r="F1505" s="2" t="str">
        <x:v>Mechanical assembly</x:v>
      </x:c>
      <x:c r="G1505" s="9" t="str">
        <x:v>AS-04</x:v>
      </x:c>
      <x:c r="H1505" s="15" t="n">
        <x:v>53</x:v>
      </x:c>
      <x:c r="I1505" s="9" t="str">
        <x:v>P13</x:v>
      </x:c>
      <x:c r="J1505" s="11" t="n">
        <x:v>46304.625</x:v>
      </x:c>
      <x:c r="K1505" s="15" t="n">
        <x:v>8</x:v>
      </x:c>
      <x:c r="L1505" s="15" t="n">
        <x:v>36</x:v>
      </x:c>
      <x:c r="M1505" s="13" t="n">
        <x:f>J1505+(K1505+L1505)/1440</x:f>
        <x:v>46304.65555555555</x:v>
      </x:c>
      <x:c r="N1505" s="13" t="n">
        <x:f>VLOOKUP(C1505,'MES orders'!$A$8:$H$127,5,FALSE)</x:f>
        <x:v>46307.666666666664</x:v>
      </x:c>
      <x:c r="O1505" s="16" t="n">
        <x:f>MAX(0,(M1505-N1505)*24)</x:f>
        <x:v>0</x:v>
      </x:c>
      <x:c r="P1505" s="9" t="str">
        <x:v>No</x:v>
      </x:c>
      <x:c r="Q1505" s="15" t="n">
        <x:v>44</x:v>
      </x:c>
      <x:c r="R1505" s="13" t="n">
        <x:f>J1505+Q1505/1440</x:f>
        <x:v>46304.65555555555</x:v>
      </x:c>
      <x:c r="S1505" s="2" t="str">
        <x:f>VLOOKUP(C1505,'MES orders'!$A$8:$H$127,6,FALSE)</x:f>
        <x:v>High</x:v>
      </x:c>
      <x:c r="T1505" s="9" t="str"/>
    </x:row>
    <x:row r="1506" ht="22" customHeight="1">
      <x:c r="A1506" s="2" t="str">
        <x:v>L00463-030</x:v>
      </x:c>
      <x:c r="B1506" s="2" t="str">
        <x:v>L00463</x:v>
      </x:c>
      <x:c r="C1506" s="2" t="str">
        <x:v>SO-26093</x:v>
      </x:c>
      <x:c r="D1506" s="2" t="str">
        <x:v>S-S-AL</x:v>
      </x:c>
      <x:c r="E1506" s="14" t="n">
        <x:v>15</x:v>
      </x:c>
      <x:c r="F1506" s="2" t="str">
        <x:v>Wash &amp; dry</x:v>
      </x:c>
      <x:c r="G1506" s="9" t="str">
        <x:v>WS-01</x:v>
      </x:c>
      <x:c r="H1506" s="15" t="n">
        <x:v>141</x:v>
      </x:c>
      <x:c r="I1506" s="9" t="str">
        <x:v>P20</x:v>
      </x:c>
      <x:c r="J1506" s="11" t="n">
        <x:v>46304.625</x:v>
      </x:c>
      <x:c r="K1506" s="15" t="n">
        <x:v>12</x:v>
      </x:c>
      <x:c r="L1506" s="15" t="n">
        <x:v>5</x:v>
      </x:c>
      <x:c r="M1506" s="13" t="n">
        <x:f>J1506+(K1506+L1506)/1440</x:f>
        <x:v>46304.63680555556</x:v>
      </x:c>
      <x:c r="N1506" s="13" t="n">
        <x:f>VLOOKUP(C1506,'MES orders'!$A$8:$H$127,5,FALSE)</x:f>
        <x:v>46308.666666666664</x:v>
      </x:c>
      <x:c r="O1506" s="16" t="n">
        <x:f>MAX(0,(M1506-N1506)*24)</x:f>
        <x:v>0</x:v>
      </x:c>
      <x:c r="P1506" s="9" t="str">
        <x:v>No</x:v>
      </x:c>
      <x:c r="Q1506" s="15" t="n">
        <x:v>17</x:v>
      </x:c>
      <x:c r="R1506" s="13" t="n">
        <x:f>J1506+Q1506/1440</x:f>
        <x:v>46304.63680555556</x:v>
      </x:c>
      <x:c r="S1506" s="2" t="str">
        <x:f>VLOOKUP(C1506,'MES orders'!$A$8:$H$127,6,FALSE)</x:f>
        <x:v>Urgent</x:v>
      </x:c>
      <x:c r="T1506" s="9" t="str"/>
    </x:row>
    <x:row r="1507" ht="22" customHeight="1">
      <x:c r="A1507" s="2" t="str">
        <x:v>L00017-020</x:v>
      </x:c>
      <x:c r="B1507" s="2" t="str">
        <x:v>L00017</x:v>
      </x:c>
      <x:c r="C1507" s="2" t="str">
        <x:v>SO-26004</x:v>
      </x:c>
      <x:c r="D1507" s="2" t="str">
        <x:v>D-S-SS</x:v>
      </x:c>
      <x:c r="E1507" s="14" t="n">
        <x:v>10</x:v>
      </x:c>
      <x:c r="F1507" s="2" t="str">
        <x:v>Deburr &amp; inspect</x:v>
      </x:c>
      <x:c r="G1507" s="9" t="str">
        <x:v>DB-02</x:v>
      </x:c>
      <x:c r="H1507" s="15" t="n">
        <x:v>98</x:v>
      </x:c>
      <x:c r="I1507" s="9" t="str">
        <x:v>P19</x:v>
      </x:c>
      <x:c r="J1507" s="11" t="n">
        <x:v>46304.626388888886</x:v>
      </x:c>
      <x:c r="K1507" s="15" t="n">
        <x:v>4</x:v>
      </x:c>
      <x:c r="L1507" s="15" t="n">
        <x:v>7</x:v>
      </x:c>
      <x:c r="M1507" s="13" t="n">
        <x:f>J1507+(K1507+L1507)/1440</x:f>
        <x:v>46304.63402777778</x:v>
      </x:c>
      <x:c r="N1507" s="13" t="n">
        <x:f>VLOOKUP(C1507,'MES orders'!$A$8:$H$127,5,FALSE)</x:f>
        <x:v>46307.666666666664</x:v>
      </x:c>
      <x:c r="O1507" s="16" t="n">
        <x:f>MAX(0,(M1507-N1507)*24)</x:f>
        <x:v>0</x:v>
      </x:c>
      <x:c r="P1507" s="9" t="str">
        <x:v>No</x:v>
      </x:c>
      <x:c r="Q1507" s="15" t="n">
        <x:v>11</x:v>
      </x:c>
      <x:c r="R1507" s="13" t="n">
        <x:f>J1507+Q1507/1440</x:f>
        <x:v>46304.63402777778</x:v>
      </x:c>
      <x:c r="S1507" s="2" t="str">
        <x:f>VLOOKUP(C1507,'MES orders'!$A$8:$H$127,6,FALSE)</x:f>
        <x:v>Normal</x:v>
      </x:c>
      <x:c r="T1507" s="9" t="str"/>
    </x:row>
    <x:row r="1508" ht="22" customHeight="1">
      <x:c r="A1508" s="2" t="str">
        <x:v>L00460-040</x:v>
      </x:c>
      <x:c r="B1508" s="2" t="str">
        <x:v>L00460</x:v>
      </x:c>
      <x:c r="C1508" s="2" t="str">
        <x:v>SO-26092</x:v>
      </x:c>
      <x:c r="D1508" s="2" t="str">
        <x:v>R-C-SS</x:v>
      </x:c>
      <x:c r="E1508" s="14" t="n">
        <x:v>25</x:v>
      </x:c>
      <x:c r="F1508" s="2" t="str">
        <x:v>Mechanical assembly</x:v>
      </x:c>
      <x:c r="G1508" s="9" t="str">
        <x:v>AS-05</x:v>
      </x:c>
      <x:c r="H1508" s="15" t="n">
        <x:v>32</x:v>
      </x:c>
      <x:c r="I1508" s="9" t="str">
        <x:v>P14</x:v>
      </x:c>
      <x:c r="J1508" s="11" t="n">
        <x:v>46304.62847222222</x:v>
      </x:c>
      <x:c r="K1508" s="15" t="n">
        <x:v>8</x:v>
      </x:c>
      <x:c r="L1508" s="15" t="n">
        <x:v>36</x:v>
      </x:c>
      <x:c r="M1508" s="13" t="n">
        <x:f>J1508+(K1508+L1508)/1440</x:f>
        <x:v>46304.65902777777</x:v>
      </x:c>
      <x:c r="N1508" s="13" t="n">
        <x:f>VLOOKUP(C1508,'MES orders'!$A$8:$H$127,5,FALSE)</x:f>
        <x:v>46307.666666666664</x:v>
      </x:c>
      <x:c r="O1508" s="16" t="n">
        <x:f>MAX(0,(M1508-N1508)*24)</x:f>
        <x:v>0</x:v>
      </x:c>
      <x:c r="P1508" s="9" t="str">
        <x:v>No</x:v>
      </x:c>
      <x:c r="Q1508" s="15" t="n">
        <x:v>44</x:v>
      </x:c>
      <x:c r="R1508" s="13" t="n">
        <x:f>J1508+Q1508/1440</x:f>
        <x:v>46304.65902777777</x:v>
      </x:c>
      <x:c r="S1508" s="2" t="str">
        <x:f>VLOOKUP(C1508,'MES orders'!$A$8:$H$127,6,FALSE)</x:f>
        <x:v>High</x:v>
      </x:c>
      <x:c r="T1508" s="9" t="str"/>
    </x:row>
    <x:row r="1509" ht="22" customHeight="1">
      <x:c r="A1509" s="2" t="str">
        <x:v>L00578-070</x:v>
      </x:c>
      <x:c r="B1509" s="2" t="str">
        <x:v>L00578</x:v>
      </x:c>
      <x:c r="C1509" s="2" t="str">
        <x:v>SO-26116</x:v>
      </x:c>
      <x:c r="D1509" s="2" t="str">
        <x:v>S-C-SS</x:v>
      </x:c>
      <x:c r="E1509" s="14" t="n">
        <x:v>5</x:v>
      </x:c>
      <x:c r="F1509" s="2" t="str">
        <x:v>Final assembly</x:v>
      </x:c>
      <x:c r="G1509" s="9" t="str">
        <x:v>AS-01</x:v>
      </x:c>
      <x:c r="H1509" s="15" t="n">
        <x:v>122</x:v>
      </x:c>
      <x:c r="I1509" s="9" t="str">
        <x:v>P17</x:v>
      </x:c>
      <x:c r="J1509" s="11" t="n">
        <x:v>46304.629166666666</x:v>
      </x:c>
      <x:c r="K1509" s="15" t="n">
        <x:v>5</x:v>
      </x:c>
      <x:c r="L1509" s="15" t="n">
        <x:v>3</x:v>
      </x:c>
      <x:c r="M1509" s="13" t="n">
        <x:f>J1509+(K1509+L1509)/1440</x:f>
        <x:v>46304.634722222225</x:v>
      </x:c>
      <x:c r="N1509" s="13" t="n">
        <x:f>VLOOKUP(C1509,'MES orders'!$A$8:$H$127,5,FALSE)</x:f>
        <x:v>46307.666666666664</x:v>
      </x:c>
      <x:c r="O1509" s="16" t="n">
        <x:f>MAX(0,(M1509-N1509)*24)</x:f>
        <x:v>0</x:v>
      </x:c>
      <x:c r="P1509" s="9" t="str">
        <x:v>No</x:v>
      </x:c>
      <x:c r="Q1509" s="15" t="n">
        <x:v>8</x:v>
      </x:c>
      <x:c r="R1509" s="13" t="n">
        <x:f>J1509+Q1509/1440</x:f>
        <x:v>46304.634722222225</x:v>
      </x:c>
      <x:c r="S1509" s="2" t="str">
        <x:f>VLOOKUP(C1509,'MES orders'!$A$8:$H$127,6,FALSE)</x:f>
        <x:v>Urgent</x:v>
      </x:c>
      <x:c r="T1509" s="9" t="str"/>
    </x:row>
    <x:row r="1510" ht="22" customHeight="1">
      <x:c r="A1510" s="2" t="str">
        <x:v>L00579-060</x:v>
      </x:c>
      <x:c r="B1510" s="2" t="str">
        <x:v>L00579</x:v>
      </x:c>
      <x:c r="C1510" s="2" t="str">
        <x:v>SO-26116</x:v>
      </x:c>
      <x:c r="D1510" s="2" t="str">
        <x:v>S-C-SS</x:v>
      </x:c>
      <x:c r="E1510" s="14" t="n">
        <x:v>5</x:v>
      </x:c>
      <x:c r="F1510" s="2" t="str">
        <x:v>Sensor calibration</x:v>
      </x:c>
      <x:c r="G1510" s="9" t="str">
        <x:v>CAL-01</x:v>
      </x:c>
      <x:c r="H1510" s="15" t="n">
        <x:v>74</x:v>
      </x:c>
      <x:c r="I1510" s="9" t="str">
        <x:v>P21</x:v>
      </x:c>
      <x:c r="J1510" s="11" t="n">
        <x:v>46304.629166666666</x:v>
      </x:c>
      <x:c r="K1510" s="15" t="n">
        <x:v>10</x:v>
      </x:c>
      <x:c r="L1510" s="15" t="n">
        <x:v>5</x:v>
      </x:c>
      <x:c r="M1510" s="13" t="n">
        <x:f>J1510+(K1510+L1510)/1440</x:f>
        <x:v>46304.63958333333</x:v>
      </x:c>
      <x:c r="N1510" s="13" t="n">
        <x:f>VLOOKUP(C1510,'MES orders'!$A$8:$H$127,5,FALSE)</x:f>
        <x:v>46307.666666666664</x:v>
      </x:c>
      <x:c r="O1510" s="16" t="n">
        <x:f>MAX(0,(M1510-N1510)*24)</x:f>
        <x:v>0</x:v>
      </x:c>
      <x:c r="P1510" s="9" t="str">
        <x:v>No</x:v>
      </x:c>
      <x:c r="Q1510" s="15" t="n">
        <x:v>15</x:v>
      </x:c>
      <x:c r="R1510" s="13" t="n">
        <x:f>J1510+Q1510/1440</x:f>
        <x:v>46304.63958333333</x:v>
      </x:c>
      <x:c r="S1510" s="2" t="str">
        <x:f>VLOOKUP(C1510,'MES orders'!$A$8:$H$127,6,FALSE)</x:f>
        <x:v>Urgent</x:v>
      </x:c>
      <x:c r="T1510" s="9" t="str"/>
    </x:row>
    <x:row r="1511" ht="22" customHeight="1">
      <x:c r="A1511" s="2" t="str">
        <x:v>L00456-020</x:v>
      </x:c>
      <x:c r="B1511" s="2" t="str">
        <x:v>L00456</x:v>
      </x:c>
      <x:c r="C1511" s="2" t="str">
        <x:v>SO-26092</x:v>
      </x:c>
      <x:c r="D1511" s="2" t="str">
        <x:v>R-C-SS</x:v>
      </x:c>
      <x:c r="E1511" s="14" t="n">
        <x:v>25</x:v>
      </x:c>
      <x:c r="F1511" s="2" t="str">
        <x:v>Deburr &amp; inspect</x:v>
      </x:c>
      <x:c r="G1511" s="9" t="str">
        <x:v>DB-01</x:v>
      </x:c>
      <x:c r="H1511" s="15" t="n">
        <x:v>145</x:v>
      </x:c>
      <x:c r="I1511" s="9" t="str">
        <x:v>P16</x:v>
      </x:c>
      <x:c r="J1511" s="11" t="n">
        <x:v>46304.63125</x:v>
      </x:c>
      <x:c r="K1511" s="15" t="n">
        <x:v>4</x:v>
      </x:c>
      <x:c r="L1511" s="15" t="n">
        <x:v>14</x:v>
      </x:c>
      <x:c r="M1511" s="13" t="n">
        <x:f>J1511+(K1511+L1511)/1440</x:f>
        <x:v>46304.643749999996</x:v>
      </x:c>
      <x:c r="N1511" s="13" t="n">
        <x:f>VLOOKUP(C1511,'MES orders'!$A$8:$H$127,5,FALSE)</x:f>
        <x:v>46307.666666666664</x:v>
      </x:c>
      <x:c r="O1511" s="16" t="n">
        <x:f>MAX(0,(M1511-N1511)*24)</x:f>
        <x:v>0</x:v>
      </x:c>
      <x:c r="P1511" s="9" t="str">
        <x:v>No</x:v>
      </x:c>
      <x:c r="Q1511" s="15" t="n">
        <x:v>18</x:v>
      </x:c>
      <x:c r="R1511" s="13" t="n">
        <x:f>J1511+Q1511/1440</x:f>
        <x:v>46304.643749999996</x:v>
      </x:c>
      <x:c r="S1511" s="2" t="str">
        <x:f>VLOOKUP(C1511,'MES orders'!$A$8:$H$127,6,FALSE)</x:f>
        <x:v>High</x:v>
      </x:c>
      <x:c r="T1511" s="9" t="str"/>
    </x:row>
    <x:row r="1512" ht="22" customHeight="1">
      <x:c r="A1512" s="2" t="str">
        <x:v>L00535-050</x:v>
      </x:c>
      <x:c r="B1512" s="2" t="str">
        <x:v>L00535</x:v>
      </x:c>
      <x:c r="C1512" s="2" t="str">
        <x:v>SO-26107</x:v>
      </x:c>
      <x:c r="D1512" s="2" t="str">
        <x:v>D-L-AL</x:v>
      </x:c>
      <x:c r="E1512" s="14" t="n">
        <x:v>25</x:v>
      </x:c>
      <x:c r="F1512" s="2" t="str">
        <x:v>Final leak / function test</x:v>
      </x:c>
      <x:c r="G1512" s="9" t="str">
        <x:v>QA-01</x:v>
      </x:c>
      <x:c r="H1512" s="15" t="n">
        <x:v>60</x:v>
      </x:c>
      <x:c r="I1512" s="9" t="str">
        <x:v>P24</x:v>
      </x:c>
      <x:c r="J1512" s="11" t="n">
        <x:v>46304.63125</x:v>
      </x:c>
      <x:c r="K1512" s="15" t="n">
        <x:v>10</x:v>
      </x:c>
      <x:c r="L1512" s="15" t="n">
        <x:v>30</x:v>
      </x:c>
      <x:c r="M1512" s="13" t="n">
        <x:f>J1512+(K1512+L1512)/1440</x:f>
        <x:v>46304.65902777778</x:v>
      </x:c>
      <x:c r="N1512" s="13" t="n">
        <x:f>VLOOKUP(C1512,'MES orders'!$A$8:$H$127,5,FALSE)</x:f>
        <x:v>46304.666666666664</x:v>
      </x:c>
      <x:c r="O1512" s="16" t="n">
        <x:f>MAX(0,(M1512-N1512)*24)</x:f>
        <x:v>0</x:v>
      </x:c>
      <x:c r="P1512" s="9" t="str">
        <x:v>No</x:v>
      </x:c>
      <x:c r="Q1512" s="15" t="n">
        <x:v>40</x:v>
      </x:c>
      <x:c r="R1512" s="13" t="n">
        <x:f>J1512+Q1512/1440</x:f>
        <x:v>46304.65902777778</x:v>
      </x:c>
      <x:c r="S1512" s="2" t="str">
        <x:f>VLOOKUP(C1512,'MES orders'!$A$8:$H$127,6,FALSE)</x:f>
        <x:v>Normal</x:v>
      </x:c>
      <x:c r="T1512" s="9" t="str"/>
    </x:row>
    <x:row r="1513" ht="22" customHeight="1">
      <x:c r="A1513" s="2" t="str">
        <x:v>L00180-050</x:v>
      </x:c>
      <x:c r="B1513" s="2" t="str">
        <x:v>L00180</x:v>
      </x:c>
      <x:c r="C1513" s="2" t="str">
        <x:v>SO-26036</x:v>
      </x:c>
      <x:c r="D1513" s="2" t="str">
        <x:v>R-L-SS</x:v>
      </x:c>
      <x:c r="E1513" s="14" t="n">
        <x:v>5</x:v>
      </x:c>
      <x:c r="F1513" s="2" t="str">
        <x:v>Valve adjustment</x:v>
      </x:c>
      <x:c r="G1513" s="9" t="str">
        <x:v>AS-02</x:v>
      </x:c>
      <x:c r="H1513" s="15" t="n">
        <x:v>99</x:v>
      </x:c>
      <x:c r="I1513" s="9" t="str">
        <x:v>P18</x:v>
      </x:c>
      <x:c r="J1513" s="11" t="n">
        <x:v>46304.63333333333</x:v>
      </x:c>
      <x:c r="K1513" s="15" t="n">
        <x:v>6</x:v>
      </x:c>
      <x:c r="L1513" s="15" t="n">
        <x:v>7</x:v>
      </x:c>
      <x:c r="M1513" s="13" t="n">
        <x:f>J1513+(K1513+L1513)/1440</x:f>
        <x:v>46304.64236111111</x:v>
      </x:c>
      <x:c r="N1513" s="13" t="n">
        <x:f>VLOOKUP(C1513,'MES orders'!$A$8:$H$127,5,FALSE)</x:f>
        <x:v>46307.666666666664</x:v>
      </x:c>
      <x:c r="O1513" s="16" t="n">
        <x:f>MAX(0,(M1513-N1513)*24)</x:f>
        <x:v>0</x:v>
      </x:c>
      <x:c r="P1513" s="9" t="str">
        <x:v>No</x:v>
      </x:c>
      <x:c r="Q1513" s="15" t="n">
        <x:v>13</x:v>
      </x:c>
      <x:c r="R1513" s="13" t="n">
        <x:f>J1513+Q1513/1440</x:f>
        <x:v>46304.64236111111</x:v>
      </x:c>
      <x:c r="S1513" s="2" t="str">
        <x:f>VLOOKUP(C1513,'MES orders'!$A$8:$H$127,6,FALSE)</x:f>
        <x:v>High</x:v>
      </x:c>
      <x:c r="T1513" s="9" t="str"/>
    </x:row>
    <x:row r="1514" ht="22" customHeight="1">
      <x:c r="A1514" s="2" t="str">
        <x:v>L00017-030</x:v>
      </x:c>
      <x:c r="B1514" s="2" t="str">
        <x:v>L00017</x:v>
      </x:c>
      <x:c r="C1514" s="2" t="str">
        <x:v>SO-26004</x:v>
      </x:c>
      <x:c r="D1514" s="2" t="str">
        <x:v>D-S-SS</x:v>
      </x:c>
      <x:c r="E1514" s="14" t="n">
        <x:v>10</x:v>
      </x:c>
      <x:c r="F1514" s="2" t="str">
        <x:v>Wash &amp; dry</x:v>
      </x:c>
      <x:c r="G1514" s="9" t="str">
        <x:v>WS-02</x:v>
      </x:c>
      <x:c r="H1514" s="15" t="n">
        <x:v>100</x:v>
      </x:c>
      <x:c r="I1514" s="9" t="str">
        <x:v>P15</x:v>
      </x:c>
      <x:c r="J1514" s="11" t="n">
        <x:v>46304.63402777778</x:v>
      </x:c>
      <x:c r="K1514" s="15" t="n">
        <x:v>12</x:v>
      </x:c>
      <x:c r="L1514" s="15" t="n">
        <x:v>4</x:v>
      </x:c>
      <x:c r="M1514" s="13" t="n">
        <x:f>J1514+(K1514+L1514)/1440</x:f>
        <x:v>46304.64513888889</x:v>
      </x:c>
      <x:c r="N1514" s="13" t="n">
        <x:f>VLOOKUP(C1514,'MES orders'!$A$8:$H$127,5,FALSE)</x:f>
        <x:v>46307.666666666664</x:v>
      </x:c>
      <x:c r="O1514" s="16" t="n">
        <x:f>MAX(0,(M1514-N1514)*24)</x:f>
        <x:v>0</x:v>
      </x:c>
      <x:c r="P1514" s="9" t="str">
        <x:v>No</x:v>
      </x:c>
      <x:c r="Q1514" s="15" t="n">
        <x:v>16</x:v>
      </x:c>
      <x:c r="R1514" s="13" t="n">
        <x:f>J1514+Q1514/1440</x:f>
        <x:v>46304.64513888889</x:v>
      </x:c>
      <x:c r="S1514" s="2" t="str">
        <x:f>VLOOKUP(C1514,'MES orders'!$A$8:$H$127,6,FALSE)</x:f>
        <x:v>Normal</x:v>
      </x:c>
      <x:c r="T1514" s="9" t="str"/>
    </x:row>
    <x:row r="1515" ht="22" customHeight="1">
      <x:c r="A1515" s="2" t="str">
        <x:v>L00463-040</x:v>
      </x:c>
      <x:c r="B1515" s="2" t="str">
        <x:v>L00463</x:v>
      </x:c>
      <x:c r="C1515" s="2" t="str">
        <x:v>SO-26093</x:v>
      </x:c>
      <x:c r="D1515" s="2" t="str">
        <x:v>S-S-AL</x:v>
      </x:c>
      <x:c r="E1515" s="14" t="n">
        <x:v>15</x:v>
      </x:c>
      <x:c r="F1515" s="2" t="str">
        <x:v>Mechanical preassembly</x:v>
      </x:c>
      <x:c r="G1515" s="9" t="str">
        <x:v>AS-03</x:v>
      </x:c>
      <x:c r="H1515" s="15" t="n">
        <x:v>80</x:v>
      </x:c>
      <x:c r="I1515" s="9" t="str">
        <x:v>P20</x:v>
      </x:c>
      <x:c r="J1515" s="11" t="n">
        <x:v>46304.63680555556</x:v>
      </x:c>
      <x:c r="K1515" s="15" t="n">
        <x:v>6</x:v>
      </x:c>
      <x:c r="L1515" s="15" t="n">
        <x:v>16</x:v>
      </x:c>
      <x:c r="M1515" s="13" t="n">
        <x:f>J1515+(K1515+L1515)/1440</x:f>
        <x:v>46304.652083333334</x:v>
      </x:c>
      <x:c r="N1515" s="13" t="n">
        <x:f>VLOOKUP(C1515,'MES orders'!$A$8:$H$127,5,FALSE)</x:f>
        <x:v>46308.666666666664</x:v>
      </x:c>
      <x:c r="O1515" s="16" t="n">
        <x:f>MAX(0,(M1515-N1515)*24)</x:f>
        <x:v>0</x:v>
      </x:c>
      <x:c r="P1515" s="9" t="str">
        <x:v>No</x:v>
      </x:c>
      <x:c r="Q1515" s="15" t="n">
        <x:v>22</x:v>
      </x:c>
      <x:c r="R1515" s="13" t="n">
        <x:f>J1515+Q1515/1440</x:f>
        <x:v>46304.652083333334</x:v>
      </x:c>
      <x:c r="S1515" s="2" t="str">
        <x:f>VLOOKUP(C1515,'MES orders'!$A$8:$H$127,6,FALSE)</x:f>
        <x:v>Urgent</x:v>
      </x:c>
      <x:c r="T1515" s="9" t="str"/>
    </x:row>
    <x:row r="1516" ht="22" customHeight="1">
      <x:c r="A1516" s="2" t="str">
        <x:v>L00579-070</x:v>
      </x:c>
      <x:c r="B1516" s="2" t="str">
        <x:v>L00579</x:v>
      </x:c>
      <x:c r="C1516" s="2" t="str">
        <x:v>SO-26116</x:v>
      </x:c>
      <x:c r="D1516" s="2" t="str">
        <x:v>S-C-SS</x:v>
      </x:c>
      <x:c r="E1516" s="14" t="n">
        <x:v>5</x:v>
      </x:c>
      <x:c r="F1516" s="2" t="str">
        <x:v>Final assembly</x:v>
      </x:c>
      <x:c r="G1516" s="9" t="str">
        <x:v>AS-01</x:v>
      </x:c>
      <x:c r="H1516" s="15" t="n">
        <x:v>123</x:v>
      </x:c>
      <x:c r="I1516" s="9" t="str">
        <x:v>P17</x:v>
      </x:c>
      <x:c r="J1516" s="11" t="n">
        <x:v>46304.63958333333</x:v>
      </x:c>
      <x:c r="K1516" s="15" t="n">
        <x:v>5</x:v>
      </x:c>
      <x:c r="L1516" s="15" t="n">
        <x:v>3</x:v>
      </x:c>
      <x:c r="M1516" s="13" t="n">
        <x:f>J1516+(K1516+L1516)/1440</x:f>
        <x:v>46304.64513888889</x:v>
      </x:c>
      <x:c r="N1516" s="13" t="n">
        <x:f>VLOOKUP(C1516,'MES orders'!$A$8:$H$127,5,FALSE)</x:f>
        <x:v>46307.666666666664</x:v>
      </x:c>
      <x:c r="O1516" s="16" t="n">
        <x:f>MAX(0,(M1516-N1516)*24)</x:f>
        <x:v>0</x:v>
      </x:c>
      <x:c r="P1516" s="9" t="str">
        <x:v>No</x:v>
      </x:c>
      <x:c r="Q1516" s="15" t="n">
        <x:v>8</x:v>
      </x:c>
      <x:c r="R1516" s="13" t="n">
        <x:f>J1516+Q1516/1440</x:f>
        <x:v>46304.64513888889</x:v>
      </x:c>
      <x:c r="S1516" s="2" t="str">
        <x:f>VLOOKUP(C1516,'MES orders'!$A$8:$H$127,6,FALSE)</x:f>
        <x:v>Urgent</x:v>
      </x:c>
      <x:c r="T1516" s="9" t="str"/>
    </x:row>
    <x:row r="1517" ht="22" customHeight="1">
      <x:c r="A1517" s="2" t="str">
        <x:v>L00580-060</x:v>
      </x:c>
      <x:c r="B1517" s="2" t="str">
        <x:v>L00580</x:v>
      </x:c>
      <x:c r="C1517" s="2" t="str">
        <x:v>SO-26116</x:v>
      </x:c>
      <x:c r="D1517" s="2" t="str">
        <x:v>S-C-SS</x:v>
      </x:c>
      <x:c r="E1517" s="14" t="n">
        <x:v>5</x:v>
      </x:c>
      <x:c r="F1517" s="2" t="str">
        <x:v>Sensor calibration</x:v>
      </x:c>
      <x:c r="G1517" s="9" t="str">
        <x:v>CAL-01</x:v>
      </x:c>
      <x:c r="H1517" s="15" t="n">
        <x:v>75</x:v>
      </x:c>
      <x:c r="I1517" s="9" t="str">
        <x:v>P21</x:v>
      </x:c>
      <x:c r="J1517" s="11" t="n">
        <x:v>46304.63958333333</x:v>
      </x:c>
      <x:c r="K1517" s="15" t="n">
        <x:v>10</x:v>
      </x:c>
      <x:c r="L1517" s="15" t="n">
        <x:v>5</x:v>
      </x:c>
      <x:c r="M1517" s="13" t="n">
        <x:f>J1517+(K1517+L1517)/1440</x:f>
        <x:v>46304.649999999994</x:v>
      </x:c>
      <x:c r="N1517" s="13" t="n">
        <x:f>VLOOKUP(C1517,'MES orders'!$A$8:$H$127,5,FALSE)</x:f>
        <x:v>46307.666666666664</x:v>
      </x:c>
      <x:c r="O1517" s="16" t="n">
        <x:f>MAX(0,(M1517-N1517)*24)</x:f>
        <x:v>0</x:v>
      </x:c>
      <x:c r="P1517" s="9" t="str">
        <x:v>No</x:v>
      </x:c>
      <x:c r="Q1517" s="15" t="n">
        <x:v>15</x:v>
      </x:c>
      <x:c r="R1517" s="13" t="n">
        <x:f>J1517+Q1517/1440</x:f>
        <x:v>46304.649999999994</x:v>
      </x:c>
      <x:c r="S1517" s="2" t="str">
        <x:f>VLOOKUP(C1517,'MES orders'!$A$8:$H$127,6,FALSE)</x:f>
        <x:v>Urgent</x:v>
      </x:c>
      <x:c r="T1517" s="9" t="str"/>
    </x:row>
    <x:row r="1518" ht="22" customHeight="1">
      <x:c r="A1518" s="2" t="str">
        <x:v>L00457-020</x:v>
      </x:c>
      <x:c r="B1518" s="2" t="str">
        <x:v>L00457</x:v>
      </x:c>
      <x:c r="C1518" s="2" t="str">
        <x:v>SO-26092</x:v>
      </x:c>
      <x:c r="D1518" s="2" t="str">
        <x:v>R-C-SS</x:v>
      </x:c>
      <x:c r="E1518" s="14" t="n">
        <x:v>25</x:v>
      </x:c>
      <x:c r="F1518" s="2" t="str">
        <x:v>Deburr &amp; inspect</x:v>
      </x:c>
      <x:c r="G1518" s="9" t="str">
        <x:v>DB-02</x:v>
      </x:c>
      <x:c r="H1518" s="15" t="n">
        <x:v>99</x:v>
      </x:c>
      <x:c r="I1518" s="9" t="str">
        <x:v>P18</x:v>
      </x:c>
      <x:c r="J1518" s="11" t="n">
        <x:v>46304.64236111111</x:v>
      </x:c>
      <x:c r="K1518" s="15" t="n">
        <x:v>4</x:v>
      </x:c>
      <x:c r="L1518" s="15" t="n">
        <x:v>14</x:v>
      </x:c>
      <x:c r="M1518" s="13" t="n">
        <x:f>J1518+(K1518+L1518)/1440</x:f>
        <x:v>46304.65486111111</x:v>
      </x:c>
      <x:c r="N1518" s="13" t="n">
        <x:f>VLOOKUP(C1518,'MES orders'!$A$8:$H$127,5,FALSE)</x:f>
        <x:v>46307.666666666664</x:v>
      </x:c>
      <x:c r="O1518" s="16" t="n">
        <x:f>MAX(0,(M1518-N1518)*24)</x:f>
        <x:v>0</x:v>
      </x:c>
      <x:c r="P1518" s="9" t="str">
        <x:v>No</x:v>
      </x:c>
      <x:c r="Q1518" s="15" t="n">
        <x:v>18</x:v>
      </x:c>
      <x:c r="R1518" s="13" t="n">
        <x:f>J1518+Q1518/1440</x:f>
        <x:v>46304.65486111111</x:v>
      </x:c>
      <x:c r="S1518" s="2" t="str">
        <x:f>VLOOKUP(C1518,'MES orders'!$A$8:$H$127,6,FALSE)</x:f>
        <x:v>High</x:v>
      </x:c>
      <x:c r="T1518" s="9" t="str"/>
    </x:row>
    <x:row r="1519" ht="22" customHeight="1">
      <x:c r="A1519" s="2" t="str">
        <x:v>L00577-080</x:v>
      </x:c>
      <x:c r="B1519" s="2" t="str">
        <x:v>L00577</x:v>
      </x:c>
      <x:c r="C1519" s="2" t="str">
        <x:v>SO-26116</x:v>
      </x:c>
      <x:c r="D1519" s="2" t="str">
        <x:v>S-C-SS</x:v>
      </x:c>
      <x:c r="E1519" s="14" t="n">
        <x:v>5</x:v>
      </x:c>
      <x:c r="F1519" s="2" t="str">
        <x:v>Final leak / function test</x:v>
      </x:c>
      <x:c r="G1519" s="9" t="str">
        <x:v>QA-02</x:v>
      </x:c>
      <x:c r="H1519" s="15" t="n">
        <x:v>105</x:v>
      </x:c>
      <x:c r="I1519" s="9" t="str">
        <x:v>P23</x:v>
      </x:c>
      <x:c r="J1519" s="11" t="n">
        <x:v>46304.64236111111</x:v>
      </x:c>
      <x:c r="K1519" s="15" t="n">
        <x:v>10</x:v>
      </x:c>
      <x:c r="L1519" s="15" t="n">
        <x:v>4</x:v>
      </x:c>
      <x:c r="M1519" s="13" t="n">
        <x:f>J1519+(K1519+L1519)/1440</x:f>
        <x:v>46304.652083333334</x:v>
      </x:c>
      <x:c r="N1519" s="13" t="n">
        <x:f>VLOOKUP(C1519,'MES orders'!$A$8:$H$127,5,FALSE)</x:f>
        <x:v>46307.666666666664</x:v>
      </x:c>
      <x:c r="O1519" s="16" t="n">
        <x:f>MAX(0,(M1519-N1519)*24)</x:f>
        <x:v>0</x:v>
      </x:c>
      <x:c r="P1519" s="9" t="str">
        <x:v>No</x:v>
      </x:c>
      <x:c r="Q1519" s="15" t="n">
        <x:v>14</x:v>
      </x:c>
      <x:c r="R1519" s="13" t="n">
        <x:f>J1519+Q1519/1440</x:f>
        <x:v>46304.652083333334</x:v>
      </x:c>
      <x:c r="S1519" s="2" t="str">
        <x:f>VLOOKUP(C1519,'MES orders'!$A$8:$H$127,6,FALSE)</x:f>
        <x:v>Urgent</x:v>
      </x:c>
      <x:c r="T1519" s="9" t="str"/>
    </x:row>
    <x:row r="1520" ht="22" customHeight="1">
      <x:c r="A1520" s="2" t="str">
        <x:v>L00018-020</x:v>
      </x:c>
      <x:c r="B1520" s="2" t="str">
        <x:v>L00018</x:v>
      </x:c>
      <x:c r="C1520" s="2" t="str">
        <x:v>SO-26004</x:v>
      </x:c>
      <x:c r="D1520" s="2" t="str">
        <x:v>D-S-SS</x:v>
      </x:c>
      <x:c r="E1520" s="14" t="n">
        <x:v>10</x:v>
      </x:c>
      <x:c r="F1520" s="2" t="str">
        <x:v>Deburr &amp; inspect</x:v>
      </x:c>
      <x:c r="G1520" s="9" t="str">
        <x:v>DB-01</x:v>
      </x:c>
      <x:c r="H1520" s="15" t="n">
        <x:v>146</x:v>
      </x:c>
      <x:c r="I1520" s="9" t="str">
        <x:v>P19</x:v>
      </x:c>
      <x:c r="J1520" s="11" t="n">
        <x:v>46304.64375</x:v>
      </x:c>
      <x:c r="K1520" s="15" t="n">
        <x:v>4</x:v>
      </x:c>
      <x:c r="L1520" s="15" t="n">
        <x:v>7</x:v>
      </x:c>
      <x:c r="M1520" s="13" t="n">
        <x:f>J1520+(K1520+L1520)/1440</x:f>
        <x:v>46304.651388888895</x:v>
      </x:c>
      <x:c r="N1520" s="13" t="n">
        <x:f>VLOOKUP(C1520,'MES orders'!$A$8:$H$127,5,FALSE)</x:f>
        <x:v>46307.666666666664</x:v>
      </x:c>
      <x:c r="O1520" s="16" t="n">
        <x:f>MAX(0,(M1520-N1520)*24)</x:f>
        <x:v>0</x:v>
      </x:c>
      <x:c r="P1520" s="9" t="str">
        <x:v>No</x:v>
      </x:c>
      <x:c r="Q1520" s="15" t="n">
        <x:v>11</x:v>
      </x:c>
      <x:c r="R1520" s="13" t="n">
        <x:f>J1520+Q1520/1440</x:f>
        <x:v>46304.651388888895</x:v>
      </x:c>
      <x:c r="S1520" s="2" t="str">
        <x:f>VLOOKUP(C1520,'MES orders'!$A$8:$H$127,6,FALSE)</x:f>
        <x:v>Normal</x:v>
      </x:c>
      <x:c r="T1520" s="9" t="str"/>
    </x:row>
    <x:row r="1521" ht="22" customHeight="1">
      <x:c r="A1521" s="2" t="str">
        <x:v>L00456-030</x:v>
      </x:c>
      <x:c r="B1521" s="2" t="str">
        <x:v>L00456</x:v>
      </x:c>
      <x:c r="C1521" s="2" t="str">
        <x:v>SO-26092</x:v>
      </x:c>
      <x:c r="D1521" s="2" t="str">
        <x:v>R-C-SS</x:v>
      </x:c>
      <x:c r="E1521" s="14" t="n">
        <x:v>25</x:v>
      </x:c>
      <x:c r="F1521" s="2" t="str">
        <x:v>Wash &amp; dry</x:v>
      </x:c>
      <x:c r="G1521" s="9" t="str">
        <x:v>WS-01</x:v>
      </x:c>
      <x:c r="H1521" s="15" t="n">
        <x:v>142</x:v>
      </x:c>
      <x:c r="I1521" s="9" t="str">
        <x:v>P16</x:v>
      </x:c>
      <x:c r="J1521" s="11" t="n">
        <x:v>46304.64375</x:v>
      </x:c>
      <x:c r="K1521" s="15" t="n">
        <x:v>12</x:v>
      </x:c>
      <x:c r="L1521" s="15" t="n">
        <x:v>7</x:v>
      </x:c>
      <x:c r="M1521" s="13" t="n">
        <x:f>J1521+(K1521+L1521)/1440</x:f>
        <x:v>46304.65694444445</x:v>
      </x:c>
      <x:c r="N1521" s="13" t="n">
        <x:f>VLOOKUP(C1521,'MES orders'!$A$8:$H$127,5,FALSE)</x:f>
        <x:v>46307.666666666664</x:v>
      </x:c>
      <x:c r="O1521" s="16" t="n">
        <x:f>MAX(0,(M1521-N1521)*24)</x:f>
        <x:v>0</x:v>
      </x:c>
      <x:c r="P1521" s="9" t="str">
        <x:v>No</x:v>
      </x:c>
      <x:c r="Q1521" s="15" t="n">
        <x:v>19</x:v>
      </x:c>
      <x:c r="R1521" s="13" t="n">
        <x:f>J1521+Q1521/1440</x:f>
        <x:v>46304.65694444445</x:v>
      </x:c>
      <x:c r="S1521" s="2" t="str">
        <x:f>VLOOKUP(C1521,'MES orders'!$A$8:$H$127,6,FALSE)</x:f>
        <x:v>High</x:v>
      </x:c>
      <x:c r="T1521" s="9" t="str"/>
    </x:row>
    <x:row r="1522" ht="22" customHeight="1">
      <x:c r="A1522" s="2" t="str">
        <x:v>L00017-040</x:v>
      </x:c>
      <x:c r="B1522" s="2" t="str">
        <x:v>L00017</x:v>
      </x:c>
      <x:c r="C1522" s="2" t="str">
        <x:v>SO-26004</x:v>
      </x:c>
      <x:c r="D1522" s="2" t="str">
        <x:v>D-S-SS</x:v>
      </x:c>
      <x:c r="E1522" s="14" t="n">
        <x:v>10</x:v>
      </x:c>
      <x:c r="F1522" s="2" t="str">
        <x:v>Mechanical assembly</x:v>
      </x:c>
      <x:c r="G1522" s="9" t="str">
        <x:v>AS-02</x:v>
      </x:c>
      <x:c r="H1522" s="15" t="n">
        <x:v>100</x:v>
      </x:c>
      <x:c r="I1522" s="9" t="str">
        <x:v>P15</x:v>
      </x:c>
      <x:c r="J1522" s="11" t="n">
        <x:v>46304.64513888889</x:v>
      </x:c>
      <x:c r="K1522" s="15" t="n">
        <x:v>8</x:v>
      </x:c>
      <x:c r="L1522" s="15" t="n">
        <x:v>18</x:v>
      </x:c>
      <x:c r="M1522" s="13" t="n">
        <x:f>J1522+(K1522+L1522)/1440</x:f>
        <x:v>46304.663194444445</x:v>
      </x:c>
      <x:c r="N1522" s="13" t="n">
        <x:f>VLOOKUP(C1522,'MES orders'!$A$8:$H$127,5,FALSE)</x:f>
        <x:v>46307.666666666664</x:v>
      </x:c>
      <x:c r="O1522" s="16" t="n">
        <x:f>MAX(0,(M1522-N1522)*24)</x:f>
        <x:v>0</x:v>
      </x:c>
      <x:c r="P1522" s="9" t="str">
        <x:v>No</x:v>
      </x:c>
      <x:c r="Q1522" s="15" t="n">
        <x:v>26</x:v>
      </x:c>
      <x:c r="R1522" s="13" t="n">
        <x:f>J1522+Q1522/1440</x:f>
        <x:v>46304.663194444445</x:v>
      </x:c>
      <x:c r="S1522" s="2" t="str">
        <x:f>VLOOKUP(C1522,'MES orders'!$A$8:$H$127,6,FALSE)</x:f>
        <x:v>Normal</x:v>
      </x:c>
      <x:c r="T1522" s="9" t="str"/>
    </x:row>
    <x:row r="1523" ht="22" customHeight="1">
      <x:c r="A1523" s="2" t="str">
        <x:v>L00580-070</x:v>
      </x:c>
      <x:c r="B1523" s="2" t="str">
        <x:v>L00580</x:v>
      </x:c>
      <x:c r="C1523" s="2" t="str">
        <x:v>SO-26116</x:v>
      </x:c>
      <x:c r="D1523" s="2" t="str">
        <x:v>S-C-SS</x:v>
      </x:c>
      <x:c r="E1523" s="14" t="n">
        <x:v>5</x:v>
      </x:c>
      <x:c r="F1523" s="2" t="str">
        <x:v>Final assembly</x:v>
      </x:c>
      <x:c r="G1523" s="9" t="str">
        <x:v>AS-01</x:v>
      </x:c>
      <x:c r="H1523" s="15" t="n">
        <x:v>124</x:v>
      </x:c>
      <x:c r="I1523" s="9" t="str">
        <x:v>P17</x:v>
      </x:c>
      <x:c r="J1523" s="11" t="n">
        <x:v>46304.65</x:v>
      </x:c>
      <x:c r="K1523" s="15" t="n">
        <x:v>5</x:v>
      </x:c>
      <x:c r="L1523" s="15" t="n">
        <x:v>3</x:v>
      </x:c>
      <x:c r="M1523" s="13" t="n">
        <x:f>J1523+(K1523+L1523)/1440</x:f>
        <x:v>46304.65555555556</x:v>
      </x:c>
      <x:c r="N1523" s="13" t="n">
        <x:f>VLOOKUP(C1523,'MES orders'!$A$8:$H$127,5,FALSE)</x:f>
        <x:v>46307.666666666664</x:v>
      </x:c>
      <x:c r="O1523" s="16" t="n">
        <x:f>MAX(0,(M1523-N1523)*24)</x:f>
        <x:v>0</x:v>
      </x:c>
      <x:c r="P1523" s="9" t="str">
        <x:v>No</x:v>
      </x:c>
      <x:c r="Q1523" s="15" t="n">
        <x:v>8</x:v>
      </x:c>
      <x:c r="R1523" s="13" t="n">
        <x:f>J1523+Q1523/1440</x:f>
        <x:v>46304.65555555556</x:v>
      </x:c>
      <x:c r="S1523" s="2" t="str">
        <x:f>VLOOKUP(C1523,'MES orders'!$A$8:$H$127,6,FALSE)</x:f>
        <x:v>Urgent</x:v>
      </x:c>
      <x:c r="T1523" s="9" t="str"/>
    </x:row>
    <x:row r="1524" ht="22" customHeight="1">
      <x:c r="A1524" s="2" t="str">
        <x:v>L00461-060</x:v>
      </x:c>
      <x:c r="B1524" s="2" t="str">
        <x:v>L00461</x:v>
      </x:c>
      <x:c r="C1524" s="2" t="str">
        <x:v>SO-26093</x:v>
      </x:c>
      <x:c r="D1524" s="2" t="str">
        <x:v>S-S-AL</x:v>
      </x:c>
      <x:c r="E1524" s="14" t="n">
        <x:v>15</x:v>
      </x:c>
      <x:c r="F1524" s="2" t="str">
        <x:v>Sensor calibration</x:v>
      </x:c>
      <x:c r="G1524" s="9" t="str">
        <x:v>CAL-01</x:v>
      </x:c>
      <x:c r="H1524" s="15" t="n">
        <x:v>76</x:v>
      </x:c>
      <x:c r="I1524" s="9" t="str">
        <x:v>P21</x:v>
      </x:c>
      <x:c r="J1524" s="11" t="n">
        <x:v>46304.65</x:v>
      </x:c>
      <x:c r="K1524" s="15" t="n">
        <x:v>10</x:v>
      </x:c>
      <x:c r="L1524" s="15" t="n">
        <x:v>20</x:v>
      </x:c>
      <x:c r="M1524" s="13" t="n">
        <x:f>J1524+(K1524+L1524)/1440</x:f>
        <x:v>46304.67083333334</x:v>
      </x:c>
      <x:c r="N1524" s="13" t="n">
        <x:f>VLOOKUP(C1524,'MES orders'!$A$8:$H$127,5,FALSE)</x:f>
        <x:v>46308.666666666664</x:v>
      </x:c>
      <x:c r="O1524" s="16" t="n">
        <x:f>MAX(0,(M1524-N1524)*24)</x:f>
        <x:v>0</x:v>
      </x:c>
      <x:c r="P1524" s="9" t="str">
        <x:v>No</x:v>
      </x:c>
      <x:c r="Q1524" s="15" t="n">
        <x:v>30</x:v>
      </x:c>
      <x:c r="R1524" s="13" t="n">
        <x:f>J1524+Q1524/1440</x:f>
        <x:v>46304.67083333334</x:v>
      </x:c>
      <x:c r="S1524" s="2" t="str">
        <x:f>VLOOKUP(C1524,'MES orders'!$A$8:$H$127,6,FALSE)</x:f>
        <x:v>Urgent</x:v>
      </x:c>
      <x:c r="T1524" s="9" t="str"/>
    </x:row>
    <x:row r="1525" ht="22" customHeight="1">
      <x:c r="A1525" s="2" t="str">
        <x:v>L00463-050</x:v>
      </x:c>
      <x:c r="B1525" s="2" t="str">
        <x:v>L00463</x:v>
      </x:c>
      <x:c r="C1525" s="2" t="str">
        <x:v>SO-26093</x:v>
      </x:c>
      <x:c r="D1525" s="2" t="str">
        <x:v>S-S-AL</x:v>
      </x:c>
      <x:c r="E1525" s="14" t="n">
        <x:v>15</x:v>
      </x:c>
      <x:c r="F1525" s="2" t="str">
        <x:v>Sensor installation</x:v>
      </x:c>
      <x:c r="G1525" s="9" t="str">
        <x:v>EL-01</x:v>
      </x:c>
      <x:c r="H1525" s="15" t="n">
        <x:v>50</x:v>
      </x:c>
      <x:c r="I1525" s="9" t="str">
        <x:v>P19</x:v>
      </x:c>
      <x:c r="J1525" s="11" t="n">
        <x:v>46304.652083333334</x:v>
      </x:c>
      <x:c r="K1525" s="15" t="n">
        <x:v>8</x:v>
      </x:c>
      <x:c r="L1525" s="15" t="n">
        <x:v>18</x:v>
      </x:c>
      <x:c r="M1525" s="13" t="n">
        <x:f>J1525+(K1525+L1525)/1440</x:f>
        <x:v>46304.67013888889</x:v>
      </x:c>
      <x:c r="N1525" s="13" t="n">
        <x:f>VLOOKUP(C1525,'MES orders'!$A$8:$H$127,5,FALSE)</x:f>
        <x:v>46308.666666666664</x:v>
      </x:c>
      <x:c r="O1525" s="16" t="n">
        <x:f>MAX(0,(M1525-N1525)*24)</x:f>
        <x:v>0</x:v>
      </x:c>
      <x:c r="P1525" s="9" t="str">
        <x:v>No</x:v>
      </x:c>
      <x:c r="Q1525" s="15" t="n">
        <x:v>26</x:v>
      </x:c>
      <x:c r="R1525" s="13" t="n">
        <x:f>J1525+Q1525/1440</x:f>
        <x:v>46304.67013888889</x:v>
      </x:c>
      <x:c r="S1525" s="2" t="str">
        <x:f>VLOOKUP(C1525,'MES orders'!$A$8:$H$127,6,FALSE)</x:f>
        <x:v>Urgent</x:v>
      </x:c>
      <x:c r="T1525" s="9" t="str"/>
    </x:row>
    <x:row r="1526" ht="22" customHeight="1">
      <x:c r="A1526" s="2" t="str">
        <x:v>L00578-080</x:v>
      </x:c>
      <x:c r="B1526" s="2" t="str">
        <x:v>L00578</x:v>
      </x:c>
      <x:c r="C1526" s="2" t="str">
        <x:v>SO-26116</x:v>
      </x:c>
      <x:c r="D1526" s="2" t="str">
        <x:v>S-C-SS</x:v>
      </x:c>
      <x:c r="E1526" s="14" t="n">
        <x:v>5</x:v>
      </x:c>
      <x:c r="F1526" s="2" t="str">
        <x:v>Final leak / function test</x:v>
      </x:c>
      <x:c r="G1526" s="9" t="str">
        <x:v>QA-02</x:v>
      </x:c>
      <x:c r="H1526" s="15" t="n">
        <x:v>106</x:v>
      </x:c>
      <x:c r="I1526" s="9" t="str">
        <x:v>P23</x:v>
      </x:c>
      <x:c r="J1526" s="11" t="n">
        <x:v>46304.652083333334</x:v>
      </x:c>
      <x:c r="K1526" s="15" t="n">
        <x:v>10</x:v>
      </x:c>
      <x:c r="L1526" s="15" t="n">
        <x:v>4</x:v>
      </x:c>
      <x:c r="M1526" s="13" t="n">
        <x:f>J1526+(K1526+L1526)/1440</x:f>
        <x:v>46304.66180555556</x:v>
      </x:c>
      <x:c r="N1526" s="13" t="n">
        <x:f>VLOOKUP(C1526,'MES orders'!$A$8:$H$127,5,FALSE)</x:f>
        <x:v>46307.666666666664</x:v>
      </x:c>
      <x:c r="O1526" s="16" t="n">
        <x:f>MAX(0,(M1526-N1526)*24)</x:f>
        <x:v>0</x:v>
      </x:c>
      <x:c r="P1526" s="9" t="str">
        <x:v>No</x:v>
      </x:c>
      <x:c r="Q1526" s="15" t="n">
        <x:v>14</x:v>
      </x:c>
      <x:c r="R1526" s="13" t="n">
        <x:f>J1526+Q1526/1440</x:f>
        <x:v>46304.66180555556</x:v>
      </x:c>
      <x:c r="S1526" s="2" t="str">
        <x:f>VLOOKUP(C1526,'MES orders'!$A$8:$H$127,6,FALSE)</x:f>
        <x:v>Urgent</x:v>
      </x:c>
      <x:c r="T1526" s="9" t="str"/>
    </x:row>
    <x:row r="1527" ht="22" customHeight="1">
      <x:c r="A1527" s="2" t="str">
        <x:v>L00457-030</x:v>
      </x:c>
      <x:c r="B1527" s="2" t="str">
        <x:v>L00457</x:v>
      </x:c>
      <x:c r="C1527" s="2" t="str">
        <x:v>SO-26092</x:v>
      </x:c>
      <x:c r="D1527" s="2" t="str">
        <x:v>R-C-SS</x:v>
      </x:c>
      <x:c r="E1527" s="14" t="n">
        <x:v>25</x:v>
      </x:c>
      <x:c r="F1527" s="2" t="str">
        <x:v>Wash &amp; dry</x:v>
      </x:c>
      <x:c r="G1527" s="9" t="str">
        <x:v>WS-02</x:v>
      </x:c>
      <x:c r="H1527" s="15" t="n">
        <x:v>101</x:v>
      </x:c>
      <x:c r="I1527" s="9" t="str">
        <x:v>P18</x:v>
      </x:c>
      <x:c r="J1527" s="11" t="n">
        <x:v>46304.654861111114</x:v>
      </x:c>
      <x:c r="K1527" s="15" t="n">
        <x:v>12</x:v>
      </x:c>
      <x:c r="L1527" s="15" t="n">
        <x:v>7</x:v>
      </x:c>
      <x:c r="M1527" s="13" t="n">
        <x:f>J1527+(K1527+L1527)/1440</x:f>
        <x:v>46304.66805555556</x:v>
      </x:c>
      <x:c r="N1527" s="13" t="n">
        <x:f>VLOOKUP(C1527,'MES orders'!$A$8:$H$127,5,FALSE)</x:f>
        <x:v>46307.666666666664</x:v>
      </x:c>
      <x:c r="O1527" s="16" t="n">
        <x:f>MAX(0,(M1527-N1527)*24)</x:f>
        <x:v>0</x:v>
      </x:c>
      <x:c r="P1527" s="9" t="str">
        <x:v>No</x:v>
      </x:c>
      <x:c r="Q1527" s="15" t="n">
        <x:v>19</x:v>
      </x:c>
      <x:c r="R1527" s="13" t="n">
        <x:f>J1527+Q1527/1440</x:f>
        <x:v>46304.66805555556</x:v>
      </x:c>
      <x:c r="S1527" s="2" t="str">
        <x:f>VLOOKUP(C1527,'MES orders'!$A$8:$H$127,6,FALSE)</x:f>
        <x:v>High</x:v>
      </x:c>
      <x:c r="T1527" s="9" t="str"/>
    </x:row>
    <x:row r="1528" ht="22" customHeight="1">
      <x:c r="A1528" s="2" t="str">
        <x:v>L00019-010</x:v>
      </x:c>
      <x:c r="B1528" s="2" t="str">
        <x:v>L00019</x:v>
      </x:c>
      <x:c r="C1528" s="2" t="str">
        <x:v>SO-26004</x:v>
      </x:c>
      <x:c r="D1528" s="2" t="str">
        <x:v>D-S-SS</x:v>
      </x:c>
      <x:c r="E1528" s="14" t="n">
        <x:v>10</x:v>
      </x:c>
      <x:c r="F1528" s="2" t="str">
        <x:v>CNC machining</x:v>
      </x:c>
      <x:c r="G1528" s="9" t="str">
        <x:v>CNC-03</x:v>
      </x:c>
      <x:c r="H1528" s="15" t="n">
        <x:v>47</x:v>
      </x:c>
      <x:c r="I1528" s="9" t="str">
        <x:v>P13</x:v>
      </x:c>
      <x:c r="J1528" s="11" t="n">
        <x:v>46304.65555555555</x:v>
      </x:c>
      <x:c r="K1528" s="15" t="n">
        <x:v>18</x:v>
      </x:c>
      <x:c r="L1528" s="15" t="n">
        <x:v>30</x:v>
      </x:c>
      <x:c r="M1528" s="13" t="n">
        <x:f>J1528+(K1528+L1528)/1440</x:f>
        <x:v>46304.688888888886</x:v>
      </x:c>
      <x:c r="N1528" s="13" t="n">
        <x:f>VLOOKUP(C1528,'MES orders'!$A$8:$H$127,5,FALSE)</x:f>
        <x:v>46307.666666666664</x:v>
      </x:c>
      <x:c r="O1528" s="16" t="n">
        <x:f>MAX(0,(M1528-N1528)*24)</x:f>
        <x:v>0</x:v>
      </x:c>
      <x:c r="P1528" s="9" t="str">
        <x:v>No</x:v>
      </x:c>
      <x:c r="Q1528" s="15" t="n">
        <x:v>18</x:v>
      </x:c>
      <x:c r="R1528" s="13" t="n">
        <x:f>J1528+Q1528/1440</x:f>
        <x:v>46304.66805555555</x:v>
      </x:c>
      <x:c r="S1528" s="2" t="str">
        <x:f>VLOOKUP(C1528,'MES orders'!$A$8:$H$127,6,FALSE)</x:f>
        <x:v>Normal</x:v>
      </x:c>
      <x:c r="T1528" s="9" t="str"/>
    </x:row>
    <x:row r="1529" ht="22" customHeight="1">
      <x:c r="A1529" s="2" t="str">
        <x:v>L00458-020</x:v>
      </x:c>
      <x:c r="B1529" s="2" t="str">
        <x:v>L00458</x:v>
      </x:c>
      <x:c r="C1529" s="2" t="str">
        <x:v>SO-26092</x:v>
      </x:c>
      <x:c r="D1529" s="2" t="str">
        <x:v>R-C-SS</x:v>
      </x:c>
      <x:c r="E1529" s="14" t="n">
        <x:v>25</x:v>
      </x:c>
      <x:c r="F1529" s="2" t="str">
        <x:v>Deburr &amp; inspect</x:v>
      </x:c>
      <x:c r="G1529" s="9" t="str">
        <x:v>DB-01</x:v>
      </x:c>
      <x:c r="H1529" s="15" t="n">
        <x:v>147</x:v>
      </x:c>
      <x:c r="I1529" s="9" t="str">
        <x:v>P17</x:v>
      </x:c>
      <x:c r="J1529" s="11" t="n">
        <x:v>46304.65555555555</x:v>
      </x:c>
      <x:c r="K1529" s="15" t="n">
        <x:v>4</x:v>
      </x:c>
      <x:c r="L1529" s="15" t="n">
        <x:v>14</x:v>
      </x:c>
      <x:c r="M1529" s="13" t="n">
        <x:f>J1529+(K1529+L1529)/1440</x:f>
        <x:v>46304.66805555555</x:v>
      </x:c>
      <x:c r="N1529" s="13" t="n">
        <x:f>VLOOKUP(C1529,'MES orders'!$A$8:$H$127,5,FALSE)</x:f>
        <x:v>46307.666666666664</x:v>
      </x:c>
      <x:c r="O1529" s="16" t="n">
        <x:f>MAX(0,(M1529-N1529)*24)</x:f>
        <x:v>0</x:v>
      </x:c>
      <x:c r="P1529" s="9" t="str">
        <x:v>No</x:v>
      </x:c>
      <x:c r="Q1529" s="15" t="n">
        <x:v>18</x:v>
      </x:c>
      <x:c r="R1529" s="13" t="n">
        <x:f>J1529+Q1529/1440</x:f>
        <x:v>46304.66805555555</x:v>
      </x:c>
      <x:c r="S1529" s="2" t="str">
        <x:f>VLOOKUP(C1529,'MES orders'!$A$8:$H$127,6,FALSE)</x:f>
        <x:v>High</x:v>
      </x:c>
      <x:c r="T1529" s="9" t="str"/>
    </x:row>
    <x:row r="1530" ht="22" customHeight="1">
      <x:c r="A1530" s="2" t="str">
        <x:v>L00456-040</x:v>
      </x:c>
      <x:c r="B1530" s="2" t="str">
        <x:v>L00456</x:v>
      </x:c>
      <x:c r="C1530" s="2" t="str">
        <x:v>SO-26092</x:v>
      </x:c>
      <x:c r="D1530" s="2" t="str">
        <x:v>R-C-SS</x:v>
      </x:c>
      <x:c r="E1530" s="14" t="n">
        <x:v>25</x:v>
      </x:c>
      <x:c r="F1530" s="2" t="str">
        <x:v>Mechanical assembly</x:v>
      </x:c>
      <x:c r="G1530" s="9" t="str">
        <x:v>AS-01</x:v>
      </x:c>
      <x:c r="H1530" s="15" t="n">
        <x:v>125</x:v>
      </x:c>
      <x:c r="I1530" s="9" t="str">
        <x:v>P16</x:v>
      </x:c>
      <x:c r="J1530" s="11" t="n">
        <x:v>46304.65694444445</x:v>
      </x:c>
      <x:c r="K1530" s="15" t="n">
        <x:v>8</x:v>
      </x:c>
      <x:c r="L1530" s="15" t="n">
        <x:v>36</x:v>
      </x:c>
      <x:c r="M1530" s="13" t="n">
        <x:f>J1530+(K1530+L1530)/1440</x:f>
        <x:v>46304.6875</x:v>
      </x:c>
      <x:c r="N1530" s="13" t="n">
        <x:f>VLOOKUP(C1530,'MES orders'!$A$8:$H$127,5,FALSE)</x:f>
        <x:v>46307.666666666664</x:v>
      </x:c>
      <x:c r="O1530" s="16" t="n">
        <x:f>MAX(0,(M1530-N1530)*24)</x:f>
        <x:v>0</x:v>
      </x:c>
      <x:c r="P1530" s="9" t="str">
        <x:v>No</x:v>
      </x:c>
      <x:c r="Q1530" s="15" t="n">
        <x:v>44</x:v>
      </x:c>
      <x:c r="R1530" s="13" t="n">
        <x:f>J1530+Q1530/1440</x:f>
        <x:v>46304.6875</x:v>
      </x:c>
      <x:c r="S1530" s="2" t="str">
        <x:f>VLOOKUP(C1530,'MES orders'!$A$8:$H$127,6,FALSE)</x:f>
        <x:v>High</x:v>
      </x:c>
      <x:c r="T1530" s="9" t="str"/>
    </x:row>
    <x:row r="1531" ht="22" customHeight="1">
      <x:c r="A1531" s="2" t="str">
        <x:v>L00460-050</x:v>
      </x:c>
      <x:c r="B1531" s="2" t="str">
        <x:v>L00460</x:v>
      </x:c>
      <x:c r="C1531" s="2" t="str">
        <x:v>SO-26092</x:v>
      </x:c>
      <x:c r="D1531" s="2" t="str">
        <x:v>R-C-SS</x:v>
      </x:c>
      <x:c r="E1531" s="14" t="n">
        <x:v>25</x:v>
      </x:c>
      <x:c r="F1531" s="2" t="str">
        <x:v>Valve adjustment</x:v>
      </x:c>
      <x:c r="G1531" s="9" t="str">
        <x:v>AS-03</x:v>
      </x:c>
      <x:c r="H1531" s="15" t="n">
        <x:v>81</x:v>
      </x:c>
      <x:c r="I1531" s="9" t="str">
        <x:v>P20</x:v>
      </x:c>
      <x:c r="J1531" s="11" t="n">
        <x:v>46304.65902777778</x:v>
      </x:c>
      <x:c r="K1531" s="15" t="n">
        <x:v>6</x:v>
      </x:c>
      <x:c r="L1531" s="15" t="n">
        <x:v>22</x:v>
      </x:c>
      <x:c r="M1531" s="13" t="n">
        <x:f>J1531+(K1531+L1531)/1440</x:f>
        <x:v>46304.67847222222</x:v>
      </x:c>
      <x:c r="N1531" s="13" t="n">
        <x:f>VLOOKUP(C1531,'MES orders'!$A$8:$H$127,5,FALSE)</x:f>
        <x:v>46307.666666666664</x:v>
      </x:c>
      <x:c r="O1531" s="16" t="n">
        <x:f>MAX(0,(M1531-N1531)*24)</x:f>
        <x:v>0</x:v>
      </x:c>
      <x:c r="P1531" s="9" t="str">
        <x:v>No</x:v>
      </x:c>
      <x:c r="Q1531" s="15" t="n">
        <x:v>28</x:v>
      </x:c>
      <x:c r="R1531" s="13" t="n">
        <x:f>J1531+Q1531/1440</x:f>
        <x:v>46304.67847222222</x:v>
      </x:c>
      <x:c r="S1531" s="2" t="str">
        <x:f>VLOOKUP(C1531,'MES orders'!$A$8:$H$127,6,FALSE)</x:f>
        <x:v>High</x:v>
      </x:c>
      <x:c r="T1531" s="9" t="str"/>
    </x:row>
    <x:row r="1532" ht="22" customHeight="1">
      <x:c r="A1532" s="2" t="str">
        <x:v>L00020-010</x:v>
      </x:c>
      <x:c r="B1532" s="2" t="str">
        <x:v>L00020</x:v>
      </x:c>
      <x:c r="C1532" s="2" t="str">
        <x:v>SO-26004</x:v>
      </x:c>
      <x:c r="D1532" s="2" t="str">
        <x:v>D-S-SS</x:v>
      </x:c>
      <x:c r="E1532" s="14" t="n">
        <x:v>10</x:v>
      </x:c>
      <x:c r="F1532" s="2" t="str">
        <x:v>CNC machining</x:v>
      </x:c>
      <x:c r="G1532" s="9" t="str">
        <x:v>CNC-04</x:v>
      </x:c>
      <x:c r="H1532" s="15" t="n">
        <x:v>45</x:v>
      </x:c>
      <x:c r="I1532" s="9" t="str">
        <x:v>P14</x:v>
      </x:c>
      <x:c r="J1532" s="11" t="n">
        <x:v>46304.65902777778</x:v>
      </x:c>
      <x:c r="K1532" s="15" t="n">
        <x:v>18</x:v>
      </x:c>
      <x:c r="L1532" s="15" t="n">
        <x:v>30</x:v>
      </x:c>
      <x:c r="M1532" s="13" t="n">
        <x:f>J1532+(K1532+L1532)/1440</x:f>
        <x:v>46304.69236111111</x:v>
      </x:c>
      <x:c r="N1532" s="13" t="n">
        <x:f>VLOOKUP(C1532,'MES orders'!$A$8:$H$127,5,FALSE)</x:f>
        <x:v>46307.666666666664</x:v>
      </x:c>
      <x:c r="O1532" s="16" t="n">
        <x:f>MAX(0,(M1532-N1532)*24)</x:f>
        <x:v>0</x:v>
      </x:c>
      <x:c r="P1532" s="9" t="str">
        <x:v>No</x:v>
      </x:c>
      <x:c r="Q1532" s="15" t="n">
        <x:v>18</x:v>
      </x:c>
      <x:c r="R1532" s="13" t="n">
        <x:f>J1532+Q1532/1440</x:f>
        <x:v>46304.67152777778</x:v>
      </x:c>
      <x:c r="S1532" s="2" t="str">
        <x:f>VLOOKUP(C1532,'MES orders'!$A$8:$H$127,6,FALSE)</x:f>
        <x:v>Normal</x:v>
      </x:c>
      <x:c r="T1532" s="9" t="str"/>
    </x:row>
    <x:row r="1533" ht="22" customHeight="1">
      <x:c r="A1533" s="2" t="str">
        <x:v>L00579-080</x:v>
      </x:c>
      <x:c r="B1533" s="2" t="str">
        <x:v>L00579</x:v>
      </x:c>
      <x:c r="C1533" s="2" t="str">
        <x:v>SO-26116</x:v>
      </x:c>
      <x:c r="D1533" s="2" t="str">
        <x:v>S-C-SS</x:v>
      </x:c>
      <x:c r="E1533" s="14" t="n">
        <x:v>5</x:v>
      </x:c>
      <x:c r="F1533" s="2" t="str">
        <x:v>Final leak / function test</x:v>
      </x:c>
      <x:c r="G1533" s="9" t="str">
        <x:v>QA-03</x:v>
      </x:c>
      <x:c r="H1533" s="15" t="n">
        <x:v>65</x:v>
      </x:c>
      <x:c r="I1533" s="9" t="str">
        <x:v>P24</x:v>
      </x:c>
      <x:c r="J1533" s="11" t="n">
        <x:v>46304.65902777778</x:v>
      </x:c>
      <x:c r="K1533" s="15" t="n">
        <x:v>10</x:v>
      </x:c>
      <x:c r="L1533" s="15" t="n">
        <x:v>4</x:v>
      </x:c>
      <x:c r="M1533" s="13" t="n">
        <x:f>J1533+(K1533+L1533)/1440</x:f>
        <x:v>46304.668750000004</x:v>
      </x:c>
      <x:c r="N1533" s="13" t="n">
        <x:f>VLOOKUP(C1533,'MES orders'!$A$8:$H$127,5,FALSE)</x:f>
        <x:v>46307.666666666664</x:v>
      </x:c>
      <x:c r="O1533" s="16" t="n">
        <x:f>MAX(0,(M1533-N1533)*24)</x:f>
        <x:v>0</x:v>
      </x:c>
      <x:c r="P1533" s="9" t="str">
        <x:v>No</x:v>
      </x:c>
      <x:c r="Q1533" s="15" t="n">
        <x:v>14</x:v>
      </x:c>
      <x:c r="R1533" s="13" t="n">
        <x:f>J1533+Q1533/1440</x:f>
        <x:v>46304.668750000004</x:v>
      </x:c>
      <x:c r="S1533" s="2" t="str">
        <x:f>VLOOKUP(C1533,'MES orders'!$A$8:$H$127,6,FALSE)</x:f>
        <x:v>Urgent</x:v>
      </x:c>
      <x:c r="T1533" s="9" t="str"/>
    </x:row>
    <x:row r="1534" ht="22" customHeight="1">
      <x:c r="A1534" s="2" t="str">
        <x:v>L00580-080</x:v>
      </x:c>
      <x:c r="B1534" s="2" t="str">
        <x:v>L00580</x:v>
      </x:c>
      <x:c r="C1534" s="2" t="str">
        <x:v>SO-26116</x:v>
      </x:c>
      <x:c r="D1534" s="2" t="str">
        <x:v>S-C-SS</x:v>
      </x:c>
      <x:c r="E1534" s="14" t="n">
        <x:v>5</x:v>
      </x:c>
      <x:c r="F1534" s="2" t="str">
        <x:v>Final leak / function test</x:v>
      </x:c>
      <x:c r="G1534" s="9" t="str">
        <x:v>QA-02</x:v>
      </x:c>
      <x:c r="H1534" s="15" t="n">
        <x:v>107</x:v>
      </x:c>
      <x:c r="I1534" s="9" t="str">
        <x:v>P23</x:v>
      </x:c>
      <x:c r="J1534" s="11" t="n">
        <x:v>46304.66180555556</x:v>
      </x:c>
      <x:c r="K1534" s="15" t="n">
        <x:v>10</x:v>
      </x:c>
      <x:c r="L1534" s="15" t="n">
        <x:v>4</x:v>
      </x:c>
      <x:c r="M1534" s="13" t="n">
        <x:f>J1534+(K1534+L1534)/1440</x:f>
        <x:v>46304.671527777784</x:v>
      </x:c>
      <x:c r="N1534" s="13" t="n">
        <x:f>VLOOKUP(C1534,'MES orders'!$A$8:$H$127,5,FALSE)</x:f>
        <x:v>46307.666666666664</x:v>
      </x:c>
      <x:c r="O1534" s="16" t="n">
        <x:f>MAX(0,(M1534-N1534)*24)</x:f>
        <x:v>0</x:v>
      </x:c>
      <x:c r="P1534" s="9" t="str">
        <x:v>No</x:v>
      </x:c>
      <x:c r="Q1534" s="15" t="n">
        <x:v>14</x:v>
      </x:c>
      <x:c r="R1534" s="13" t="n">
        <x:f>J1534+Q1534/1440</x:f>
        <x:v>46304.671527777784</x:v>
      </x:c>
      <x:c r="S1534" s="2" t="str">
        <x:f>VLOOKUP(C1534,'MES orders'!$A$8:$H$127,6,FALSE)</x:f>
        <x:v>Urgent</x:v>
      </x:c>
      <x:c r="T1534" s="9" t="str"/>
    </x:row>
    <x:row r="1535" ht="22" customHeight="1">
      <x:c r="A1535" s="2" t="str">
        <x:v>L00056-010</x:v>
      </x:c>
      <x:c r="B1535" s="2" t="str">
        <x:v>L00056</x:v>
      </x:c>
      <x:c r="C1535" s="2" t="str">
        <x:v>SO-26012</x:v>
      </x:c>
      <x:c r="D1535" s="2" t="str">
        <x:v>D-L-SS</x:v>
      </x:c>
      <x:c r="E1535" s="14" t="n">
        <x:v>5</x:v>
      </x:c>
      <x:c r="F1535" s="2" t="str">
        <x:v>CNC machining</x:v>
      </x:c>
      <x:c r="G1535" s="9" t="str">
        <x:v>CNC-05</x:v>
      </x:c>
      <x:c r="H1535" s="15" t="n">
        <x:v>41</x:v>
      </x:c>
      <x:c r="I1535" s="9" t="str">
        <x:v>P15</x:v>
      </x:c>
      <x:c r="J1535" s="11" t="n">
        <x:v>46304.663194444445</x:v>
      </x:c>
      <x:c r="K1535" s="15" t="n">
        <x:v>18</x:v>
      </x:c>
      <x:c r="L1535" s="15" t="n">
        <x:v>20</x:v>
      </x:c>
      <x:c r="M1535" s="13" t="n">
        <x:f>J1535+(K1535+L1535)/1440</x:f>
        <x:v>46304.68958333333</x:v>
      </x:c>
      <x:c r="N1535" s="13" t="n">
        <x:f>VLOOKUP(C1535,'MES orders'!$A$8:$H$127,5,FALSE)</x:f>
        <x:v>46307.666666666664</x:v>
      </x:c>
      <x:c r="O1535" s="16" t="n">
        <x:f>MAX(0,(M1535-N1535)*24)</x:f>
        <x:v>0</x:v>
      </x:c>
      <x:c r="P1535" s="9" t="str">
        <x:v>No</x:v>
      </x:c>
      <x:c r="Q1535" s="15" t="n">
        <x:v>18</x:v>
      </x:c>
      <x:c r="R1535" s="13" t="n">
        <x:f>J1535+Q1535/1440</x:f>
        <x:v>46304.67569444444</x:v>
      </x:c>
      <x:c r="S1535" s="2" t="str">
        <x:f>VLOOKUP(C1535,'MES orders'!$A$8:$H$127,6,FALSE)</x:f>
        <x:v>Normal</x:v>
      </x:c>
      <x:c r="T1535" s="9" t="str"/>
    </x:row>
    <x:row r="1536" ht="22" customHeight="1">
      <x:c r="A1536" s="2" t="str">
        <x:v>L00457-040</x:v>
      </x:c>
      <x:c r="B1536" s="2" t="str">
        <x:v>L00457</x:v>
      </x:c>
      <x:c r="C1536" s="2" t="str">
        <x:v>SO-26092</x:v>
      </x:c>
      <x:c r="D1536" s="2" t="str">
        <x:v>R-C-SS</x:v>
      </x:c>
      <x:c r="E1536" s="14" t="n">
        <x:v>25</x:v>
      </x:c>
      <x:c r="F1536" s="2" t="str">
        <x:v>Mechanical assembly</x:v>
      </x:c>
      <x:c r="G1536" s="9" t="str">
        <x:v>AS-02</x:v>
      </x:c>
      <x:c r="H1536" s="15" t="n">
        <x:v>101</x:v>
      </x:c>
      <x:c r="I1536" s="9" t="str">
        <x:v>P18</x:v>
      </x:c>
      <x:c r="J1536" s="11" t="n">
        <x:v>46304.66805555556</x:v>
      </x:c>
      <x:c r="K1536" s="15" t="n">
        <x:v>8</x:v>
      </x:c>
      <x:c r="L1536" s="15" t="n">
        <x:v>36</x:v>
      </x:c>
      <x:c r="M1536" s="13" t="n">
        <x:f>J1536+(K1536+L1536)/1440</x:f>
        <x:v>46304.69861111111</x:v>
      </x:c>
      <x:c r="N1536" s="13" t="n">
        <x:f>VLOOKUP(C1536,'MES orders'!$A$8:$H$127,5,FALSE)</x:f>
        <x:v>46307.666666666664</x:v>
      </x:c>
      <x:c r="O1536" s="16" t="n">
        <x:f>MAX(0,(M1536-N1536)*24)</x:f>
        <x:v>0</x:v>
      </x:c>
      <x:c r="P1536" s="9" t="str">
        <x:v>No</x:v>
      </x:c>
      <x:c r="Q1536" s="15" t="n">
        <x:v>44</x:v>
      </x:c>
      <x:c r="R1536" s="13" t="n">
        <x:f>J1536+Q1536/1440</x:f>
        <x:v>46304.69861111111</x:v>
      </x:c>
      <x:c r="S1536" s="2" t="str">
        <x:f>VLOOKUP(C1536,'MES orders'!$A$8:$H$127,6,FALSE)</x:f>
        <x:v>High</x:v>
      </x:c>
      <x:c r="T1536" s="9" t="str"/>
    </x:row>
    <x:row r="1537" ht="22" customHeight="1">
      <x:c r="A1537" s="2" t="str">
        <x:v>L00057-010</x:v>
      </x:c>
      <x:c r="B1537" s="2" t="str">
        <x:v>L00057</x:v>
      </x:c>
      <x:c r="C1537" s="2" t="str">
        <x:v>SO-26012</x:v>
      </x:c>
      <x:c r="D1537" s="2" t="str">
        <x:v>D-L-SS</x:v>
      </x:c>
      <x:c r="E1537" s="14" t="n">
        <x:v>5</x:v>
      </x:c>
      <x:c r="F1537" s="2" t="str">
        <x:v>CNC machining</x:v>
      </x:c>
      <x:c r="G1537" s="9" t="str">
        <x:v>CNC-06</x:v>
      </x:c>
      <x:c r="H1537" s="15" t="n">
        <x:v>37</x:v>
      </x:c>
      <x:c r="I1537" s="9" t="str">
        <x:v>P13</x:v>
      </x:c>
      <x:c r="J1537" s="11" t="n">
        <x:v>46304.66805555556</x:v>
      </x:c>
      <x:c r="K1537" s="15" t="n">
        <x:v>18</x:v>
      </x:c>
      <x:c r="L1537" s="15" t="n">
        <x:v>20</x:v>
      </x:c>
      <x:c r="M1537" s="13" t="n">
        <x:f>J1537+(K1537+L1537)/1440</x:f>
        <x:v>46304.694444444445</x:v>
      </x:c>
      <x:c r="N1537" s="13" t="n">
        <x:f>VLOOKUP(C1537,'MES orders'!$A$8:$H$127,5,FALSE)</x:f>
        <x:v>46307.666666666664</x:v>
      </x:c>
      <x:c r="O1537" s="16" t="n">
        <x:f>MAX(0,(M1537-N1537)*24)</x:f>
        <x:v>0</x:v>
      </x:c>
      <x:c r="P1537" s="9" t="str">
        <x:v>No</x:v>
      </x:c>
      <x:c r="Q1537" s="15" t="n">
        <x:v>18</x:v>
      </x:c>
      <x:c r="R1537" s="13" t="n">
        <x:f>J1537+Q1537/1440</x:f>
        <x:v>46304.680555555555</x:v>
      </x:c>
      <x:c r="S1537" s="2" t="str">
        <x:f>VLOOKUP(C1537,'MES orders'!$A$8:$H$127,6,FALSE)</x:f>
        <x:v>Normal</x:v>
      </x:c>
      <x:c r="T1537" s="9" t="str"/>
    </x:row>
    <x:row r="1538" ht="22" customHeight="1">
      <x:c r="A1538" s="2" t="str">
        <x:v>L00458-030</x:v>
      </x:c>
      <x:c r="B1538" s="2" t="str">
        <x:v>L00458</x:v>
      </x:c>
      <x:c r="C1538" s="2" t="str">
        <x:v>SO-26092</x:v>
      </x:c>
      <x:c r="D1538" s="2" t="str">
        <x:v>R-C-SS</x:v>
      </x:c>
      <x:c r="E1538" s="14" t="n">
        <x:v>25</x:v>
      </x:c>
      <x:c r="F1538" s="2" t="str">
        <x:v>Wash &amp; dry</x:v>
      </x:c>
      <x:c r="G1538" s="9" t="str">
        <x:v>WS-01</x:v>
      </x:c>
      <x:c r="H1538" s="15" t="n">
        <x:v>143</x:v>
      </x:c>
      <x:c r="I1538" s="9" t="str">
        <x:v>P17</x:v>
      </x:c>
      <x:c r="J1538" s="11" t="n">
        <x:v>46304.66805555556</x:v>
      </x:c>
      <x:c r="K1538" s="15" t="n">
        <x:v>12</x:v>
      </x:c>
      <x:c r="L1538" s="15" t="n">
        <x:v>7</x:v>
      </x:c>
      <x:c r="M1538" s="13" t="n">
        <x:f>J1538+(K1538+L1538)/1440</x:f>
        <x:v>46304.68125</x:v>
      </x:c>
      <x:c r="N1538" s="13" t="n">
        <x:f>VLOOKUP(C1538,'MES orders'!$A$8:$H$127,5,FALSE)</x:f>
        <x:v>46307.666666666664</x:v>
      </x:c>
      <x:c r="O1538" s="16" t="n">
        <x:f>MAX(0,(M1538-N1538)*24)</x:f>
        <x:v>0</x:v>
      </x:c>
      <x:c r="P1538" s="9" t="str">
        <x:v>No</x:v>
      </x:c>
      <x:c r="Q1538" s="15" t="n">
        <x:v>19</x:v>
      </x:c>
      <x:c r="R1538" s="13" t="n">
        <x:f>J1538+Q1538/1440</x:f>
        <x:v>46304.68125</x:v>
      </x:c>
      <x:c r="S1538" s="2" t="str">
        <x:f>VLOOKUP(C1538,'MES orders'!$A$8:$H$127,6,FALSE)</x:f>
        <x:v>High</x:v>
      </x:c>
      <x:c r="T1538" s="9" t="str"/>
    </x:row>
    <x:row r="1539" ht="22" customHeight="1">
      <x:c r="A1539" s="2" t="str">
        <x:v>L00176-060</x:v>
      </x:c>
      <x:c r="B1539" s="2" t="str">
        <x:v>L00176</x:v>
      </x:c>
      <x:c r="C1539" s="2" t="str">
        <x:v>SO-26036</x:v>
      </x:c>
      <x:c r="D1539" s="2" t="str">
        <x:v>R-L-SS</x:v>
      </x:c>
      <x:c r="E1539" s="14" t="n">
        <x:v>5</x:v>
      </x:c>
      <x:c r="F1539" s="2" t="str">
        <x:v>Final leak / function test</x:v>
      </x:c>
      <x:c r="G1539" s="9" t="str">
        <x:v>QA-03</x:v>
      </x:c>
      <x:c r="H1539" s="15" t="n">
        <x:v>66</x:v>
      </x:c>
      <x:c r="I1539" s="9" t="str">
        <x:v>P24</x:v>
      </x:c>
      <x:c r="J1539" s="11" t="n">
        <x:v>46304.66875</x:v>
      </x:c>
      <x:c r="K1539" s="15" t="n">
        <x:v>10</x:v>
      </x:c>
      <x:c r="L1539" s="15" t="n">
        <x:v>6</x:v>
      </x:c>
      <x:c r="M1539" s="13" t="n">
        <x:f>J1539+(K1539+L1539)/1440</x:f>
        <x:v>46304.67986111111</x:v>
      </x:c>
      <x:c r="N1539" s="13" t="n">
        <x:f>VLOOKUP(C1539,'MES orders'!$A$8:$H$127,5,FALSE)</x:f>
        <x:v>46307.666666666664</x:v>
      </x:c>
      <x:c r="O1539" s="16" t="n">
        <x:f>MAX(0,(M1539-N1539)*24)</x:f>
        <x:v>0</x:v>
      </x:c>
      <x:c r="P1539" s="9" t="str">
        <x:v>No</x:v>
      </x:c>
      <x:c r="Q1539" s="15" t="n">
        <x:v>16</x:v>
      </x:c>
      <x:c r="R1539" s="13" t="n">
        <x:f>J1539+Q1539/1440</x:f>
        <x:v>46304.67986111111</x:v>
      </x:c>
      <x:c r="S1539" s="2" t="str">
        <x:f>VLOOKUP(C1539,'MES orders'!$A$8:$H$127,6,FALSE)</x:f>
        <x:v>High</x:v>
      </x:c>
      <x:c r="T1539" s="9" t="str"/>
    </x:row>
    <x:row r="1540" ht="22" customHeight="1">
      <x:c r="A1540" s="2" t="str">
        <x:v>L00464-020</x:v>
      </x:c>
      <x:c r="B1540" s="2" t="str">
        <x:v>L00464</x:v>
      </x:c>
      <x:c r="C1540" s="2" t="str">
        <x:v>SO-26093</x:v>
      </x:c>
      <x:c r="D1540" s="2" t="str">
        <x:v>S-S-AL</x:v>
      </x:c>
      <x:c r="E1540" s="14" t="n">
        <x:v>15</x:v>
      </x:c>
      <x:c r="F1540" s="2" t="str">
        <x:v>Deburr &amp; inspect</x:v>
      </x:c>
      <x:c r="G1540" s="9" t="str">
        <x:v>DB-01</x:v>
      </x:c>
      <x:c r="H1540" s="15" t="n">
        <x:v>148</x:v>
      </x:c>
      <x:c r="I1540" s="9" t="str">
        <x:v>P19</x:v>
      </x:c>
      <x:c r="J1540" s="11" t="n">
        <x:v>46304.67013888889</x:v>
      </x:c>
      <x:c r="K1540" s="15" t="n">
        <x:v>4</x:v>
      </x:c>
      <x:c r="L1540" s="15" t="n">
        <x:v>10</x:v>
      </x:c>
      <x:c r="M1540" s="13" t="n">
        <x:f>J1540+(K1540+L1540)/1440</x:f>
        <x:v>46304.679861111115</x:v>
      </x:c>
      <x:c r="N1540" s="13" t="n">
        <x:f>VLOOKUP(C1540,'MES orders'!$A$8:$H$127,5,FALSE)</x:f>
        <x:v>46308.666666666664</x:v>
      </x:c>
      <x:c r="O1540" s="16" t="n">
        <x:f>MAX(0,(M1540-N1540)*24)</x:f>
        <x:v>0</x:v>
      </x:c>
      <x:c r="P1540" s="9" t="str">
        <x:v>No</x:v>
      </x:c>
      <x:c r="Q1540" s="15" t="n">
        <x:v>14</x:v>
      </x:c>
      <x:c r="R1540" s="13" t="n">
        <x:f>J1540+Q1540/1440</x:f>
        <x:v>46304.679861111115</x:v>
      </x:c>
      <x:c r="S1540" s="2" t="str">
        <x:f>VLOOKUP(C1540,'MES orders'!$A$8:$H$127,6,FALSE)</x:f>
        <x:v>Urgent</x:v>
      </x:c>
      <x:c r="T1540" s="9" t="str"/>
    </x:row>
    <x:row r="1541" ht="22" customHeight="1">
      <x:c r="A1541" s="2" t="str">
        <x:v>L00462-060</x:v>
      </x:c>
      <x:c r="B1541" s="2" t="str">
        <x:v>L00462</x:v>
      </x:c>
      <x:c r="C1541" s="2" t="str">
        <x:v>SO-26093</x:v>
      </x:c>
      <x:c r="D1541" s="2" t="str">
        <x:v>S-S-AL</x:v>
      </x:c>
      <x:c r="E1541" s="14" t="n">
        <x:v>15</x:v>
      </x:c>
      <x:c r="F1541" s="2" t="str">
        <x:v>Sensor calibration</x:v>
      </x:c>
      <x:c r="G1541" s="9" t="str">
        <x:v>CAL-01</x:v>
      </x:c>
      <x:c r="H1541" s="15" t="n">
        <x:v>77</x:v>
      </x:c>
      <x:c r="I1541" s="9" t="str">
        <x:v>P21</x:v>
      </x:c>
      <x:c r="J1541" s="11" t="n">
        <x:v>46304.67083333333</x:v>
      </x:c>
      <x:c r="K1541" s="15" t="n">
        <x:v>10</x:v>
      </x:c>
      <x:c r="L1541" s="15" t="n">
        <x:v>20</x:v>
      </x:c>
      <x:c r="M1541" s="13" t="n">
        <x:f>J1541+(K1541+L1541)/1440</x:f>
        <x:v>46304.691666666666</x:v>
      </x:c>
      <x:c r="N1541" s="13" t="n">
        <x:f>VLOOKUP(C1541,'MES orders'!$A$8:$H$127,5,FALSE)</x:f>
        <x:v>46308.666666666664</x:v>
      </x:c>
      <x:c r="O1541" s="16" t="n">
        <x:f>MAX(0,(M1541-N1541)*24)</x:f>
        <x:v>0</x:v>
      </x:c>
      <x:c r="P1541" s="9" t="str">
        <x:v>No</x:v>
      </x:c>
      <x:c r="Q1541" s="15" t="n">
        <x:v>30</x:v>
      </x:c>
      <x:c r="R1541" s="13" t="n">
        <x:f>J1541+Q1541/1440</x:f>
        <x:v>46304.691666666666</x:v>
      </x:c>
      <x:c r="S1541" s="2" t="str">
        <x:f>VLOOKUP(C1541,'MES orders'!$A$8:$H$127,6,FALSE)</x:f>
        <x:v>Urgent</x:v>
      </x:c>
      <x:c r="T1541" s="9" t="str"/>
    </x:row>
    <x:row r="1542" ht="22" customHeight="1">
      <x:c r="A1542" s="2" t="str">
        <x:v>L00177-060</x:v>
      </x:c>
      <x:c r="B1542" s="2" t="str">
        <x:v>L00177</x:v>
      </x:c>
      <x:c r="C1542" s="2" t="str">
        <x:v>SO-26036</x:v>
      </x:c>
      <x:c r="D1542" s="2" t="str">
        <x:v>R-L-SS</x:v>
      </x:c>
      <x:c r="E1542" s="14" t="n">
        <x:v>5</x:v>
      </x:c>
      <x:c r="F1542" s="2" t="str">
        <x:v>Final leak / function test</x:v>
      </x:c>
      <x:c r="G1542" s="9" t="str">
        <x:v>QA-02</x:v>
      </x:c>
      <x:c r="H1542" s="15" t="n">
        <x:v>108</x:v>
      </x:c>
      <x:c r="I1542" s="9" t="str">
        <x:v>P23</x:v>
      </x:c>
      <x:c r="J1542" s="11" t="n">
        <x:v>46304.67152777778</x:v>
      </x:c>
      <x:c r="K1542" s="15" t="n">
        <x:v>10</x:v>
      </x:c>
      <x:c r="L1542" s="15" t="n">
        <x:v>6</x:v>
      </x:c>
      <x:c r="M1542" s="13" t="n">
        <x:f>J1542+(K1542+L1542)/1440</x:f>
        <x:v>46304.68263888889</x:v>
      </x:c>
      <x:c r="N1542" s="13" t="n">
        <x:f>VLOOKUP(C1542,'MES orders'!$A$8:$H$127,5,FALSE)</x:f>
        <x:v>46307.666666666664</x:v>
      </x:c>
      <x:c r="O1542" s="16" t="n">
        <x:f>MAX(0,(M1542-N1542)*24)</x:f>
        <x:v>0</x:v>
      </x:c>
      <x:c r="P1542" s="9" t="str">
        <x:v>No</x:v>
      </x:c>
      <x:c r="Q1542" s="15" t="n">
        <x:v>16</x:v>
      </x:c>
      <x:c r="R1542" s="13" t="n">
        <x:f>J1542+Q1542/1440</x:f>
        <x:v>46304.68263888889</x:v>
      </x:c>
      <x:c r="S1542" s="2" t="str">
        <x:f>VLOOKUP(C1542,'MES orders'!$A$8:$H$127,6,FALSE)</x:f>
        <x:v>High</x:v>
      </x:c>
      <x:c r="T1542" s="9" t="str"/>
    </x:row>
    <x:row r="1543" ht="22" customHeight="1">
      <x:c r="A1543" s="2" t="str">
        <x:v>L00465-010</x:v>
      </x:c>
      <x:c r="B1543" s="2" t="str">
        <x:v>L00465</x:v>
      </x:c>
      <x:c r="C1543" s="2" t="str">
        <x:v>SO-26093</x:v>
      </x:c>
      <x:c r="D1543" s="2" t="str">
        <x:v>S-S-AL</x:v>
      </x:c>
      <x:c r="E1543" s="14" t="n">
        <x:v>15</x:v>
      </x:c>
      <x:c r="F1543" s="2" t="str">
        <x:v>CNC machining</x:v>
      </x:c>
      <x:c r="G1543" s="9" t="str">
        <x:v>CNC-01</x:v>
      </x:c>
      <x:c r="H1543" s="15" t="n">
        <x:v>49</x:v>
      </x:c>
      <x:c r="I1543" s="9" t="str">
        <x:v>P15</x:v>
      </x:c>
      <x:c r="J1543" s="11" t="n">
        <x:v>46304.67569444444</x:v>
      </x:c>
      <x:c r="K1543" s="15" t="n">
        <x:v>18</x:v>
      </x:c>
      <x:c r="L1543" s="15" t="n">
        <x:v>36</x:v>
      </x:c>
      <x:c r="M1543" s="13" t="n">
        <x:f>J1543+(K1543+L1543)/1440</x:f>
        <x:v>46304.71319444444</x:v>
      </x:c>
      <x:c r="N1543" s="13" t="n">
        <x:f>VLOOKUP(C1543,'MES orders'!$A$8:$H$127,5,FALSE)</x:f>
        <x:v>46308.666666666664</x:v>
      </x:c>
      <x:c r="O1543" s="16" t="n">
        <x:f>MAX(0,(M1543-N1543)*24)</x:f>
        <x:v>0</x:v>
      </x:c>
      <x:c r="P1543" s="9" t="str">
        <x:v>No</x:v>
      </x:c>
      <x:c r="Q1543" s="15" t="n">
        <x:v>18</x:v>
      </x:c>
      <x:c r="R1543" s="13" t="n">
        <x:f>J1543+Q1543/1440</x:f>
        <x:v>46304.68819444444</x:v>
      </x:c>
      <x:c r="S1543" s="2" t="str">
        <x:f>VLOOKUP(C1543,'MES orders'!$A$8:$H$127,6,FALSE)</x:f>
        <x:v>Urgent</x:v>
      </x:c>
      <x:c r="T1543" s="9" t="str"/>
    </x:row>
    <x:row r="1544" ht="22" customHeight="1">
      <x:c r="A1544" s="2" t="str">
        <x:v>L00461-070</x:v>
      </x:c>
      <x:c r="B1544" s="2" t="str">
        <x:v>L00461</x:v>
      </x:c>
      <x:c r="C1544" s="2" t="str">
        <x:v>SO-26093</x:v>
      </x:c>
      <x:c r="D1544" s="2" t="str">
        <x:v>S-S-AL</x:v>
      </x:c>
      <x:c r="E1544" s="14" t="n">
        <x:v>15</x:v>
      </x:c>
      <x:c r="F1544" s="2" t="str">
        <x:v>Final assembly</x:v>
      </x:c>
      <x:c r="G1544" s="9" t="str">
        <x:v>AS-04</x:v>
      </x:c>
      <x:c r="H1544" s="15" t="n">
        <x:v>54</x:v>
      </x:c>
      <x:c r="I1544" s="9" t="str">
        <x:v>P20</x:v>
      </x:c>
      <x:c r="J1544" s="11" t="n">
        <x:v>46304.67847222222</x:v>
      </x:c>
      <x:c r="K1544" s="15" t="n">
        <x:v>5</x:v>
      </x:c>
      <x:c r="L1544" s="15" t="n">
        <x:v>12</x:v>
      </x:c>
      <x:c r="M1544" s="13" t="n">
        <x:f>J1544+(K1544+L1544)/1440</x:f>
        <x:v>46304.69027777778</x:v>
      </x:c>
      <x:c r="N1544" s="13" t="n">
        <x:f>VLOOKUP(C1544,'MES orders'!$A$8:$H$127,5,FALSE)</x:f>
        <x:v>46308.666666666664</x:v>
      </x:c>
      <x:c r="O1544" s="16" t="n">
        <x:f>MAX(0,(M1544-N1544)*24)</x:f>
        <x:v>0</x:v>
      </x:c>
      <x:c r="P1544" s="9" t="str">
        <x:v>No</x:v>
      </x:c>
      <x:c r="Q1544" s="15" t="n">
        <x:v>17</x:v>
      </x:c>
      <x:c r="R1544" s="13" t="n">
        <x:f>J1544+Q1544/1440</x:f>
        <x:v>46304.69027777778</x:v>
      </x:c>
      <x:c r="S1544" s="2" t="str">
        <x:f>VLOOKUP(C1544,'MES orders'!$A$8:$H$127,6,FALSE)</x:f>
        <x:v>Urgent</x:v>
      </x:c>
      <x:c r="T1544" s="9" t="str"/>
    </x:row>
    <x:row r="1545" ht="22" customHeight="1">
      <x:c r="A1545" s="2" t="str">
        <x:v>L00180-060</x:v>
      </x:c>
      <x:c r="B1545" s="2" t="str">
        <x:v>L00180</x:v>
      </x:c>
      <x:c r="C1545" s="2" t="str">
        <x:v>SO-26036</x:v>
      </x:c>
      <x:c r="D1545" s="2" t="str">
        <x:v>R-L-SS</x:v>
      </x:c>
      <x:c r="E1545" s="14" t="n">
        <x:v>5</x:v>
      </x:c>
      <x:c r="F1545" s="2" t="str">
        <x:v>Final leak / function test</x:v>
      </x:c>
      <x:c r="G1545" s="9" t="str">
        <x:v>QA-03</x:v>
      </x:c>
      <x:c r="H1545" s="15" t="n">
        <x:v>67</x:v>
      </x:c>
      <x:c r="I1545" s="9" t="str">
        <x:v>P24</x:v>
      </x:c>
      <x:c r="J1545" s="11" t="n">
        <x:v>46304.67986111111</x:v>
      </x:c>
      <x:c r="K1545" s="15" t="n">
        <x:v>10</x:v>
      </x:c>
      <x:c r="L1545" s="15" t="n">
        <x:v>6</x:v>
      </x:c>
      <x:c r="M1545" s="13" t="n">
        <x:f>J1545+(K1545+L1545)/1440</x:f>
        <x:v>46304.69097222222</x:v>
      </x:c>
      <x:c r="N1545" s="13" t="n">
        <x:f>VLOOKUP(C1545,'MES orders'!$A$8:$H$127,5,FALSE)</x:f>
        <x:v>46307.666666666664</x:v>
      </x:c>
      <x:c r="O1545" s="16" t="n">
        <x:f>MAX(0,(M1545-N1545)*24)</x:f>
        <x:v>0</x:v>
      </x:c>
      <x:c r="P1545" s="9" t="str">
        <x:v>No</x:v>
      </x:c>
      <x:c r="Q1545" s="15" t="n">
        <x:v>16</x:v>
      </x:c>
      <x:c r="R1545" s="13" t="n">
        <x:f>J1545+Q1545/1440</x:f>
        <x:v>46304.69097222222</x:v>
      </x:c>
      <x:c r="S1545" s="2" t="str">
        <x:f>VLOOKUP(C1545,'MES orders'!$A$8:$H$127,6,FALSE)</x:f>
        <x:v>High</x:v>
      </x:c>
      <x:c r="T1545" s="9" t="str"/>
    </x:row>
    <x:row r="1546" ht="22" customHeight="1">
      <x:c r="A1546" s="2" t="str">
        <x:v>L00464-030</x:v>
      </x:c>
      <x:c r="B1546" s="2" t="str">
        <x:v>L00464</x:v>
      </x:c>
      <x:c r="C1546" s="2" t="str">
        <x:v>SO-26093</x:v>
      </x:c>
      <x:c r="D1546" s="2" t="str">
        <x:v>S-S-AL</x:v>
      </x:c>
      <x:c r="E1546" s="14" t="n">
        <x:v>15</x:v>
      </x:c>
      <x:c r="F1546" s="2" t="str">
        <x:v>Wash &amp; dry</x:v>
      </x:c>
      <x:c r="G1546" s="9" t="str">
        <x:v>WS-02</x:v>
      </x:c>
      <x:c r="H1546" s="15" t="n">
        <x:v>102</x:v>
      </x:c>
      <x:c r="I1546" s="9" t="str">
        <x:v>P14</x:v>
      </x:c>
      <x:c r="J1546" s="11" t="n">
        <x:v>46304.67986111111</x:v>
      </x:c>
      <x:c r="K1546" s="15" t="n">
        <x:v>12</x:v>
      </x:c>
      <x:c r="L1546" s="15" t="n">
        <x:v>5</x:v>
      </x:c>
      <x:c r="M1546" s="13" t="n">
        <x:f>J1546+(K1546+L1546)/1440</x:f>
        <x:v>46304.691666666666</x:v>
      </x:c>
      <x:c r="N1546" s="13" t="n">
        <x:f>VLOOKUP(C1546,'MES orders'!$A$8:$H$127,5,FALSE)</x:f>
        <x:v>46308.666666666664</x:v>
      </x:c>
      <x:c r="O1546" s="16" t="n">
        <x:f>MAX(0,(M1546-N1546)*24)</x:f>
        <x:v>0</x:v>
      </x:c>
      <x:c r="P1546" s="9" t="str">
        <x:v>No</x:v>
      </x:c>
      <x:c r="Q1546" s="15" t="n">
        <x:v>17</x:v>
      </x:c>
      <x:c r="R1546" s="13" t="n">
        <x:f>J1546+Q1546/1440</x:f>
        <x:v>46304.691666666666</x:v>
      </x:c>
      <x:c r="S1546" s="2" t="str">
        <x:f>VLOOKUP(C1546,'MES orders'!$A$8:$H$127,6,FALSE)</x:f>
        <x:v>Urgent</x:v>
      </x:c>
      <x:c r="T1546" s="9" t="str"/>
    </x:row>
    <x:row r="1547" ht="22" customHeight="1">
      <x:c r="A1547" s="2" t="str">
        <x:v>L00460-060</x:v>
      </x:c>
      <x:c r="B1547" s="2" t="str">
        <x:v>L00460</x:v>
      </x:c>
      <x:c r="C1547" s="2" t="str">
        <x:v>SO-26092</x:v>
      </x:c>
      <x:c r="D1547" s="2" t="str">
        <x:v>R-C-SS</x:v>
      </x:c>
      <x:c r="E1547" s="14" t="n">
        <x:v>25</x:v>
      </x:c>
      <x:c r="F1547" s="2" t="str">
        <x:v>Final leak / function test</x:v>
      </x:c>
      <x:c r="G1547" s="9" t="str">
        <x:v>QA-02</x:v>
      </x:c>
      <x:c r="H1547" s="15" t="n">
        <x:v>109</x:v>
      </x:c>
      <x:c r="I1547" s="9" t="str">
        <x:v>P23</x:v>
      </x:c>
      <x:c r="J1547" s="11" t="n">
        <x:v>46304.68263888889</x:v>
      </x:c>
      <x:c r="K1547" s="15" t="n">
        <x:v>10</x:v>
      </x:c>
      <x:c r="L1547" s="15" t="n">
        <x:v>18</x:v>
      </x:c>
      <x:c r="M1547" s="13" t="n">
        <x:f>J1547+(K1547+L1547)/1440</x:f>
        <x:v>46304.70208333333</x:v>
      </x:c>
      <x:c r="N1547" s="13" t="n">
        <x:f>VLOOKUP(C1547,'MES orders'!$A$8:$H$127,5,FALSE)</x:f>
        <x:v>46307.666666666664</x:v>
      </x:c>
      <x:c r="O1547" s="16" t="n">
        <x:f>MAX(0,(M1547-N1547)*24)</x:f>
        <x:v>0</x:v>
      </x:c>
      <x:c r="P1547" s="9" t="str">
        <x:v>No</x:v>
      </x:c>
      <x:c r="Q1547" s="15" t="n">
        <x:v>28</x:v>
      </x:c>
      <x:c r="R1547" s="13" t="n">
        <x:f>J1547+Q1547/1440</x:f>
        <x:v>46304.70208333333</x:v>
      </x:c>
      <x:c r="S1547" s="2" t="str">
        <x:f>VLOOKUP(C1547,'MES orders'!$A$8:$H$127,6,FALSE)</x:f>
        <x:v>High</x:v>
      </x:c>
      <x:c r="T1547" s="9" t="str"/>
    </x:row>
    <x:row r="1548" ht="22" customHeight="1">
      <x:c r="A1548" s="2" t="str">
        <x:v>L00456-050</x:v>
      </x:c>
      <x:c r="B1548" s="2" t="str">
        <x:v>L00456</x:v>
      </x:c>
      <x:c r="C1548" s="2" t="str">
        <x:v>SO-26092</x:v>
      </x:c>
      <x:c r="D1548" s="2" t="str">
        <x:v>R-C-SS</x:v>
      </x:c>
      <x:c r="E1548" s="14" t="n">
        <x:v>25</x:v>
      </x:c>
      <x:c r="F1548" s="2" t="str">
        <x:v>Valve adjustment</x:v>
      </x:c>
      <x:c r="G1548" s="9" t="str">
        <x:v>AS-01</x:v>
      </x:c>
      <x:c r="H1548" s="15" t="n">
        <x:v>126</x:v>
      </x:c>
      <x:c r="I1548" s="9" t="str">
        <x:v>P17</x:v>
      </x:c>
      <x:c r="J1548" s="11" t="n">
        <x:v>46304.6875</x:v>
      </x:c>
      <x:c r="K1548" s="15" t="n">
        <x:v>6</x:v>
      </x:c>
      <x:c r="L1548" s="15" t="n">
        <x:v>22</x:v>
      </x:c>
      <x:c r="M1548" s="13" t="n">
        <x:f>J1548+(K1548+L1548)/1440</x:f>
        <x:v>46304.70694444444</x:v>
      </x:c>
      <x:c r="N1548" s="13" t="n">
        <x:f>VLOOKUP(C1548,'MES orders'!$A$8:$H$127,5,FALSE)</x:f>
        <x:v>46307.666666666664</x:v>
      </x:c>
      <x:c r="O1548" s="16" t="n">
        <x:f>MAX(0,(M1548-N1548)*24)</x:f>
        <x:v>0</x:v>
      </x:c>
      <x:c r="P1548" s="9" t="str">
        <x:v>No</x:v>
      </x:c>
      <x:c r="Q1548" s="15" t="n">
        <x:v>28</x:v>
      </x:c>
      <x:c r="R1548" s="13" t="n">
        <x:f>J1548+Q1548/1440</x:f>
        <x:v>46304.70694444444</x:v>
      </x:c>
      <x:c r="S1548" s="2" t="str">
        <x:f>VLOOKUP(C1548,'MES orders'!$A$8:$H$127,6,FALSE)</x:f>
        <x:v>High</x:v>
      </x:c>
      <x:c r="T1548" s="9" t="str"/>
    </x:row>
    <x:row r="1549" ht="22" customHeight="1">
      <x:c r="A1549" s="2" t="str">
        <x:v>L00458-040</x:v>
      </x:c>
      <x:c r="B1549" s="2" t="str">
        <x:v>L00458</x:v>
      </x:c>
      <x:c r="C1549" s="2" t="str">
        <x:v>SO-26092</x:v>
      </x:c>
      <x:c r="D1549" s="2" t="str">
        <x:v>R-C-SS</x:v>
      </x:c>
      <x:c r="E1549" s="14" t="n">
        <x:v>25</x:v>
      </x:c>
      <x:c r="F1549" s="2" t="str">
        <x:v>Mechanical assembly</x:v>
      </x:c>
      <x:c r="G1549" s="9" t="str">
        <x:v>AS-03</x:v>
      </x:c>
      <x:c r="H1549" s="15" t="n">
        <x:v>82</x:v>
      </x:c>
      <x:c r="I1549" s="9" t="str">
        <x:v>P16</x:v>
      </x:c>
      <x:c r="J1549" s="11" t="n">
        <x:v>46304.6875</x:v>
      </x:c>
      <x:c r="K1549" s="15" t="n">
        <x:v>8</x:v>
      </x:c>
      <x:c r="L1549" s="15" t="n">
        <x:v>36</x:v>
      </x:c>
      <x:c r="M1549" s="13" t="n">
        <x:f>J1549+(K1549+L1549)/1440</x:f>
        <x:v>46304.71805555555</x:v>
      </x:c>
      <x:c r="N1549" s="13" t="n">
        <x:f>VLOOKUP(C1549,'MES orders'!$A$8:$H$127,5,FALSE)</x:f>
        <x:v>46307.666666666664</x:v>
      </x:c>
      <x:c r="O1549" s="16" t="n">
        <x:f>MAX(0,(M1549-N1549)*24)</x:f>
        <x:v>0</x:v>
      </x:c>
      <x:c r="P1549" s="9" t="str">
        <x:v>No</x:v>
      </x:c>
      <x:c r="Q1549" s="15" t="n">
        <x:v>44</x:v>
      </x:c>
      <x:c r="R1549" s="13" t="n">
        <x:f>J1549+Q1549/1440</x:f>
        <x:v>46304.71805555555</x:v>
      </x:c>
      <x:c r="S1549" s="2" t="str">
        <x:f>VLOOKUP(C1549,'MES orders'!$A$8:$H$127,6,FALSE)</x:f>
        <x:v>High</x:v>
      </x:c>
      <x:c r="T1549" s="9" t="str"/>
    </x:row>
    <x:row r="1550" ht="22" customHeight="1">
      <x:c r="A1550" s="2" t="str">
        <x:v>L00058-010</x:v>
      </x:c>
      <x:c r="B1550" s="2" t="str">
        <x:v>L00058</x:v>
      </x:c>
      <x:c r="C1550" s="2" t="str">
        <x:v>SO-26012</x:v>
      </x:c>
      <x:c r="D1550" s="2" t="str">
        <x:v>D-L-SS</x:v>
      </x:c>
      <x:c r="E1550" s="14" t="n">
        <x:v>5</x:v>
      </x:c>
      <x:c r="F1550" s="2" t="str">
        <x:v>CNC machining</x:v>
      </x:c>
      <x:c r="G1550" s="9" t="str">
        <x:v>CNC-03</x:v>
      </x:c>
      <x:c r="H1550" s="15" t="n">
        <x:v>48</x:v>
      </x:c>
      <x:c r="I1550" s="9" t="str">
        <x:v>P15</x:v>
      </x:c>
      <x:c r="J1550" s="11" t="n">
        <x:v>46304.688888888886</x:v>
      </x:c>
      <x:c r="K1550" s="15" t="n">
        <x:v>18</x:v>
      </x:c>
      <x:c r="L1550" s="15" t="n">
        <x:v>20</x:v>
      </x:c>
      <x:c r="M1550" s="13" t="n">
        <x:f>J1550+(K1550+L1550)/1440</x:f>
        <x:v>46304.715277777774</x:v>
      </x:c>
      <x:c r="N1550" s="13" t="n">
        <x:f>VLOOKUP(C1550,'MES orders'!$A$8:$H$127,5,FALSE)</x:f>
        <x:v>46307.666666666664</x:v>
      </x:c>
      <x:c r="O1550" s="16" t="n">
        <x:f>MAX(0,(M1550-N1550)*24)</x:f>
        <x:v>0</x:v>
      </x:c>
      <x:c r="P1550" s="9" t="str">
        <x:v>No</x:v>
      </x:c>
      <x:c r="Q1550" s="15" t="n">
        <x:v>18</x:v>
      </x:c>
      <x:c r="R1550" s="13" t="n">
        <x:f>J1550+Q1550/1440</x:f>
        <x:v>46304.70138888888</x:v>
      </x:c>
      <x:c r="S1550" s="2" t="str">
        <x:f>VLOOKUP(C1550,'MES orders'!$A$8:$H$127,6,FALSE)</x:f>
        <x:v>Normal</x:v>
      </x:c>
      <x:c r="T1550" s="9" t="str"/>
    </x:row>
    <x:row r="1551" ht="22" customHeight="1">
      <x:c r="A1551" s="2" t="str">
        <x:v>L00056-020</x:v>
      </x:c>
      <x:c r="B1551" s="2" t="str">
        <x:v>L00056</x:v>
      </x:c>
      <x:c r="C1551" s="2" t="str">
        <x:v>SO-26012</x:v>
      </x:c>
      <x:c r="D1551" s="2" t="str">
        <x:v>D-L-SS</x:v>
      </x:c>
      <x:c r="E1551" s="14" t="n">
        <x:v>5</x:v>
      </x:c>
      <x:c r="F1551" s="2" t="str">
        <x:v>Deburr &amp; inspect</x:v>
      </x:c>
      <x:c r="G1551" s="9" t="str">
        <x:v>DB-01</x:v>
      </x:c>
      <x:c r="H1551" s="15" t="n">
        <x:v>149</x:v>
      </x:c>
      <x:c r="I1551" s="9" t="str">
        <x:v>P13</x:v>
      </x:c>
      <x:c r="J1551" s="11" t="n">
        <x:v>46304.68958333333</x:v>
      </x:c>
      <x:c r="K1551" s="15" t="n">
        <x:v>4</x:v>
      </x:c>
      <x:c r="L1551" s="15" t="n">
        <x:v>5</x:v>
      </x:c>
      <x:c r="M1551" s="13" t="n">
        <x:f>J1551+(K1551+L1551)/1440</x:f>
        <x:v>46304.69583333333</x:v>
      </x:c>
      <x:c r="N1551" s="13" t="n">
        <x:f>VLOOKUP(C1551,'MES orders'!$A$8:$H$127,5,FALSE)</x:f>
        <x:v>46307.666666666664</x:v>
      </x:c>
      <x:c r="O1551" s="16" t="n">
        <x:f>MAX(0,(M1551-N1551)*24)</x:f>
        <x:v>0</x:v>
      </x:c>
      <x:c r="P1551" s="9" t="str">
        <x:v>No</x:v>
      </x:c>
      <x:c r="Q1551" s="15" t="n">
        <x:v>9</x:v>
      </x:c>
      <x:c r="R1551" s="13" t="n">
        <x:f>J1551+Q1551/1440</x:f>
        <x:v>46304.69583333333</x:v>
      </x:c>
      <x:c r="S1551" s="2" t="str">
        <x:f>VLOOKUP(C1551,'MES orders'!$A$8:$H$127,6,FALSE)</x:f>
        <x:v>Normal</x:v>
      </x:c>
      <x:c r="T1551" s="9" t="str"/>
    </x:row>
    <x:row r="1552" ht="22" customHeight="1">
      <x:c r="A1552" s="2" t="str">
        <x:v>L00017-050</x:v>
      </x:c>
      <x:c r="B1552" s="2" t="str">
        <x:v>L00017</x:v>
      </x:c>
      <x:c r="C1552" s="2" t="str">
        <x:v>SO-26004</x:v>
      </x:c>
      <x:c r="D1552" s="2" t="str">
        <x:v>D-S-SS</x:v>
      </x:c>
      <x:c r="E1552" s="14" t="n">
        <x:v>10</x:v>
      </x:c>
      <x:c r="F1552" s="2" t="str">
        <x:v>Final leak / function test</x:v>
      </x:c>
      <x:c r="G1552" s="9" t="str">
        <x:v>QA-01</x:v>
      </x:c>
      <x:c r="H1552" s="15" t="n">
        <x:v>61</x:v>
      </x:c>
      <x:c r="I1552" s="9" t="str">
        <x:v>P24</x:v>
      </x:c>
      <x:c r="J1552" s="11" t="n">
        <x:v>46304.69097222222</x:v>
      </x:c>
      <x:c r="K1552" s="15" t="n">
        <x:v>10</x:v>
      </x:c>
      <x:c r="L1552" s="15" t="n">
        <x:v>9</x:v>
      </x:c>
      <x:c r="M1552" s="13" t="n">
        <x:f>J1552+(K1552+L1552)/1440</x:f>
        <x:v>46304.70416666666</x:v>
      </x:c>
      <x:c r="N1552" s="13" t="n">
        <x:f>VLOOKUP(C1552,'MES orders'!$A$8:$H$127,5,FALSE)</x:f>
        <x:v>46307.666666666664</x:v>
      </x:c>
      <x:c r="O1552" s="16" t="n">
        <x:f>MAX(0,(M1552-N1552)*24)</x:f>
        <x:v>0</x:v>
      </x:c>
      <x:c r="P1552" s="9" t="str">
        <x:v>No</x:v>
      </x:c>
      <x:c r="Q1552" s="15" t="n">
        <x:v>19</x:v>
      </x:c>
      <x:c r="R1552" s="13" t="n">
        <x:f>J1552+Q1552/1440</x:f>
        <x:v>46304.70416666666</x:v>
      </x:c>
      <x:c r="S1552" s="2" t="str">
        <x:f>VLOOKUP(C1552,'MES orders'!$A$8:$H$127,6,FALSE)</x:f>
        <x:v>Normal</x:v>
      </x:c>
      <x:c r="T1552" s="9" t="str"/>
    </x:row>
    <x:row r="1553" ht="22" customHeight="1">
      <x:c r="A1553" s="2" t="str">
        <x:v>L00461-080</x:v>
      </x:c>
      <x:c r="B1553" s="2" t="str">
        <x:v>L00461</x:v>
      </x:c>
      <x:c r="C1553" s="2" t="str">
        <x:v>SO-26093</x:v>
      </x:c>
      <x:c r="D1553" s="2" t="str">
        <x:v>S-S-AL</x:v>
      </x:c>
      <x:c r="E1553" s="14" t="n">
        <x:v>15</x:v>
      </x:c>
      <x:c r="F1553" s="2" t="str">
        <x:v>Final leak / function test</x:v>
      </x:c>
      <x:c r="G1553" s="9" t="str">
        <x:v>QA-03</x:v>
      </x:c>
      <x:c r="H1553" s="15" t="n">
        <x:v>68</x:v>
      </x:c>
      <x:c r="I1553" s="9" t="str">
        <x:v>P22</x:v>
      </x:c>
      <x:c r="J1553" s="11" t="n">
        <x:v>46304.69097222222</x:v>
      </x:c>
      <x:c r="K1553" s="15" t="n">
        <x:v>10</x:v>
      </x:c>
      <x:c r="L1553" s="15" t="n">
        <x:v>14</x:v>
      </x:c>
      <x:c r="M1553" s="13" t="n">
        <x:f>J1553+(K1553+L1553)/1440</x:f>
        <x:v>46304.70763888889</x:v>
      </x:c>
      <x:c r="N1553" s="13" t="n">
        <x:f>VLOOKUP(C1553,'MES orders'!$A$8:$H$127,5,FALSE)</x:f>
        <x:v>46308.666666666664</x:v>
      </x:c>
      <x:c r="O1553" s="16" t="n">
        <x:f>MAX(0,(M1553-N1553)*24)</x:f>
        <x:v>0</x:v>
      </x:c>
      <x:c r="P1553" s="9" t="str">
        <x:v>No</x:v>
      </x:c>
      <x:c r="Q1553" s="15" t="n">
        <x:v>24</x:v>
      </x:c>
      <x:c r="R1553" s="13" t="n">
        <x:f>J1553+Q1553/1440</x:f>
        <x:v>46304.70763888889</x:v>
      </x:c>
      <x:c r="S1553" s="2" t="str">
        <x:f>VLOOKUP(C1553,'MES orders'!$A$8:$H$127,6,FALSE)</x:f>
        <x:v>Urgent</x:v>
      </x:c>
      <x:c r="T1553" s="9" t="str"/>
    </x:row>
    <x:row r="1554" ht="22" customHeight="1">
      <x:c r="A1554" s="2" t="str">
        <x:v>L00462-070</x:v>
      </x:c>
      <x:c r="B1554" s="2" t="str">
        <x:v>L00462</x:v>
      </x:c>
      <x:c r="C1554" s="2" t="str">
        <x:v>SO-26093</x:v>
      </x:c>
      <x:c r="D1554" s="2" t="str">
        <x:v>S-S-AL</x:v>
      </x:c>
      <x:c r="E1554" s="14" t="n">
        <x:v>15</x:v>
      </x:c>
      <x:c r="F1554" s="2" t="str">
        <x:v>Final assembly</x:v>
      </x:c>
      <x:c r="G1554" s="9" t="str">
        <x:v>AS-04</x:v>
      </x:c>
      <x:c r="H1554" s="15" t="n">
        <x:v>55</x:v>
      </x:c>
      <x:c r="I1554" s="9" t="str">
        <x:v>P20</x:v>
      </x:c>
      <x:c r="J1554" s="11" t="n">
        <x:v>46304.691666666666</x:v>
      </x:c>
      <x:c r="K1554" s="15" t="n">
        <x:v>5</x:v>
      </x:c>
      <x:c r="L1554" s="15" t="n">
        <x:v>12</x:v>
      </x:c>
      <x:c r="M1554" s="13" t="n">
        <x:f>J1554+(K1554+L1554)/1440</x:f>
        <x:v>46304.70347222222</x:v>
      </x:c>
      <x:c r="N1554" s="13" t="n">
        <x:f>VLOOKUP(C1554,'MES orders'!$A$8:$H$127,5,FALSE)</x:f>
        <x:v>46308.666666666664</x:v>
      </x:c>
      <x:c r="O1554" s="16" t="n">
        <x:f>MAX(0,(M1554-N1554)*24)</x:f>
        <x:v>0</x:v>
      </x:c>
      <x:c r="P1554" s="9" t="str">
        <x:v>No</x:v>
      </x:c>
      <x:c r="Q1554" s="15" t="n">
        <x:v>17</x:v>
      </x:c>
      <x:c r="R1554" s="13" t="n">
        <x:f>J1554+Q1554/1440</x:f>
        <x:v>46304.70347222222</x:v>
      </x:c>
      <x:c r="S1554" s="2" t="str">
        <x:f>VLOOKUP(C1554,'MES orders'!$A$8:$H$127,6,FALSE)</x:f>
        <x:v>Urgent</x:v>
      </x:c>
      <x:c r="T1554" s="9" t="str"/>
    </x:row>
    <x:row r="1555" ht="22" customHeight="1">
      <x:c r="A1555" s="2" t="str">
        <x:v>L00464-040</x:v>
      </x:c>
      <x:c r="B1555" s="2" t="str">
        <x:v>L00464</x:v>
      </x:c>
      <x:c r="C1555" s="2" t="str">
        <x:v>SO-26093</x:v>
      </x:c>
      <x:c r="D1555" s="2" t="str">
        <x:v>S-S-AL</x:v>
      </x:c>
      <x:c r="E1555" s="14" t="n">
        <x:v>15</x:v>
      </x:c>
      <x:c r="F1555" s="2" t="str">
        <x:v>Mechanical preassembly</x:v>
      </x:c>
      <x:c r="G1555" s="9" t="str">
        <x:v>AS-05</x:v>
      </x:c>
      <x:c r="H1555" s="15" t="n">
        <x:v>33</x:v>
      </x:c>
      <x:c r="I1555" s="9" t="str">
        <x:v>P19</x:v>
      </x:c>
      <x:c r="J1555" s="11" t="n">
        <x:v>46304.691666666666</x:v>
      </x:c>
      <x:c r="K1555" s="15" t="n">
        <x:v>6</x:v>
      </x:c>
      <x:c r="L1555" s="15" t="n">
        <x:v>16</x:v>
      </x:c>
      <x:c r="M1555" s="13" t="n">
        <x:f>J1555+(K1555+L1555)/1440</x:f>
        <x:v>46304.70694444444</x:v>
      </x:c>
      <x:c r="N1555" s="13" t="n">
        <x:f>VLOOKUP(C1555,'MES orders'!$A$8:$H$127,5,FALSE)</x:f>
        <x:v>46308.666666666664</x:v>
      </x:c>
      <x:c r="O1555" s="16" t="n">
        <x:f>MAX(0,(M1555-N1555)*24)</x:f>
        <x:v>0</x:v>
      </x:c>
      <x:c r="P1555" s="9" t="str">
        <x:v>No</x:v>
      </x:c>
      <x:c r="Q1555" s="15" t="n">
        <x:v>22</x:v>
      </x:c>
      <x:c r="R1555" s="13" t="n">
        <x:f>J1555+Q1555/1440</x:f>
        <x:v>46304.70694444444</x:v>
      </x:c>
      <x:c r="S1555" s="2" t="str">
        <x:f>VLOOKUP(C1555,'MES orders'!$A$8:$H$127,6,FALSE)</x:f>
        <x:v>Urgent</x:v>
      </x:c>
      <x:c r="T1555" s="9" t="str"/>
    </x:row>
    <x:row r="1556" ht="22" customHeight="1">
      <x:c r="A1556" s="2" t="str">
        <x:v>L00463-060</x:v>
      </x:c>
      <x:c r="B1556" s="2" t="str">
        <x:v>L00463</x:v>
      </x:c>
      <x:c r="C1556" s="2" t="str">
        <x:v>SO-26093</x:v>
      </x:c>
      <x:c r="D1556" s="2" t="str">
        <x:v>S-S-AL</x:v>
      </x:c>
      <x:c r="E1556" s="14" t="n">
        <x:v>15</x:v>
      </x:c>
      <x:c r="F1556" s="2" t="str">
        <x:v>Sensor calibration</x:v>
      </x:c>
      <x:c r="G1556" s="9" t="str">
        <x:v>CAL-01</x:v>
      </x:c>
      <x:c r="H1556" s="15" t="n">
        <x:v>78</x:v>
      </x:c>
      <x:c r="I1556" s="9" t="str">
        <x:v>P21</x:v>
      </x:c>
      <x:c r="J1556" s="11" t="n">
        <x:v>46304.691666666666</x:v>
      </x:c>
      <x:c r="K1556" s="15" t="n">
        <x:v>10</x:v>
      </x:c>
      <x:c r="L1556" s="15" t="n">
        <x:v>20</x:v>
      </x:c>
      <x:c r="M1556" s="13" t="n">
        <x:f>J1556+(K1556+L1556)/1440</x:f>
        <x:v>46304.7125</x:v>
      </x:c>
      <x:c r="N1556" s="13" t="n">
        <x:f>VLOOKUP(C1556,'MES orders'!$A$8:$H$127,5,FALSE)</x:f>
        <x:v>46308.666666666664</x:v>
      </x:c>
      <x:c r="O1556" s="16" t="n">
        <x:f>MAX(0,(M1556-N1556)*24)</x:f>
        <x:v>0</x:v>
      </x:c>
      <x:c r="P1556" s="9" t="str">
        <x:v>No</x:v>
      </x:c>
      <x:c r="Q1556" s="15" t="n">
        <x:v>30</x:v>
      </x:c>
      <x:c r="R1556" s="13" t="n">
        <x:f>J1556+Q1556/1440</x:f>
        <x:v>46304.7125</x:v>
      </x:c>
      <x:c r="S1556" s="2" t="str">
        <x:f>VLOOKUP(C1556,'MES orders'!$A$8:$H$127,6,FALSE)</x:f>
        <x:v>Urgent</x:v>
      </x:c>
      <x:c r="T1556" s="9" t="str"/>
    </x:row>
    <x:row r="1557" ht="22" customHeight="1">
      <x:c r="A1557" s="2" t="str">
        <x:v>L00057-020</x:v>
      </x:c>
      <x:c r="B1557" s="2" t="str">
        <x:v>L00057</x:v>
      </x:c>
      <x:c r="C1557" s="2" t="str">
        <x:v>SO-26012</x:v>
      </x:c>
      <x:c r="D1557" s="2" t="str">
        <x:v>D-L-SS</x:v>
      </x:c>
      <x:c r="E1557" s="14" t="n">
        <x:v>5</x:v>
      </x:c>
      <x:c r="F1557" s="2" t="str">
        <x:v>Deburr &amp; inspect</x:v>
      </x:c>
      <x:c r="G1557" s="9" t="str">
        <x:v>DB-02</x:v>
      </x:c>
      <x:c r="H1557" s="15" t="n">
        <x:v>100</x:v>
      </x:c>
      <x:c r="I1557" s="9" t="str">
        <x:v>P14</x:v>
      </x:c>
      <x:c r="J1557" s="11" t="n">
        <x:v>46304.694444444445</x:v>
      </x:c>
      <x:c r="K1557" s="15" t="n">
        <x:v>4</x:v>
      </x:c>
      <x:c r="L1557" s="15" t="n">
        <x:v>5</x:v>
      </x:c>
      <x:c r="M1557" s="13" t="n">
        <x:f>J1557+(K1557+L1557)/1440</x:f>
        <x:v>46304.700694444444</x:v>
      </x:c>
      <x:c r="N1557" s="13" t="n">
        <x:f>VLOOKUP(C1557,'MES orders'!$A$8:$H$127,5,FALSE)</x:f>
        <x:v>46307.666666666664</x:v>
      </x:c>
      <x:c r="O1557" s="16" t="n">
        <x:f>MAX(0,(M1557-N1557)*24)</x:f>
        <x:v>0</x:v>
      </x:c>
      <x:c r="P1557" s="9" t="str">
        <x:v>No</x:v>
      </x:c>
      <x:c r="Q1557" s="15" t="n">
        <x:v>9</x:v>
      </x:c>
      <x:c r="R1557" s="13" t="n">
        <x:f>J1557+Q1557/1440</x:f>
        <x:v>46304.700694444444</x:v>
      </x:c>
      <x:c r="S1557" s="2" t="str">
        <x:f>VLOOKUP(C1557,'MES orders'!$A$8:$H$127,6,FALSE)</x:f>
        <x:v>Normal</x:v>
      </x:c>
      <x:c r="T1557" s="9" t="str"/>
    </x:row>
    <x:row r="1558" ht="22" customHeight="1">
      <x:c r="A1558" s="2" t="str">
        <x:v>L00056-030</x:v>
      </x:c>
      <x:c r="B1558" s="2" t="str">
        <x:v>L00056</x:v>
      </x:c>
      <x:c r="C1558" s="2" t="str">
        <x:v>SO-26012</x:v>
      </x:c>
      <x:c r="D1558" s="2" t="str">
        <x:v>D-L-SS</x:v>
      </x:c>
      <x:c r="E1558" s="14" t="n">
        <x:v>5</x:v>
      </x:c>
      <x:c r="F1558" s="2" t="str">
        <x:v>Wash &amp; dry</x:v>
      </x:c>
      <x:c r="G1558" s="9" t="str">
        <x:v>WS-01</x:v>
      </x:c>
      <x:c r="H1558" s="15" t="n">
        <x:v>144</x:v>
      </x:c>
      <x:c r="I1558" s="9" t="str">
        <x:v>P13</x:v>
      </x:c>
      <x:c r="J1558" s="11" t="n">
        <x:v>46304.69583333333</x:v>
      </x:c>
      <x:c r="K1558" s="15" t="n">
        <x:v>12</x:v>
      </x:c>
      <x:c r="L1558" s="15" t="n">
        <x:v>2</x:v>
      </x:c>
      <x:c r="M1558" s="13" t="n">
        <x:f>J1558+(K1558+L1558)/1440</x:f>
        <x:v>46304.705555555556</x:v>
      </x:c>
      <x:c r="N1558" s="13" t="n">
        <x:f>VLOOKUP(C1558,'MES orders'!$A$8:$H$127,5,FALSE)</x:f>
        <x:v>46307.666666666664</x:v>
      </x:c>
      <x:c r="O1558" s="16" t="n">
        <x:f>MAX(0,(M1558-N1558)*24)</x:f>
        <x:v>0</x:v>
      </x:c>
      <x:c r="P1558" s="9" t="str">
        <x:v>No</x:v>
      </x:c>
      <x:c r="Q1558" s="15" t="n">
        <x:v>14</x:v>
      </x:c>
      <x:c r="R1558" s="13" t="n">
        <x:f>J1558+Q1558/1440</x:f>
        <x:v>46304.705555555556</x:v>
      </x:c>
      <x:c r="S1558" s="2" t="str">
        <x:f>VLOOKUP(C1558,'MES orders'!$A$8:$H$127,6,FALSE)</x:f>
        <x:v>Normal</x:v>
      </x:c>
      <x:c r="T1558" s="9" t="str"/>
    </x:row>
    <x:row r="1559" ht="22" customHeight="1">
      <x:c r="A1559" s="2" t="str">
        <x:v>L00457-050</x:v>
      </x:c>
      <x:c r="B1559" s="2" t="str">
        <x:v>L00457</x:v>
      </x:c>
      <x:c r="C1559" s="2" t="str">
        <x:v>SO-26092</x:v>
      </x:c>
      <x:c r="D1559" s="2" t="str">
        <x:v>R-C-SS</x:v>
      </x:c>
      <x:c r="E1559" s="14" t="n">
        <x:v>25</x:v>
      </x:c>
      <x:c r="F1559" s="2" t="str">
        <x:v>Valve adjustment</x:v>
      </x:c>
      <x:c r="G1559" s="9" t="str">
        <x:v>AS-02</x:v>
      </x:c>
      <x:c r="H1559" s="15" t="n">
        <x:v>102</x:v>
      </x:c>
      <x:c r="I1559" s="9" t="str">
        <x:v>P18</x:v>
      </x:c>
      <x:c r="J1559" s="11" t="n">
        <x:v>46304.69861111111</x:v>
      </x:c>
      <x:c r="K1559" s="15" t="n">
        <x:v>6</x:v>
      </x:c>
      <x:c r="L1559" s="15" t="n">
        <x:v>22</x:v>
      </x:c>
      <x:c r="M1559" s="13" t="n">
        <x:f>J1559+(K1559+L1559)/1440</x:f>
        <x:v>46304.71805555555</x:v>
      </x:c>
      <x:c r="N1559" s="13" t="n">
        <x:f>VLOOKUP(C1559,'MES orders'!$A$8:$H$127,5,FALSE)</x:f>
        <x:v>46307.666666666664</x:v>
      </x:c>
      <x:c r="O1559" s="16" t="n">
        <x:f>MAX(0,(M1559-N1559)*24)</x:f>
        <x:v>0</x:v>
      </x:c>
      <x:c r="P1559" s="9" t="str">
        <x:v>No</x:v>
      </x:c>
      <x:c r="Q1559" s="15" t="n">
        <x:v>28</x:v>
      </x:c>
      <x:c r="R1559" s="13" t="n">
        <x:f>J1559+Q1559/1440</x:f>
        <x:v>46304.71805555555</x:v>
      </x:c>
      <x:c r="S1559" s="2" t="str">
        <x:f>VLOOKUP(C1559,'MES orders'!$A$8:$H$127,6,FALSE)</x:f>
        <x:v>High</x:v>
      </x:c>
      <x:c r="T1559" s="9" t="str"/>
    </x:row>
    <x:row r="1560" ht="22" customHeight="1">
      <x:c r="A1560" s="2" t="str">
        <x:v>L00057-030</x:v>
      </x:c>
      <x:c r="B1560" s="2" t="str">
        <x:v>L00057</x:v>
      </x:c>
      <x:c r="C1560" s="2" t="str">
        <x:v>SO-26012</x:v>
      </x:c>
      <x:c r="D1560" s="2" t="str">
        <x:v>D-L-SS</x:v>
      </x:c>
      <x:c r="E1560" s="14" t="n">
        <x:v>5</x:v>
      </x:c>
      <x:c r="F1560" s="2" t="str">
        <x:v>Wash &amp; dry</x:v>
      </x:c>
      <x:c r="G1560" s="9" t="str">
        <x:v>WS-02</x:v>
      </x:c>
      <x:c r="H1560" s="15" t="n">
        <x:v>103</x:v>
      </x:c>
      <x:c r="I1560" s="9" t="str">
        <x:v>P14</x:v>
      </x:c>
      <x:c r="J1560" s="11" t="n">
        <x:v>46304.700694444444</x:v>
      </x:c>
      <x:c r="K1560" s="15" t="n">
        <x:v>12</x:v>
      </x:c>
      <x:c r="L1560" s="15" t="n">
        <x:v>2</x:v>
      </x:c>
      <x:c r="M1560" s="13" t="n">
        <x:f>J1560+(K1560+L1560)/1440</x:f>
        <x:v>46304.71041666667</x:v>
      </x:c>
      <x:c r="N1560" s="13" t="n">
        <x:f>VLOOKUP(C1560,'MES orders'!$A$8:$H$127,5,FALSE)</x:f>
        <x:v>46307.666666666664</x:v>
      </x:c>
      <x:c r="O1560" s="16" t="n">
        <x:f>MAX(0,(M1560-N1560)*24)</x:f>
        <x:v>0</x:v>
      </x:c>
      <x:c r="P1560" s="9" t="str">
        <x:v>No</x:v>
      </x:c>
      <x:c r="Q1560" s="15" t="n">
        <x:v>14</x:v>
      </x:c>
      <x:c r="R1560" s="13" t="n">
        <x:f>J1560+Q1560/1440</x:f>
        <x:v>46304.71041666667</x:v>
      </x:c>
      <x:c r="S1560" s="2" t="str">
        <x:f>VLOOKUP(C1560,'MES orders'!$A$8:$H$127,6,FALSE)</x:f>
        <x:v>Normal</x:v>
      </x:c>
      <x:c r="T1560" s="9" t="str"/>
    </x:row>
    <x:row r="1561" ht="22" customHeight="1">
      <x:c r="A1561" s="2" t="str">
        <x:v>L00059-010</x:v>
      </x:c>
      <x:c r="B1561" s="2" t="str">
        <x:v>L00059</x:v>
      </x:c>
      <x:c r="C1561" s="2" t="str">
        <x:v>SO-26012</x:v>
      </x:c>
      <x:c r="D1561" s="2" t="str">
        <x:v>D-L-SS</x:v>
      </x:c>
      <x:c r="E1561" s="14" t="n">
        <x:v>5</x:v>
      </x:c>
      <x:c r="F1561" s="2" t="str">
        <x:v>CNC machining</x:v>
      </x:c>
      <x:c r="G1561" s="9" t="str">
        <x:v>CNC-04</x:v>
      </x:c>
      <x:c r="H1561" s="15" t="n">
        <x:v>46</x:v>
      </x:c>
      <x:c r="I1561" s="9" t="str">
        <x:v>P15</x:v>
      </x:c>
      <x:c r="J1561" s="11" t="n">
        <x:v>46304.70138888889</x:v>
      </x:c>
      <x:c r="K1561" s="15" t="n">
        <x:v>18</x:v>
      </x:c>
      <x:c r="L1561" s="15" t="n">
        <x:v>20</x:v>
      </x:c>
      <x:c r="M1561" s="13" t="n">
        <x:f>J1561+(K1561+L1561)/1440</x:f>
        <x:v>46304.72777777778</x:v>
      </x:c>
      <x:c r="N1561" s="13" t="n">
        <x:f>VLOOKUP(C1561,'MES orders'!$A$8:$H$127,5,FALSE)</x:f>
        <x:v>46307.666666666664</x:v>
      </x:c>
      <x:c r="O1561" s="16" t="n">
        <x:f>MAX(0,(M1561-N1561)*24)</x:f>
        <x:v>0</x:v>
      </x:c>
      <x:c r="P1561" s="9" t="str">
        <x:v>No</x:v>
      </x:c>
      <x:c r="Q1561" s="15" t="n">
        <x:v>18</x:v>
      </x:c>
      <x:c r="R1561" s="13" t="n">
        <x:f>J1561+Q1561/1440</x:f>
        <x:v>46304.71388888889</x:v>
      </x:c>
      <x:c r="S1561" s="2" t="str">
        <x:f>VLOOKUP(C1561,'MES orders'!$A$8:$H$127,6,FALSE)</x:f>
        <x:v>Normal</x:v>
      </x:c>
      <x:c r="T1561" s="9" t="str"/>
    </x:row>
    <x:row r="1562" ht="22" customHeight="1">
      <x:c r="A1562" s="2" t="str">
        <x:v>L00056-040</x:v>
      </x:c>
      <x:c r="B1562" s="2" t="str">
        <x:v>L00056</x:v>
      </x:c>
      <x:c r="C1562" s="2" t="str">
        <x:v>SO-26012</x:v>
      </x:c>
      <x:c r="D1562" s="2" t="str">
        <x:v>D-L-SS</x:v>
      </x:c>
      <x:c r="E1562" s="14" t="n">
        <x:v>5</x:v>
      </x:c>
      <x:c r="F1562" s="2" t="str">
        <x:v>Mechanical assembly</x:v>
      </x:c>
      <x:c r="G1562" s="9" t="str">
        <x:v>AS-04</x:v>
      </x:c>
      <x:c r="H1562" s="15" t="n">
        <x:v>56</x:v>
      </x:c>
      <x:c r="I1562" s="9" t="str">
        <x:v>P13</x:v>
      </x:c>
      <x:c r="J1562" s="11" t="n">
        <x:v>46304.705555555556</x:v>
      </x:c>
      <x:c r="K1562" s="15" t="n">
        <x:v>8</x:v>
      </x:c>
      <x:c r="L1562" s="15" t="n">
        <x:v>12</x:v>
      </x:c>
      <x:c r="M1562" s="13" t="n">
        <x:f>J1562+(K1562+L1562)/1440</x:f>
        <x:v>46304.71944444445</x:v>
      </x:c>
      <x:c r="N1562" s="13" t="n">
        <x:f>VLOOKUP(C1562,'MES orders'!$A$8:$H$127,5,FALSE)</x:f>
        <x:v>46307.666666666664</x:v>
      </x:c>
      <x:c r="O1562" s="16" t="n">
        <x:f>MAX(0,(M1562-N1562)*24)</x:f>
        <x:v>0</x:v>
      </x:c>
      <x:c r="P1562" s="9" t="str">
        <x:v>No</x:v>
      </x:c>
      <x:c r="Q1562" s="15" t="n">
        <x:v>20</x:v>
      </x:c>
      <x:c r="R1562" s="13" t="n">
        <x:f>J1562+Q1562/1440</x:f>
        <x:v>46304.71944444445</x:v>
      </x:c>
      <x:c r="S1562" s="2" t="str">
        <x:f>VLOOKUP(C1562,'MES orders'!$A$8:$H$127,6,FALSE)</x:f>
        <x:v>Normal</x:v>
      </x:c>
      <x:c r="T1562" s="9" t="str"/>
    </x:row>
    <x:row r="1563" ht="22" customHeight="1">
      <x:c r="A1563" s="2" t="str">
        <x:v>L00464-050</x:v>
      </x:c>
      <x:c r="B1563" s="2" t="str">
        <x:v>L00464</x:v>
      </x:c>
      <x:c r="C1563" s="2" t="str">
        <x:v>SO-26093</x:v>
      </x:c>
      <x:c r="D1563" s="2" t="str">
        <x:v>S-S-AL</x:v>
      </x:c>
      <x:c r="E1563" s="14" t="n">
        <x:v>15</x:v>
      </x:c>
      <x:c r="F1563" s="2" t="str">
        <x:v>Sensor installation</x:v>
      </x:c>
      <x:c r="G1563" s="9" t="str">
        <x:v>EL-01</x:v>
      </x:c>
      <x:c r="H1563" s="15" t="n">
        <x:v>51</x:v>
      </x:c>
      <x:c r="I1563" s="9" t="str">
        <x:v>P19</x:v>
      </x:c>
      <x:c r="J1563" s="11" t="n">
        <x:v>46304.70694444444</x:v>
      </x:c>
      <x:c r="K1563" s="15" t="n">
        <x:v>8</x:v>
      </x:c>
      <x:c r="L1563" s="15" t="n">
        <x:v>18</x:v>
      </x:c>
      <x:c r="M1563" s="13" t="n">
        <x:f>J1563+(K1563+L1563)/1440</x:f>
        <x:v>46304.725</x:v>
      </x:c>
      <x:c r="N1563" s="13" t="n">
        <x:f>VLOOKUP(C1563,'MES orders'!$A$8:$H$127,5,FALSE)</x:f>
        <x:v>46308.666666666664</x:v>
      </x:c>
      <x:c r="O1563" s="16" t="n">
        <x:f>MAX(0,(M1563-N1563)*24)</x:f>
        <x:v>0</x:v>
      </x:c>
      <x:c r="P1563" s="9" t="str">
        <x:v>No</x:v>
      </x:c>
      <x:c r="Q1563" s="15" t="n">
        <x:v>26</x:v>
      </x:c>
      <x:c r="R1563" s="13" t="n">
        <x:f>J1563+Q1563/1440</x:f>
        <x:v>46304.725</x:v>
      </x:c>
      <x:c r="S1563" s="2" t="str">
        <x:f>VLOOKUP(C1563,'MES orders'!$A$8:$H$127,6,FALSE)</x:f>
        <x:v>Urgent</x:v>
      </x:c>
      <x:c r="T1563" s="9" t="str"/>
    </x:row>
    <x:row r="1564" ht="22" customHeight="1">
      <x:c r="A1564" s="2" t="str">
        <x:v>L00456-060</x:v>
      </x:c>
      <x:c r="B1564" s="2" t="str">
        <x:v>L00456</x:v>
      </x:c>
      <x:c r="C1564" s="2" t="str">
        <x:v>SO-26092</x:v>
      </x:c>
      <x:c r="D1564" s="2" t="str">
        <x:v>R-C-SS</x:v>
      </x:c>
      <x:c r="E1564" s="14" t="n">
        <x:v>25</x:v>
      </x:c>
      <x:c r="F1564" s="2" t="str">
        <x:v>Final leak / function test</x:v>
      </x:c>
      <x:c r="G1564" s="9" t="str">
        <x:v>QA-02</x:v>
      </x:c>
      <x:c r="H1564" s="15" t="n">
        <x:v>110</x:v>
      </x:c>
      <x:c r="I1564" s="9" t="str">
        <x:v>P23</x:v>
      </x:c>
      <x:c r="J1564" s="11" t="n">
        <x:v>46304.70694444444</x:v>
      </x:c>
      <x:c r="K1564" s="15" t="n">
        <x:v>10</x:v>
      </x:c>
      <x:c r="L1564" s="15" t="n">
        <x:v>18</x:v>
      </x:c>
      <x:c r="M1564" s="13" t="n">
        <x:f>J1564+(K1564+L1564)/1440</x:f>
        <x:v>46304.726388888885</x:v>
      </x:c>
      <x:c r="N1564" s="13" t="n">
        <x:f>VLOOKUP(C1564,'MES orders'!$A$8:$H$127,5,FALSE)</x:f>
        <x:v>46307.666666666664</x:v>
      </x:c>
      <x:c r="O1564" s="16" t="n">
        <x:f>MAX(0,(M1564-N1564)*24)</x:f>
        <x:v>0</x:v>
      </x:c>
      <x:c r="P1564" s="9" t="str">
        <x:v>No</x:v>
      </x:c>
      <x:c r="Q1564" s="15" t="n">
        <x:v>28</x:v>
      </x:c>
      <x:c r="R1564" s="13" t="n">
        <x:f>J1564+Q1564/1440</x:f>
        <x:v>46304.726388888885</x:v>
      </x:c>
      <x:c r="S1564" s="2" t="str">
        <x:f>VLOOKUP(C1564,'MES orders'!$A$8:$H$127,6,FALSE)</x:f>
        <x:v>High</x:v>
      </x:c>
      <x:c r="T1564" s="9" t="str"/>
    </x:row>
    <x:row r="1565" ht="22" customHeight="1">
      <x:c r="A1565" s="2" t="str">
        <x:v>L00016-030</x:v>
      </x:c>
      <x:c r="B1565" s="2" t="str">
        <x:v>L00016</x:v>
      </x:c>
      <x:c r="C1565" s="2" t="str">
        <x:v>SO-26004</x:v>
      </x:c>
      <x:c r="D1565" s="2" t="str">
        <x:v>D-S-SS</x:v>
      </x:c>
      <x:c r="E1565" s="14" t="n">
        <x:v>10</x:v>
      </x:c>
      <x:c r="F1565" s="2" t="str">
        <x:v>Wash &amp; dry</x:v>
      </x:c>
      <x:c r="G1565" s="9" t="str">
        <x:v>WS-01</x:v>
      </x:c>
      <x:c r="H1565" s="15" t="n">
        <x:v>145</x:v>
      </x:c>
      <x:c r="I1565" s="9" t="str">
        <x:v>P17</x:v>
      </x:c>
      <x:c r="J1565" s="11" t="n">
        <x:v>46304.70694444444</x:v>
      </x:c>
      <x:c r="K1565" s="15" t="n">
        <x:v>12</x:v>
      </x:c>
      <x:c r="L1565" s="15" t="n">
        <x:v>4</x:v>
      </x:c>
      <x:c r="M1565" s="13" t="n">
        <x:f>J1565+(K1565+L1565)/1440</x:f>
        <x:v>46304.71805555555</x:v>
      </x:c>
      <x:c r="N1565" s="13" t="n">
        <x:f>VLOOKUP(C1565,'MES orders'!$A$8:$H$127,5,FALSE)</x:f>
        <x:v>46307.666666666664</x:v>
      </x:c>
      <x:c r="O1565" s="16" t="n">
        <x:f>MAX(0,(M1565-N1565)*24)</x:f>
        <x:v>0</x:v>
      </x:c>
      <x:c r="P1565" s="9" t="str">
        <x:v>No</x:v>
      </x:c>
      <x:c r="Q1565" s="15" t="n">
        <x:v>16</x:v>
      </x:c>
      <x:c r="R1565" s="13" t="n">
        <x:f>J1565+Q1565/1440</x:f>
        <x:v>46304.71805555555</x:v>
      </x:c>
      <x:c r="S1565" s="2" t="str">
        <x:f>VLOOKUP(C1565,'MES orders'!$A$8:$H$127,6,FALSE)</x:f>
        <x:v>Normal</x:v>
      </x:c>
      <x:c r="T1565" s="9" t="str"/>
    </x:row>
    <x:row r="1566" ht="22" customHeight="1">
      <x:c r="A1566" s="2" t="str">
        <x:v>L00463-070</x:v>
      </x:c>
      <x:c r="B1566" s="2" t="str">
        <x:v>L00463</x:v>
      </x:c>
      <x:c r="C1566" s="2" t="str">
        <x:v>SO-26093</x:v>
      </x:c>
      <x:c r="D1566" s="2" t="str">
        <x:v>S-S-AL</x:v>
      </x:c>
      <x:c r="E1566" s="14" t="n">
        <x:v>15</x:v>
      </x:c>
      <x:c r="F1566" s="2" t="str">
        <x:v>Final assembly</x:v>
      </x:c>
      <x:c r="G1566" s="9" t="str">
        <x:v>AS-05</x:v>
      </x:c>
      <x:c r="H1566" s="15" t="n">
        <x:v>34</x:v>
      </x:c>
      <x:c r="I1566" s="9" t="str">
        <x:v>P20</x:v>
      </x:c>
      <x:c r="J1566" s="11" t="n">
        <x:v>46304.7125</x:v>
      </x:c>
      <x:c r="K1566" s="15" t="n">
        <x:v>5</x:v>
      </x:c>
      <x:c r="L1566" s="15" t="n">
        <x:v>12</x:v>
      </x:c>
      <x:c r="M1566" s="13" t="n">
        <x:f>J1566+(K1566+L1566)/1440</x:f>
        <x:v>46304.72430555556</x:v>
      </x:c>
      <x:c r="N1566" s="13" t="n">
        <x:f>VLOOKUP(C1566,'MES orders'!$A$8:$H$127,5,FALSE)</x:f>
        <x:v>46308.666666666664</x:v>
      </x:c>
      <x:c r="O1566" s="16" t="n">
        <x:f>MAX(0,(M1566-N1566)*24)</x:f>
        <x:v>0</x:v>
      </x:c>
      <x:c r="P1566" s="9" t="str">
        <x:v>No</x:v>
      </x:c>
      <x:c r="Q1566" s="15" t="n">
        <x:v>17</x:v>
      </x:c>
      <x:c r="R1566" s="13" t="n">
        <x:f>J1566+Q1566/1440</x:f>
        <x:v>46304.72430555556</x:v>
      </x:c>
      <x:c r="S1566" s="2" t="str">
        <x:f>VLOOKUP(C1566,'MES orders'!$A$8:$H$127,6,FALSE)</x:f>
        <x:v>Urgent</x:v>
      </x:c>
      <x:c r="T1566" s="9" t="str"/>
    </x:row>
    <x:row r="1567" ht="22" customHeight="1">
      <x:c r="A1567" s="2" t="str">
        <x:v>L00060-010</x:v>
      </x:c>
      <x:c r="B1567" s="2" t="str">
        <x:v>L00060</x:v>
      </x:c>
      <x:c r="C1567" s="2" t="str">
        <x:v>SO-26012</x:v>
      </x:c>
      <x:c r="D1567" s="2" t="str">
        <x:v>D-L-SS</x:v>
      </x:c>
      <x:c r="E1567" s="14" t="n">
        <x:v>5</x:v>
      </x:c>
      <x:c r="F1567" s="2" t="str">
        <x:v>CNC machining</x:v>
      </x:c>
      <x:c r="G1567" s="9" t="str">
        <x:v>CNC-05</x:v>
      </x:c>
      <x:c r="H1567" s="15" t="n">
        <x:v>42</x:v>
      </x:c>
      <x:c r="I1567" s="9" t="str">
        <x:v>P15</x:v>
      </x:c>
      <x:c r="J1567" s="11" t="n">
        <x:v>46304.71388888889</x:v>
      </x:c>
      <x:c r="K1567" s="15" t="n">
        <x:v>18</x:v>
      </x:c>
      <x:c r="L1567" s="15" t="n">
        <x:v>20</x:v>
      </x:c>
      <x:c r="M1567" s="13" t="n">
        <x:f>J1567+(K1567+L1567)/1440</x:f>
        <x:v>46304.740277777775</x:v>
      </x:c>
      <x:c r="N1567" s="13" t="n">
        <x:f>VLOOKUP(C1567,'MES orders'!$A$8:$H$127,5,FALSE)</x:f>
        <x:v>46307.666666666664</x:v>
      </x:c>
      <x:c r="O1567" s="16" t="n">
        <x:f>MAX(0,(M1567-N1567)*24)</x:f>
        <x:v>0</x:v>
      </x:c>
      <x:c r="P1567" s="9" t="str">
        <x:v>No</x:v>
      </x:c>
      <x:c r="Q1567" s="15" t="n">
        <x:v>18</x:v>
      </x:c>
      <x:c r="R1567" s="13" t="n">
        <x:f>J1567+Q1567/1440</x:f>
        <x:v>46304.726388888885</x:v>
      </x:c>
      <x:c r="S1567" s="2" t="str">
        <x:f>VLOOKUP(C1567,'MES orders'!$A$8:$H$127,6,FALSE)</x:f>
        <x:v>Normal</x:v>
      </x:c>
      <x:c r="T1567" s="9" t="str"/>
    </x:row>
    <x:row r="1568" ht="22" customHeight="1">
      <x:c r="A1568" s="2" t="str">
        <x:v>L00058-020</x:v>
      </x:c>
      <x:c r="B1568" s="2" t="str">
        <x:v>L00058</x:v>
      </x:c>
      <x:c r="C1568" s="2" t="str">
        <x:v>SO-26012</x:v>
      </x:c>
      <x:c r="D1568" s="2" t="str">
        <x:v>D-L-SS</x:v>
      </x:c>
      <x:c r="E1568" s="14" t="n">
        <x:v>5</x:v>
      </x:c>
      <x:c r="F1568" s="2" t="str">
        <x:v>Deburr &amp; inspect</x:v>
      </x:c>
      <x:c r="G1568" s="9" t="str">
        <x:v>DB-01</x:v>
      </x:c>
      <x:c r="H1568" s="15" t="n">
        <x:v>150</x:v>
      </x:c>
      <x:c r="I1568" s="9" t="str">
        <x:v>P14</x:v>
      </x:c>
      <x:c r="J1568" s="11" t="n">
        <x:v>46304.71527777778</x:v>
      </x:c>
      <x:c r="K1568" s="15" t="n">
        <x:v>4</x:v>
      </x:c>
      <x:c r="L1568" s="15" t="n">
        <x:v>5</x:v>
      </x:c>
      <x:c r="M1568" s="13" t="n">
        <x:f>J1568+(K1568+L1568)/1440</x:f>
        <x:v>46304.72152777778</x:v>
      </x:c>
      <x:c r="N1568" s="13" t="n">
        <x:f>VLOOKUP(C1568,'MES orders'!$A$8:$H$127,5,FALSE)</x:f>
        <x:v>46307.666666666664</x:v>
      </x:c>
      <x:c r="O1568" s="16" t="n">
        <x:f>MAX(0,(M1568-N1568)*24)</x:f>
        <x:v>0</x:v>
      </x:c>
      <x:c r="P1568" s="9" t="str">
        <x:v>No</x:v>
      </x:c>
      <x:c r="Q1568" s="15" t="n">
        <x:v>9</x:v>
      </x:c>
      <x:c r="R1568" s="13" t="n">
        <x:f>J1568+Q1568/1440</x:f>
        <x:v>46304.72152777778</x:v>
      </x:c>
      <x:c r="S1568" s="2" t="str">
        <x:f>VLOOKUP(C1568,'MES orders'!$A$8:$H$127,6,FALSE)</x:f>
        <x:v>Normal</x:v>
      </x:c>
      <x:c r="T1568" s="9" t="str"/>
    </x:row>
    <x:row r="1569" ht="22" customHeight="1">
      <x:c r="A1569" s="2" t="str">
        <x:v>L00458-050</x:v>
      </x:c>
      <x:c r="B1569" s="2" t="str">
        <x:v>L00458</x:v>
      </x:c>
      <x:c r="C1569" s="2" t="str">
        <x:v>SO-26092</x:v>
      </x:c>
      <x:c r="D1569" s="2" t="str">
        <x:v>R-C-SS</x:v>
      </x:c>
      <x:c r="E1569" s="14" t="n">
        <x:v>25</x:v>
      </x:c>
      <x:c r="F1569" s="2" t="str">
        <x:v>Valve adjustment</x:v>
      </x:c>
      <x:c r="G1569" s="9" t="str">
        <x:v>AS-01</x:v>
      </x:c>
      <x:c r="H1569" s="15" t="n">
        <x:v>127</x:v>
      </x:c>
      <x:c r="I1569" s="9" t="str">
        <x:v>P17</x:v>
      </x:c>
      <x:c r="J1569" s="11" t="n">
        <x:v>46304.71805555555</x:v>
      </x:c>
      <x:c r="K1569" s="15" t="n">
        <x:v>6</x:v>
      </x:c>
      <x:c r="L1569" s="15" t="n">
        <x:v>22</x:v>
      </x:c>
      <x:c r="M1569" s="13" t="n">
        <x:f>J1569+(K1569+L1569)/1440</x:f>
        <x:v>46304.737499999996</x:v>
      </x:c>
      <x:c r="N1569" s="13" t="n">
        <x:f>VLOOKUP(C1569,'MES orders'!$A$8:$H$127,5,FALSE)</x:f>
        <x:v>46307.666666666664</x:v>
      </x:c>
      <x:c r="O1569" s="16" t="n">
        <x:f>MAX(0,(M1569-N1569)*24)</x:f>
        <x:v>0</x:v>
      </x:c>
      <x:c r="P1569" s="9" t="str">
        <x:v>No</x:v>
      </x:c>
      <x:c r="Q1569" s="15" t="n">
        <x:v>28</x:v>
      </x:c>
      <x:c r="R1569" s="13" t="n">
        <x:f>J1569+Q1569/1440</x:f>
        <x:v>46304.737499999996</x:v>
      </x:c>
      <x:c r="S1569" s="2" t="str">
        <x:f>VLOOKUP(C1569,'MES orders'!$A$8:$H$127,6,FALSE)</x:f>
        <x:v>High</x:v>
      </x:c>
      <x:c r="T1569" s="9" t="str"/>
    </x:row>
    <x:row r="1570" ht="22" customHeight="1">
      <x:c r="A1570" s="2" t="str">
        <x:v>L00459-050</x:v>
      </x:c>
      <x:c r="B1570" s="2" t="str">
        <x:v>L00459</x:v>
      </x:c>
      <x:c r="C1570" s="2" t="str">
        <x:v>SO-26092</x:v>
      </x:c>
      <x:c r="D1570" s="2" t="str">
        <x:v>R-C-SS</x:v>
      </x:c>
      <x:c r="E1570" s="14" t="n">
        <x:v>25</x:v>
      </x:c>
      <x:c r="F1570" s="2" t="str">
        <x:v>Valve adjustment</x:v>
      </x:c>
      <x:c r="G1570" s="9" t="str">
        <x:v>AS-02</x:v>
      </x:c>
      <x:c r="H1570" s="15" t="n">
        <x:v>103</x:v>
      </x:c>
      <x:c r="I1570" s="9" t="str">
        <x:v>P18</x:v>
      </x:c>
      <x:c r="J1570" s="11" t="n">
        <x:v>46304.71805555555</x:v>
      </x:c>
      <x:c r="K1570" s="15" t="n">
        <x:v>6</x:v>
      </x:c>
      <x:c r="L1570" s="15" t="n">
        <x:v>22</x:v>
      </x:c>
      <x:c r="M1570" s="13" t="n">
        <x:f>J1570+(K1570+L1570)/1440</x:f>
        <x:v>46304.737499999996</x:v>
      </x:c>
      <x:c r="N1570" s="13" t="n">
        <x:f>VLOOKUP(C1570,'MES orders'!$A$8:$H$127,5,FALSE)</x:f>
        <x:v>46307.666666666664</x:v>
      </x:c>
      <x:c r="O1570" s="16" t="n">
        <x:f>MAX(0,(M1570-N1570)*24)</x:f>
        <x:v>0</x:v>
      </x:c>
      <x:c r="P1570" s="9" t="str">
        <x:v>No</x:v>
      </x:c>
      <x:c r="Q1570" s="15" t="n">
        <x:v>28</x:v>
      </x:c>
      <x:c r="R1570" s="13" t="n">
        <x:f>J1570+Q1570/1440</x:f>
        <x:v>46304.737499999996</x:v>
      </x:c>
      <x:c r="S1570" s="2" t="str">
        <x:f>VLOOKUP(C1570,'MES orders'!$A$8:$H$127,6,FALSE)</x:f>
        <x:v>High</x:v>
      </x:c>
      <x:c r="T1570" s="9" t="str"/>
    </x:row>
    <x:row r="1571" ht="22" customHeight="1">
      <x:c r="A1571" s="2" t="str">
        <x:v>L00016-040</x:v>
      </x:c>
      <x:c r="B1571" s="2" t="str">
        <x:v>L00016</x:v>
      </x:c>
      <x:c r="C1571" s="2" t="str">
        <x:v>SO-26004</x:v>
      </x:c>
      <x:c r="D1571" s="2" t="str">
        <x:v>D-S-SS</x:v>
      </x:c>
      <x:c r="E1571" s="14" t="n">
        <x:v>10</x:v>
      </x:c>
      <x:c r="F1571" s="2" t="str">
        <x:v>Mechanical assembly</x:v>
      </x:c>
      <x:c r="G1571" s="9" t="str">
        <x:v>AS-03</x:v>
      </x:c>
      <x:c r="H1571" s="15" t="n">
        <x:v>83</x:v>
      </x:c>
      <x:c r="I1571" s="9" t="str">
        <x:v>P16</x:v>
      </x:c>
      <x:c r="J1571" s="11" t="n">
        <x:v>46304.71805555555</x:v>
      </x:c>
      <x:c r="K1571" s="15" t="n">
        <x:v>8</x:v>
      </x:c>
      <x:c r="L1571" s="15" t="n">
        <x:v>18</x:v>
      </x:c>
      <x:c r="M1571" s="13" t="n">
        <x:f>J1571+(K1571+L1571)/1440</x:f>
        <x:v>46304.73611111111</x:v>
      </x:c>
      <x:c r="N1571" s="13" t="n">
        <x:f>VLOOKUP(C1571,'MES orders'!$A$8:$H$127,5,FALSE)</x:f>
        <x:v>46307.666666666664</x:v>
      </x:c>
      <x:c r="O1571" s="16" t="n">
        <x:f>MAX(0,(M1571-N1571)*24)</x:f>
        <x:v>0</x:v>
      </x:c>
      <x:c r="P1571" s="9" t="str">
        <x:v>No</x:v>
      </x:c>
      <x:c r="Q1571" s="15" t="n">
        <x:v>26</x:v>
      </x:c>
      <x:c r="R1571" s="13" t="n">
        <x:f>J1571+Q1571/1440</x:f>
        <x:v>46304.73611111111</x:v>
      </x:c>
      <x:c r="S1571" s="2" t="str">
        <x:f>VLOOKUP(C1571,'MES orders'!$A$8:$H$127,6,FALSE)</x:f>
        <x:v>Normal</x:v>
      </x:c>
      <x:c r="T1571" s="9" t="str"/>
    </x:row>
    <x:row r="1572" ht="22" customHeight="1">
      <x:c r="A1572" s="2" t="str">
        <x:v>L00457-060</x:v>
      </x:c>
      <x:c r="B1572" s="2" t="str">
        <x:v>L00457</x:v>
      </x:c>
      <x:c r="C1572" s="2" t="str">
        <x:v>SO-26092</x:v>
      </x:c>
      <x:c r="D1572" s="2" t="str">
        <x:v>R-C-SS</x:v>
      </x:c>
      <x:c r="E1572" s="14" t="n">
        <x:v>25</x:v>
      </x:c>
      <x:c r="F1572" s="2" t="str">
        <x:v>Final leak / function test</x:v>
      </x:c>
      <x:c r="G1572" s="9" t="str">
        <x:v>QA-03</x:v>
      </x:c>
      <x:c r="H1572" s="15" t="n">
        <x:v>69</x:v>
      </x:c>
      <x:c r="I1572" s="9" t="str">
        <x:v>P24</x:v>
      </x:c>
      <x:c r="J1572" s="11" t="n">
        <x:v>46304.71805555555</x:v>
      </x:c>
      <x:c r="K1572" s="15" t="n">
        <x:v>10</x:v>
      </x:c>
      <x:c r="L1572" s="15" t="n">
        <x:v>18</x:v>
      </x:c>
      <x:c r="M1572" s="13" t="n">
        <x:f>J1572+(K1572+L1572)/1440</x:f>
        <x:v>46304.737499999996</x:v>
      </x:c>
      <x:c r="N1572" s="13" t="n">
        <x:f>VLOOKUP(C1572,'MES orders'!$A$8:$H$127,5,FALSE)</x:f>
        <x:v>46307.666666666664</x:v>
      </x:c>
      <x:c r="O1572" s="16" t="n">
        <x:f>MAX(0,(M1572-N1572)*24)</x:f>
        <x:v>0</x:v>
      </x:c>
      <x:c r="P1572" s="9" t="str">
        <x:v>No</x:v>
      </x:c>
      <x:c r="Q1572" s="15" t="n">
        <x:v>28</x:v>
      </x:c>
      <x:c r="R1572" s="13" t="n">
        <x:f>J1572+Q1572/1440</x:f>
        <x:v>46304.737499999996</x:v>
      </x:c>
      <x:c r="S1572" s="2" t="str">
        <x:f>VLOOKUP(C1572,'MES orders'!$A$8:$H$127,6,FALSE)</x:f>
        <x:v>High</x:v>
      </x:c>
      <x:c r="T1572" s="9" t="str"/>
    </x:row>
    <x:row r="1573" ht="22" customHeight="1">
      <x:c r="A1573" s="2" t="str">
        <x:v>L00096-010</x:v>
      </x:c>
      <x:c r="B1573" s="2" t="str">
        <x:v>L00096</x:v>
      </x:c>
      <x:c r="C1573" s="2" t="str">
        <x:v>SO-26020</x:v>
      </x:c>
      <x:c r="D1573" s="2" t="str">
        <x:v>R-C-SS</x:v>
      </x:c>
      <x:c r="E1573" s="14" t="n">
        <x:v>25</x:v>
      </x:c>
      <x:c r="F1573" s="2" t="str">
        <x:v>CNC machining</x:v>
      </x:c>
      <x:c r="G1573" s="9" t="str">
        <x:v>CNC-03</x:v>
      </x:c>
      <x:c r="H1573" s="15" t="n">
        <x:v>49</x:v>
      </x:c>
      <x:c r="I1573" s="9" t="str">
        <x:v>P13</x:v>
      </x:c>
      <x:c r="J1573" s="11" t="n">
        <x:v>46304.71944444445</x:v>
      </x:c>
      <x:c r="K1573" s="15" t="n">
        <x:v>18</x:v>
      </x:c>
      <x:c r="L1573" s="15" t="n">
        <x:v>60</x:v>
      </x:c>
      <x:c r="M1573" s="13" t="n">
        <x:f>J1573+(K1573+L1573)/1440</x:f>
        <x:v>46304.773611111115</x:v>
      </x:c>
      <x:c r="N1573" s="13" t="n">
        <x:f>VLOOKUP(C1573,'MES orders'!$A$8:$H$127,5,FALSE)</x:f>
        <x:v>46307.666666666664</x:v>
      </x:c>
      <x:c r="O1573" s="16" t="n">
        <x:f>MAX(0,(M1573-N1573)*24)</x:f>
        <x:v>0</x:v>
      </x:c>
      <x:c r="P1573" s="9" t="str">
        <x:v>No</x:v>
      </x:c>
      <x:c r="Q1573" s="15" t="n">
        <x:v>18</x:v>
      </x:c>
      <x:c r="R1573" s="13" t="n">
        <x:f>J1573+Q1573/1440</x:f>
        <x:v>46304.731944444444</x:v>
      </x:c>
      <x:c r="S1573" s="2" t="str">
        <x:f>VLOOKUP(C1573,'MES orders'!$A$8:$H$127,6,FALSE)</x:f>
        <x:v>Normal</x:v>
      </x:c>
      <x:c r="T1573" s="9" t="str"/>
    </x:row>
    <x:row r="1574" ht="22" customHeight="1">
      <x:c r="A1574" s="2" t="str">
        <x:v>L00097-010</x:v>
      </x:c>
      <x:c r="B1574" s="2" t="str">
        <x:v>L00097</x:v>
      </x:c>
      <x:c r="C1574" s="2" t="str">
        <x:v>SO-26020</x:v>
      </x:c>
      <x:c r="D1574" s="2" t="str">
        <x:v>R-C-SS</x:v>
      </x:c>
      <x:c r="E1574" s="14" t="n">
        <x:v>25</x:v>
      </x:c>
      <x:c r="F1574" s="2" t="str">
        <x:v>CNC machining</x:v>
      </x:c>
      <x:c r="G1574" s="9" t="str">
        <x:v>CNC-06</x:v>
      </x:c>
      <x:c r="H1574" s="15" t="n">
        <x:v>38</x:v>
      </x:c>
      <x:c r="I1574" s="9" t="str">
        <x:v>P14</x:v>
      </x:c>
      <x:c r="J1574" s="11" t="n">
        <x:v>46304.72152777778</x:v>
      </x:c>
      <x:c r="K1574" s="15" t="n">
        <x:v>18</x:v>
      </x:c>
      <x:c r="L1574" s="15" t="n">
        <x:v>60</x:v>
      </x:c>
      <x:c r="M1574" s="13" t="n">
        <x:f>J1574+(K1574+L1574)/1440</x:f>
        <x:v>46304.77569444445</x:v>
      </x:c>
      <x:c r="N1574" s="13" t="n">
        <x:f>VLOOKUP(C1574,'MES orders'!$A$8:$H$127,5,FALSE)</x:f>
        <x:v>46307.666666666664</x:v>
      </x:c>
      <x:c r="O1574" s="16" t="n">
        <x:f>MAX(0,(M1574-N1574)*24)</x:f>
        <x:v>0</x:v>
      </x:c>
      <x:c r="P1574" s="9" t="str">
        <x:v>No</x:v>
      </x:c>
      <x:c r="Q1574" s="15" t="n">
        <x:v>18</x:v>
      </x:c>
      <x:c r="R1574" s="13" t="n">
        <x:f>J1574+Q1574/1440</x:f>
        <x:v>46304.73402777778</x:v>
      </x:c>
      <x:c r="S1574" s="2" t="str">
        <x:f>VLOOKUP(C1574,'MES orders'!$A$8:$H$127,6,FALSE)</x:f>
        <x:v>Normal</x:v>
      </x:c>
      <x:c r="T1574" s="9" t="str"/>
    </x:row>
    <x:row r="1575" ht="22" customHeight="1">
      <x:c r="A1575" s="2" t="str">
        <x:v>L00465-020</x:v>
      </x:c>
      <x:c r="B1575" s="2" t="str">
        <x:v>L00465</x:v>
      </x:c>
      <x:c r="C1575" s="2" t="str">
        <x:v>SO-26093</x:v>
      </x:c>
      <x:c r="D1575" s="2" t="str">
        <x:v>S-S-AL</x:v>
      </x:c>
      <x:c r="E1575" s="14" t="n">
        <x:v>15</x:v>
      </x:c>
      <x:c r="F1575" s="2" t="str">
        <x:v>Deburr &amp; inspect</x:v>
      </x:c>
      <x:c r="G1575" s="9" t="str">
        <x:v>DB-01</x:v>
      </x:c>
      <x:c r="H1575" s="15" t="n">
        <x:v>151</x:v>
      </x:c>
      <x:c r="I1575" s="9" t="str">
        <x:v>P20</x:v>
      </x:c>
      <x:c r="J1575" s="11" t="n">
        <x:v>46304.72430555556</x:v>
      </x:c>
      <x:c r="K1575" s="15" t="n">
        <x:v>4</x:v>
      </x:c>
      <x:c r="L1575" s="15" t="n">
        <x:v>10</x:v>
      </x:c>
      <x:c r="M1575" s="13" t="n">
        <x:f>J1575+(K1575+L1575)/1440</x:f>
        <x:v>46304.734027777784</x:v>
      </x:c>
      <x:c r="N1575" s="13" t="n">
        <x:f>VLOOKUP(C1575,'MES orders'!$A$8:$H$127,5,FALSE)</x:f>
        <x:v>46308.666666666664</x:v>
      </x:c>
      <x:c r="O1575" s="16" t="n">
        <x:f>MAX(0,(M1575-N1575)*24)</x:f>
        <x:v>0</x:v>
      </x:c>
      <x:c r="P1575" s="9" t="str">
        <x:v>No</x:v>
      </x:c>
      <x:c r="Q1575" s="15" t="n">
        <x:v>14</x:v>
      </x:c>
      <x:c r="R1575" s="13" t="n">
        <x:f>J1575+Q1575/1440</x:f>
        <x:v>46304.734027777784</x:v>
      </x:c>
      <x:c r="S1575" s="2" t="str">
        <x:f>VLOOKUP(C1575,'MES orders'!$A$8:$H$127,6,FALSE)</x:f>
        <x:v>Urgent</x:v>
      </x:c>
      <x:c r="T1575" s="9" t="str"/>
    </x:row>
    <x:row r="1576" ht="22" customHeight="1">
      <x:c r="A1576" s="2" t="str">
        <x:v>L00464-060</x:v>
      </x:c>
      <x:c r="B1576" s="2" t="str">
        <x:v>L00464</x:v>
      </x:c>
      <x:c r="C1576" s="2" t="str">
        <x:v>SO-26093</x:v>
      </x:c>
      <x:c r="D1576" s="2" t="str">
        <x:v>S-S-AL</x:v>
      </x:c>
      <x:c r="E1576" s="14" t="n">
        <x:v>15</x:v>
      </x:c>
      <x:c r="F1576" s="2" t="str">
        <x:v>Sensor calibration</x:v>
      </x:c>
      <x:c r="G1576" s="9" t="str">
        <x:v>CAL-01</x:v>
      </x:c>
      <x:c r="H1576" s="15" t="n">
        <x:v>79</x:v>
      </x:c>
      <x:c r="I1576" s="9" t="str">
        <x:v>P21</x:v>
      </x:c>
      <x:c r="J1576" s="11" t="n">
        <x:v>46304.725</x:v>
      </x:c>
      <x:c r="K1576" s="15" t="n">
        <x:v>10</x:v>
      </x:c>
      <x:c r="L1576" s="15" t="n">
        <x:v>20</x:v>
      </x:c>
      <x:c r="M1576" s="13" t="n">
        <x:f>J1576+(K1576+L1576)/1440</x:f>
        <x:v>46304.745833333334</x:v>
      </x:c>
      <x:c r="N1576" s="13" t="n">
        <x:f>VLOOKUP(C1576,'MES orders'!$A$8:$H$127,5,FALSE)</x:f>
        <x:v>46308.666666666664</x:v>
      </x:c>
      <x:c r="O1576" s="16" t="n">
        <x:f>MAX(0,(M1576-N1576)*24)</x:f>
        <x:v>0</x:v>
      </x:c>
      <x:c r="P1576" s="9" t="str">
        <x:v>No</x:v>
      </x:c>
      <x:c r="Q1576" s="15" t="n">
        <x:v>30</x:v>
      </x:c>
      <x:c r="R1576" s="13" t="n">
        <x:f>J1576+Q1576/1440</x:f>
        <x:v>46304.745833333334</x:v>
      </x:c>
      <x:c r="S1576" s="2" t="str">
        <x:f>VLOOKUP(C1576,'MES orders'!$A$8:$H$127,6,FALSE)</x:f>
        <x:v>Urgent</x:v>
      </x:c>
      <x:c r="T1576" s="9" t="str"/>
    </x:row>
    <x:row r="1577" ht="22" customHeight="1">
      <x:c r="A1577" s="2" t="str">
        <x:v>L00098-010</x:v>
      </x:c>
      <x:c r="B1577" s="2" t="str">
        <x:v>L00098</x:v>
      </x:c>
      <x:c r="C1577" s="2" t="str">
        <x:v>SO-26020</x:v>
      </x:c>
      <x:c r="D1577" s="2" t="str">
        <x:v>R-C-SS</x:v>
      </x:c>
      <x:c r="E1577" s="14" t="n">
        <x:v>25</x:v>
      </x:c>
      <x:c r="F1577" s="2" t="str">
        <x:v>CNC machining</x:v>
      </x:c>
      <x:c r="G1577" s="9" t="str">
        <x:v>CNC-04</x:v>
      </x:c>
      <x:c r="H1577" s="15" t="n">
        <x:v>47</x:v>
      </x:c>
      <x:c r="I1577" s="9" t="str">
        <x:v>P15</x:v>
      </x:c>
      <x:c r="J1577" s="11" t="n">
        <x:v>46304.72777777778</x:v>
      </x:c>
      <x:c r="K1577" s="15" t="n">
        <x:v>18</x:v>
      </x:c>
      <x:c r="L1577" s="15" t="n">
        <x:v>60</x:v>
      </x:c>
      <x:c r="M1577" s="13" t="n">
        <x:f>J1577+(K1577+L1577)/1440</x:f>
        <x:v>46304.78194444445</x:v>
      </x:c>
      <x:c r="N1577" s="13" t="n">
        <x:f>VLOOKUP(C1577,'MES orders'!$A$8:$H$127,5,FALSE)</x:f>
        <x:v>46307.666666666664</x:v>
      </x:c>
      <x:c r="O1577" s="16" t="n">
        <x:f>MAX(0,(M1577-N1577)*24)</x:f>
        <x:v>0</x:v>
      </x:c>
      <x:c r="P1577" s="9" t="str">
        <x:v>No</x:v>
      </x:c>
      <x:c r="Q1577" s="15" t="n">
        <x:v>18</x:v>
      </x:c>
      <x:c r="R1577" s="13" t="n">
        <x:f>J1577+Q1577/1440</x:f>
        <x:v>46304.740277777775</x:v>
      </x:c>
      <x:c r="S1577" s="2" t="str">
        <x:f>VLOOKUP(C1577,'MES orders'!$A$8:$H$127,6,FALSE)</x:f>
        <x:v>Normal</x:v>
      </x:c>
      <x:c r="T1577" s="9" t="str"/>
    </x:row>
    <x:row r="1578" ht="22" customHeight="1">
      <x:c r="A1578" s="2" t="str">
        <x:v>L00421-010</x:v>
      </x:c>
      <x:c r="B1578" s="2" t="str">
        <x:v>L00421</x:v>
      </x:c>
      <x:c r="C1578" s="2" t="str">
        <x:v>SO-26085</x:v>
      </x:c>
      <x:c r="D1578" s="2" t="str">
        <x:v>S-C-AL</x:v>
      </x:c>
      <x:c r="E1578" s="14" t="n">
        <x:v>10</x:v>
      </x:c>
      <x:c r="F1578" s="2" t="str">
        <x:v>CNC machining</x:v>
      </x:c>
      <x:c r="G1578" s="9" t="str">
        <x:v>CNC-01</x:v>
      </x:c>
      <x:c r="H1578" s="15" t="n">
        <x:v>50</x:v>
      </x:c>
      <x:c r="I1578" s="9" t="str">
        <x:v>P14</x:v>
      </x:c>
      <x:c r="J1578" s="11" t="n">
        <x:v>46304.73402777778</x:v>
      </x:c>
      <x:c r="K1578" s="15" t="n">
        <x:v>18</x:v>
      </x:c>
      <x:c r="L1578" s="15" t="n">
        <x:v>19</x:v>
      </x:c>
      <x:c r="M1578" s="13" t="n">
        <x:f>J1578+(K1578+L1578)/1440</x:f>
        <x:v>46304.75972222222</x:v>
      </x:c>
      <x:c r="N1578" s="13" t="n">
        <x:f>VLOOKUP(C1578,'MES orders'!$A$8:$H$127,5,FALSE)</x:f>
        <x:v>46308.666666666664</x:v>
      </x:c>
      <x:c r="O1578" s="16" t="n">
        <x:f>MAX(0,(M1578-N1578)*24)</x:f>
        <x:v>0</x:v>
      </x:c>
      <x:c r="P1578" s="9" t="str">
        <x:v>No</x:v>
      </x:c>
      <x:c r="Q1578" s="15" t="n">
        <x:v>18</x:v>
      </x:c>
      <x:c r="R1578" s="13" t="n">
        <x:f>J1578+Q1578/1440</x:f>
        <x:v>46304.746527777774</x:v>
      </x:c>
      <x:c r="S1578" s="2" t="str">
        <x:f>VLOOKUP(C1578,'MES orders'!$A$8:$H$127,6,FALSE)</x:f>
        <x:v>High</x:v>
      </x:c>
      <x:c r="T1578" s="9" t="str"/>
    </x:row>
    <x:row r="1579" ht="22" customHeight="1">
      <x:c r="A1579" s="2" t="str">
        <x:v>L00465-030</x:v>
      </x:c>
      <x:c r="B1579" s="2" t="str">
        <x:v>L00465</x:v>
      </x:c>
      <x:c r="C1579" s="2" t="str">
        <x:v>SO-26093</x:v>
      </x:c>
      <x:c r="D1579" s="2" t="str">
        <x:v>S-S-AL</x:v>
      </x:c>
      <x:c r="E1579" s="14" t="n">
        <x:v>15</x:v>
      </x:c>
      <x:c r="F1579" s="2" t="str">
        <x:v>Wash &amp; dry</x:v>
      </x:c>
      <x:c r="G1579" s="9" t="str">
        <x:v>WS-02</x:v>
      </x:c>
      <x:c r="H1579" s="15" t="n">
        <x:v>104</x:v>
      </x:c>
      <x:c r="I1579" s="9" t="str">
        <x:v>P13</x:v>
      </x:c>
      <x:c r="J1579" s="11" t="n">
        <x:v>46304.73402777778</x:v>
      </x:c>
      <x:c r="K1579" s="15" t="n">
        <x:v>12</x:v>
      </x:c>
      <x:c r="L1579" s="15" t="n">
        <x:v>5</x:v>
      </x:c>
      <x:c r="M1579" s="13" t="n">
        <x:f>J1579+(K1579+L1579)/1440</x:f>
        <x:v>46304.745833333334</x:v>
      </x:c>
      <x:c r="N1579" s="13" t="n">
        <x:f>VLOOKUP(C1579,'MES orders'!$A$8:$H$127,5,FALSE)</x:f>
        <x:v>46308.666666666664</x:v>
      </x:c>
      <x:c r="O1579" s="16" t="n">
        <x:f>MAX(0,(M1579-N1579)*24)</x:f>
        <x:v>0</x:v>
      </x:c>
      <x:c r="P1579" s="9" t="str">
        <x:v>No</x:v>
      </x:c>
      <x:c r="Q1579" s="15" t="n">
        <x:v>17</x:v>
      </x:c>
      <x:c r="R1579" s="13" t="n">
        <x:f>J1579+Q1579/1440</x:f>
        <x:v>46304.745833333334</x:v>
      </x:c>
      <x:c r="S1579" s="2" t="str">
        <x:f>VLOOKUP(C1579,'MES orders'!$A$8:$H$127,6,FALSE)</x:f>
        <x:v>Urgent</x:v>
      </x:c>
      <x:c r="T1579" s="9" t="str"/>
    </x:row>
    <x:row r="1580" ht="22" customHeight="1">
      <x:c r="A1580" s="2" t="str">
        <x:v>L00016-050</x:v>
      </x:c>
      <x:c r="B1580" s="2" t="str">
        <x:v>L00016</x:v>
      </x:c>
      <x:c r="C1580" s="2" t="str">
        <x:v>SO-26004</x:v>
      </x:c>
      <x:c r="D1580" s="2" t="str">
        <x:v>D-S-SS</x:v>
      </x:c>
      <x:c r="E1580" s="14" t="n">
        <x:v>10</x:v>
      </x:c>
      <x:c r="F1580" s="2" t="str">
        <x:v>Final leak / function test</x:v>
      </x:c>
      <x:c r="G1580" s="9" t="str">
        <x:v>QA-01</x:v>
      </x:c>
      <x:c r="H1580" s="15" t="n">
        <x:v>62</x:v>
      </x:c>
      <x:c r="I1580" s="9" t="str">
        <x:v>P23</x:v>
      </x:c>
      <x:c r="J1580" s="11" t="n">
        <x:v>46304.73611111111</x:v>
      </x:c>
      <x:c r="K1580" s="15" t="n">
        <x:v>10</x:v>
      </x:c>
      <x:c r="L1580" s="15" t="n">
        <x:v>9</x:v>
      </x:c>
      <x:c r="M1580" s="13" t="n">
        <x:f>J1580+(K1580+L1580)/1440</x:f>
        <x:v>46304.74930555555</x:v>
      </x:c>
      <x:c r="N1580" s="13" t="n">
        <x:f>VLOOKUP(C1580,'MES orders'!$A$8:$H$127,5,FALSE)</x:f>
        <x:v>46307.666666666664</x:v>
      </x:c>
      <x:c r="O1580" s="16" t="n">
        <x:f>MAX(0,(M1580-N1580)*24)</x:f>
        <x:v>0</x:v>
      </x:c>
      <x:c r="P1580" s="9" t="str">
        <x:v>No</x:v>
      </x:c>
      <x:c r="Q1580" s="15" t="n">
        <x:v>19</x:v>
      </x:c>
      <x:c r="R1580" s="13" t="n">
        <x:f>J1580+Q1580/1440</x:f>
        <x:v>46304.74930555555</x:v>
      </x:c>
      <x:c r="S1580" s="2" t="str">
        <x:f>VLOOKUP(C1580,'MES orders'!$A$8:$H$127,6,FALSE)</x:f>
        <x:v>Normal</x:v>
      </x:c>
      <x:c r="T1580" s="9" t="str"/>
    </x:row>
    <x:row r="1581" ht="22" customHeight="1">
      <x:c r="A1581" s="2" t="str">
        <x:v>L00018-030</x:v>
      </x:c>
      <x:c r="B1581" s="2" t="str">
        <x:v>L00018</x:v>
      </x:c>
      <x:c r="C1581" s="2" t="str">
        <x:v>SO-26004</x:v>
      </x:c>
      <x:c r="D1581" s="2" t="str">
        <x:v>D-S-SS</x:v>
      </x:c>
      <x:c r="E1581" s="14" t="n">
        <x:v>10</x:v>
      </x:c>
      <x:c r="F1581" s="2" t="str">
        <x:v>Wash &amp; dry</x:v>
      </x:c>
      <x:c r="G1581" s="9" t="str">
        <x:v>WS-01</x:v>
      </x:c>
      <x:c r="H1581" s="15" t="n">
        <x:v>146</x:v>
      </x:c>
      <x:c r="I1581" s="9" t="str">
        <x:v>P16</x:v>
      </x:c>
      <x:c r="J1581" s="11" t="n">
        <x:v>46304.73611111111</x:v>
      </x:c>
      <x:c r="K1581" s="15" t="n">
        <x:v>12</x:v>
      </x:c>
      <x:c r="L1581" s="15" t="n">
        <x:v>4</x:v>
      </x:c>
      <x:c r="M1581" s="13" t="n">
        <x:f>J1581+(K1581+L1581)/1440</x:f>
        <x:v>46304.74722222222</x:v>
      </x:c>
      <x:c r="N1581" s="13" t="n">
        <x:f>VLOOKUP(C1581,'MES orders'!$A$8:$H$127,5,FALSE)</x:f>
        <x:v>46307.666666666664</x:v>
      </x:c>
      <x:c r="O1581" s="16" t="n">
        <x:f>MAX(0,(M1581-N1581)*24)</x:f>
        <x:v>0</x:v>
      </x:c>
      <x:c r="P1581" s="9" t="str">
        <x:v>No</x:v>
      </x:c>
      <x:c r="Q1581" s="15" t="n">
        <x:v>16</x:v>
      </x:c>
      <x:c r="R1581" s="13" t="n">
        <x:f>J1581+Q1581/1440</x:f>
        <x:v>46304.74722222222</x:v>
      </x:c>
      <x:c r="S1581" s="2" t="str">
        <x:f>VLOOKUP(C1581,'MES orders'!$A$8:$H$127,6,FALSE)</x:f>
        <x:v>Normal</x:v>
      </x:c>
      <x:c r="T1581" s="9" t="str"/>
    </x:row>
    <x:row r="1582" ht="22" customHeight="1">
      <x:c r="A1582" s="2" t="str">
        <x:v>L00019-020</x:v>
      </x:c>
      <x:c r="B1582" s="2" t="str">
        <x:v>L00019</x:v>
      </x:c>
      <x:c r="C1582" s="2" t="str">
        <x:v>SO-26004</x:v>
      </x:c>
      <x:c r="D1582" s="2" t="str">
        <x:v>D-S-SS</x:v>
      </x:c>
      <x:c r="E1582" s="14" t="n">
        <x:v>10</x:v>
      </x:c>
      <x:c r="F1582" s="2" t="str">
        <x:v>Deburr &amp; inspect</x:v>
      </x:c>
      <x:c r="G1582" s="9" t="str">
        <x:v>DB-01</x:v>
      </x:c>
      <x:c r="H1582" s="15" t="n">
        <x:v>152</x:v>
      </x:c>
      <x:c r="I1582" s="9" t="str">
        <x:v>P17</x:v>
      </x:c>
      <x:c r="J1582" s="11" t="n">
        <x:v>46304.7375</x:v>
      </x:c>
      <x:c r="K1582" s="15" t="n">
        <x:v>4</x:v>
      </x:c>
      <x:c r="L1582" s="15" t="n">
        <x:v>7</x:v>
      </x:c>
      <x:c r="M1582" s="13" t="n">
        <x:f>J1582+(K1582+L1582)/1440</x:f>
        <x:v>46304.745138888895</x:v>
      </x:c>
      <x:c r="N1582" s="13" t="n">
        <x:f>VLOOKUP(C1582,'MES orders'!$A$8:$H$127,5,FALSE)</x:f>
        <x:v>46307.666666666664</x:v>
      </x:c>
      <x:c r="O1582" s="16" t="n">
        <x:f>MAX(0,(M1582-N1582)*24)</x:f>
        <x:v>0</x:v>
      </x:c>
      <x:c r="P1582" s="9" t="str">
        <x:v>No</x:v>
      </x:c>
      <x:c r="Q1582" s="15" t="n">
        <x:v>11</x:v>
      </x:c>
      <x:c r="R1582" s="13" t="n">
        <x:f>J1582+Q1582/1440</x:f>
        <x:v>46304.745138888895</x:v>
      </x:c>
      <x:c r="S1582" s="2" t="str">
        <x:f>VLOOKUP(C1582,'MES orders'!$A$8:$H$127,6,FALSE)</x:f>
        <x:v>Normal</x:v>
      </x:c>
      <x:c r="T1582" s="9" t="str"/>
    </x:row>
    <x:row r="1583" ht="22" customHeight="1">
      <x:c r="A1583" s="2" t="str">
        <x:v>L00020-020</x:v>
      </x:c>
      <x:c r="B1583" s="2" t="str">
        <x:v>L00020</x:v>
      </x:c>
      <x:c r="C1583" s="2" t="str">
        <x:v>SO-26004</x:v>
      </x:c>
      <x:c r="D1583" s="2" t="str">
        <x:v>D-S-SS</x:v>
      </x:c>
      <x:c r="E1583" s="14" t="n">
        <x:v>10</x:v>
      </x:c>
      <x:c r="F1583" s="2" t="str">
        <x:v>Deburr &amp; inspect</x:v>
      </x:c>
      <x:c r="G1583" s="9" t="str">
        <x:v>DB-02</x:v>
      </x:c>
      <x:c r="H1583" s="15" t="n">
        <x:v>101</x:v>
      </x:c>
      <x:c r="I1583" s="9" t="str">
        <x:v>P18</x:v>
      </x:c>
      <x:c r="J1583" s="11" t="n">
        <x:v>46304.7375</x:v>
      </x:c>
      <x:c r="K1583" s="15" t="n">
        <x:v>4</x:v>
      </x:c>
      <x:c r="L1583" s="15" t="n">
        <x:v>7</x:v>
      </x:c>
      <x:c r="M1583" s="13" t="n">
        <x:f>J1583+(K1583+L1583)/1440</x:f>
        <x:v>46304.745138888895</x:v>
      </x:c>
      <x:c r="N1583" s="13" t="n">
        <x:f>VLOOKUP(C1583,'MES orders'!$A$8:$H$127,5,FALSE)</x:f>
        <x:v>46307.666666666664</x:v>
      </x:c>
      <x:c r="O1583" s="16" t="n">
        <x:f>MAX(0,(M1583-N1583)*24)</x:f>
        <x:v>0</x:v>
      </x:c>
      <x:c r="P1583" s="9" t="str">
        <x:v>No</x:v>
      </x:c>
      <x:c r="Q1583" s="15" t="n">
        <x:v>11</x:v>
      </x:c>
      <x:c r="R1583" s="13" t="n">
        <x:f>J1583+Q1583/1440</x:f>
        <x:v>46304.745138888895</x:v>
      </x:c>
      <x:c r="S1583" s="2" t="str">
        <x:f>VLOOKUP(C1583,'MES orders'!$A$8:$H$127,6,FALSE)</x:f>
        <x:v>Normal</x:v>
      </x:c>
      <x:c r="T1583" s="9" t="str"/>
    </x:row>
    <x:row r="1584" ht="22" customHeight="1">
      <x:c r="A1584" s="2" t="str">
        <x:v>L00056-050</x:v>
      </x:c>
      <x:c r="B1584" s="2" t="str">
        <x:v>L00056</x:v>
      </x:c>
      <x:c r="C1584" s="2" t="str">
        <x:v>SO-26012</x:v>
      </x:c>
      <x:c r="D1584" s="2" t="str">
        <x:v>D-L-SS</x:v>
      </x:c>
      <x:c r="E1584" s="14" t="n">
        <x:v>5</x:v>
      </x:c>
      <x:c r="F1584" s="2" t="str">
        <x:v>Final leak / function test</x:v>
      </x:c>
      <x:c r="G1584" s="9" t="str">
        <x:v>QA-02</x:v>
      </x:c>
      <x:c r="H1584" s="15" t="n">
        <x:v>111</x:v>
      </x:c>
      <x:c r="I1584" s="9" t="str">
        <x:v>P24</x:v>
      </x:c>
      <x:c r="J1584" s="11" t="n">
        <x:v>46304.7375</x:v>
      </x:c>
      <x:c r="K1584" s="15" t="n">
        <x:v>10</x:v>
      </x:c>
      <x:c r="L1584" s="15" t="n">
        <x:v>6</x:v>
      </x:c>
      <x:c r="M1584" s="13" t="n">
        <x:f>J1584+(K1584+L1584)/1440</x:f>
        <x:v>46304.748611111114</x:v>
      </x:c>
      <x:c r="N1584" s="13" t="n">
        <x:f>VLOOKUP(C1584,'MES orders'!$A$8:$H$127,5,FALSE)</x:f>
        <x:v>46307.666666666664</x:v>
      </x:c>
      <x:c r="O1584" s="16" t="n">
        <x:f>MAX(0,(M1584-N1584)*24)</x:f>
        <x:v>0</x:v>
      </x:c>
      <x:c r="P1584" s="9" t="str">
        <x:v>No</x:v>
      </x:c>
      <x:c r="Q1584" s="15" t="n">
        <x:v>16</x:v>
      </x:c>
      <x:c r="R1584" s="13" t="n">
        <x:f>J1584+Q1584/1440</x:f>
        <x:v>46304.748611111114</x:v>
      </x:c>
      <x:c r="S1584" s="2" t="str">
        <x:f>VLOOKUP(C1584,'MES orders'!$A$8:$H$127,6,FALSE)</x:f>
        <x:v>Normal</x:v>
      </x:c>
      <x:c r="T1584" s="9" t="str"/>
    </x:row>
    <x:row r="1585" ht="22" customHeight="1">
      <x:c r="A1585" s="2" t="str">
        <x:v>L00018-040</x:v>
      </x:c>
      <x:c r="B1585" s="2" t="str">
        <x:v>L00018</x:v>
      </x:c>
      <x:c r="C1585" s="2" t="str">
        <x:v>SO-26004</x:v>
      </x:c>
      <x:c r="D1585" s="2" t="str">
        <x:v>D-S-SS</x:v>
      </x:c>
      <x:c r="E1585" s="14" t="n">
        <x:v>10</x:v>
      </x:c>
      <x:c r="F1585" s="2" t="str">
        <x:v>Mechanical assembly</x:v>
      </x:c>
      <x:c r="G1585" s="9" t="str">
        <x:v>AS-01</x:v>
      </x:c>
      <x:c r="H1585" s="15" t="n">
        <x:v>128</x:v>
      </x:c>
      <x:c r="I1585" s="9" t="str">
        <x:v>P16</x:v>
      </x:c>
      <x:c r="J1585" s="11" t="n">
        <x:v>46304.770833333336</x:v>
      </x:c>
      <x:c r="K1585" s="15" t="n">
        <x:v>8</x:v>
      </x:c>
      <x:c r="L1585" s="15" t="n">
        <x:v>18</x:v>
      </x:c>
      <x:c r="M1585" s="13" t="n">
        <x:f>J1585+(K1585+L1585)/1440</x:f>
        <x:v>46304.78888888889</x:v>
      </x:c>
      <x:c r="N1585" s="13" t="n">
        <x:f>VLOOKUP(C1585,'MES orders'!$A$8:$H$127,5,FALSE)</x:f>
        <x:v>46307.666666666664</x:v>
      </x:c>
      <x:c r="O1585" s="16" t="n">
        <x:f>MAX(0,(M1585-N1585)*24)</x:f>
        <x:v>0</x:v>
      </x:c>
      <x:c r="P1585" s="9" t="str">
        <x:v>No</x:v>
      </x:c>
      <x:c r="Q1585" s="15" t="n">
        <x:v>26</x:v>
      </x:c>
      <x:c r="R1585" s="13" t="n">
        <x:f>J1585+Q1585/1440</x:f>
        <x:v>46304.78888888889</x:v>
      </x:c>
      <x:c r="S1585" s="2" t="str">
        <x:f>VLOOKUP(C1585,'MES orders'!$A$8:$H$127,6,FALSE)</x:f>
        <x:v>Normal</x:v>
      </x:c>
      <x:c r="T1585" s="9" t="str"/>
    </x:row>
    <x:row r="1586" ht="22" customHeight="1">
      <x:c r="A1586" s="2" t="str">
        <x:v>L00464-070</x:v>
      </x:c>
      <x:c r="B1586" s="2" t="str">
        <x:v>L00464</x:v>
      </x:c>
      <x:c r="C1586" s="2" t="str">
        <x:v>SO-26093</x:v>
      </x:c>
      <x:c r="D1586" s="2" t="str">
        <x:v>S-S-AL</x:v>
      </x:c>
      <x:c r="E1586" s="14" t="n">
        <x:v>15</x:v>
      </x:c>
      <x:c r="F1586" s="2" t="str">
        <x:v>Final assembly</x:v>
      </x:c>
      <x:c r="G1586" s="9" t="str">
        <x:v>AS-04</x:v>
      </x:c>
      <x:c r="H1586" s="15" t="n">
        <x:v>57</x:v>
      </x:c>
      <x:c r="I1586" s="9" t="str">
        <x:v>P20</x:v>
      </x:c>
      <x:c r="J1586" s="11" t="n">
        <x:v>46304.770833333336</x:v>
      </x:c>
      <x:c r="K1586" s="15" t="n">
        <x:v>5</x:v>
      </x:c>
      <x:c r="L1586" s="15" t="n">
        <x:v>12</x:v>
      </x:c>
      <x:c r="M1586" s="13" t="n">
        <x:f>J1586+(K1586+L1586)/1440</x:f>
        <x:v>46304.78263888889</x:v>
      </x:c>
      <x:c r="N1586" s="13" t="n">
        <x:f>VLOOKUP(C1586,'MES orders'!$A$8:$H$127,5,FALSE)</x:f>
        <x:v>46308.666666666664</x:v>
      </x:c>
      <x:c r="O1586" s="16" t="n">
        <x:f>MAX(0,(M1586-N1586)*24)</x:f>
        <x:v>0</x:v>
      </x:c>
      <x:c r="P1586" s="9" t="str">
        <x:v>No</x:v>
      </x:c>
      <x:c r="Q1586" s="15" t="n">
        <x:v>17</x:v>
      </x:c>
      <x:c r="R1586" s="13" t="n">
        <x:f>J1586+Q1586/1440</x:f>
        <x:v>46304.78263888889</x:v>
      </x:c>
      <x:c r="S1586" s="2" t="str">
        <x:f>VLOOKUP(C1586,'MES orders'!$A$8:$H$127,6,FALSE)</x:f>
        <x:v>Urgent</x:v>
      </x:c>
      <x:c r="T1586" s="9" t="str"/>
    </x:row>
    <x:row r="1587" ht="22" customHeight="1">
      <x:c r="A1587" s="2" t="str">
        <x:v>L00465-040</x:v>
      </x:c>
      <x:c r="B1587" s="2" t="str">
        <x:v>L00465</x:v>
      </x:c>
      <x:c r="C1587" s="2" t="str">
        <x:v>SO-26093</x:v>
      </x:c>
      <x:c r="D1587" s="2" t="str">
        <x:v>S-S-AL</x:v>
      </x:c>
      <x:c r="E1587" s="14" t="n">
        <x:v>15</x:v>
      </x:c>
      <x:c r="F1587" s="2" t="str">
        <x:v>Mechanical preassembly</x:v>
      </x:c>
      <x:c r="G1587" s="9" t="str">
        <x:v>AS-05</x:v>
      </x:c>
      <x:c r="H1587" s="15" t="n">
        <x:v>35</x:v>
      </x:c>
      <x:c r="I1587" s="9" t="str">
        <x:v>P19</x:v>
      </x:c>
      <x:c r="J1587" s="11" t="n">
        <x:v>46304.770833333336</x:v>
      </x:c>
      <x:c r="K1587" s="15" t="n">
        <x:v>6</x:v>
      </x:c>
      <x:c r="L1587" s="15" t="n">
        <x:v>16</x:v>
      </x:c>
      <x:c r="M1587" s="13" t="n">
        <x:f>J1587+(K1587+L1587)/1440</x:f>
        <x:v>46304.78611111111</x:v>
      </x:c>
      <x:c r="N1587" s="13" t="n">
        <x:f>VLOOKUP(C1587,'MES orders'!$A$8:$H$127,5,FALSE)</x:f>
        <x:v>46308.666666666664</x:v>
      </x:c>
      <x:c r="O1587" s="16" t="n">
        <x:f>MAX(0,(M1587-N1587)*24)</x:f>
        <x:v>0</x:v>
      </x:c>
      <x:c r="P1587" s="9" t="str">
        <x:v>No</x:v>
      </x:c>
      <x:c r="Q1587" s="15" t="n">
        <x:v>22</x:v>
      </x:c>
      <x:c r="R1587" s="13" t="n">
        <x:f>J1587+Q1587/1440</x:f>
        <x:v>46304.78611111111</x:v>
      </x:c>
      <x:c r="S1587" s="2" t="str">
        <x:f>VLOOKUP(C1587,'MES orders'!$A$8:$H$127,6,FALSE)</x:f>
        <x:v>Urgent</x:v>
      </x:c>
      <x:c r="T1587" s="9" t="str"/>
    </x:row>
    <x:row r="1588" ht="22" customHeight="1">
      <x:c r="A1588" s="2" t="str">
        <x:v>L00099-010</x:v>
      </x:c>
      <x:c r="B1588" s="2" t="str">
        <x:v>L00099</x:v>
      </x:c>
      <x:c r="C1588" s="2" t="str">
        <x:v>SO-26020</x:v>
      </x:c>
      <x:c r="D1588" s="2" t="str">
        <x:v>R-C-SS</x:v>
      </x:c>
      <x:c r="E1588" s="14" t="n">
        <x:v>25</x:v>
      </x:c>
      <x:c r="F1588" s="2" t="str">
        <x:v>CNC machining</x:v>
      </x:c>
      <x:c r="G1588" s="9" t="str">
        <x:v>CNC-05</x:v>
      </x:c>
      <x:c r="H1588" s="15" t="n">
        <x:v>43</x:v>
      </x:c>
      <x:c r="I1588" s="9" t="str">
        <x:v>P13</x:v>
      </x:c>
      <x:c r="J1588" s="11" t="n">
        <x:v>46304.770833333336</x:v>
      </x:c>
      <x:c r="K1588" s="15" t="n">
        <x:v>18</x:v>
      </x:c>
      <x:c r="L1588" s="15" t="n">
        <x:v>60</x:v>
      </x:c>
      <x:c r="M1588" s="13" t="n">
        <x:f>J1588+(K1588+L1588)/1440</x:f>
        <x:v>46304.825000000004</x:v>
      </x:c>
      <x:c r="N1588" s="13" t="n">
        <x:f>VLOOKUP(C1588,'MES orders'!$A$8:$H$127,5,FALSE)</x:f>
        <x:v>46307.666666666664</x:v>
      </x:c>
      <x:c r="O1588" s="16" t="n">
        <x:f>MAX(0,(M1588-N1588)*24)</x:f>
        <x:v>0</x:v>
      </x:c>
      <x:c r="P1588" s="9" t="str">
        <x:v>No</x:v>
      </x:c>
      <x:c r="Q1588" s="15" t="n">
        <x:v>18</x:v>
      </x:c>
      <x:c r="R1588" s="13" t="n">
        <x:f>J1588+Q1588/1440</x:f>
        <x:v>46304.78333333333</x:v>
      </x:c>
      <x:c r="S1588" s="2" t="str">
        <x:f>VLOOKUP(C1588,'MES orders'!$A$8:$H$127,6,FALSE)</x:f>
        <x:v>Normal</x:v>
      </x:c>
      <x:c r="T1588" s="9" t="str"/>
    </x:row>
    <x:row r="1589" ht="22" customHeight="1">
      <x:c r="A1589" s="2" t="str">
        <x:v>L00458-060</x:v>
      </x:c>
      <x:c r="B1589" s="2" t="str">
        <x:v>L00458</x:v>
      </x:c>
      <x:c r="C1589" s="2" t="str">
        <x:v>SO-26092</x:v>
      </x:c>
      <x:c r="D1589" s="2" t="str">
        <x:v>R-C-SS</x:v>
      </x:c>
      <x:c r="E1589" s="14" t="n">
        <x:v>25</x:v>
      </x:c>
      <x:c r="F1589" s="2" t="str">
        <x:v>Final leak / function test</x:v>
      </x:c>
      <x:c r="G1589" s="9" t="str">
        <x:v>QA-02</x:v>
      </x:c>
      <x:c r="H1589" s="15" t="n">
        <x:v>112</x:v>
      </x:c>
      <x:c r="I1589" s="9" t="str">
        <x:v>P23</x:v>
      </x:c>
      <x:c r="J1589" s="11" t="n">
        <x:v>46304.770833333336</x:v>
      </x:c>
      <x:c r="K1589" s="15" t="n">
        <x:v>10</x:v>
      </x:c>
      <x:c r="L1589" s="15" t="n">
        <x:v>18</x:v>
      </x:c>
      <x:c r="M1589" s="13" t="n">
        <x:f>J1589+(K1589+L1589)/1440</x:f>
        <x:v>46304.79027777778</x:v>
      </x:c>
      <x:c r="N1589" s="13" t="n">
        <x:f>VLOOKUP(C1589,'MES orders'!$A$8:$H$127,5,FALSE)</x:f>
        <x:v>46307.666666666664</x:v>
      </x:c>
      <x:c r="O1589" s="16" t="n">
        <x:f>MAX(0,(M1589-N1589)*24)</x:f>
        <x:v>0</x:v>
      </x:c>
      <x:c r="P1589" s="9" t="str">
        <x:v>No</x:v>
      </x:c>
      <x:c r="Q1589" s="15" t="n">
        <x:v>28</x:v>
      </x:c>
      <x:c r="R1589" s="13" t="n">
        <x:f>J1589+Q1589/1440</x:f>
        <x:v>46304.79027777778</x:v>
      </x:c>
      <x:c r="S1589" s="2" t="str">
        <x:f>VLOOKUP(C1589,'MES orders'!$A$8:$H$127,6,FALSE)</x:f>
        <x:v>High</x:v>
      </x:c>
      <x:c r="T1589" s="9" t="str"/>
    </x:row>
    <x:row r="1590" ht="22" customHeight="1">
      <x:c r="A1590" s="2" t="str">
        <x:v>L00459-060</x:v>
      </x:c>
      <x:c r="B1590" s="2" t="str">
        <x:v>L00459</x:v>
      </x:c>
      <x:c r="C1590" s="2" t="str">
        <x:v>SO-26092</x:v>
      </x:c>
      <x:c r="D1590" s="2" t="str">
        <x:v>R-C-SS</x:v>
      </x:c>
      <x:c r="E1590" s="14" t="n">
        <x:v>25</x:v>
      </x:c>
      <x:c r="F1590" s="2" t="str">
        <x:v>Final leak / function test</x:v>
      </x:c>
      <x:c r="G1590" s="9" t="str">
        <x:v>QA-03</x:v>
      </x:c>
      <x:c r="H1590" s="15" t="n">
        <x:v>70</x:v>
      </x:c>
      <x:c r="I1590" s="9" t="str">
        <x:v>P24</x:v>
      </x:c>
      <x:c r="J1590" s="11" t="n">
        <x:v>46304.770833333336</x:v>
      </x:c>
      <x:c r="K1590" s="15" t="n">
        <x:v>10</x:v>
      </x:c>
      <x:c r="L1590" s="15" t="n">
        <x:v>18</x:v>
      </x:c>
      <x:c r="M1590" s="13" t="n">
        <x:f>J1590+(K1590+L1590)/1440</x:f>
        <x:v>46304.79027777778</x:v>
      </x:c>
      <x:c r="N1590" s="13" t="n">
        <x:f>VLOOKUP(C1590,'MES orders'!$A$8:$H$127,5,FALSE)</x:f>
        <x:v>46307.666666666664</x:v>
      </x:c>
      <x:c r="O1590" s="16" t="n">
        <x:f>MAX(0,(M1590-N1590)*24)</x:f>
        <x:v>0</x:v>
      </x:c>
      <x:c r="P1590" s="9" t="str">
        <x:v>No</x:v>
      </x:c>
      <x:c r="Q1590" s="15" t="n">
        <x:v>28</x:v>
      </x:c>
      <x:c r="R1590" s="13" t="n">
        <x:f>J1590+Q1590/1440</x:f>
        <x:v>46304.79027777778</x:v>
      </x:c>
      <x:c r="S1590" s="2" t="str">
        <x:f>VLOOKUP(C1590,'MES orders'!$A$8:$H$127,6,FALSE)</x:f>
        <x:v>High</x:v>
      </x:c>
      <x:c r="T1590" s="9" t="str"/>
    </x:row>
    <x:row r="1591" ht="22" customHeight="1">
      <x:c r="A1591" s="2" t="str">
        <x:v>L00019-030</x:v>
      </x:c>
      <x:c r="B1591" s="2" t="str">
        <x:v>L00019</x:v>
      </x:c>
      <x:c r="C1591" s="2" t="str">
        <x:v>SO-26004</x:v>
      </x:c>
      <x:c r="D1591" s="2" t="str">
        <x:v>D-S-SS</x:v>
      </x:c>
      <x:c r="E1591" s="14" t="n">
        <x:v>10</x:v>
      </x:c>
      <x:c r="F1591" s="2" t="str">
        <x:v>Wash &amp; dry</x:v>
      </x:c>
      <x:c r="G1591" s="9" t="str">
        <x:v>WS-01</x:v>
      </x:c>
      <x:c r="H1591" s="15" t="n">
        <x:v>147</x:v>
      </x:c>
      <x:c r="I1591" s="9" t="str">
        <x:v>P17</x:v>
      </x:c>
      <x:c r="J1591" s="11" t="n">
        <x:v>46304.770833333336</x:v>
      </x:c>
      <x:c r="K1591" s="15" t="n">
        <x:v>12</x:v>
      </x:c>
      <x:c r="L1591" s="15" t="n">
        <x:v>4</x:v>
      </x:c>
      <x:c r="M1591" s="13" t="n">
        <x:f>J1591+(K1591+L1591)/1440</x:f>
        <x:v>46304.78194444445</x:v>
      </x:c>
      <x:c r="N1591" s="13" t="n">
        <x:f>VLOOKUP(C1591,'MES orders'!$A$8:$H$127,5,FALSE)</x:f>
        <x:v>46307.666666666664</x:v>
      </x:c>
      <x:c r="O1591" s="16" t="n">
        <x:f>MAX(0,(M1591-N1591)*24)</x:f>
        <x:v>0</x:v>
      </x:c>
      <x:c r="P1591" s="9" t="str">
        <x:v>No</x:v>
      </x:c>
      <x:c r="Q1591" s="15" t="n">
        <x:v>16</x:v>
      </x:c>
      <x:c r="R1591" s="13" t="n">
        <x:f>J1591+Q1591/1440</x:f>
        <x:v>46304.78194444445</x:v>
      </x:c>
      <x:c r="S1591" s="2" t="str">
        <x:f>VLOOKUP(C1591,'MES orders'!$A$8:$H$127,6,FALSE)</x:f>
        <x:v>Normal</x:v>
      </x:c>
      <x:c r="T1591" s="9" t="str"/>
    </x:row>
    <x:row r="1592" ht="22" customHeight="1">
      <x:c r="A1592" s="2" t="str">
        <x:v>L00020-030</x:v>
      </x:c>
      <x:c r="B1592" s="2" t="str">
        <x:v>L00020</x:v>
      </x:c>
      <x:c r="C1592" s="2" t="str">
        <x:v>SO-26004</x:v>
      </x:c>
      <x:c r="D1592" s="2" t="str">
        <x:v>D-S-SS</x:v>
      </x:c>
      <x:c r="E1592" s="14" t="n">
        <x:v>10</x:v>
      </x:c>
      <x:c r="F1592" s="2" t="str">
        <x:v>Wash &amp; dry</x:v>
      </x:c>
      <x:c r="G1592" s="9" t="str">
        <x:v>WS-02</x:v>
      </x:c>
      <x:c r="H1592" s="15" t="n">
        <x:v>105</x:v>
      </x:c>
      <x:c r="I1592" s="9" t="str">
        <x:v>P18</x:v>
      </x:c>
      <x:c r="J1592" s="11" t="n">
        <x:v>46304.770833333336</x:v>
      </x:c>
      <x:c r="K1592" s="15" t="n">
        <x:v>12</x:v>
      </x:c>
      <x:c r="L1592" s="15" t="n">
        <x:v>4</x:v>
      </x:c>
      <x:c r="M1592" s="13" t="n">
        <x:f>J1592+(K1592+L1592)/1440</x:f>
        <x:v>46304.78194444445</x:v>
      </x:c>
      <x:c r="N1592" s="13" t="n">
        <x:f>VLOOKUP(C1592,'MES orders'!$A$8:$H$127,5,FALSE)</x:f>
        <x:v>46307.666666666664</x:v>
      </x:c>
      <x:c r="O1592" s="16" t="n">
        <x:f>MAX(0,(M1592-N1592)*24)</x:f>
        <x:v>0</x:v>
      </x:c>
      <x:c r="P1592" s="9" t="str">
        <x:v>No</x:v>
      </x:c>
      <x:c r="Q1592" s="15" t="n">
        <x:v>16</x:v>
      </x:c>
      <x:c r="R1592" s="13" t="n">
        <x:f>J1592+Q1592/1440</x:f>
        <x:v>46304.78194444445</x:v>
      </x:c>
      <x:c r="S1592" s="2" t="str">
        <x:f>VLOOKUP(C1592,'MES orders'!$A$8:$H$127,6,FALSE)</x:f>
        <x:v>Normal</x:v>
      </x:c>
      <x:c r="T1592" s="9" t="str"/>
    </x:row>
    <x:row r="1593" ht="22" customHeight="1">
      <x:c r="A1593" s="2" t="str">
        <x:v>L00100-010</x:v>
      </x:c>
      <x:c r="B1593" s="2" t="str">
        <x:v>L00100</x:v>
      </x:c>
      <x:c r="C1593" s="2" t="str">
        <x:v>SO-26020</x:v>
      </x:c>
      <x:c r="D1593" s="2" t="str">
        <x:v>R-C-SS</x:v>
      </x:c>
      <x:c r="E1593" s="14" t="n">
        <x:v>25</x:v>
      </x:c>
      <x:c r="F1593" s="2" t="str">
        <x:v>CNC machining</x:v>
      </x:c>
      <x:c r="G1593" s="9" t="str">
        <x:v>CNC-03</x:v>
      </x:c>
      <x:c r="H1593" s="15" t="n">
        <x:v>50</x:v>
      </x:c>
      <x:c r="I1593" s="9" t="str">
        <x:v>P14</x:v>
      </x:c>
      <x:c r="J1593" s="11" t="n">
        <x:v>46304.77361111111</x:v>
      </x:c>
      <x:c r="K1593" s="15" t="n">
        <x:v>18</x:v>
      </x:c>
      <x:c r="L1593" s="15" t="n">
        <x:v>60</x:v>
      </x:c>
      <x:c r="M1593" s="13" t="n">
        <x:f>J1593+(K1593+L1593)/1440</x:f>
        <x:v>46304.82777777778</x:v>
      </x:c>
      <x:c r="N1593" s="13" t="n">
        <x:f>VLOOKUP(C1593,'MES orders'!$A$8:$H$127,5,FALSE)</x:f>
        <x:v>46307.666666666664</x:v>
      </x:c>
      <x:c r="O1593" s="16" t="n">
        <x:f>MAX(0,(M1593-N1593)*24)</x:f>
        <x:v>0</x:v>
      </x:c>
      <x:c r="P1593" s="9" t="str">
        <x:v>No</x:v>
      </x:c>
      <x:c r="Q1593" s="15" t="n">
        <x:v>18</x:v>
      </x:c>
      <x:c r="R1593" s="13" t="n">
        <x:f>J1593+Q1593/1440</x:f>
        <x:v>46304.786111111105</x:v>
      </x:c>
      <x:c r="S1593" s="2" t="str">
        <x:f>VLOOKUP(C1593,'MES orders'!$A$8:$H$127,6,FALSE)</x:f>
        <x:v>Normal</x:v>
      </x:c>
      <x:c r="T1593" s="9" t="str"/>
    </x:row>
    <x:row r="1594" ht="22" customHeight="1">
      <x:c r="A1594" s="2" t="str">
        <x:v>L00136-010</x:v>
      </x:c>
      <x:c r="B1594" s="2" t="str">
        <x:v>L00136</x:v>
      </x:c>
      <x:c r="C1594" s="2" t="str">
        <x:v>SO-26028</x:v>
      </x:c>
      <x:c r="D1594" s="2" t="str">
        <x:v>R-S-SS</x:v>
      </x:c>
      <x:c r="E1594" s="14" t="n">
        <x:v>5</x:v>
      </x:c>
      <x:c r="F1594" s="2" t="str">
        <x:v>CNC machining</x:v>
      </x:c>
      <x:c r="G1594" s="9" t="str">
        <x:v>CNC-06</x:v>
      </x:c>
      <x:c r="H1594" s="15" t="n">
        <x:v>39</x:v>
      </x:c>
      <x:c r="I1594" s="9" t="str">
        <x:v>P15</x:v>
      </x:c>
      <x:c r="J1594" s="11" t="n">
        <x:v>46304.77569444444</x:v>
      </x:c>
      <x:c r="K1594" s="15" t="n">
        <x:v>18</x:v>
      </x:c>
      <x:c r="L1594" s="15" t="n">
        <x:v>15</x:v>
      </x:c>
      <x:c r="M1594" s="13" t="n">
        <x:f>J1594+(K1594+L1594)/1440</x:f>
        <x:v>46304.79861111111</x:v>
      </x:c>
      <x:c r="N1594" s="13" t="n">
        <x:f>VLOOKUP(C1594,'MES orders'!$A$8:$H$127,5,FALSE)</x:f>
        <x:v>46307.666666666664</x:v>
      </x:c>
      <x:c r="O1594" s="16" t="n">
        <x:f>MAX(0,(M1594-N1594)*24)</x:f>
        <x:v>0</x:v>
      </x:c>
      <x:c r="P1594" s="9" t="str">
        <x:v>No</x:v>
      </x:c>
      <x:c r="Q1594" s="15" t="n">
        <x:v>18</x:v>
      </x:c>
      <x:c r="R1594" s="13" t="n">
        <x:f>J1594+Q1594/1440</x:f>
        <x:v>46304.78819444444</x:v>
      </x:c>
      <x:c r="S1594" s="2" t="str">
        <x:f>VLOOKUP(C1594,'MES orders'!$A$8:$H$127,6,FALSE)</x:f>
        <x:v>Normal</x:v>
      </x:c>
      <x:c r="T1594" s="9" t="str"/>
    </x:row>
    <x:row r="1595" ht="22" customHeight="1">
      <x:c r="A1595" s="2" t="str">
        <x:v>L00019-040</x:v>
      </x:c>
      <x:c r="B1595" s="2" t="str">
        <x:v>L00019</x:v>
      </x:c>
      <x:c r="C1595" s="2" t="str">
        <x:v>SO-26004</x:v>
      </x:c>
      <x:c r="D1595" s="2" t="str">
        <x:v>D-S-SS</x:v>
      </x:c>
      <x:c r="E1595" s="14" t="n">
        <x:v>10</x:v>
      </x:c>
      <x:c r="F1595" s="2" t="str">
        <x:v>Mechanical assembly</x:v>
      </x:c>
      <x:c r="G1595" s="9" t="str">
        <x:v>AS-02</x:v>
      </x:c>
      <x:c r="H1595" s="15" t="n">
        <x:v>104</x:v>
      </x:c>
      <x:c r="I1595" s="9" t="str">
        <x:v>P17</x:v>
      </x:c>
      <x:c r="J1595" s="11" t="n">
        <x:v>46304.78194444445</x:v>
      </x:c>
      <x:c r="K1595" s="15" t="n">
        <x:v>8</x:v>
      </x:c>
      <x:c r="L1595" s="15" t="n">
        <x:v>18</x:v>
      </x:c>
      <x:c r="M1595" s="13" t="n">
        <x:f>J1595+(K1595+L1595)/1440</x:f>
        <x:v>46304.8</x:v>
      </x:c>
      <x:c r="N1595" s="13" t="n">
        <x:f>VLOOKUP(C1595,'MES orders'!$A$8:$H$127,5,FALSE)</x:f>
        <x:v>46307.666666666664</x:v>
      </x:c>
      <x:c r="O1595" s="16" t="n">
        <x:f>MAX(0,(M1595-N1595)*24)</x:f>
        <x:v>0</x:v>
      </x:c>
      <x:c r="P1595" s="9" t="str">
        <x:v>No</x:v>
      </x:c>
      <x:c r="Q1595" s="15" t="n">
        <x:v>26</x:v>
      </x:c>
      <x:c r="R1595" s="13" t="n">
        <x:f>J1595+Q1595/1440</x:f>
        <x:v>46304.8</x:v>
      </x:c>
      <x:c r="S1595" s="2" t="str">
        <x:f>VLOOKUP(C1595,'MES orders'!$A$8:$H$127,6,FALSE)</x:f>
        <x:v>Normal</x:v>
      </x:c>
      <x:c r="T1595" s="9" t="str"/>
    </x:row>
    <x:row r="1596" ht="22" customHeight="1">
      <x:c r="A1596" s="2" t="str">
        <x:v>L00020-040</x:v>
      </x:c>
      <x:c r="B1596" s="2" t="str">
        <x:v>L00020</x:v>
      </x:c>
      <x:c r="C1596" s="2" t="str">
        <x:v>SO-26004</x:v>
      </x:c>
      <x:c r="D1596" s="2" t="str">
        <x:v>D-S-SS</x:v>
      </x:c>
      <x:c r="E1596" s="14" t="n">
        <x:v>10</x:v>
      </x:c>
      <x:c r="F1596" s="2" t="str">
        <x:v>Mechanical assembly</x:v>
      </x:c>
      <x:c r="G1596" s="9" t="str">
        <x:v>AS-03</x:v>
      </x:c>
      <x:c r="H1596" s="15" t="n">
        <x:v>84</x:v>
      </x:c>
      <x:c r="I1596" s="9" t="str">
        <x:v>P18</x:v>
      </x:c>
      <x:c r="J1596" s="11" t="n">
        <x:v>46304.78194444445</x:v>
      </x:c>
      <x:c r="K1596" s="15" t="n">
        <x:v>8</x:v>
      </x:c>
      <x:c r="L1596" s="15" t="n">
        <x:v>18</x:v>
      </x:c>
      <x:c r="M1596" s="13" t="n">
        <x:f>J1596+(K1596+L1596)/1440</x:f>
        <x:v>46304.8</x:v>
      </x:c>
      <x:c r="N1596" s="13" t="n">
        <x:f>VLOOKUP(C1596,'MES orders'!$A$8:$H$127,5,FALSE)</x:f>
        <x:v>46307.666666666664</x:v>
      </x:c>
      <x:c r="O1596" s="16" t="n">
        <x:f>MAX(0,(M1596-N1596)*24)</x:f>
        <x:v>0</x:v>
      </x:c>
      <x:c r="P1596" s="9" t="str">
        <x:v>No</x:v>
      </x:c>
      <x:c r="Q1596" s="15" t="n">
        <x:v>26</x:v>
      </x:c>
      <x:c r="R1596" s="13" t="n">
        <x:f>J1596+Q1596/1440</x:f>
        <x:v>46304.8</x:v>
      </x:c>
      <x:c r="S1596" s="2" t="str">
        <x:f>VLOOKUP(C1596,'MES orders'!$A$8:$H$127,6,FALSE)</x:f>
        <x:v>Normal</x:v>
      </x:c>
      <x:c r="T1596" s="9" t="str"/>
    </x:row>
    <x:row r="1597" ht="22" customHeight="1">
      <x:c r="A1597" s="2" t="str">
        <x:v>L00421-020</x:v>
      </x:c>
      <x:c r="B1597" s="2" t="str">
        <x:v>L00421</x:v>
      </x:c>
      <x:c r="C1597" s="2" t="str">
        <x:v>SO-26085</x:v>
      </x:c>
      <x:c r="D1597" s="2" t="str">
        <x:v>S-C-AL</x:v>
      </x:c>
      <x:c r="E1597" s="14" t="n">
        <x:v>10</x:v>
      </x:c>
      <x:c r="F1597" s="2" t="str">
        <x:v>Deburr &amp; inspect</x:v>
      </x:c>
      <x:c r="G1597" s="9" t="str">
        <x:v>DB-01</x:v>
      </x:c>
      <x:c r="H1597" s="15" t="n">
        <x:v>153</x:v>
      </x:c>
      <x:c r="I1597" s="9" t="str">
        <x:v>P20</x:v>
      </x:c>
      <x:c r="J1597" s="11" t="n">
        <x:v>46304.782638888886</x:v>
      </x:c>
      <x:c r="K1597" s="15" t="n">
        <x:v>4</x:v>
      </x:c>
      <x:c r="L1597" s="15" t="n">
        <x:v>6</x:v>
      </x:c>
      <x:c r="M1597" s="13" t="n">
        <x:f>J1597+(K1597+L1597)/1440</x:f>
        <x:v>46304.78958333333</x:v>
      </x:c>
      <x:c r="N1597" s="13" t="n">
        <x:f>VLOOKUP(C1597,'MES orders'!$A$8:$H$127,5,FALSE)</x:f>
        <x:v>46308.666666666664</x:v>
      </x:c>
      <x:c r="O1597" s="16" t="n">
        <x:f>MAX(0,(M1597-N1597)*24)</x:f>
        <x:v>0</x:v>
      </x:c>
      <x:c r="P1597" s="9" t="str">
        <x:v>No</x:v>
      </x:c>
      <x:c r="Q1597" s="15" t="n">
        <x:v>10</x:v>
      </x:c>
      <x:c r="R1597" s="13" t="n">
        <x:f>J1597+Q1597/1440</x:f>
        <x:v>46304.78958333333</x:v>
      </x:c>
      <x:c r="S1597" s="2" t="str">
        <x:f>VLOOKUP(C1597,'MES orders'!$A$8:$H$127,6,FALSE)</x:f>
        <x:v>High</x:v>
      </x:c>
      <x:c r="T1597" s="9" t="str"/>
    </x:row>
    <x:row r="1598" ht="22" customHeight="1">
      <x:c r="A1598" s="2" t="str">
        <x:v>L00137-010</x:v>
      </x:c>
      <x:c r="B1598" s="2" t="str">
        <x:v>L00137</x:v>
      </x:c>
      <x:c r="C1598" s="2" t="str">
        <x:v>SO-26028</x:v>
      </x:c>
      <x:c r="D1598" s="2" t="str">
        <x:v>R-S-SS</x:v>
      </x:c>
      <x:c r="E1598" s="14" t="n">
        <x:v>5</x:v>
      </x:c>
      <x:c r="F1598" s="2" t="str">
        <x:v>CNC machining</x:v>
      </x:c>
      <x:c r="G1598" s="9" t="str">
        <x:v>CNC-04</x:v>
      </x:c>
      <x:c r="H1598" s="15" t="n">
        <x:v>48</x:v>
      </x:c>
      <x:c r="I1598" s="9" t="str">
        <x:v>P13</x:v>
      </x:c>
      <x:c r="J1598" s="11" t="n">
        <x:v>46304.78333333333</x:v>
      </x:c>
      <x:c r="K1598" s="15" t="n">
        <x:v>18</x:v>
      </x:c>
      <x:c r="L1598" s="15" t="n">
        <x:v>15</x:v>
      </x:c>
      <x:c r="M1598" s="13" t="n">
        <x:f>J1598+(K1598+L1598)/1440</x:f>
        <x:v>46304.80625</x:v>
      </x:c>
      <x:c r="N1598" s="13" t="n">
        <x:f>VLOOKUP(C1598,'MES orders'!$A$8:$H$127,5,FALSE)</x:f>
        <x:v>46307.666666666664</x:v>
      </x:c>
      <x:c r="O1598" s="16" t="n">
        <x:f>MAX(0,(M1598-N1598)*24)</x:f>
        <x:v>0</x:v>
      </x:c>
      <x:c r="P1598" s="9" t="str">
        <x:v>No</x:v>
      </x:c>
      <x:c r="Q1598" s="15" t="n">
        <x:v>18</x:v>
      </x:c>
      <x:c r="R1598" s="13" t="n">
        <x:f>J1598+Q1598/1440</x:f>
        <x:v>46304.79583333333</x:v>
      </x:c>
      <x:c r="S1598" s="2" t="str">
        <x:f>VLOOKUP(C1598,'MES orders'!$A$8:$H$127,6,FALSE)</x:f>
        <x:v>Normal</x:v>
      </x:c>
      <x:c r="T1598" s="9" t="str"/>
    </x:row>
    <x:row r="1599" ht="22" customHeight="1">
      <x:c r="A1599" s="2" t="str">
        <x:v>L00422-010</x:v>
      </x:c>
      <x:c r="B1599" s="2" t="str">
        <x:v>L00422</x:v>
      </x:c>
      <x:c r="C1599" s="2" t="str">
        <x:v>SO-26085</x:v>
      </x:c>
      <x:c r="D1599" s="2" t="str">
        <x:v>S-C-AL</x:v>
      </x:c>
      <x:c r="E1599" s="14" t="n">
        <x:v>10</x:v>
      </x:c>
      <x:c r="F1599" s="2" t="str">
        <x:v>CNC machining</x:v>
      </x:c>
      <x:c r="G1599" s="9" t="str">
        <x:v>CNC-01</x:v>
      </x:c>
      <x:c r="H1599" s="15" t="n">
        <x:v>51</x:v>
      </x:c>
      <x:c r="I1599" s="9" t="str">
        <x:v>P14</x:v>
      </x:c>
      <x:c r="J1599" s="11" t="n">
        <x:v>46304.78611111111</x:v>
      </x:c>
      <x:c r="K1599" s="15" t="n">
        <x:v>18</x:v>
      </x:c>
      <x:c r="L1599" s="15" t="n">
        <x:v>19</x:v>
      </x:c>
      <x:c r="M1599" s="13" t="n">
        <x:f>J1599+(K1599+L1599)/1440</x:f>
        <x:v>46304.81180555555</x:v>
      </x:c>
      <x:c r="N1599" s="13" t="n">
        <x:f>VLOOKUP(C1599,'MES orders'!$A$8:$H$127,5,FALSE)</x:f>
        <x:v>46308.666666666664</x:v>
      </x:c>
      <x:c r="O1599" s="16" t="n">
        <x:f>MAX(0,(M1599-N1599)*24)</x:f>
        <x:v>0</x:v>
      </x:c>
      <x:c r="P1599" s="9" t="str">
        <x:v>No</x:v>
      </x:c>
      <x:c r="Q1599" s="15" t="n">
        <x:v>18</x:v>
      </x:c>
      <x:c r="R1599" s="13" t="n">
        <x:f>J1599+Q1599/1440</x:f>
        <x:v>46304.79861111111</x:v>
      </x:c>
      <x:c r="S1599" s="2" t="str">
        <x:f>VLOOKUP(C1599,'MES orders'!$A$8:$H$127,6,FALSE)</x:f>
        <x:v>High</x:v>
      </x:c>
      <x:c r="T1599" s="9" t="str"/>
    </x:row>
    <x:row r="1600" ht="22" customHeight="1">
      <x:c r="A1600" s="2" t="str">
        <x:v>L00465-050</x:v>
      </x:c>
      <x:c r="B1600" s="2" t="str">
        <x:v>L00465</x:v>
      </x:c>
      <x:c r="C1600" s="2" t="str">
        <x:v>SO-26093</x:v>
      </x:c>
      <x:c r="D1600" s="2" t="str">
        <x:v>S-S-AL</x:v>
      </x:c>
      <x:c r="E1600" s="14" t="n">
        <x:v>15</x:v>
      </x:c>
      <x:c r="F1600" s="2" t="str">
        <x:v>Sensor installation</x:v>
      </x:c>
      <x:c r="G1600" s="9" t="str">
        <x:v>EL-01</x:v>
      </x:c>
      <x:c r="H1600" s="15" t="n">
        <x:v>52</x:v>
      </x:c>
      <x:c r="I1600" s="9" t="str">
        <x:v>P19</x:v>
      </x:c>
      <x:c r="J1600" s="11" t="n">
        <x:v>46304.78611111111</x:v>
      </x:c>
      <x:c r="K1600" s="15" t="n">
        <x:v>8</x:v>
      </x:c>
      <x:c r="L1600" s="15" t="n">
        <x:v>18</x:v>
      </x:c>
      <x:c r="M1600" s="13" t="n">
        <x:f>J1600+(K1600+L1600)/1440</x:f>
        <x:v>46304.80416666667</x:v>
      </x:c>
      <x:c r="N1600" s="13" t="n">
        <x:f>VLOOKUP(C1600,'MES orders'!$A$8:$H$127,5,FALSE)</x:f>
        <x:v>46308.666666666664</x:v>
      </x:c>
      <x:c r="O1600" s="16" t="n">
        <x:f>MAX(0,(M1600-N1600)*24)</x:f>
        <x:v>0</x:v>
      </x:c>
      <x:c r="P1600" s="9" t="str">
        <x:v>No</x:v>
      </x:c>
      <x:c r="Q1600" s="15" t="n">
        <x:v>26</x:v>
      </x:c>
      <x:c r="R1600" s="13" t="n">
        <x:f>J1600+Q1600/1440</x:f>
        <x:v>46304.80416666667</x:v>
      </x:c>
      <x:c r="S1600" s="2" t="str">
        <x:f>VLOOKUP(C1600,'MES orders'!$A$8:$H$127,6,FALSE)</x:f>
        <x:v>Urgent</x:v>
      </x:c>
      <x:c r="T1600" s="9" t="str"/>
    </x:row>
    <x:row r="1601" ht="22" customHeight="1">
      <x:c r="A1601" s="2" t="str">
        <x:v>L00057-040</x:v>
      </x:c>
      <x:c r="B1601" s="2" t="str">
        <x:v>L00057</x:v>
      </x:c>
      <x:c r="C1601" s="2" t="str">
        <x:v>SO-26012</x:v>
      </x:c>
      <x:c r="D1601" s="2" t="str">
        <x:v>D-L-SS</x:v>
      </x:c>
      <x:c r="E1601" s="14" t="n">
        <x:v>5</x:v>
      </x:c>
      <x:c r="F1601" s="2" t="str">
        <x:v>Mechanical assembly</x:v>
      </x:c>
      <x:c r="G1601" s="9" t="str">
        <x:v>AS-01</x:v>
      </x:c>
      <x:c r="H1601" s="15" t="n">
        <x:v>129</x:v>
      </x:c>
      <x:c r="I1601" s="9" t="str">
        <x:v>P16</x:v>
      </x:c>
      <x:c r="J1601" s="11" t="n">
        <x:v>46304.78888888889</x:v>
      </x:c>
      <x:c r="K1601" s="15" t="n">
        <x:v>8</x:v>
      </x:c>
      <x:c r="L1601" s="15" t="n">
        <x:v>12</x:v>
      </x:c>
      <x:c r="M1601" s="13" t="n">
        <x:f>J1601+(K1601+L1601)/1440</x:f>
        <x:v>46304.80277777778</x:v>
      </x:c>
      <x:c r="N1601" s="13" t="n">
        <x:f>VLOOKUP(C1601,'MES orders'!$A$8:$H$127,5,FALSE)</x:f>
        <x:v>46307.666666666664</x:v>
      </x:c>
      <x:c r="O1601" s="16" t="n">
        <x:f>MAX(0,(M1601-N1601)*24)</x:f>
        <x:v>0</x:v>
      </x:c>
      <x:c r="P1601" s="9" t="str">
        <x:v>No</x:v>
      </x:c>
      <x:c r="Q1601" s="15" t="n">
        <x:v>20</x:v>
      </x:c>
      <x:c r="R1601" s="13" t="n">
        <x:f>J1601+Q1601/1440</x:f>
        <x:v>46304.80277777778</x:v>
      </x:c>
      <x:c r="S1601" s="2" t="str">
        <x:f>VLOOKUP(C1601,'MES orders'!$A$8:$H$127,6,FALSE)</x:f>
        <x:v>Normal</x:v>
      </x:c>
      <x:c r="T1601" s="9" t="str"/>
    </x:row>
    <x:row r="1602" ht="22" customHeight="1">
      <x:c r="A1602" s="2" t="str">
        <x:v>L00421-030</x:v>
      </x:c>
      <x:c r="B1602" s="2" t="str">
        <x:v>L00421</x:v>
      </x:c>
      <x:c r="C1602" s="2" t="str">
        <x:v>SO-26085</x:v>
      </x:c>
      <x:c r="D1602" s="2" t="str">
        <x:v>S-C-AL</x:v>
      </x:c>
      <x:c r="E1602" s="14" t="n">
        <x:v>10</x:v>
      </x:c>
      <x:c r="F1602" s="2" t="str">
        <x:v>Wash &amp; dry</x:v>
      </x:c>
      <x:c r="G1602" s="9" t="str">
        <x:v>WS-01</x:v>
      </x:c>
      <x:c r="H1602" s="15" t="n">
        <x:v>148</x:v>
      </x:c>
      <x:c r="I1602" s="9" t="str">
        <x:v>P15</x:v>
      </x:c>
      <x:c r="J1602" s="11" t="n">
        <x:v>46304.78958333333</x:v>
      </x:c>
      <x:c r="K1602" s="15" t="n">
        <x:v>12</x:v>
      </x:c>
      <x:c r="L1602" s="15" t="n">
        <x:v>3</x:v>
      </x:c>
      <x:c r="M1602" s="13" t="n">
        <x:f>J1602+(K1602+L1602)/1440</x:f>
        <x:v>46304.799999999996</x:v>
      </x:c>
      <x:c r="N1602" s="13" t="n">
        <x:f>VLOOKUP(C1602,'MES orders'!$A$8:$H$127,5,FALSE)</x:f>
        <x:v>46308.666666666664</x:v>
      </x:c>
      <x:c r="O1602" s="16" t="n">
        <x:f>MAX(0,(M1602-N1602)*24)</x:f>
        <x:v>0</x:v>
      </x:c>
      <x:c r="P1602" s="9" t="str">
        <x:v>No</x:v>
      </x:c>
      <x:c r="Q1602" s="15" t="n">
        <x:v>15</x:v>
      </x:c>
      <x:c r="R1602" s="13" t="n">
        <x:f>J1602+Q1602/1440</x:f>
        <x:v>46304.799999999996</x:v>
      </x:c>
      <x:c r="S1602" s="2" t="str">
        <x:f>VLOOKUP(C1602,'MES orders'!$A$8:$H$127,6,FALSE)</x:f>
        <x:v>High</x:v>
      </x:c>
      <x:c r="T1602" s="9" t="str"/>
    </x:row>
    <x:row r="1603" ht="22" customHeight="1">
      <x:c r="A1603" s="2" t="str">
        <x:v>L00018-050</x:v>
      </x:c>
      <x:c r="B1603" s="2" t="str">
        <x:v>L00018</x:v>
      </x:c>
      <x:c r="C1603" s="2" t="str">
        <x:v>SO-26004</x:v>
      </x:c>
      <x:c r="D1603" s="2" t="str">
        <x:v>D-S-SS</x:v>
      </x:c>
      <x:c r="E1603" s="14" t="n">
        <x:v>10</x:v>
      </x:c>
      <x:c r="F1603" s="2" t="str">
        <x:v>Final leak / function test</x:v>
      </x:c>
      <x:c r="G1603" s="9" t="str">
        <x:v>QA-01</x:v>
      </x:c>
      <x:c r="H1603" s="15" t="n">
        <x:v>63</x:v>
      </x:c>
      <x:c r="I1603" s="9" t="str">
        <x:v>P23</x:v>
      </x:c>
      <x:c r="J1603" s="11" t="n">
        <x:v>46304.79027777778</x:v>
      </x:c>
      <x:c r="K1603" s="15" t="n">
        <x:v>10</x:v>
      </x:c>
      <x:c r="L1603" s="15" t="n">
        <x:v>9</x:v>
      </x:c>
      <x:c r="M1603" s="13" t="n">
        <x:f>J1603+(K1603+L1603)/1440</x:f>
        <x:v>46304.80347222222</x:v>
      </x:c>
      <x:c r="N1603" s="13" t="n">
        <x:f>VLOOKUP(C1603,'MES orders'!$A$8:$H$127,5,FALSE)</x:f>
        <x:v>46307.666666666664</x:v>
      </x:c>
      <x:c r="O1603" s="16" t="n">
        <x:f>MAX(0,(M1603-N1603)*24)</x:f>
        <x:v>0</x:v>
      </x:c>
      <x:c r="P1603" s="9" t="str">
        <x:v>No</x:v>
      </x:c>
      <x:c r="Q1603" s="15" t="n">
        <x:v>19</x:v>
      </x:c>
      <x:c r="R1603" s="13" t="n">
        <x:f>J1603+Q1603/1440</x:f>
        <x:v>46304.80347222222</x:v>
      </x:c>
      <x:c r="S1603" s="2" t="str">
        <x:f>VLOOKUP(C1603,'MES orders'!$A$8:$H$127,6,FALSE)</x:f>
        <x:v>Normal</x:v>
      </x:c>
      <x:c r="T1603" s="9" t="str"/>
    </x:row>
    <x:row r="1604" ht="22" customHeight="1">
      <x:c r="A1604" s="2" t="str">
        <x:v>L00464-080</x:v>
      </x:c>
      <x:c r="B1604" s="2" t="str">
        <x:v>L00464</x:v>
      </x:c>
      <x:c r="C1604" s="2" t="str">
        <x:v>SO-26093</x:v>
      </x:c>
      <x:c r="D1604" s="2" t="str">
        <x:v>S-S-AL</x:v>
      </x:c>
      <x:c r="E1604" s="14" t="n">
        <x:v>15</x:v>
      </x:c>
      <x:c r="F1604" s="2" t="str">
        <x:v>Final leak / function test</x:v>
      </x:c>
      <x:c r="G1604" s="9" t="str">
        <x:v>QA-03</x:v>
      </x:c>
      <x:c r="H1604" s="15" t="n">
        <x:v>71</x:v>
      </x:c>
      <x:c r="I1604" s="9" t="str">
        <x:v>P22</x:v>
      </x:c>
      <x:c r="J1604" s="11" t="n">
        <x:v>46304.79027777778</x:v>
      </x:c>
      <x:c r="K1604" s="15" t="n">
        <x:v>10</x:v>
      </x:c>
      <x:c r="L1604" s="15" t="n">
        <x:v>14</x:v>
      </x:c>
      <x:c r="M1604" s="13" t="n">
        <x:f>J1604+(K1604+L1604)/1440</x:f>
        <x:v>46304.80694444445</x:v>
      </x:c>
      <x:c r="N1604" s="13" t="n">
        <x:f>VLOOKUP(C1604,'MES orders'!$A$8:$H$127,5,FALSE)</x:f>
        <x:v>46308.666666666664</x:v>
      </x:c>
      <x:c r="O1604" s="16" t="n">
        <x:f>MAX(0,(M1604-N1604)*24)</x:f>
        <x:v>0</x:v>
      </x:c>
      <x:c r="P1604" s="9" t="str">
        <x:v>No</x:v>
      </x:c>
      <x:c r="Q1604" s="15" t="n">
        <x:v>24</x:v>
      </x:c>
      <x:c r="R1604" s="13" t="n">
        <x:f>J1604+Q1604/1440</x:f>
        <x:v>46304.80694444445</x:v>
      </x:c>
      <x:c r="S1604" s="2" t="str">
        <x:f>VLOOKUP(C1604,'MES orders'!$A$8:$H$127,6,FALSE)</x:f>
        <x:v>Urgent</x:v>
      </x:c>
      <x:c r="T1604" s="9" t="str"/>
    </x:row>
    <x:row r="1605" ht="22" customHeight="1">
      <x:c r="A1605" s="2" t="str">
        <x:v>L00423-010</x:v>
      </x:c>
      <x:c r="B1605" s="2" t="str">
        <x:v>L00423</x:v>
      </x:c>
      <x:c r="C1605" s="2" t="str">
        <x:v>SO-26085</x:v>
      </x:c>
      <x:c r="D1605" s="2" t="str">
        <x:v>S-C-AL</x:v>
      </x:c>
      <x:c r="E1605" s="14" t="n">
        <x:v>10</x:v>
      </x:c>
      <x:c r="F1605" s="2" t="str">
        <x:v>CNC machining</x:v>
      </x:c>
      <x:c r="G1605" s="9" t="str">
        <x:v>CNC-02</x:v>
      </x:c>
      <x:c r="H1605" s="15" t="n">
        <x:v>34</x:v>
      </x:c>
      <x:c r="I1605" s="9" t="str">
        <x:v>P13</x:v>
      </x:c>
      <x:c r="J1605" s="11" t="n">
        <x:v>46304.79583333333</x:v>
      </x:c>
      <x:c r="K1605" s="15" t="n">
        <x:v>18</x:v>
      </x:c>
      <x:c r="L1605" s="15" t="n">
        <x:v>19</x:v>
      </x:c>
      <x:c r="M1605" s="13" t="n">
        <x:f>J1605+(K1605+L1605)/1440</x:f>
        <x:v>46304.82152777777</x:v>
      </x:c>
      <x:c r="N1605" s="13" t="n">
        <x:f>VLOOKUP(C1605,'MES orders'!$A$8:$H$127,5,FALSE)</x:f>
        <x:v>46308.666666666664</x:v>
      </x:c>
      <x:c r="O1605" s="16" t="n">
        <x:f>MAX(0,(M1605-N1605)*24)</x:f>
        <x:v>0</x:v>
      </x:c>
      <x:c r="P1605" s="9" t="str">
        <x:v>No</x:v>
      </x:c>
      <x:c r="Q1605" s="15" t="n">
        <x:v>18</x:v>
      </x:c>
      <x:c r="R1605" s="13" t="n">
        <x:f>J1605+Q1605/1440</x:f>
        <x:v>46304.80833333333</x:v>
      </x:c>
      <x:c r="S1605" s="2" t="str">
        <x:f>VLOOKUP(C1605,'MES orders'!$A$8:$H$127,6,FALSE)</x:f>
        <x:v>High</x:v>
      </x:c>
      <x:c r="T1605" s="9" t="str"/>
    </x:row>
    <x:row r="1606" ht="22" customHeight="1">
      <x:c r="A1606" s="2" t="str">
        <x:v>L00138-010</x:v>
      </x:c>
      <x:c r="B1606" s="2" t="str">
        <x:v>L00138</x:v>
      </x:c>
      <x:c r="C1606" s="2" t="str">
        <x:v>SO-26028</x:v>
      </x:c>
      <x:c r="D1606" s="2" t="str">
        <x:v>R-S-SS</x:v>
      </x:c>
      <x:c r="E1606" s="14" t="n">
        <x:v>5</x:v>
      </x:c>
      <x:c r="F1606" s="2" t="str">
        <x:v>CNC machining</x:v>
      </x:c>
      <x:c r="G1606" s="9" t="str">
        <x:v>CNC-06</x:v>
      </x:c>
      <x:c r="H1606" s="15" t="n">
        <x:v>40</x:v>
      </x:c>
      <x:c r="I1606" s="9" t="str">
        <x:v>P14</x:v>
      </x:c>
      <x:c r="J1606" s="11" t="n">
        <x:v>46304.79861111111</x:v>
      </x:c>
      <x:c r="K1606" s="15" t="n">
        <x:v>18</x:v>
      </x:c>
      <x:c r="L1606" s="15" t="n">
        <x:v>15</x:v>
      </x:c>
      <x:c r="M1606" s="13" t="n">
        <x:f>J1606+(K1606+L1606)/1440</x:f>
        <x:v>46304.82152777778</x:v>
      </x:c>
      <x:c r="N1606" s="13" t="n">
        <x:f>VLOOKUP(C1606,'MES orders'!$A$8:$H$127,5,FALSE)</x:f>
        <x:v>46307.666666666664</x:v>
      </x:c>
      <x:c r="O1606" s="16" t="n">
        <x:f>MAX(0,(M1606-N1606)*24)</x:f>
        <x:v>0</x:v>
      </x:c>
      <x:c r="P1606" s="9" t="str">
        <x:v>No</x:v>
      </x:c>
      <x:c r="Q1606" s="15" t="n">
        <x:v>18</x:v>
      </x:c>
      <x:c r="R1606" s="13" t="n">
        <x:f>J1606+Q1606/1440</x:f>
        <x:v>46304.81111111111</x:v>
      </x:c>
      <x:c r="S1606" s="2" t="str">
        <x:f>VLOOKUP(C1606,'MES orders'!$A$8:$H$127,6,FALSE)</x:f>
        <x:v>Normal</x:v>
      </x:c>
      <x:c r="T1606" s="9" t="str"/>
    </x:row>
    <x:row r="1607" ht="22" customHeight="1">
      <x:c r="A1607" s="2" t="str">
        <x:v>L00421-040</x:v>
      </x:c>
      <x:c r="B1607" s="2" t="str">
        <x:v>L00421</x:v>
      </x:c>
      <x:c r="C1607" s="2" t="str">
        <x:v>SO-26085</x:v>
      </x:c>
      <x:c r="D1607" s="2" t="str">
        <x:v>S-C-AL</x:v>
      </x:c>
      <x:c r="E1607" s="14" t="n">
        <x:v>10</x:v>
      </x:c>
      <x:c r="F1607" s="2" t="str">
        <x:v>Mechanical preassembly</x:v>
      </x:c>
      <x:c r="G1607" s="9" t="str">
        <x:v>AS-02</x:v>
      </x:c>
      <x:c r="H1607" s="15" t="n">
        <x:v>105</x:v>
      </x:c>
      <x:c r="I1607" s="9" t="str">
        <x:v>P20</x:v>
      </x:c>
      <x:c r="J1607" s="11" t="n">
        <x:v>46304.8</x:v>
      </x:c>
      <x:c r="K1607" s="15" t="n">
        <x:v>6</x:v>
      </x:c>
      <x:c r="L1607" s="15" t="n">
        <x:v>9</x:v>
      </x:c>
      <x:c r="M1607" s="13" t="n">
        <x:f>J1607+(K1607+L1607)/1440</x:f>
        <x:v>46304.81041666667</x:v>
      </x:c>
      <x:c r="N1607" s="13" t="n">
        <x:f>VLOOKUP(C1607,'MES orders'!$A$8:$H$127,5,FALSE)</x:f>
        <x:v>46308.666666666664</x:v>
      </x:c>
      <x:c r="O1607" s="16" t="n">
        <x:f>MAX(0,(M1607-N1607)*24)</x:f>
        <x:v>0</x:v>
      </x:c>
      <x:c r="P1607" s="9" t="str">
        <x:v>No</x:v>
      </x:c>
      <x:c r="Q1607" s="15" t="n">
        <x:v>15</x:v>
      </x:c>
      <x:c r="R1607" s="13" t="n">
        <x:f>J1607+Q1607/1440</x:f>
        <x:v>46304.81041666667</x:v>
      </x:c>
      <x:c r="S1607" s="2" t="str">
        <x:f>VLOOKUP(C1607,'MES orders'!$A$8:$H$127,6,FALSE)</x:f>
        <x:v>High</x:v>
      </x:c>
      <x:c r="T1607" s="9" t="str"/>
    </x:row>
    <x:row r="1608" ht="22" customHeight="1">
      <x:c r="A1608" s="2" t="str">
        <x:v>L00059-020</x:v>
      </x:c>
      <x:c r="B1608" s="2" t="str">
        <x:v>L00059</x:v>
      </x:c>
      <x:c r="C1608" s="2" t="str">
        <x:v>SO-26012</x:v>
      </x:c>
      <x:c r="D1608" s="2" t="str">
        <x:v>D-L-SS</x:v>
      </x:c>
      <x:c r="E1608" s="14" t="n">
        <x:v>5</x:v>
      </x:c>
      <x:c r="F1608" s="2" t="str">
        <x:v>Deburr &amp; inspect</x:v>
      </x:c>
      <x:c r="G1608" s="9" t="str">
        <x:v>DB-01</x:v>
      </x:c>
      <x:c r="H1608" s="15" t="n">
        <x:v>154</x:v>
      </x:c>
      <x:c r="I1608" s="9" t="str">
        <x:v>P18</x:v>
      </x:c>
      <x:c r="J1608" s="11" t="n">
        <x:v>46304.8</x:v>
      </x:c>
      <x:c r="K1608" s="15" t="n">
        <x:v>4</x:v>
      </x:c>
      <x:c r="L1608" s="15" t="n">
        <x:v>5</x:v>
      </x:c>
      <x:c r="M1608" s="13" t="n">
        <x:f>J1608+(K1608+L1608)/1440</x:f>
        <x:v>46304.80625</x:v>
      </x:c>
      <x:c r="N1608" s="13" t="n">
        <x:f>VLOOKUP(C1608,'MES orders'!$A$8:$H$127,5,FALSE)</x:f>
        <x:v>46307.666666666664</x:v>
      </x:c>
      <x:c r="O1608" s="16" t="n">
        <x:f>MAX(0,(M1608-N1608)*24)</x:f>
        <x:v>0</x:v>
      </x:c>
      <x:c r="P1608" s="9" t="str">
        <x:v>No</x:v>
      </x:c>
      <x:c r="Q1608" s="15" t="n">
        <x:v>9</x:v>
      </x:c>
      <x:c r="R1608" s="13" t="n">
        <x:f>J1608+Q1608/1440</x:f>
        <x:v>46304.80625</x:v>
      </x:c>
      <x:c r="S1608" s="2" t="str">
        <x:f>VLOOKUP(C1608,'MES orders'!$A$8:$H$127,6,FALSE)</x:f>
        <x:v>Normal</x:v>
      </x:c>
      <x:c r="T1608" s="9" t="str"/>
    </x:row>
    <x:row r="1609" ht="22" customHeight="1">
      <x:c r="A1609" s="2" t="str">
        <x:v>L00019-050</x:v>
      </x:c>
      <x:c r="B1609" s="2" t="str">
        <x:v>L00019</x:v>
      </x:c>
      <x:c r="C1609" s="2" t="str">
        <x:v>SO-26004</x:v>
      </x:c>
      <x:c r="D1609" s="2" t="str">
        <x:v>D-S-SS</x:v>
      </x:c>
      <x:c r="E1609" s="14" t="n">
        <x:v>10</x:v>
      </x:c>
      <x:c r="F1609" s="2" t="str">
        <x:v>Final leak / function test</x:v>
      </x:c>
      <x:c r="G1609" s="9" t="str">
        <x:v>QA-02</x:v>
      </x:c>
      <x:c r="H1609" s="15" t="n">
        <x:v>113</x:v>
      </x:c>
      <x:c r="I1609" s="9" t="str">
        <x:v>P24</x:v>
      </x:c>
      <x:c r="J1609" s="11" t="n">
        <x:v>46304.8</x:v>
      </x:c>
      <x:c r="K1609" s="15" t="n">
        <x:v>10</x:v>
      </x:c>
      <x:c r="L1609" s="15" t="n">
        <x:v>9</x:v>
      </x:c>
      <x:c r="M1609" s="13" t="n">
        <x:f>J1609+(K1609+L1609)/1440</x:f>
        <x:v>46304.81319444445</x:v>
      </x:c>
      <x:c r="N1609" s="13" t="n">
        <x:f>VLOOKUP(C1609,'MES orders'!$A$8:$H$127,5,FALSE)</x:f>
        <x:v>46307.666666666664</x:v>
      </x:c>
      <x:c r="O1609" s="16" t="n">
        <x:f>MAX(0,(M1609-N1609)*24)</x:f>
        <x:v>0</x:v>
      </x:c>
      <x:c r="P1609" s="9" t="str">
        <x:v>No</x:v>
      </x:c>
      <x:c r="Q1609" s="15" t="n">
        <x:v>19</x:v>
      </x:c>
      <x:c r="R1609" s="13" t="n">
        <x:f>J1609+Q1609/1440</x:f>
        <x:v>46304.81319444445</x:v>
      </x:c>
      <x:c r="S1609" s="2" t="str">
        <x:f>VLOOKUP(C1609,'MES orders'!$A$8:$H$127,6,FALSE)</x:f>
        <x:v>Normal</x:v>
      </x:c>
      <x:c r="T1609" s="9" t="str"/>
    </x:row>
    <x:row r="1610" ht="22" customHeight="1">
      <x:c r="A1610" s="2" t="str">
        <x:v>L00058-030</x:v>
      </x:c>
      <x:c r="B1610" s="2" t="str">
        <x:v>L00058</x:v>
      </x:c>
      <x:c r="C1610" s="2" t="str">
        <x:v>SO-26012</x:v>
      </x:c>
      <x:c r="D1610" s="2" t="str">
        <x:v>D-L-SS</x:v>
      </x:c>
      <x:c r="E1610" s="14" t="n">
        <x:v>5</x:v>
      </x:c>
      <x:c r="F1610" s="2" t="str">
        <x:v>Wash &amp; dry</x:v>
      </x:c>
      <x:c r="G1610" s="9" t="str">
        <x:v>WS-01</x:v>
      </x:c>
      <x:c r="H1610" s="15" t="n">
        <x:v>149</x:v>
      </x:c>
      <x:c r="I1610" s="9" t="str">
        <x:v>P17</x:v>
      </x:c>
      <x:c r="J1610" s="11" t="n">
        <x:v>46304.8</x:v>
      </x:c>
      <x:c r="K1610" s="15" t="n">
        <x:v>12</x:v>
      </x:c>
      <x:c r="L1610" s="15" t="n">
        <x:v>2</x:v>
      </x:c>
      <x:c r="M1610" s="13" t="n">
        <x:f>J1610+(K1610+L1610)/1440</x:f>
        <x:v>46304.80972222223</x:v>
      </x:c>
      <x:c r="N1610" s="13" t="n">
        <x:f>VLOOKUP(C1610,'MES orders'!$A$8:$H$127,5,FALSE)</x:f>
        <x:v>46307.666666666664</x:v>
      </x:c>
      <x:c r="O1610" s="16" t="n">
        <x:f>MAX(0,(M1610-N1610)*24)</x:f>
        <x:v>0</x:v>
      </x:c>
      <x:c r="P1610" s="9" t="str">
        <x:v>No</x:v>
      </x:c>
      <x:c r="Q1610" s="15" t="n">
        <x:v>14</x:v>
      </x:c>
      <x:c r="R1610" s="13" t="n">
        <x:f>J1610+Q1610/1440</x:f>
        <x:v>46304.80972222223</x:v>
      </x:c>
      <x:c r="S1610" s="2" t="str">
        <x:f>VLOOKUP(C1610,'MES orders'!$A$8:$H$127,6,FALSE)</x:f>
        <x:v>Normal</x:v>
      </x:c>
      <x:c r="T1610" s="9" t="str"/>
    </x:row>
    <x:row r="1611" ht="22" customHeight="1">
      <x:c r="A1611" s="2" t="str">
        <x:v>L00060-020</x:v>
      </x:c>
      <x:c r="B1611" s="2" t="str">
        <x:v>L00060</x:v>
      </x:c>
      <x:c r="C1611" s="2" t="str">
        <x:v>SO-26012</x:v>
      </x:c>
      <x:c r="D1611" s="2" t="str">
        <x:v>D-L-SS</x:v>
      </x:c>
      <x:c r="E1611" s="14" t="n">
        <x:v>5</x:v>
      </x:c>
      <x:c r="F1611" s="2" t="str">
        <x:v>Deburr &amp; inspect</x:v>
      </x:c>
      <x:c r="G1611" s="9" t="str">
        <x:v>DB-02</x:v>
      </x:c>
      <x:c r="H1611" s="15" t="n">
        <x:v>102</x:v>
      </x:c>
      <x:c r="I1611" s="9" t="str">
        <x:v>P16</x:v>
      </x:c>
      <x:c r="J1611" s="11" t="n">
        <x:v>46304.802777777775</x:v>
      </x:c>
      <x:c r="K1611" s="15" t="n">
        <x:v>4</x:v>
      </x:c>
      <x:c r="L1611" s="15" t="n">
        <x:v>5</x:v>
      </x:c>
      <x:c r="M1611" s="13" t="n">
        <x:f>J1611+(K1611+L1611)/1440</x:f>
        <x:v>46304.809027777774</x:v>
      </x:c>
      <x:c r="N1611" s="13" t="n">
        <x:f>VLOOKUP(C1611,'MES orders'!$A$8:$H$127,5,FALSE)</x:f>
        <x:v>46307.666666666664</x:v>
      </x:c>
      <x:c r="O1611" s="16" t="n">
        <x:f>MAX(0,(M1611-N1611)*24)</x:f>
        <x:v>0</x:v>
      </x:c>
      <x:c r="P1611" s="9" t="str">
        <x:v>No</x:v>
      </x:c>
      <x:c r="Q1611" s="15" t="n">
        <x:v>9</x:v>
      </x:c>
      <x:c r="R1611" s="13" t="n">
        <x:f>J1611+Q1611/1440</x:f>
        <x:v>46304.809027777774</x:v>
      </x:c>
      <x:c r="S1611" s="2" t="str">
        <x:f>VLOOKUP(C1611,'MES orders'!$A$8:$H$127,6,FALSE)</x:f>
        <x:v>Normal</x:v>
      </x:c>
      <x:c r="T1611" s="9" t="str"/>
    </x:row>
    <x:row r="1612" ht="22" customHeight="1">
      <x:c r="A1612" s="2" t="str">
        <x:v>L00020-050</x:v>
      </x:c>
      <x:c r="B1612" s="2" t="str">
        <x:v>L00020</x:v>
      </x:c>
      <x:c r="C1612" s="2" t="str">
        <x:v>SO-26004</x:v>
      </x:c>
      <x:c r="D1612" s="2" t="str">
        <x:v>D-S-SS</x:v>
      </x:c>
      <x:c r="E1612" s="14" t="n">
        <x:v>10</x:v>
      </x:c>
      <x:c r="F1612" s="2" t="str">
        <x:v>Final leak / function test</x:v>
      </x:c>
      <x:c r="G1612" s="9" t="str">
        <x:v>QA-01</x:v>
      </x:c>
      <x:c r="H1612" s="15" t="n">
        <x:v>64</x:v>
      </x:c>
      <x:c r="I1612" s="9" t="str">
        <x:v>P23</x:v>
      </x:c>
      <x:c r="J1612" s="11" t="n">
        <x:v>46304.80347222222</x:v>
      </x:c>
      <x:c r="K1612" s="15" t="n">
        <x:v>10</x:v>
      </x:c>
      <x:c r="L1612" s="15" t="n">
        <x:v>9</x:v>
      </x:c>
      <x:c r="M1612" s="13" t="n">
        <x:f>J1612+(K1612+L1612)/1440</x:f>
        <x:v>46304.816666666666</x:v>
      </x:c>
      <x:c r="N1612" s="13" t="n">
        <x:f>VLOOKUP(C1612,'MES orders'!$A$8:$H$127,5,FALSE)</x:f>
        <x:v>46307.666666666664</x:v>
      </x:c>
      <x:c r="O1612" s="16" t="n">
        <x:f>MAX(0,(M1612-N1612)*24)</x:f>
        <x:v>0</x:v>
      </x:c>
      <x:c r="P1612" s="9" t="str">
        <x:v>No</x:v>
      </x:c>
      <x:c r="Q1612" s="15" t="n">
        <x:v>19</x:v>
      </x:c>
      <x:c r="R1612" s="13" t="n">
        <x:f>J1612+Q1612/1440</x:f>
        <x:v>46304.816666666666</x:v>
      </x:c>
      <x:c r="S1612" s="2" t="str">
        <x:f>VLOOKUP(C1612,'MES orders'!$A$8:$H$127,6,FALSE)</x:f>
        <x:v>Normal</x:v>
      </x:c>
      <x:c r="T1612" s="9" t="str"/>
    </x:row>
    <x:row r="1613" ht="22" customHeight="1">
      <x:c r="A1613" s="2" t="str">
        <x:v>L00465-060</x:v>
      </x:c>
      <x:c r="B1613" s="2" t="str">
        <x:v>L00465</x:v>
      </x:c>
      <x:c r="C1613" s="2" t="str">
        <x:v>SO-26093</x:v>
      </x:c>
      <x:c r="D1613" s="2" t="str">
        <x:v>S-S-AL</x:v>
      </x:c>
      <x:c r="E1613" s="14" t="n">
        <x:v>15</x:v>
      </x:c>
      <x:c r="F1613" s="2" t="str">
        <x:v>Sensor calibration</x:v>
      </x:c>
      <x:c r="G1613" s="9" t="str">
        <x:v>CAL-01</x:v>
      </x:c>
      <x:c r="H1613" s="15" t="n">
        <x:v>80</x:v>
      </x:c>
      <x:c r="I1613" s="9" t="str">
        <x:v>P21</x:v>
      </x:c>
      <x:c r="J1613" s="11" t="n">
        <x:v>46304.80416666667</x:v>
      </x:c>
      <x:c r="K1613" s="15" t="n">
        <x:v>10</x:v>
      </x:c>
      <x:c r="L1613" s="15" t="n">
        <x:v>20</x:v>
      </x:c>
      <x:c r="M1613" s="13" t="n">
        <x:f>J1613+(K1613+L1613)/1440</x:f>
        <x:v>46304.825000000004</x:v>
      </x:c>
      <x:c r="N1613" s="13" t="n">
        <x:f>VLOOKUP(C1613,'MES orders'!$A$8:$H$127,5,FALSE)</x:f>
        <x:v>46308.666666666664</x:v>
      </x:c>
      <x:c r="O1613" s="16" t="n">
        <x:f>MAX(0,(M1613-N1613)*24)</x:f>
        <x:v>0</x:v>
      </x:c>
      <x:c r="P1613" s="9" t="str">
        <x:v>No</x:v>
      </x:c>
      <x:c r="Q1613" s="15" t="n">
        <x:v>30</x:v>
      </x:c>
      <x:c r="R1613" s="13" t="n">
        <x:f>J1613+Q1613/1440</x:f>
        <x:v>46304.825000000004</x:v>
      </x:c>
      <x:c r="S1613" s="2" t="str">
        <x:f>VLOOKUP(C1613,'MES orders'!$A$8:$H$127,6,FALSE)</x:f>
        <x:v>Urgent</x:v>
      </x:c>
      <x:c r="T1613" s="9" t="str"/>
    </x:row>
    <x:row r="1614" ht="22" customHeight="1">
      <x:c r="A1614" s="2" t="str">
        <x:v>L00139-010</x:v>
      </x:c>
      <x:c r="B1614" s="2" t="str">
        <x:v>L00139</x:v>
      </x:c>
      <x:c r="C1614" s="2" t="str">
        <x:v>SO-26028</x:v>
      </x:c>
      <x:c r="D1614" s="2" t="str">
        <x:v>R-S-SS</x:v>
      </x:c>
      <x:c r="E1614" s="14" t="n">
        <x:v>5</x:v>
      </x:c>
      <x:c r="F1614" s="2" t="str">
        <x:v>CNC machining</x:v>
      </x:c>
      <x:c r="G1614" s="9" t="str">
        <x:v>CNC-04</x:v>
      </x:c>
      <x:c r="H1614" s="15" t="n">
        <x:v>49</x:v>
      </x:c>
      <x:c r="I1614" s="9" t="str">
        <x:v>P15</x:v>
      </x:c>
      <x:c r="J1614" s="11" t="n">
        <x:v>46304.80625</x:v>
      </x:c>
      <x:c r="K1614" s="15" t="n">
        <x:v>18</x:v>
      </x:c>
      <x:c r="L1614" s="15" t="n">
        <x:v>15</x:v>
      </x:c>
      <x:c r="M1614" s="13" t="n">
        <x:f>J1614+(K1614+L1614)/1440</x:f>
        <x:v>46304.82916666667</x:v>
      </x:c>
      <x:c r="N1614" s="13" t="n">
        <x:f>VLOOKUP(C1614,'MES orders'!$A$8:$H$127,5,FALSE)</x:f>
        <x:v>46307.666666666664</x:v>
      </x:c>
      <x:c r="O1614" s="16" t="n">
        <x:f>MAX(0,(M1614-N1614)*24)</x:f>
        <x:v>0</x:v>
      </x:c>
      <x:c r="P1614" s="9" t="str">
        <x:v>No</x:v>
      </x:c>
      <x:c r="Q1614" s="15" t="n">
        <x:v>18</x:v>
      </x:c>
      <x:c r="R1614" s="13" t="n">
        <x:f>J1614+Q1614/1440</x:f>
        <x:v>46304.81875</x:v>
      </x:c>
      <x:c r="S1614" s="2" t="str">
        <x:f>VLOOKUP(C1614,'MES orders'!$A$8:$H$127,6,FALSE)</x:f>
        <x:v>Normal</x:v>
      </x:c>
      <x:c r="T1614" s="9" t="str"/>
    </x:row>
    <x:row r="1615" ht="22" customHeight="1">
      <x:c r="A1615" s="2" t="str">
        <x:v>L00059-030</x:v>
      </x:c>
      <x:c r="B1615" s="2" t="str">
        <x:v>L00059</x:v>
      </x:c>
      <x:c r="C1615" s="2" t="str">
        <x:v>SO-26012</x:v>
      </x:c>
      <x:c r="D1615" s="2" t="str">
        <x:v>D-L-SS</x:v>
      </x:c>
      <x:c r="E1615" s="14" t="n">
        <x:v>5</x:v>
      </x:c>
      <x:c r="F1615" s="2" t="str">
        <x:v>Wash &amp; dry</x:v>
      </x:c>
      <x:c r="G1615" s="9" t="str">
        <x:v>WS-02</x:v>
      </x:c>
      <x:c r="H1615" s="15" t="n">
        <x:v>106</x:v>
      </x:c>
      <x:c r="I1615" s="9" t="str">
        <x:v>P18</x:v>
      </x:c>
      <x:c r="J1615" s="11" t="n">
        <x:v>46304.80625</x:v>
      </x:c>
      <x:c r="K1615" s="15" t="n">
        <x:v>12</x:v>
      </x:c>
      <x:c r="L1615" s="15" t="n">
        <x:v>2</x:v>
      </x:c>
      <x:c r="M1615" s="13" t="n">
        <x:f>J1615+(K1615+L1615)/1440</x:f>
        <x:v>46304.815972222226</x:v>
      </x:c>
      <x:c r="N1615" s="13" t="n">
        <x:f>VLOOKUP(C1615,'MES orders'!$A$8:$H$127,5,FALSE)</x:f>
        <x:v>46307.666666666664</x:v>
      </x:c>
      <x:c r="O1615" s="16" t="n">
        <x:f>MAX(0,(M1615-N1615)*24)</x:f>
        <x:v>0</x:v>
      </x:c>
      <x:c r="P1615" s="9" t="str">
        <x:v>No</x:v>
      </x:c>
      <x:c r="Q1615" s="15" t="n">
        <x:v>14</x:v>
      </x:c>
      <x:c r="R1615" s="13" t="n">
        <x:f>J1615+Q1615/1440</x:f>
        <x:v>46304.815972222226</x:v>
      </x:c>
      <x:c r="S1615" s="2" t="str">
        <x:f>VLOOKUP(C1615,'MES orders'!$A$8:$H$127,6,FALSE)</x:f>
        <x:v>Normal</x:v>
      </x:c>
      <x:c r="T1615" s="9" t="str"/>
    </x:row>
    <x:row r="1616" ht="22" customHeight="1">
      <x:c r="A1616" s="2" t="str">
        <x:v>L00137-020</x:v>
      </x:c>
      <x:c r="B1616" s="2" t="str">
        <x:v>L00137</x:v>
      </x:c>
      <x:c r="C1616" s="2" t="str">
        <x:v>SO-26028</x:v>
      </x:c>
      <x:c r="D1616" s="2" t="str">
        <x:v>R-S-SS</x:v>
      </x:c>
      <x:c r="E1616" s="14" t="n">
        <x:v>5</x:v>
      </x:c>
      <x:c r="F1616" s="2" t="str">
        <x:v>Deburr &amp; inspect</x:v>
      </x:c>
      <x:c r="G1616" s="9" t="str">
        <x:v>DB-02</x:v>
      </x:c>
      <x:c r="H1616" s="15" t="n">
        <x:v>103</x:v>
      </x:c>
      <x:c r="I1616" s="9" t="str">
        <x:v>P13</x:v>
      </x:c>
      <x:c r="J1616" s="11" t="n">
        <x:v>46304.80902777778</x:v>
      </x:c>
      <x:c r="K1616" s="15" t="n">
        <x:v>4</x:v>
      </x:c>
      <x:c r="L1616" s="15" t="n">
        <x:v>4</x:v>
      </x:c>
      <x:c r="M1616" s="13" t="n">
        <x:f>J1616+(K1616+L1616)/1440</x:f>
        <x:v>46304.81458333334</x:v>
      </x:c>
      <x:c r="N1616" s="13" t="n">
        <x:f>VLOOKUP(C1616,'MES orders'!$A$8:$H$127,5,FALSE)</x:f>
        <x:v>46307.666666666664</x:v>
      </x:c>
      <x:c r="O1616" s="16" t="n">
        <x:f>MAX(0,(M1616-N1616)*24)</x:f>
        <x:v>0</x:v>
      </x:c>
      <x:c r="P1616" s="9" t="str">
        <x:v>No</x:v>
      </x:c>
      <x:c r="Q1616" s="15" t="n">
        <x:v>8</x:v>
      </x:c>
      <x:c r="R1616" s="13" t="n">
        <x:f>J1616+Q1616/1440</x:f>
        <x:v>46304.81458333334</x:v>
      </x:c>
      <x:c r="S1616" s="2" t="str">
        <x:f>VLOOKUP(C1616,'MES orders'!$A$8:$H$127,6,FALSE)</x:f>
        <x:v>Normal</x:v>
      </x:c>
      <x:c r="T1616" s="9" t="str"/>
    </x:row>
    <x:row r="1617" ht="22" customHeight="1">
      <x:c r="A1617" s="2" t="str">
        <x:v>L00058-040</x:v>
      </x:c>
      <x:c r="B1617" s="2" t="str">
        <x:v>L00058</x:v>
      </x:c>
      <x:c r="C1617" s="2" t="str">
        <x:v>SO-26012</x:v>
      </x:c>
      <x:c r="D1617" s="2" t="str">
        <x:v>D-L-SS</x:v>
      </x:c>
      <x:c r="E1617" s="14" t="n">
        <x:v>5</x:v>
      </x:c>
      <x:c r="F1617" s="2" t="str">
        <x:v>Mechanical assembly</x:v>
      </x:c>
      <x:c r="G1617" s="9" t="str">
        <x:v>AS-01</x:v>
      </x:c>
      <x:c r="H1617" s="15" t="n">
        <x:v>130</x:v>
      </x:c>
      <x:c r="I1617" s="9" t="str">
        <x:v>P16</x:v>
      </x:c>
      <x:c r="J1617" s="11" t="n">
        <x:v>46304.80972222222</x:v>
      </x:c>
      <x:c r="K1617" s="15" t="n">
        <x:v>8</x:v>
      </x:c>
      <x:c r="L1617" s="15" t="n">
        <x:v>12</x:v>
      </x:c>
      <x:c r="M1617" s="13" t="n">
        <x:f>J1617+(K1617+L1617)/1440</x:f>
        <x:v>46304.82361111111</x:v>
      </x:c>
      <x:c r="N1617" s="13" t="n">
        <x:f>VLOOKUP(C1617,'MES orders'!$A$8:$H$127,5,FALSE)</x:f>
        <x:v>46307.666666666664</x:v>
      </x:c>
      <x:c r="O1617" s="16" t="n">
        <x:f>MAX(0,(M1617-N1617)*24)</x:f>
        <x:v>0</x:v>
      </x:c>
      <x:c r="P1617" s="9" t="str">
        <x:v>No</x:v>
      </x:c>
      <x:c r="Q1617" s="15" t="n">
        <x:v>20</x:v>
      </x:c>
      <x:c r="R1617" s="13" t="n">
        <x:f>J1617+Q1617/1440</x:f>
        <x:v>46304.82361111111</x:v>
      </x:c>
      <x:c r="S1617" s="2" t="str">
        <x:f>VLOOKUP(C1617,'MES orders'!$A$8:$H$127,6,FALSE)</x:f>
        <x:v>Normal</x:v>
      </x:c>
      <x:c r="T1617" s="9" t="str"/>
    </x:row>
    <x:row r="1618" ht="22" customHeight="1">
      <x:c r="A1618" s="2" t="str">
        <x:v>L00136-020</x:v>
      </x:c>
      <x:c r="B1618" s="2" t="str">
        <x:v>L00136</x:v>
      </x:c>
      <x:c r="C1618" s="2" t="str">
        <x:v>SO-26028</x:v>
      </x:c>
      <x:c r="D1618" s="2" t="str">
        <x:v>R-S-SS</x:v>
      </x:c>
      <x:c r="E1618" s="14" t="n">
        <x:v>5</x:v>
      </x:c>
      <x:c r="F1618" s="2" t="str">
        <x:v>Deburr &amp; inspect</x:v>
      </x:c>
      <x:c r="G1618" s="9" t="str">
        <x:v>DB-01</x:v>
      </x:c>
      <x:c r="H1618" s="15" t="n">
        <x:v>155</x:v>
      </x:c>
      <x:c r="I1618" s="9" t="str">
        <x:v>P17</x:v>
      </x:c>
      <x:c r="J1618" s="11" t="n">
        <x:v>46304.80972222222</x:v>
      </x:c>
      <x:c r="K1618" s="15" t="n">
        <x:v>4</x:v>
      </x:c>
      <x:c r="L1618" s="15" t="n">
        <x:v>4</x:v>
      </x:c>
      <x:c r="M1618" s="13" t="n">
        <x:f>J1618+(K1618+L1618)/1440</x:f>
        <x:v>46304.81527777778</x:v>
      </x:c>
      <x:c r="N1618" s="13" t="n">
        <x:f>VLOOKUP(C1618,'MES orders'!$A$8:$H$127,5,FALSE)</x:f>
        <x:v>46307.666666666664</x:v>
      </x:c>
      <x:c r="O1618" s="16" t="n">
        <x:f>MAX(0,(M1618-N1618)*24)</x:f>
        <x:v>0</x:v>
      </x:c>
      <x:c r="P1618" s="9" t="str">
        <x:v>No</x:v>
      </x:c>
      <x:c r="Q1618" s="15" t="n">
        <x:v>8</x:v>
      </x:c>
      <x:c r="R1618" s="13" t="n">
        <x:f>J1618+Q1618/1440</x:f>
        <x:v>46304.81527777778</x:v>
      </x:c>
      <x:c r="S1618" s="2" t="str">
        <x:f>VLOOKUP(C1618,'MES orders'!$A$8:$H$127,6,FALSE)</x:f>
        <x:v>Normal</x:v>
      </x:c>
      <x:c r="T1618" s="9" t="str"/>
    </x:row>
    <x:row r="1619" ht="22" customHeight="1">
      <x:c r="A1619" s="2" t="str">
        <x:v>L00421-050</x:v>
      </x:c>
      <x:c r="B1619" s="2" t="str">
        <x:v>L00421</x:v>
      </x:c>
      <x:c r="C1619" s="2" t="str">
        <x:v>SO-26085</x:v>
      </x:c>
      <x:c r="D1619" s="2" t="str">
        <x:v>S-C-AL</x:v>
      </x:c>
      <x:c r="E1619" s="14" t="n">
        <x:v>10</x:v>
      </x:c>
      <x:c r="F1619" s="2" t="str">
        <x:v>Sensor installation</x:v>
      </x:c>
      <x:c r="G1619" s="9" t="str">
        <x:v>EL-01</x:v>
      </x:c>
      <x:c r="H1619" s="15" t="n">
        <x:v>53</x:v>
      </x:c>
      <x:c r="I1619" s="9" t="str">
        <x:v>P19</x:v>
      </x:c>
      <x:c r="J1619" s="11" t="n">
        <x:v>46304.81041666667</x:v>
      </x:c>
      <x:c r="K1619" s="15" t="n">
        <x:v>8</x:v>
      </x:c>
      <x:c r="L1619" s="15" t="n">
        <x:v>10</x:v>
      </x:c>
      <x:c r="M1619" s="13" t="n">
        <x:f>J1619+(K1619+L1619)/1440</x:f>
        <x:v>46304.822916666664</x:v>
      </x:c>
      <x:c r="N1619" s="13" t="n">
        <x:f>VLOOKUP(C1619,'MES orders'!$A$8:$H$127,5,FALSE)</x:f>
        <x:v>46308.666666666664</x:v>
      </x:c>
      <x:c r="O1619" s="16" t="n">
        <x:f>MAX(0,(M1619-N1619)*24)</x:f>
        <x:v>0</x:v>
      </x:c>
      <x:c r="P1619" s="9" t="str">
        <x:v>No</x:v>
      </x:c>
      <x:c r="Q1619" s="15" t="n">
        <x:v>18</x:v>
      </x:c>
      <x:c r="R1619" s="13" t="n">
        <x:f>J1619+Q1619/1440</x:f>
        <x:v>46304.822916666664</x:v>
      </x:c>
      <x:c r="S1619" s="2" t="str">
        <x:f>VLOOKUP(C1619,'MES orders'!$A$8:$H$127,6,FALSE)</x:f>
        <x:v>High</x:v>
      </x:c>
      <x:c r="T1619" s="9" t="str"/>
    </x:row>
    <x:row r="1620" ht="22" customHeight="1">
      <x:c r="A1620" s="2" t="str">
        <x:v>L00057-050</x:v>
      </x:c>
      <x:c r="B1620" s="2" t="str">
        <x:v>L00057</x:v>
      </x:c>
      <x:c r="C1620" s="2" t="str">
        <x:v>SO-26012</x:v>
      </x:c>
      <x:c r="D1620" s="2" t="str">
        <x:v>D-L-SS</x:v>
      </x:c>
      <x:c r="E1620" s="14" t="n">
        <x:v>5</x:v>
      </x:c>
      <x:c r="F1620" s="2" t="str">
        <x:v>Final leak / function test</x:v>
      </x:c>
      <x:c r="G1620" s="9" t="str">
        <x:v>QA-02</x:v>
      </x:c>
      <x:c r="H1620" s="15" t="n">
        <x:v>114</x:v>
      </x:c>
      <x:c r="I1620" s="9" t="str">
        <x:v>P24</x:v>
      </x:c>
      <x:c r="J1620" s="11" t="n">
        <x:v>46304.81319444445</x:v>
      </x:c>
      <x:c r="K1620" s="15" t="n">
        <x:v>10</x:v>
      </x:c>
      <x:c r="L1620" s="15" t="n">
        <x:v>6</x:v>
      </x:c>
      <x:c r="M1620" s="13" t="n">
        <x:f>J1620+(K1620+L1620)/1440</x:f>
        <x:v>46304.82430555556</x:v>
      </x:c>
      <x:c r="N1620" s="13" t="n">
        <x:f>VLOOKUP(C1620,'MES orders'!$A$8:$H$127,5,FALSE)</x:f>
        <x:v>46307.666666666664</x:v>
      </x:c>
      <x:c r="O1620" s="16" t="n">
        <x:f>MAX(0,(M1620-N1620)*24)</x:f>
        <x:v>0</x:v>
      </x:c>
      <x:c r="P1620" s="9" t="str">
        <x:v>No</x:v>
      </x:c>
      <x:c r="Q1620" s="15" t="n">
        <x:v>16</x:v>
      </x:c>
      <x:c r="R1620" s="13" t="n">
        <x:f>J1620+Q1620/1440</x:f>
        <x:v>46304.82430555556</x:v>
      </x:c>
      <x:c r="S1620" s="2" t="str">
        <x:f>VLOOKUP(C1620,'MES orders'!$A$8:$H$127,6,FALSE)</x:f>
        <x:v>Normal</x:v>
      </x:c>
      <x:c r="T1620" s="9" t="str"/>
    </x:row>
    <x:row r="1621" ht="22" customHeight="1">
      <x:c r="A1621" s="2" t="str">
        <x:v>L00422-020</x:v>
      </x:c>
      <x:c r="B1621" s="2" t="str">
        <x:v>L00422</x:v>
      </x:c>
      <x:c r="C1621" s="2" t="str">
        <x:v>SO-26085</x:v>
      </x:c>
      <x:c r="D1621" s="2" t="str">
        <x:v>S-C-AL</x:v>
      </x:c>
      <x:c r="E1621" s="14" t="n">
        <x:v>10</x:v>
      </x:c>
      <x:c r="F1621" s="2" t="str">
        <x:v>Deburr &amp; inspect</x:v>
      </x:c>
      <x:c r="G1621" s="9" t="str">
        <x:v>DB-02</x:v>
      </x:c>
      <x:c r="H1621" s="15" t="n">
        <x:v>104</x:v>
      </x:c>
      <x:c r="I1621" s="9" t="str">
        <x:v>P14</x:v>
      </x:c>
      <x:c r="J1621" s="11" t="n">
        <x:v>46304.81458333333</x:v>
      </x:c>
      <x:c r="K1621" s="15" t="n">
        <x:v>4</x:v>
      </x:c>
      <x:c r="L1621" s="15" t="n">
        <x:v>6</x:v>
      </x:c>
      <x:c r="M1621" s="13" t="n">
        <x:f>J1621+(K1621+L1621)/1440</x:f>
        <x:v>46304.82152777778</x:v>
      </x:c>
      <x:c r="N1621" s="13" t="n">
        <x:f>VLOOKUP(C1621,'MES orders'!$A$8:$H$127,5,FALSE)</x:f>
        <x:v>46308.666666666664</x:v>
      </x:c>
      <x:c r="O1621" s="16" t="n">
        <x:f>MAX(0,(M1621-N1621)*24)</x:f>
        <x:v>0</x:v>
      </x:c>
      <x:c r="P1621" s="9" t="str">
        <x:v>No</x:v>
      </x:c>
      <x:c r="Q1621" s="15" t="n">
        <x:v>10</x:v>
      </x:c>
      <x:c r="R1621" s="13" t="n">
        <x:f>J1621+Q1621/1440</x:f>
        <x:v>46304.82152777778</x:v>
      </x:c>
      <x:c r="S1621" s="2" t="str">
        <x:f>VLOOKUP(C1621,'MES orders'!$A$8:$H$127,6,FALSE)</x:f>
        <x:v>High</x:v>
      </x:c>
      <x:c r="T1621" s="9" t="str"/>
    </x:row>
    <x:row r="1622" ht="22" customHeight="1">
      <x:c r="A1622" s="2" t="str">
        <x:v>L00059-040</x:v>
      </x:c>
      <x:c r="B1622" s="2" t="str">
        <x:v>L00059</x:v>
      </x:c>
      <x:c r="C1622" s="2" t="str">
        <x:v>SO-26012</x:v>
      </x:c>
      <x:c r="D1622" s="2" t="str">
        <x:v>D-L-SS</x:v>
      </x:c>
      <x:c r="E1622" s="14" t="n">
        <x:v>5</x:v>
      </x:c>
      <x:c r="F1622" s="2" t="str">
        <x:v>Mechanical assembly</x:v>
      </x:c>
      <x:c r="G1622" s="9" t="str">
        <x:v>AS-02</x:v>
      </x:c>
      <x:c r="H1622" s="15" t="n">
        <x:v>106</x:v>
      </x:c>
      <x:c r="I1622" s="9" t="str">
        <x:v>P17</x:v>
      </x:c>
      <x:c r="J1622" s="11" t="n">
        <x:v>46304.81597222222</x:v>
      </x:c>
      <x:c r="K1622" s="15" t="n">
        <x:v>8</x:v>
      </x:c>
      <x:c r="L1622" s="15" t="n">
        <x:v>12</x:v>
      </x:c>
      <x:c r="M1622" s="13" t="n">
        <x:f>J1622+(K1622+L1622)/1440</x:f>
        <x:v>46304.82986111111</x:v>
      </x:c>
      <x:c r="N1622" s="13" t="n">
        <x:f>VLOOKUP(C1622,'MES orders'!$A$8:$H$127,5,FALSE)</x:f>
        <x:v>46307.666666666664</x:v>
      </x:c>
      <x:c r="O1622" s="16" t="n">
        <x:f>MAX(0,(M1622-N1622)*24)</x:f>
        <x:v>0</x:v>
      </x:c>
      <x:c r="P1622" s="9" t="str">
        <x:v>No</x:v>
      </x:c>
      <x:c r="Q1622" s="15" t="n">
        <x:v>20</x:v>
      </x:c>
      <x:c r="R1622" s="13" t="n">
        <x:f>J1622+Q1622/1440</x:f>
        <x:v>46304.82986111111</x:v>
      </x:c>
      <x:c r="S1622" s="2" t="str">
        <x:f>VLOOKUP(C1622,'MES orders'!$A$8:$H$127,6,FALSE)</x:f>
        <x:v>Normal</x:v>
      </x:c>
      <x:c r="T1622" s="9" t="str"/>
    </x:row>
    <x:row r="1623" ht="22" customHeight="1">
      <x:c r="A1623" s="2" t="str">
        <x:v>L00060-030</x:v>
      </x:c>
      <x:c r="B1623" s="2" t="str">
        <x:v>L00060</x:v>
      </x:c>
      <x:c r="C1623" s="2" t="str">
        <x:v>SO-26012</x:v>
      </x:c>
      <x:c r="D1623" s="2" t="str">
        <x:v>D-L-SS</x:v>
      </x:c>
      <x:c r="E1623" s="14" t="n">
        <x:v>5</x:v>
      </x:c>
      <x:c r="F1623" s="2" t="str">
        <x:v>Wash &amp; dry</x:v>
      </x:c>
      <x:c r="G1623" s="9" t="str">
        <x:v>WS-01</x:v>
      </x:c>
      <x:c r="H1623" s="15" t="n">
        <x:v>150</x:v>
      </x:c>
      <x:c r="I1623" s="9" t="str">
        <x:v>P18</x:v>
      </x:c>
      <x:c r="J1623" s="11" t="n">
        <x:v>46304.81597222222</x:v>
      </x:c>
      <x:c r="K1623" s="15" t="n">
        <x:v>12</x:v>
      </x:c>
      <x:c r="L1623" s="15" t="n">
        <x:v>2</x:v>
      </x:c>
      <x:c r="M1623" s="13" t="n">
        <x:f>J1623+(K1623+L1623)/1440</x:f>
        <x:v>46304.825694444444</x:v>
      </x:c>
      <x:c r="N1623" s="13" t="n">
        <x:f>VLOOKUP(C1623,'MES orders'!$A$8:$H$127,5,FALSE)</x:f>
        <x:v>46307.666666666664</x:v>
      </x:c>
      <x:c r="O1623" s="16" t="n">
        <x:f>MAX(0,(M1623-N1623)*24)</x:f>
        <x:v>0</x:v>
      </x:c>
      <x:c r="P1623" s="9" t="str">
        <x:v>No</x:v>
      </x:c>
      <x:c r="Q1623" s="15" t="n">
        <x:v>14</x:v>
      </x:c>
      <x:c r="R1623" s="13" t="n">
        <x:f>J1623+Q1623/1440</x:f>
        <x:v>46304.825694444444</x:v>
      </x:c>
      <x:c r="S1623" s="2" t="str">
        <x:f>VLOOKUP(C1623,'MES orders'!$A$8:$H$127,6,FALSE)</x:f>
        <x:v>Normal</x:v>
      </x:c>
      <x:c r="T1623" s="9" t="str"/>
    </x:row>
    <x:row r="1624" ht="22" customHeight="1">
      <x:c r="A1624" s="2" t="str">
        <x:v>L00137-030</x:v>
      </x:c>
      <x:c r="B1624" s="2" t="str">
        <x:v>L00137</x:v>
      </x:c>
      <x:c r="C1624" s="2" t="str">
        <x:v>SO-26028</x:v>
      </x:c>
      <x:c r="D1624" s="2" t="str">
        <x:v>R-S-SS</x:v>
      </x:c>
      <x:c r="E1624" s="14" t="n">
        <x:v>5</x:v>
      </x:c>
      <x:c r="F1624" s="2" t="str">
        <x:v>Wash &amp; dry</x:v>
      </x:c>
      <x:c r="G1624" s="9" t="str">
        <x:v>WS-02</x:v>
      </x:c>
      <x:c r="H1624" s="15" t="n">
        <x:v>107</x:v>
      </x:c>
      <x:c r="I1624" s="9" t="str">
        <x:v>P13</x:v>
      </x:c>
      <x:c r="J1624" s="11" t="n">
        <x:v>46304.81597222222</x:v>
      </x:c>
      <x:c r="K1624" s="15" t="n">
        <x:v>12</x:v>
      </x:c>
      <x:c r="L1624" s="15" t="n">
        <x:v>2</x:v>
      </x:c>
      <x:c r="M1624" s="13" t="n">
        <x:f>J1624+(K1624+L1624)/1440</x:f>
        <x:v>46304.825694444444</x:v>
      </x:c>
      <x:c r="N1624" s="13" t="n">
        <x:f>VLOOKUP(C1624,'MES orders'!$A$8:$H$127,5,FALSE)</x:f>
        <x:v>46307.666666666664</x:v>
      </x:c>
      <x:c r="O1624" s="16" t="n">
        <x:f>MAX(0,(M1624-N1624)*24)</x:f>
        <x:v>0</x:v>
      </x:c>
      <x:c r="P1624" s="9" t="str">
        <x:v>No</x:v>
      </x:c>
      <x:c r="Q1624" s="15" t="n">
        <x:v>14</x:v>
      </x:c>
      <x:c r="R1624" s="13" t="n">
        <x:f>J1624+Q1624/1440</x:f>
        <x:v>46304.825694444444</x:v>
      </x:c>
      <x:c r="S1624" s="2" t="str">
        <x:f>VLOOKUP(C1624,'MES orders'!$A$8:$H$127,6,FALSE)</x:f>
        <x:v>Normal</x:v>
      </x:c>
      <x:c r="T1624" s="9" t="str"/>
    </x:row>
    <x:row r="1625" ht="22" customHeight="1">
      <x:c r="A1625" s="2" t="str">
        <x:v>L00138-020</x:v>
      </x:c>
      <x:c r="B1625" s="2" t="str">
        <x:v>L00138</x:v>
      </x:c>
      <x:c r="C1625" s="2" t="str">
        <x:v>SO-26028</x:v>
      </x:c>
      <x:c r="D1625" s="2" t="str">
        <x:v>R-S-SS</x:v>
      </x:c>
      <x:c r="E1625" s="14" t="n">
        <x:v>5</x:v>
      </x:c>
      <x:c r="F1625" s="2" t="str">
        <x:v>Deburr &amp; inspect</x:v>
      </x:c>
      <x:c r="G1625" s="9" t="str">
        <x:v>DB-02</x:v>
      </x:c>
      <x:c r="H1625" s="15" t="n">
        <x:v>105</x:v>
      </x:c>
      <x:c r="I1625" s="9" t="str">
        <x:v>P15</x:v>
      </x:c>
      <x:c r="J1625" s="11" t="n">
        <x:v>46304.82152777778</x:v>
      </x:c>
      <x:c r="K1625" s="15" t="n">
        <x:v>4</x:v>
      </x:c>
      <x:c r="L1625" s="15" t="n">
        <x:v>4</x:v>
      </x:c>
      <x:c r="M1625" s="13" t="n">
        <x:f>J1625+(K1625+L1625)/1440</x:f>
        <x:v>46304.82708333334</x:v>
      </x:c>
      <x:c r="N1625" s="13" t="n">
        <x:f>VLOOKUP(C1625,'MES orders'!$A$8:$H$127,5,FALSE)</x:f>
        <x:v>46307.666666666664</x:v>
      </x:c>
      <x:c r="O1625" s="16" t="n">
        <x:f>MAX(0,(M1625-N1625)*24)</x:f>
        <x:v>0</x:v>
      </x:c>
      <x:c r="P1625" s="9" t="str">
        <x:v>No</x:v>
      </x:c>
      <x:c r="Q1625" s="15" t="n">
        <x:v>8</x:v>
      </x:c>
      <x:c r="R1625" s="13" t="n">
        <x:f>J1625+Q1625/1440</x:f>
        <x:v>46304.82708333334</x:v>
      </x:c>
      <x:c r="S1625" s="2" t="str">
        <x:f>VLOOKUP(C1625,'MES orders'!$A$8:$H$127,6,FALSE)</x:f>
        <x:v>Normal</x:v>
      </x:c>
      <x:c r="T1625" s="9" t="str"/>
    </x:row>
    <x:row r="1626" ht="22" customHeight="1">
      <x:c r="A1626" s="2" t="str">
        <x:v>L00058-050</x:v>
      </x:c>
      <x:c r="B1626" s="2" t="str">
        <x:v>L00058</x:v>
      </x:c>
      <x:c r="C1626" s="2" t="str">
        <x:v>SO-26012</x:v>
      </x:c>
      <x:c r="D1626" s="2" t="str">
        <x:v>D-L-SS</x:v>
      </x:c>
      <x:c r="E1626" s="14" t="n">
        <x:v>5</x:v>
      </x:c>
      <x:c r="F1626" s="2" t="str">
        <x:v>Final leak / function test</x:v>
      </x:c>
      <x:c r="G1626" s="9" t="str">
        <x:v>QA-01</x:v>
      </x:c>
      <x:c r="H1626" s="15" t="n">
        <x:v>65</x:v>
      </x:c>
      <x:c r="I1626" s="9" t="str">
        <x:v>P23</x:v>
      </x:c>
      <x:c r="J1626" s="11" t="n">
        <x:v>46304.82361111111</x:v>
      </x:c>
      <x:c r="K1626" s="15" t="n">
        <x:v>10</x:v>
      </x:c>
      <x:c r="L1626" s="15" t="n">
        <x:v>6</x:v>
      </x:c>
      <x:c r="M1626" s="13" t="n">
        <x:f>J1626+(K1626+L1626)/1440</x:f>
        <x:v>46304.83472222222</x:v>
      </x:c>
      <x:c r="N1626" s="13" t="n">
        <x:f>VLOOKUP(C1626,'MES orders'!$A$8:$H$127,5,FALSE)</x:f>
        <x:v>46307.666666666664</x:v>
      </x:c>
      <x:c r="O1626" s="16" t="n">
        <x:f>MAX(0,(M1626-N1626)*24)</x:f>
        <x:v>0</x:v>
      </x:c>
      <x:c r="P1626" s="9" t="str">
        <x:v>No</x:v>
      </x:c>
      <x:c r="Q1626" s="15" t="n">
        <x:v>16</x:v>
      </x:c>
      <x:c r="R1626" s="13" t="n">
        <x:f>J1626+Q1626/1440</x:f>
        <x:v>46304.83472222222</x:v>
      </x:c>
      <x:c r="S1626" s="2" t="str">
        <x:f>VLOOKUP(C1626,'MES orders'!$A$8:$H$127,6,FALSE)</x:f>
        <x:v>Normal</x:v>
      </x:c>
      <x:c r="T1626" s="9" t="str"/>
    </x:row>
    <x:row r="1627" ht="22" customHeight="1">
      <x:c r="A1627" s="2" t="str">
        <x:v>L00465-070</x:v>
      </x:c>
      <x:c r="B1627" s="2" t="str">
        <x:v>L00465</x:v>
      </x:c>
      <x:c r="C1627" s="2" t="str">
        <x:v>SO-26093</x:v>
      </x:c>
      <x:c r="D1627" s="2" t="str">
        <x:v>S-S-AL</x:v>
      </x:c>
      <x:c r="E1627" s="14" t="n">
        <x:v>15</x:v>
      </x:c>
      <x:c r="F1627" s="2" t="str">
        <x:v>Final assembly</x:v>
      </x:c>
      <x:c r="G1627" s="9" t="str">
        <x:v>AS-04</x:v>
      </x:c>
      <x:c r="H1627" s="15" t="n">
        <x:v>58</x:v>
      </x:c>
      <x:c r="I1627" s="9" t="str">
        <x:v>P20</x:v>
      </x:c>
      <x:c r="J1627" s="11" t="n">
        <x:v>46304.825</x:v>
      </x:c>
      <x:c r="K1627" s="15" t="n">
        <x:v>5</x:v>
      </x:c>
      <x:c r="L1627" s="15" t="n">
        <x:v>12</x:v>
      </x:c>
      <x:c r="M1627" s="13" t="n">
        <x:f>J1627+(K1627+L1627)/1440</x:f>
        <x:v>46304.836805555555</x:v>
      </x:c>
      <x:c r="N1627" s="13" t="n">
        <x:f>VLOOKUP(C1627,'MES orders'!$A$8:$H$127,5,FALSE)</x:f>
        <x:v>46308.666666666664</x:v>
      </x:c>
      <x:c r="O1627" s="16" t="n">
        <x:f>MAX(0,(M1627-N1627)*24)</x:f>
        <x:v>0</x:v>
      </x:c>
      <x:c r="P1627" s="9" t="str">
        <x:v>No</x:v>
      </x:c>
      <x:c r="Q1627" s="15" t="n">
        <x:v>17</x:v>
      </x:c>
      <x:c r="R1627" s="13" t="n">
        <x:f>J1627+Q1627/1440</x:f>
        <x:v>46304.836805555555</x:v>
      </x:c>
      <x:c r="S1627" s="2" t="str">
        <x:f>VLOOKUP(C1627,'MES orders'!$A$8:$H$127,6,FALSE)</x:f>
        <x:v>Urgent</x:v>
      </x:c>
      <x:c r="T1627" s="9" t="str"/>
    </x:row>
    <x:row r="1628" ht="22" customHeight="1">
      <x:c r="A1628" s="2" t="str">
        <x:v>L00421-060</x:v>
      </x:c>
      <x:c r="B1628" s="2" t="str">
        <x:v>L00421</x:v>
      </x:c>
      <x:c r="C1628" s="2" t="str">
        <x:v>SO-26085</x:v>
      </x:c>
      <x:c r="D1628" s="2" t="str">
        <x:v>S-C-AL</x:v>
      </x:c>
      <x:c r="E1628" s="14" t="n">
        <x:v>10</x:v>
      </x:c>
      <x:c r="F1628" s="2" t="str">
        <x:v>Sensor calibration</x:v>
      </x:c>
      <x:c r="G1628" s="9" t="str">
        <x:v>CAL-01</x:v>
      </x:c>
      <x:c r="H1628" s="15" t="n">
        <x:v>81</x:v>
      </x:c>
      <x:c r="I1628" s="9" t="str">
        <x:v>P21</x:v>
      </x:c>
      <x:c r="J1628" s="11" t="n">
        <x:v>46304.825</x:v>
      </x:c>
      <x:c r="K1628" s="15" t="n">
        <x:v>10</x:v>
      </x:c>
      <x:c r="L1628" s="15" t="n">
        <x:v>10</x:v>
      </x:c>
      <x:c r="M1628" s="13" t="n">
        <x:f>J1628+(K1628+L1628)/1440</x:f>
        <x:v>46304.83888888889</x:v>
      </x:c>
      <x:c r="N1628" s="13" t="n">
        <x:f>VLOOKUP(C1628,'MES orders'!$A$8:$H$127,5,FALSE)</x:f>
        <x:v>46308.666666666664</x:v>
      </x:c>
      <x:c r="O1628" s="16" t="n">
        <x:f>MAX(0,(M1628-N1628)*24)</x:f>
        <x:v>0</x:v>
      </x:c>
      <x:c r="P1628" s="9" t="str">
        <x:v>No</x:v>
      </x:c>
      <x:c r="Q1628" s="15" t="n">
        <x:v>20</x:v>
      </x:c>
      <x:c r="R1628" s="13" t="n">
        <x:f>J1628+Q1628/1440</x:f>
        <x:v>46304.83888888889</x:v>
      </x:c>
      <x:c r="S1628" s="2" t="str">
        <x:f>VLOOKUP(C1628,'MES orders'!$A$8:$H$127,6,FALSE)</x:f>
        <x:v>High</x:v>
      </x:c>
      <x:c r="T1628" s="9" t="str"/>
    </x:row>
    <x:row r="1629" ht="22" customHeight="1">
      <x:c r="A1629" s="2" t="str">
        <x:v>L00060-040</x:v>
      </x:c>
      <x:c r="B1629" s="2" t="str">
        <x:v>L00060</x:v>
      </x:c>
      <x:c r="C1629" s="2" t="str">
        <x:v>SO-26012</x:v>
      </x:c>
      <x:c r="D1629" s="2" t="str">
        <x:v>D-L-SS</x:v>
      </x:c>
      <x:c r="E1629" s="14" t="n">
        <x:v>5</x:v>
      </x:c>
      <x:c r="F1629" s="2" t="str">
        <x:v>Mechanical assembly</x:v>
      </x:c>
      <x:c r="G1629" s="9" t="str">
        <x:v>AS-01</x:v>
      </x:c>
      <x:c r="H1629" s="15" t="n">
        <x:v>131</x:v>
      </x:c>
      <x:c r="I1629" s="9" t="str">
        <x:v>P16</x:v>
      </x:c>
      <x:c r="J1629" s="11" t="n">
        <x:v>46304.825694444444</x:v>
      </x:c>
      <x:c r="K1629" s="15" t="n">
        <x:v>8</x:v>
      </x:c>
      <x:c r="L1629" s="15" t="n">
        <x:v>12</x:v>
      </x:c>
      <x:c r="M1629" s="13" t="n">
        <x:f>J1629+(K1629+L1629)/1440</x:f>
        <x:v>46304.839583333334</x:v>
      </x:c>
      <x:c r="N1629" s="13" t="n">
        <x:f>VLOOKUP(C1629,'MES orders'!$A$8:$H$127,5,FALSE)</x:f>
        <x:v>46307.666666666664</x:v>
      </x:c>
      <x:c r="O1629" s="16" t="n">
        <x:f>MAX(0,(M1629-N1629)*24)</x:f>
        <x:v>0</x:v>
      </x:c>
      <x:c r="P1629" s="9" t="str">
        <x:v>No</x:v>
      </x:c>
      <x:c r="Q1629" s="15" t="n">
        <x:v>20</x:v>
      </x:c>
      <x:c r="R1629" s="13" t="n">
        <x:f>J1629+Q1629/1440</x:f>
        <x:v>46304.839583333334</x:v>
      </x:c>
      <x:c r="S1629" s="2" t="str">
        <x:f>VLOOKUP(C1629,'MES orders'!$A$8:$H$127,6,FALSE)</x:f>
        <x:v>Normal</x:v>
      </x:c>
      <x:c r="T1629" s="9" t="str"/>
    </x:row>
    <x:row r="1630" ht="22" customHeight="1">
      <x:c r="A1630" s="2" t="str">
        <x:v>L00137-040</x:v>
      </x:c>
      <x:c r="B1630" s="2" t="str">
        <x:v>L00137</x:v>
      </x:c>
      <x:c r="C1630" s="2" t="str">
        <x:v>SO-26028</x:v>
      </x:c>
      <x:c r="D1630" s="2" t="str">
        <x:v>R-S-SS</x:v>
      </x:c>
      <x:c r="E1630" s="14" t="n">
        <x:v>5</x:v>
      </x:c>
      <x:c r="F1630" s="2" t="str">
        <x:v>Mechanical assembly</x:v>
      </x:c>
      <x:c r="G1630" s="9" t="str">
        <x:v>AS-03</x:v>
      </x:c>
      <x:c r="H1630" s="15" t="n">
        <x:v>85</x:v>
      </x:c>
      <x:c r="I1630" s="9" t="str">
        <x:v>P14</x:v>
      </x:c>
      <x:c r="J1630" s="11" t="n">
        <x:v>46304.825694444444</x:v>
      </x:c>
      <x:c r="K1630" s="15" t="n">
        <x:v>8</x:v>
      </x:c>
      <x:c r="L1630" s="15" t="n">
        <x:v>9</x:v>
      </x:c>
      <x:c r="M1630" s="13" t="n">
        <x:f>J1630+(K1630+L1630)/1440</x:f>
        <x:v>46304.8375</x:v>
      </x:c>
      <x:c r="N1630" s="13" t="n">
        <x:f>VLOOKUP(C1630,'MES orders'!$A$8:$H$127,5,FALSE)</x:f>
        <x:v>46307.666666666664</x:v>
      </x:c>
      <x:c r="O1630" s="16" t="n">
        <x:f>MAX(0,(M1630-N1630)*24)</x:f>
        <x:v>0</x:v>
      </x:c>
      <x:c r="P1630" s="9" t="str">
        <x:v>No</x:v>
      </x:c>
      <x:c r="Q1630" s="15" t="n">
        <x:v>17</x:v>
      </x:c>
      <x:c r="R1630" s="13" t="n">
        <x:f>J1630+Q1630/1440</x:f>
        <x:v>46304.8375</x:v>
      </x:c>
      <x:c r="S1630" s="2" t="str">
        <x:f>VLOOKUP(C1630,'MES orders'!$A$8:$H$127,6,FALSE)</x:f>
        <x:v>Normal</x:v>
      </x:c>
      <x:c r="T1630" s="9" t="str"/>
    </x:row>
    <x:row r="1631" ht="22" customHeight="1">
      <x:c r="A1631" s="2" t="str">
        <x:v>L00096-020</x:v>
      </x:c>
      <x:c r="B1631" s="2" t="str">
        <x:v>L00096</x:v>
      </x:c>
      <x:c r="C1631" s="2" t="str">
        <x:v>SO-26020</x:v>
      </x:c>
      <x:c r="D1631" s="2" t="str">
        <x:v>R-C-SS</x:v>
      </x:c>
      <x:c r="E1631" s="14" t="n">
        <x:v>25</x:v>
      </x:c>
      <x:c r="F1631" s="2" t="str">
        <x:v>Deburr &amp; inspect</x:v>
      </x:c>
      <x:c r="G1631" s="9" t="str">
        <x:v>DB-01</x:v>
      </x:c>
      <x:c r="H1631" s="15" t="n">
        <x:v>156</x:v>
      </x:c>
      <x:c r="I1631" s="9" t="str">
        <x:v>P18</x:v>
      </x:c>
      <x:c r="J1631" s="11" t="n">
        <x:v>46304.825694444444</x:v>
      </x:c>
      <x:c r="K1631" s="15" t="n">
        <x:v>4</x:v>
      </x:c>
      <x:c r="L1631" s="15" t="n">
        <x:v>14</x:v>
      </x:c>
      <x:c r="M1631" s="13" t="n">
        <x:f>J1631+(K1631+L1631)/1440</x:f>
        <x:v>46304.83819444444</x:v>
      </x:c>
      <x:c r="N1631" s="13" t="n">
        <x:f>VLOOKUP(C1631,'MES orders'!$A$8:$H$127,5,FALSE)</x:f>
        <x:v>46307.666666666664</x:v>
      </x:c>
      <x:c r="O1631" s="16" t="n">
        <x:f>MAX(0,(M1631-N1631)*24)</x:f>
        <x:v>0</x:v>
      </x:c>
      <x:c r="P1631" s="9" t="str">
        <x:v>No</x:v>
      </x:c>
      <x:c r="Q1631" s="15" t="n">
        <x:v>18</x:v>
      </x:c>
      <x:c r="R1631" s="13" t="n">
        <x:f>J1631+Q1631/1440</x:f>
        <x:v>46304.83819444444</x:v>
      </x:c>
      <x:c r="S1631" s="2" t="str">
        <x:f>VLOOKUP(C1631,'MES orders'!$A$8:$H$127,6,FALSE)</x:f>
        <x:v>Normal</x:v>
      </x:c>
      <x:c r="T1631" s="9" t="str"/>
    </x:row>
    <x:row r="1632" ht="22" customHeight="1">
      <x:c r="A1632" s="2" t="str">
        <x:v>L00422-030</x:v>
      </x:c>
      <x:c r="B1632" s="2" t="str">
        <x:v>L00422</x:v>
      </x:c>
      <x:c r="C1632" s="2" t="str">
        <x:v>SO-26085</x:v>
      </x:c>
      <x:c r="D1632" s="2" t="str">
        <x:v>S-C-AL</x:v>
      </x:c>
      <x:c r="E1632" s="14" t="n">
        <x:v>10</x:v>
      </x:c>
      <x:c r="F1632" s="2" t="str">
        <x:v>Wash &amp; dry</x:v>
      </x:c>
      <x:c r="G1632" s="9" t="str">
        <x:v>WS-02</x:v>
      </x:c>
      <x:c r="H1632" s="15" t="n">
        <x:v>108</x:v>
      </x:c>
      <x:c r="I1632" s="9" t="str">
        <x:v>P19</x:v>
      </x:c>
      <x:c r="J1632" s="11" t="n">
        <x:v>46304.825694444444</x:v>
      </x:c>
      <x:c r="K1632" s="15" t="n">
        <x:v>12</x:v>
      </x:c>
      <x:c r="L1632" s="15" t="n">
        <x:v>3</x:v>
      </x:c>
      <x:c r="M1632" s="13" t="n">
        <x:f>J1632+(K1632+L1632)/1440</x:f>
        <x:v>46304.83611111111</x:v>
      </x:c>
      <x:c r="N1632" s="13" t="n">
        <x:f>VLOOKUP(C1632,'MES orders'!$A$8:$H$127,5,FALSE)</x:f>
        <x:v>46308.666666666664</x:v>
      </x:c>
      <x:c r="O1632" s="16" t="n">
        <x:f>MAX(0,(M1632-N1632)*24)</x:f>
        <x:v>0</x:v>
      </x:c>
      <x:c r="P1632" s="9" t="str">
        <x:v>No</x:v>
      </x:c>
      <x:c r="Q1632" s="15" t="n">
        <x:v>15</x:v>
      </x:c>
      <x:c r="R1632" s="13" t="n">
        <x:f>J1632+Q1632/1440</x:f>
        <x:v>46304.83611111111</x:v>
      </x:c>
      <x:c r="S1632" s="2" t="str">
        <x:f>VLOOKUP(C1632,'MES orders'!$A$8:$H$127,6,FALSE)</x:f>
        <x:v>High</x:v>
      </x:c>
      <x:c r="T1632" s="9" t="str"/>
    </x:row>
    <x:row r="1633" ht="22" customHeight="1">
      <x:c r="A1633" s="2" t="str">
        <x:v>L00138-030</x:v>
      </x:c>
      <x:c r="B1633" s="2" t="str">
        <x:v>L00138</x:v>
      </x:c>
      <x:c r="C1633" s="2" t="str">
        <x:v>SO-26028</x:v>
      </x:c>
      <x:c r="D1633" s="2" t="str">
        <x:v>R-S-SS</x:v>
      </x:c>
      <x:c r="E1633" s="14" t="n">
        <x:v>5</x:v>
      </x:c>
      <x:c r="F1633" s="2" t="str">
        <x:v>Wash &amp; dry</x:v>
      </x:c>
      <x:c r="G1633" s="9" t="str">
        <x:v>WS-01</x:v>
      </x:c>
      <x:c r="H1633" s="15" t="n">
        <x:v>151</x:v>
      </x:c>
      <x:c r="I1633" s="9" t="str">
        <x:v>P15</x:v>
      </x:c>
      <x:c r="J1633" s="11" t="n">
        <x:v>46304.82708333333</x:v>
      </x:c>
      <x:c r="K1633" s="15" t="n">
        <x:v>12</x:v>
      </x:c>
      <x:c r="L1633" s="15" t="n">
        <x:v>2</x:v>
      </x:c>
      <x:c r="M1633" s="13" t="n">
        <x:f>J1633+(K1633+L1633)/1440</x:f>
        <x:v>46304.836805555555</x:v>
      </x:c>
      <x:c r="N1633" s="13" t="n">
        <x:f>VLOOKUP(C1633,'MES orders'!$A$8:$H$127,5,FALSE)</x:f>
        <x:v>46307.666666666664</x:v>
      </x:c>
      <x:c r="O1633" s="16" t="n">
        <x:f>MAX(0,(M1633-N1633)*24)</x:f>
        <x:v>0</x:v>
      </x:c>
      <x:c r="P1633" s="9" t="str">
        <x:v>No</x:v>
      </x:c>
      <x:c r="Q1633" s="15" t="n">
        <x:v>14</x:v>
      </x:c>
      <x:c r="R1633" s="13" t="n">
        <x:f>J1633+Q1633/1440</x:f>
        <x:v>46304.836805555555</x:v>
      </x:c>
      <x:c r="S1633" s="2" t="str">
        <x:f>VLOOKUP(C1633,'MES orders'!$A$8:$H$127,6,FALSE)</x:f>
        <x:v>Normal</x:v>
      </x:c>
      <x:c r="T1633" s="9" t="str"/>
    </x:row>
    <x:row r="1634" ht="22" customHeight="1">
      <x:c r="A1634" s="2" t="str">
        <x:v>L00100-020</x:v>
      </x:c>
      <x:c r="B1634" s="2" t="str">
        <x:v>L00100</x:v>
      </x:c>
      <x:c r="C1634" s="2" t="str">
        <x:v>SO-26020</x:v>
      </x:c>
      <x:c r="D1634" s="2" t="str">
        <x:v>R-C-SS</x:v>
      </x:c>
      <x:c r="E1634" s="14" t="n">
        <x:v>25</x:v>
      </x:c>
      <x:c r="F1634" s="2" t="str">
        <x:v>Deburr &amp; inspect</x:v>
      </x:c>
      <x:c r="G1634" s="9" t="str">
        <x:v>DB-02</x:v>
      </x:c>
      <x:c r="H1634" s="15" t="n">
        <x:v>106</x:v>
      </x:c>
      <x:c r="I1634" s="9" t="str">
        <x:v>P13</x:v>
      </x:c>
      <x:c r="J1634" s="11" t="n">
        <x:v>46304.82777777778</x:v>
      </x:c>
      <x:c r="K1634" s="15" t="n">
        <x:v>4</x:v>
      </x:c>
      <x:c r="L1634" s="15" t="n">
        <x:v>14</x:v>
      </x:c>
      <x:c r="M1634" s="13" t="n">
        <x:f>J1634+(K1634+L1634)/1440</x:f>
        <x:v>46304.840277777774</x:v>
      </x:c>
      <x:c r="N1634" s="13" t="n">
        <x:f>VLOOKUP(C1634,'MES orders'!$A$8:$H$127,5,FALSE)</x:f>
        <x:v>46307.666666666664</x:v>
      </x:c>
      <x:c r="O1634" s="16" t="n">
        <x:f>MAX(0,(M1634-N1634)*24)</x:f>
        <x:v>0</x:v>
      </x:c>
      <x:c r="P1634" s="9" t="str">
        <x:v>No</x:v>
      </x:c>
      <x:c r="Q1634" s="15" t="n">
        <x:v>18</x:v>
      </x:c>
      <x:c r="R1634" s="13" t="n">
        <x:f>J1634+Q1634/1440</x:f>
        <x:v>46304.840277777774</x:v>
      </x:c>
      <x:c r="S1634" s="2" t="str">
        <x:f>VLOOKUP(C1634,'MES orders'!$A$8:$H$127,6,FALSE)</x:f>
        <x:v>Normal</x:v>
      </x:c>
      <x:c r="T1634" s="9" t="str"/>
    </x:row>
    <x:row r="1635" ht="22" customHeight="1">
      <x:c r="A1635" s="2" t="str">
        <x:v>L00059-050</x:v>
      </x:c>
      <x:c r="B1635" s="2" t="str">
        <x:v>L00059</x:v>
      </x:c>
      <x:c r="C1635" s="2" t="str">
        <x:v>SO-26012</x:v>
      </x:c>
      <x:c r="D1635" s="2" t="str">
        <x:v>D-L-SS</x:v>
      </x:c>
      <x:c r="E1635" s="14" t="n">
        <x:v>5</x:v>
      </x:c>
      <x:c r="F1635" s="2" t="str">
        <x:v>Final leak / function test</x:v>
      </x:c>
      <x:c r="G1635" s="9" t="str">
        <x:v>QA-02</x:v>
      </x:c>
      <x:c r="H1635" s="15" t="n">
        <x:v>115</x:v>
      </x:c>
      <x:c r="I1635" s="9" t="str">
        <x:v>P24</x:v>
      </x:c>
      <x:c r="J1635" s="11" t="n">
        <x:v>46304.82986111111</x:v>
      </x:c>
      <x:c r="K1635" s="15" t="n">
        <x:v>10</x:v>
      </x:c>
      <x:c r="L1635" s="15" t="n">
        <x:v>6</x:v>
      </x:c>
      <x:c r="M1635" s="13" t="n">
        <x:f>J1635+(K1635+L1635)/1440</x:f>
        <x:v>46304.84097222222</x:v>
      </x:c>
      <x:c r="N1635" s="13" t="n">
        <x:f>VLOOKUP(C1635,'MES orders'!$A$8:$H$127,5,FALSE)</x:f>
        <x:v>46307.666666666664</x:v>
      </x:c>
      <x:c r="O1635" s="16" t="n">
        <x:f>MAX(0,(M1635-N1635)*24)</x:f>
        <x:v>0</x:v>
      </x:c>
      <x:c r="P1635" s="9" t="str">
        <x:v>No</x:v>
      </x:c>
      <x:c r="Q1635" s="15" t="n">
        <x:v>16</x:v>
      </x:c>
      <x:c r="R1635" s="13" t="n">
        <x:f>J1635+Q1635/1440</x:f>
        <x:v>46304.84097222222</x:v>
      </x:c>
      <x:c r="S1635" s="2" t="str">
        <x:f>VLOOKUP(C1635,'MES orders'!$A$8:$H$127,6,FALSE)</x:f>
        <x:v>Normal</x:v>
      </x:c>
      <x:c r="T1635" s="9" t="str"/>
    </x:row>
    <x:row r="1636" ht="22" customHeight="1">
      <x:c r="A1636" s="2" t="str">
        <x:v>L00422-040</x:v>
      </x:c>
      <x:c r="B1636" s="2" t="str">
        <x:v>L00422</x:v>
      </x:c>
      <x:c r="C1636" s="2" t="str">
        <x:v>SO-26085</x:v>
      </x:c>
      <x:c r="D1636" s="2" t="str">
        <x:v>S-C-AL</x:v>
      </x:c>
      <x:c r="E1636" s="14" t="n">
        <x:v>10</x:v>
      </x:c>
      <x:c r="F1636" s="2" t="str">
        <x:v>Mechanical preassembly</x:v>
      </x:c>
      <x:c r="G1636" s="9" t="str">
        <x:v>AS-05</x:v>
      </x:c>
      <x:c r="H1636" s="15" t="n">
        <x:v>36</x:v>
      </x:c>
      <x:c r="I1636" s="9" t="str">
        <x:v>P19</x:v>
      </x:c>
      <x:c r="J1636" s="11" t="n">
        <x:v>46304.83611111111</x:v>
      </x:c>
      <x:c r="K1636" s="15" t="n">
        <x:v>6</x:v>
      </x:c>
      <x:c r="L1636" s="15" t="n">
        <x:v>9</x:v>
      </x:c>
      <x:c r="M1636" s="13" t="n">
        <x:f>J1636+(K1636+L1636)/1440</x:f>
        <x:v>46304.84652777777</x:v>
      </x:c>
      <x:c r="N1636" s="13" t="n">
        <x:f>VLOOKUP(C1636,'MES orders'!$A$8:$H$127,5,FALSE)</x:f>
        <x:v>46308.666666666664</x:v>
      </x:c>
      <x:c r="O1636" s="16" t="n">
        <x:f>MAX(0,(M1636-N1636)*24)</x:f>
        <x:v>0</x:v>
      </x:c>
      <x:c r="P1636" s="9" t="str">
        <x:v>No</x:v>
      </x:c>
      <x:c r="Q1636" s="15" t="n">
        <x:v>15</x:v>
      </x:c>
      <x:c r="R1636" s="13" t="n">
        <x:f>J1636+Q1636/1440</x:f>
        <x:v>46304.84652777777</x:v>
      </x:c>
      <x:c r="S1636" s="2" t="str">
        <x:f>VLOOKUP(C1636,'MES orders'!$A$8:$H$127,6,FALSE)</x:f>
        <x:v>High</x:v>
      </x:c>
      <x:c r="T1636" s="9" t="str"/>
    </x:row>
    <x:row r="1637" ht="22" customHeight="1">
      <x:c r="A1637" s="2" t="str">
        <x:v>L00138-040</x:v>
      </x:c>
      <x:c r="B1637" s="2" t="str">
        <x:v>L00138</x:v>
      </x:c>
      <x:c r="C1637" s="2" t="str">
        <x:v>SO-26028</x:v>
      </x:c>
      <x:c r="D1637" s="2" t="str">
        <x:v>R-S-SS</x:v>
      </x:c>
      <x:c r="E1637" s="14" t="n">
        <x:v>5</x:v>
      </x:c>
      <x:c r="F1637" s="2" t="str">
        <x:v>Mechanical assembly</x:v>
      </x:c>
      <x:c r="G1637" s="9" t="str">
        <x:v>AS-04</x:v>
      </x:c>
      <x:c r="H1637" s="15" t="n">
        <x:v>59</x:v>
      </x:c>
      <x:c r="I1637" s="9" t="str">
        <x:v>P15</x:v>
      </x:c>
      <x:c r="J1637" s="11" t="n">
        <x:v>46304.836805555555</x:v>
      </x:c>
      <x:c r="K1637" s="15" t="n">
        <x:v>8</x:v>
      </x:c>
      <x:c r="L1637" s="15" t="n">
        <x:v>9</x:v>
      </x:c>
      <x:c r="M1637" s="13" t="n">
        <x:f>J1637+(K1637+L1637)/1440</x:f>
        <x:v>46304.84861111111</x:v>
      </x:c>
      <x:c r="N1637" s="13" t="n">
        <x:f>VLOOKUP(C1637,'MES orders'!$A$8:$H$127,5,FALSE)</x:f>
        <x:v>46307.666666666664</x:v>
      </x:c>
      <x:c r="O1637" s="16" t="n">
        <x:f>MAX(0,(M1637-N1637)*24)</x:f>
        <x:v>0</x:v>
      </x:c>
      <x:c r="P1637" s="9" t="str">
        <x:v>No</x:v>
      </x:c>
      <x:c r="Q1637" s="15" t="n">
        <x:v>17</x:v>
      </x:c>
      <x:c r="R1637" s="13" t="n">
        <x:f>J1637+Q1637/1440</x:f>
        <x:v>46304.84861111111</x:v>
      </x:c>
      <x:c r="S1637" s="2" t="str">
        <x:f>VLOOKUP(C1637,'MES orders'!$A$8:$H$127,6,FALSE)</x:f>
        <x:v>Normal</x:v>
      </x:c>
      <x:c r="T1637" s="9" t="str"/>
    </x:row>
    <x:row r="1638" ht="22" customHeight="1">
      <x:c r="A1638" s="2" t="str">
        <x:v>L00137-050</x:v>
      </x:c>
      <x:c r="B1638" s="2" t="str">
        <x:v>L00137</x:v>
      </x:c>
      <x:c r="C1638" s="2" t="str">
        <x:v>SO-26028</x:v>
      </x:c>
      <x:c r="D1638" s="2" t="str">
        <x:v>R-S-SS</x:v>
      </x:c>
      <x:c r="E1638" s="14" t="n">
        <x:v>5</x:v>
      </x:c>
      <x:c r="F1638" s="2" t="str">
        <x:v>Valve adjustment</x:v>
      </x:c>
      <x:c r="G1638" s="9" t="str">
        <x:v>AS-02</x:v>
      </x:c>
      <x:c r="H1638" s="15" t="n">
        <x:v>107</x:v>
      </x:c>
      <x:c r="I1638" s="9" t="str">
        <x:v>P20</x:v>
      </x:c>
      <x:c r="J1638" s="11" t="n">
        <x:v>46304.8375</x:v>
      </x:c>
      <x:c r="K1638" s="15" t="n">
        <x:v>6</x:v>
      </x:c>
      <x:c r="L1638" s="15" t="n">
        <x:v>6</x:v>
      </x:c>
      <x:c r="M1638" s="13" t="n">
        <x:f>J1638+(K1638+L1638)/1440</x:f>
        <x:v>46304.84583333333</x:v>
      </x:c>
      <x:c r="N1638" s="13" t="n">
        <x:f>VLOOKUP(C1638,'MES orders'!$A$8:$H$127,5,FALSE)</x:f>
        <x:v>46307.666666666664</x:v>
      </x:c>
      <x:c r="O1638" s="16" t="n">
        <x:f>MAX(0,(M1638-N1638)*24)</x:f>
        <x:v>0</x:v>
      </x:c>
      <x:c r="P1638" s="9" t="str">
        <x:v>No</x:v>
      </x:c>
      <x:c r="Q1638" s="15" t="n">
        <x:v>12</x:v>
      </x:c>
      <x:c r="R1638" s="13" t="n">
        <x:f>J1638+Q1638/1440</x:f>
        <x:v>46304.84583333333</x:v>
      </x:c>
      <x:c r="S1638" s="2" t="str">
        <x:f>VLOOKUP(C1638,'MES orders'!$A$8:$H$127,6,FALSE)</x:f>
        <x:v>Normal</x:v>
      </x:c>
      <x:c r="T1638" s="9" t="str"/>
    </x:row>
    <x:row r="1639" ht="22" customHeight="1">
      <x:c r="A1639" s="2" t="str">
        <x:v>L00140-010</x:v>
      </x:c>
      <x:c r="B1639" s="2" t="str">
        <x:v>L00140</x:v>
      </x:c>
      <x:c r="C1639" s="2" t="str">
        <x:v>SO-26028</x:v>
      </x:c>
      <x:c r="D1639" s="2" t="str">
        <x:v>R-S-SS</x:v>
      </x:c>
      <x:c r="E1639" s="14" t="n">
        <x:v>5</x:v>
      </x:c>
      <x:c r="F1639" s="2" t="str">
        <x:v>CNC machining</x:v>
      </x:c>
      <x:c r="G1639" s="9" t="str">
        <x:v>CNC-03</x:v>
      </x:c>
      <x:c r="H1639" s="15" t="n">
        <x:v>51</x:v>
      </x:c>
      <x:c r="I1639" s="9" t="str">
        <x:v>P14</x:v>
      </x:c>
      <x:c r="J1639" s="11" t="n">
        <x:v>46304.8375</x:v>
      </x:c>
      <x:c r="K1639" s="15" t="n">
        <x:v>18</x:v>
      </x:c>
      <x:c r="L1639" s="15" t="n">
        <x:v>15</x:v>
      </x:c>
      <x:c r="M1639" s="13" t="n">
        <x:f>J1639+(K1639+L1639)/1440</x:f>
        <x:v>46304.86041666667</x:v>
      </x:c>
      <x:c r="N1639" s="13" t="n">
        <x:f>VLOOKUP(C1639,'MES orders'!$A$8:$H$127,5,FALSE)</x:f>
        <x:v>46307.666666666664</x:v>
      </x:c>
      <x:c r="O1639" s="16" t="n">
        <x:f>MAX(0,(M1639-N1639)*24)</x:f>
        <x:v>0</x:v>
      </x:c>
      <x:c r="P1639" s="9" t="str">
        <x:v>No</x:v>
      </x:c>
      <x:c r="Q1639" s="15" t="n">
        <x:v>18</x:v>
      </x:c>
      <x:c r="R1639" s="13" t="n">
        <x:f>J1639+Q1639/1440</x:f>
        <x:v>46304.85</x:v>
      </x:c>
      <x:c r="S1639" s="2" t="str">
        <x:f>VLOOKUP(C1639,'MES orders'!$A$8:$H$127,6,FALSE)</x:f>
        <x:v>Normal</x:v>
      </x:c>
      <x:c r="T1639" s="9" t="str"/>
    </x:row>
    <x:row r="1640" ht="22" customHeight="1">
      <x:c r="A1640" s="2" t="str">
        <x:v>L00097-020</x:v>
      </x:c>
      <x:c r="B1640" s="2" t="str">
        <x:v>L00097</x:v>
      </x:c>
      <x:c r="C1640" s="2" t="str">
        <x:v>SO-26020</x:v>
      </x:c>
      <x:c r="D1640" s="2" t="str">
        <x:v>R-C-SS</x:v>
      </x:c>
      <x:c r="E1640" s="14" t="n">
        <x:v>25</x:v>
      </x:c>
      <x:c r="F1640" s="2" t="str">
        <x:v>Deburr &amp; inspect</x:v>
      </x:c>
      <x:c r="G1640" s="9" t="str">
        <x:v>DB-01</x:v>
      </x:c>
      <x:c r="H1640" s="15" t="n">
        <x:v>157</x:v>
      </x:c>
      <x:c r="I1640" s="9" t="str">
        <x:v>P18</x:v>
      </x:c>
      <x:c r="J1640" s="11" t="n">
        <x:v>46304.83819444444</x:v>
      </x:c>
      <x:c r="K1640" s="15" t="n">
        <x:v>4</x:v>
      </x:c>
      <x:c r="L1640" s="15" t="n">
        <x:v>14</x:v>
      </x:c>
      <x:c r="M1640" s="13" t="n">
        <x:f>J1640+(K1640+L1640)/1440</x:f>
        <x:v>46304.85069444444</x:v>
      </x:c>
      <x:c r="N1640" s="13" t="n">
        <x:f>VLOOKUP(C1640,'MES orders'!$A$8:$H$127,5,FALSE)</x:f>
        <x:v>46307.666666666664</x:v>
      </x:c>
      <x:c r="O1640" s="16" t="n">
        <x:f>MAX(0,(M1640-N1640)*24)</x:f>
        <x:v>0</x:v>
      </x:c>
      <x:c r="P1640" s="9" t="str">
        <x:v>No</x:v>
      </x:c>
      <x:c r="Q1640" s="15" t="n">
        <x:v>18</x:v>
      </x:c>
      <x:c r="R1640" s="13" t="n">
        <x:f>J1640+Q1640/1440</x:f>
        <x:v>46304.85069444444</x:v>
      </x:c>
      <x:c r="S1640" s="2" t="str">
        <x:f>VLOOKUP(C1640,'MES orders'!$A$8:$H$127,6,FALSE)</x:f>
        <x:v>Normal</x:v>
      </x:c>
      <x:c r="T1640" s="9" t="str"/>
    </x:row>
    <x:row r="1641" ht="22" customHeight="1">
      <x:c r="A1641" s="2" t="str">
        <x:v>L00096-030</x:v>
      </x:c>
      <x:c r="B1641" s="2" t="str">
        <x:v>L00096</x:v>
      </x:c>
      <x:c r="C1641" s="2" t="str">
        <x:v>SO-26020</x:v>
      </x:c>
      <x:c r="D1641" s="2" t="str">
        <x:v>R-C-SS</x:v>
      </x:c>
      <x:c r="E1641" s="14" t="n">
        <x:v>25</x:v>
      </x:c>
      <x:c r="F1641" s="2" t="str">
        <x:v>Wash &amp; dry</x:v>
      </x:c>
      <x:c r="G1641" s="9" t="str">
        <x:v>WS-01</x:v>
      </x:c>
      <x:c r="H1641" s="15" t="n">
        <x:v>152</x:v>
      </x:c>
      <x:c r="I1641" s="9" t="str">
        <x:v>P17</x:v>
      </x:c>
      <x:c r="J1641" s="11" t="n">
        <x:v>46304.83819444444</x:v>
      </x:c>
      <x:c r="K1641" s="15" t="n">
        <x:v>12</x:v>
      </x:c>
      <x:c r="L1641" s="15" t="n">
        <x:v>7</x:v>
      </x:c>
      <x:c r="M1641" s="13" t="n">
        <x:f>J1641+(K1641+L1641)/1440</x:f>
        <x:v>46304.851388888885</x:v>
      </x:c>
      <x:c r="N1641" s="13" t="n">
        <x:f>VLOOKUP(C1641,'MES orders'!$A$8:$H$127,5,FALSE)</x:f>
        <x:v>46307.666666666664</x:v>
      </x:c>
      <x:c r="O1641" s="16" t="n">
        <x:f>MAX(0,(M1641-N1641)*24)</x:f>
        <x:v>0</x:v>
      </x:c>
      <x:c r="P1641" s="9" t="str">
        <x:v>No</x:v>
      </x:c>
      <x:c r="Q1641" s="15" t="n">
        <x:v>19</x:v>
      </x:c>
      <x:c r="R1641" s="13" t="n">
        <x:f>J1641+Q1641/1440</x:f>
        <x:v>46304.851388888885</x:v>
      </x:c>
      <x:c r="S1641" s="2" t="str">
        <x:f>VLOOKUP(C1641,'MES orders'!$A$8:$H$127,6,FALSE)</x:f>
        <x:v>Normal</x:v>
      </x:c>
      <x:c r="T1641" s="9" t="str"/>
    </x:row>
    <x:row r="1642" ht="22" customHeight="1">
      <x:c r="A1642" s="2" t="str">
        <x:v>L00060-050</x:v>
      </x:c>
      <x:c r="B1642" s="2" t="str">
        <x:v>L00060</x:v>
      </x:c>
      <x:c r="C1642" s="2" t="str">
        <x:v>SO-26012</x:v>
      </x:c>
      <x:c r="D1642" s="2" t="str">
        <x:v>D-L-SS</x:v>
      </x:c>
      <x:c r="E1642" s="14" t="n">
        <x:v>5</x:v>
      </x:c>
      <x:c r="F1642" s="2" t="str">
        <x:v>Final leak / function test</x:v>
      </x:c>
      <x:c r="G1642" s="9" t="str">
        <x:v>QA-01</x:v>
      </x:c>
      <x:c r="H1642" s="15" t="n">
        <x:v>66</x:v>
      </x:c>
      <x:c r="I1642" s="9" t="str">
        <x:v>P23</x:v>
      </x:c>
      <x:c r="J1642" s="11" t="n">
        <x:v>46304.839583333334</x:v>
      </x:c>
      <x:c r="K1642" s="15" t="n">
        <x:v>10</x:v>
      </x:c>
      <x:c r="L1642" s="15" t="n">
        <x:v>6</x:v>
      </x:c>
      <x:c r="M1642" s="13" t="n">
        <x:f>J1642+(K1642+L1642)/1440</x:f>
        <x:v>46304.850694444445</x:v>
      </x:c>
      <x:c r="N1642" s="13" t="n">
        <x:f>VLOOKUP(C1642,'MES orders'!$A$8:$H$127,5,FALSE)</x:f>
        <x:v>46307.666666666664</x:v>
      </x:c>
      <x:c r="O1642" s="16" t="n">
        <x:f>MAX(0,(M1642-N1642)*24)</x:f>
        <x:v>0</x:v>
      </x:c>
      <x:c r="P1642" s="9" t="str">
        <x:v>No</x:v>
      </x:c>
      <x:c r="Q1642" s="15" t="n">
        <x:v>16</x:v>
      </x:c>
      <x:c r="R1642" s="13" t="n">
        <x:f>J1642+Q1642/1440</x:f>
        <x:v>46304.850694444445</x:v>
      </x:c>
      <x:c r="S1642" s="2" t="str">
        <x:f>VLOOKUP(C1642,'MES orders'!$A$8:$H$127,6,FALSE)</x:f>
        <x:v>Normal</x:v>
      </x:c>
      <x:c r="T1642" s="9" t="str"/>
    </x:row>
    <x:row r="1643" ht="22" customHeight="1">
      <x:c r="A1643" s="2" t="str">
        <x:v>L00136-030</x:v>
      </x:c>
      <x:c r="B1643" s="2" t="str">
        <x:v>L00136</x:v>
      </x:c>
      <x:c r="C1643" s="2" t="str">
        <x:v>SO-26028</x:v>
      </x:c>
      <x:c r="D1643" s="2" t="str">
        <x:v>R-S-SS</x:v>
      </x:c>
      <x:c r="E1643" s="14" t="n">
        <x:v>5</x:v>
      </x:c>
      <x:c r="F1643" s="2" t="str">
        <x:v>Wash &amp; dry</x:v>
      </x:c>
      <x:c r="G1643" s="9" t="str">
        <x:v>WS-02</x:v>
      </x:c>
      <x:c r="H1643" s="15" t="n">
        <x:v>109</x:v>
      </x:c>
      <x:c r="I1643" s="9" t="str">
        <x:v>P16</x:v>
      </x:c>
      <x:c r="J1643" s="11" t="n">
        <x:v>46304.839583333334</x:v>
      </x:c>
      <x:c r="K1643" s="15" t="n">
        <x:v>12</x:v>
      </x:c>
      <x:c r="L1643" s="15" t="n">
        <x:v>2</x:v>
      </x:c>
      <x:c r="M1643" s="13" t="n">
        <x:f>J1643+(K1643+L1643)/1440</x:f>
        <x:v>46304.84930555556</x:v>
      </x:c>
      <x:c r="N1643" s="13" t="n">
        <x:f>VLOOKUP(C1643,'MES orders'!$A$8:$H$127,5,FALSE)</x:f>
        <x:v>46307.666666666664</x:v>
      </x:c>
      <x:c r="O1643" s="16" t="n">
        <x:f>MAX(0,(M1643-N1643)*24)</x:f>
        <x:v>0</x:v>
      </x:c>
      <x:c r="P1643" s="9" t="str">
        <x:v>No</x:v>
      </x:c>
      <x:c r="Q1643" s="15" t="n">
        <x:v>14</x:v>
      </x:c>
      <x:c r="R1643" s="13" t="n">
        <x:f>J1643+Q1643/1440</x:f>
        <x:v>46304.84930555556</x:v>
      </x:c>
      <x:c r="S1643" s="2" t="str">
        <x:f>VLOOKUP(C1643,'MES orders'!$A$8:$H$127,6,FALSE)</x:f>
        <x:v>Normal</x:v>
      </x:c>
      <x:c r="T1643" s="9" t="str"/>
    </x:row>
    <x:row r="1644" ht="22" customHeight="1">
      <x:c r="A1644" s="2" t="str">
        <x:v>L00139-020</x:v>
      </x:c>
      <x:c r="B1644" s="2" t="str">
        <x:v>L00139</x:v>
      </x:c>
      <x:c r="C1644" s="2" t="str">
        <x:v>SO-26028</x:v>
      </x:c>
      <x:c r="D1644" s="2" t="str">
        <x:v>R-S-SS</x:v>
      </x:c>
      <x:c r="E1644" s="14" t="n">
        <x:v>5</x:v>
      </x:c>
      <x:c r="F1644" s="2" t="str">
        <x:v>Deburr &amp; inspect</x:v>
      </x:c>
      <x:c r="G1644" s="9" t="str">
        <x:v>DB-02</x:v>
      </x:c>
      <x:c r="H1644" s="15" t="n">
        <x:v>107</x:v>
      </x:c>
      <x:c r="I1644" s="9" t="str">
        <x:v>P13</x:v>
      </x:c>
      <x:c r="J1644" s="11" t="n">
        <x:v>46304.84027777778</x:v>
      </x:c>
      <x:c r="K1644" s="15" t="n">
        <x:v>4</x:v>
      </x:c>
      <x:c r="L1644" s="15" t="n">
        <x:v>4</x:v>
      </x:c>
      <x:c r="M1644" s="13" t="n">
        <x:f>J1644+(K1644+L1644)/1440</x:f>
        <x:v>46304.84583333334</x:v>
      </x:c>
      <x:c r="N1644" s="13" t="n">
        <x:f>VLOOKUP(C1644,'MES orders'!$A$8:$H$127,5,FALSE)</x:f>
        <x:v>46307.666666666664</x:v>
      </x:c>
      <x:c r="O1644" s="16" t="n">
        <x:f>MAX(0,(M1644-N1644)*24)</x:f>
        <x:v>0</x:v>
      </x:c>
      <x:c r="P1644" s="9" t="str">
        <x:v>No</x:v>
      </x:c>
      <x:c r="Q1644" s="15" t="n">
        <x:v>8</x:v>
      </x:c>
      <x:c r="R1644" s="13" t="n">
        <x:f>J1644+Q1644/1440</x:f>
        <x:v>46304.84583333334</x:v>
      </x:c>
      <x:c r="S1644" s="2" t="str">
        <x:f>VLOOKUP(C1644,'MES orders'!$A$8:$H$127,6,FALSE)</x:f>
        <x:v>Normal</x:v>
      </x:c>
      <x:c r="T1644" s="9" t="str"/>
    </x:row>
    <x:row r="1645" ht="22" customHeight="1">
      <x:c r="A1645" s="2" t="str">
        <x:v>L00137-060</x:v>
      </x:c>
      <x:c r="B1645" s="2" t="str">
        <x:v>L00137</x:v>
      </x:c>
      <x:c r="C1645" s="2" t="str">
        <x:v>SO-26028</x:v>
      </x:c>
      <x:c r="D1645" s="2" t="str">
        <x:v>R-S-SS</x:v>
      </x:c>
      <x:c r="E1645" s="14" t="n">
        <x:v>5</x:v>
      </x:c>
      <x:c r="F1645" s="2" t="str">
        <x:v>Final leak / function test</x:v>
      </x:c>
      <x:c r="G1645" s="9" t="str">
        <x:v>QA-02</x:v>
      </x:c>
      <x:c r="H1645" s="15" t="n">
        <x:v>116</x:v>
      </x:c>
      <x:c r="I1645" s="9" t="str">
        <x:v>P24</x:v>
      </x:c>
      <x:c r="J1645" s="11" t="n">
        <x:v>46304.84583333333</x:v>
      </x:c>
      <x:c r="K1645" s="15" t="n">
        <x:v>10</x:v>
      </x:c>
      <x:c r="L1645" s="15" t="n">
        <x:v>4</x:v>
      </x:c>
      <x:c r="M1645" s="13" t="n">
        <x:f>J1645+(K1645+L1645)/1440</x:f>
        <x:v>46304.85555555556</x:v>
      </x:c>
      <x:c r="N1645" s="13" t="n">
        <x:f>VLOOKUP(C1645,'MES orders'!$A$8:$H$127,5,FALSE)</x:f>
        <x:v>46307.666666666664</x:v>
      </x:c>
      <x:c r="O1645" s="16" t="n">
        <x:f>MAX(0,(M1645-N1645)*24)</x:f>
        <x:v>0</x:v>
      </x:c>
      <x:c r="P1645" s="9" t="str">
        <x:v>No</x:v>
      </x:c>
      <x:c r="Q1645" s="15" t="n">
        <x:v>14</x:v>
      </x:c>
      <x:c r="R1645" s="13" t="n">
        <x:f>J1645+Q1645/1440</x:f>
        <x:v>46304.85555555556</x:v>
      </x:c>
      <x:c r="S1645" s="2" t="str">
        <x:f>VLOOKUP(C1645,'MES orders'!$A$8:$H$127,6,FALSE)</x:f>
        <x:v>Normal</x:v>
      </x:c>
      <x:c r="T1645" s="9" t="str"/>
    </x:row>
    <x:row r="1646" ht="22" customHeight="1">
      <x:c r="A1646" s="2" t="str">
        <x:v>L00422-050</x:v>
      </x:c>
      <x:c r="B1646" s="2" t="str">
        <x:v>L00422</x:v>
      </x:c>
      <x:c r="C1646" s="2" t="str">
        <x:v>SO-26085</x:v>
      </x:c>
      <x:c r="D1646" s="2" t="str">
        <x:v>S-C-AL</x:v>
      </x:c>
      <x:c r="E1646" s="14" t="n">
        <x:v>10</x:v>
      </x:c>
      <x:c r="F1646" s="2" t="str">
        <x:v>Sensor installation</x:v>
      </x:c>
      <x:c r="G1646" s="9" t="str">
        <x:v>EL-01</x:v>
      </x:c>
      <x:c r="H1646" s="15" t="n">
        <x:v>54</x:v>
      </x:c>
      <x:c r="I1646" s="9" t="str">
        <x:v>P19</x:v>
      </x:c>
      <x:c r="J1646" s="11" t="n">
        <x:v>46304.84652777778</x:v>
      </x:c>
      <x:c r="K1646" s="15" t="n">
        <x:v>8</x:v>
      </x:c>
      <x:c r="L1646" s="15" t="n">
        <x:v>10</x:v>
      </x:c>
      <x:c r="M1646" s="13" t="n">
        <x:f>J1646+(K1646+L1646)/1440</x:f>
        <x:v>46304.85902777778</x:v>
      </x:c>
      <x:c r="N1646" s="13" t="n">
        <x:f>VLOOKUP(C1646,'MES orders'!$A$8:$H$127,5,FALSE)</x:f>
        <x:v>46308.666666666664</x:v>
      </x:c>
      <x:c r="O1646" s="16" t="n">
        <x:f>MAX(0,(M1646-N1646)*24)</x:f>
        <x:v>0</x:v>
      </x:c>
      <x:c r="P1646" s="9" t="str">
        <x:v>No</x:v>
      </x:c>
      <x:c r="Q1646" s="15" t="n">
        <x:v>18</x:v>
      </x:c>
      <x:c r="R1646" s="13" t="n">
        <x:f>J1646+Q1646/1440</x:f>
        <x:v>46304.85902777778</x:v>
      </x:c>
      <x:c r="S1646" s="2" t="str">
        <x:f>VLOOKUP(C1646,'MES orders'!$A$8:$H$127,6,FALSE)</x:f>
        <x:v>High</x:v>
      </x:c>
      <x:c r="T1646" s="9" t="str"/>
    </x:row>
    <x:row r="1647" ht="22" customHeight="1">
      <x:c r="A1647" s="2" t="str">
        <x:v>L00138-050</x:v>
      </x:c>
      <x:c r="B1647" s="2" t="str">
        <x:v>L00138</x:v>
      </x:c>
      <x:c r="C1647" s="2" t="str">
        <x:v>SO-26028</x:v>
      </x:c>
      <x:c r="D1647" s="2" t="str">
        <x:v>R-S-SS</x:v>
      </x:c>
      <x:c r="E1647" s="14" t="n">
        <x:v>5</x:v>
      </x:c>
      <x:c r="F1647" s="2" t="str">
        <x:v>Valve adjustment</x:v>
      </x:c>
      <x:c r="G1647" s="9" t="str">
        <x:v>AS-03</x:v>
      </x:c>
      <x:c r="H1647" s="15" t="n">
        <x:v>86</x:v>
      </x:c>
      <x:c r="I1647" s="9" t="str">
        <x:v>P20</x:v>
      </x:c>
      <x:c r="J1647" s="11" t="n">
        <x:v>46304.84861111111</x:v>
      </x:c>
      <x:c r="K1647" s="15" t="n">
        <x:v>6</x:v>
      </x:c>
      <x:c r="L1647" s="15" t="n">
        <x:v>6</x:v>
      </x:c>
      <x:c r="M1647" s="13" t="n">
        <x:f>J1647+(K1647+L1647)/1440</x:f>
        <x:v>46304.856944444444</x:v>
      </x:c>
      <x:c r="N1647" s="13" t="n">
        <x:f>VLOOKUP(C1647,'MES orders'!$A$8:$H$127,5,FALSE)</x:f>
        <x:v>46307.666666666664</x:v>
      </x:c>
      <x:c r="O1647" s="16" t="n">
        <x:f>MAX(0,(M1647-N1647)*24)</x:f>
        <x:v>0</x:v>
      </x:c>
      <x:c r="P1647" s="9" t="str">
        <x:v>No</x:v>
      </x:c>
      <x:c r="Q1647" s="15" t="n">
        <x:v>12</x:v>
      </x:c>
      <x:c r="R1647" s="13" t="n">
        <x:f>J1647+Q1647/1440</x:f>
        <x:v>46304.856944444444</x:v>
      </x:c>
      <x:c r="S1647" s="2" t="str">
        <x:f>VLOOKUP(C1647,'MES orders'!$A$8:$H$127,6,FALSE)</x:f>
        <x:v>Normal</x:v>
      </x:c>
      <x:c r="T1647" s="9" t="str"/>
    </x:row>
    <x:row r="1648" ht="22" customHeight="1">
      <x:c r="A1648" s="2" t="str">
        <x:v>L00423-020</x:v>
      </x:c>
      <x:c r="B1648" s="2" t="str">
        <x:v>L00423</x:v>
      </x:c>
      <x:c r="C1648" s="2" t="str">
        <x:v>SO-26085</x:v>
      </x:c>
      <x:c r="D1648" s="2" t="str">
        <x:v>S-C-AL</x:v>
      </x:c>
      <x:c r="E1648" s="14" t="n">
        <x:v>10</x:v>
      </x:c>
      <x:c r="F1648" s="2" t="str">
        <x:v>Deburr &amp; inspect</x:v>
      </x:c>
      <x:c r="G1648" s="9" t="str">
        <x:v>DB-02</x:v>
      </x:c>
      <x:c r="H1648" s="15" t="n">
        <x:v>108</x:v>
      </x:c>
      <x:c r="I1648" s="9" t="str">
        <x:v>P15</x:v>
      </x:c>
      <x:c r="J1648" s="11" t="n">
        <x:v>46304.84861111111</x:v>
      </x:c>
      <x:c r="K1648" s="15" t="n">
        <x:v>4</x:v>
      </x:c>
      <x:c r="L1648" s="15" t="n">
        <x:v>6</x:v>
      </x:c>
      <x:c r="M1648" s="13" t="n">
        <x:f>J1648+(K1648+L1648)/1440</x:f>
        <x:v>46304.85555555556</x:v>
      </x:c>
      <x:c r="N1648" s="13" t="n">
        <x:f>VLOOKUP(C1648,'MES orders'!$A$8:$H$127,5,FALSE)</x:f>
        <x:v>46308.666666666664</x:v>
      </x:c>
      <x:c r="O1648" s="16" t="n">
        <x:f>MAX(0,(M1648-N1648)*24)</x:f>
        <x:v>0</x:v>
      </x:c>
      <x:c r="P1648" s="9" t="str">
        <x:v>No</x:v>
      </x:c>
      <x:c r="Q1648" s="15" t="n">
        <x:v>10</x:v>
      </x:c>
      <x:c r="R1648" s="13" t="n">
        <x:f>J1648+Q1648/1440</x:f>
        <x:v>46304.85555555556</x:v>
      </x:c>
      <x:c r="S1648" s="2" t="str">
        <x:f>VLOOKUP(C1648,'MES orders'!$A$8:$H$127,6,FALSE)</x:f>
        <x:v>High</x:v>
      </x:c>
      <x:c r="T1648" s="9" t="str"/>
    </x:row>
    <x:row r="1649" ht="22" customHeight="1">
      <x:c r="A1649" s="2" t="str">
        <x:v>L00136-040</x:v>
      </x:c>
      <x:c r="B1649" s="2" t="str">
        <x:v>L00136</x:v>
      </x:c>
      <x:c r="C1649" s="2" t="str">
        <x:v>SO-26028</x:v>
      </x:c>
      <x:c r="D1649" s="2" t="str">
        <x:v>R-S-SS</x:v>
      </x:c>
      <x:c r="E1649" s="14" t="n">
        <x:v>5</x:v>
      </x:c>
      <x:c r="F1649" s="2" t="str">
        <x:v>Mechanical assembly</x:v>
      </x:c>
      <x:c r="G1649" s="9" t="str">
        <x:v>AS-02</x:v>
      </x:c>
      <x:c r="H1649" s="15" t="n">
        <x:v>108</x:v>
      </x:c>
      <x:c r="I1649" s="9" t="str">
        <x:v>P13</x:v>
      </x:c>
      <x:c r="J1649" s="11" t="n">
        <x:v>46304.84930555556</x:v>
      </x:c>
      <x:c r="K1649" s="15" t="n">
        <x:v>8</x:v>
      </x:c>
      <x:c r="L1649" s="15" t="n">
        <x:v>9</x:v>
      </x:c>
      <x:c r="M1649" s="13" t="n">
        <x:f>J1649+(K1649+L1649)/1440</x:f>
        <x:v>46304.86111111112</x:v>
      </x:c>
      <x:c r="N1649" s="13" t="n">
        <x:f>VLOOKUP(C1649,'MES orders'!$A$8:$H$127,5,FALSE)</x:f>
        <x:v>46307.666666666664</x:v>
      </x:c>
      <x:c r="O1649" s="16" t="n">
        <x:f>MAX(0,(M1649-N1649)*24)</x:f>
        <x:v>0</x:v>
      </x:c>
      <x:c r="P1649" s="9" t="str">
        <x:v>No</x:v>
      </x:c>
      <x:c r="Q1649" s="15" t="n">
        <x:v>17</x:v>
      </x:c>
      <x:c r="R1649" s="13" t="n">
        <x:f>J1649+Q1649/1440</x:f>
        <x:v>46304.86111111112</x:v>
      </x:c>
      <x:c r="S1649" s="2" t="str">
        <x:f>VLOOKUP(C1649,'MES orders'!$A$8:$H$127,6,FALSE)</x:f>
        <x:v>Normal</x:v>
      </x:c>
      <x:c r="T1649" s="9" t="str"/>
    </x:row>
    <x:row r="1650" ht="22" customHeight="1">
      <x:c r="A1650" s="2" t="str">
        <x:v>L00097-030</x:v>
      </x:c>
      <x:c r="B1650" s="2" t="str">
        <x:v>L00097</x:v>
      </x:c>
      <x:c r="C1650" s="2" t="str">
        <x:v>SO-26020</x:v>
      </x:c>
      <x:c r="D1650" s="2" t="str">
        <x:v>R-C-SS</x:v>
      </x:c>
      <x:c r="E1650" s="14" t="n">
        <x:v>25</x:v>
      </x:c>
      <x:c r="F1650" s="2" t="str">
        <x:v>Wash &amp; dry</x:v>
      </x:c>
      <x:c r="G1650" s="9" t="str">
        <x:v>WS-02</x:v>
      </x:c>
      <x:c r="H1650" s="15" t="n">
        <x:v>110</x:v>
      </x:c>
      <x:c r="I1650" s="9" t="str">
        <x:v>P18</x:v>
      </x:c>
      <x:c r="J1650" s="11" t="n">
        <x:v>46304.850694444445</x:v>
      </x:c>
      <x:c r="K1650" s="15" t="n">
        <x:v>12</x:v>
      </x:c>
      <x:c r="L1650" s="15" t="n">
        <x:v>7</x:v>
      </x:c>
      <x:c r="M1650" s="13" t="n">
        <x:f>J1650+(K1650+L1650)/1440</x:f>
        <x:v>46304.86388888889</x:v>
      </x:c>
      <x:c r="N1650" s="13" t="n">
        <x:f>VLOOKUP(C1650,'MES orders'!$A$8:$H$127,5,FALSE)</x:f>
        <x:v>46307.666666666664</x:v>
      </x:c>
      <x:c r="O1650" s="16" t="n">
        <x:f>MAX(0,(M1650-N1650)*24)</x:f>
        <x:v>0</x:v>
      </x:c>
      <x:c r="P1650" s="9" t="str">
        <x:v>No</x:v>
      </x:c>
      <x:c r="Q1650" s="15" t="n">
        <x:v>19</x:v>
      </x:c>
      <x:c r="R1650" s="13" t="n">
        <x:f>J1650+Q1650/1440</x:f>
        <x:v>46304.86388888889</x:v>
      </x:c>
      <x:c r="S1650" s="2" t="str">
        <x:f>VLOOKUP(C1650,'MES orders'!$A$8:$H$127,6,FALSE)</x:f>
        <x:v>Normal</x:v>
      </x:c>
      <x:c r="T1650" s="9" t="str"/>
    </x:row>
    <x:row r="1651" ht="22" customHeight="1">
      <x:c r="A1651" s="2" t="str">
        <x:v>L00096-040</x:v>
      </x:c>
      <x:c r="B1651" s="2" t="str">
        <x:v>L00096</x:v>
      </x:c>
      <x:c r="C1651" s="2" t="str">
        <x:v>SO-26020</x:v>
      </x:c>
      <x:c r="D1651" s="2" t="str">
        <x:v>R-C-SS</x:v>
      </x:c>
      <x:c r="E1651" s="14" t="n">
        <x:v>25</x:v>
      </x:c>
      <x:c r="F1651" s="2" t="str">
        <x:v>Mechanical assembly</x:v>
      </x:c>
      <x:c r="G1651" s="9" t="str">
        <x:v>AS-01</x:v>
      </x:c>
      <x:c r="H1651" s="15" t="n">
        <x:v>132</x:v>
      </x:c>
      <x:c r="I1651" s="9" t="str">
        <x:v>P16</x:v>
      </x:c>
      <x:c r="J1651" s="11" t="n">
        <x:v>46304.85138888889</x:v>
      </x:c>
      <x:c r="K1651" s="15" t="n">
        <x:v>8</x:v>
      </x:c>
      <x:c r="L1651" s="15" t="n">
        <x:v>36</x:v>
      </x:c>
      <x:c r="M1651" s="13" t="n">
        <x:f>J1651+(K1651+L1651)/1440</x:f>
        <x:v>46304.881944444445</x:v>
      </x:c>
      <x:c r="N1651" s="13" t="n">
        <x:f>VLOOKUP(C1651,'MES orders'!$A$8:$H$127,5,FALSE)</x:f>
        <x:v>46307.666666666664</x:v>
      </x:c>
      <x:c r="O1651" s="16" t="n">
        <x:f>MAX(0,(M1651-N1651)*24)</x:f>
        <x:v>0</x:v>
      </x:c>
      <x:c r="P1651" s="9" t="str">
        <x:v>No</x:v>
      </x:c>
      <x:c r="Q1651" s="15" t="n">
        <x:v>44</x:v>
      </x:c>
      <x:c r="R1651" s="13" t="n">
        <x:f>J1651+Q1651/1440</x:f>
        <x:v>46304.881944444445</x:v>
      </x:c>
      <x:c r="S1651" s="2" t="str">
        <x:f>VLOOKUP(C1651,'MES orders'!$A$8:$H$127,6,FALSE)</x:f>
        <x:v>Normal</x:v>
      </x:c>
      <x:c r="T1651" s="9" t="str"/>
    </x:row>
    <x:row r="1652" ht="22" customHeight="1">
      <x:c r="A1652" s="2" t="str">
        <x:v>L00098-020</x:v>
      </x:c>
      <x:c r="B1652" s="2" t="str">
        <x:v>L00098</x:v>
      </x:c>
      <x:c r="C1652" s="2" t="str">
        <x:v>SO-26020</x:v>
      </x:c>
      <x:c r="D1652" s="2" t="str">
        <x:v>R-C-SS</x:v>
      </x:c>
      <x:c r="E1652" s="14" t="n">
        <x:v>25</x:v>
      </x:c>
      <x:c r="F1652" s="2" t="str">
        <x:v>Deburr &amp; inspect</x:v>
      </x:c>
      <x:c r="G1652" s="9" t="str">
        <x:v>DB-01</x:v>
      </x:c>
      <x:c r="H1652" s="15" t="n">
        <x:v>158</x:v>
      </x:c>
      <x:c r="I1652" s="9" t="str">
        <x:v>P17</x:v>
      </x:c>
      <x:c r="J1652" s="11" t="n">
        <x:v>46304.85138888889</x:v>
      </x:c>
      <x:c r="K1652" s="15" t="n">
        <x:v>4</x:v>
      </x:c>
      <x:c r="L1652" s="15" t="n">
        <x:v>14</x:v>
      </x:c>
      <x:c r="M1652" s="13" t="n">
        <x:f>J1652+(K1652+L1652)/1440</x:f>
        <x:v>46304.86388888889</x:v>
      </x:c>
      <x:c r="N1652" s="13" t="n">
        <x:f>VLOOKUP(C1652,'MES orders'!$A$8:$H$127,5,FALSE)</x:f>
        <x:v>46307.666666666664</x:v>
      </x:c>
      <x:c r="O1652" s="16" t="n">
        <x:f>MAX(0,(M1652-N1652)*24)</x:f>
        <x:v>0</x:v>
      </x:c>
      <x:c r="P1652" s="9" t="str">
        <x:v>No</x:v>
      </x:c>
      <x:c r="Q1652" s="15" t="n">
        <x:v>18</x:v>
      </x:c>
      <x:c r="R1652" s="13" t="n">
        <x:f>J1652+Q1652/1440</x:f>
        <x:v>46304.86388888889</x:v>
      </x:c>
      <x:c r="S1652" s="2" t="str">
        <x:f>VLOOKUP(C1652,'MES orders'!$A$8:$H$127,6,FALSE)</x:f>
        <x:v>Normal</x:v>
      </x:c>
      <x:c r="T1652" s="9" t="str"/>
    </x:row>
    <x:row r="1653" ht="22" customHeight="1">
      <x:c r="A1653" s="2" t="str">
        <x:v>L00139-030</x:v>
      </x:c>
      <x:c r="B1653" s="2" t="str">
        <x:v>L00139</x:v>
      </x:c>
      <x:c r="C1653" s="2" t="str">
        <x:v>SO-26028</x:v>
      </x:c>
      <x:c r="D1653" s="2" t="str">
        <x:v>R-S-SS</x:v>
      </x:c>
      <x:c r="E1653" s="14" t="n">
        <x:v>5</x:v>
      </x:c>
      <x:c r="F1653" s="2" t="str">
        <x:v>Wash &amp; dry</x:v>
      </x:c>
      <x:c r="G1653" s="9" t="str">
        <x:v>WS-01</x:v>
      </x:c>
      <x:c r="H1653" s="15" t="n">
        <x:v>153</x:v>
      </x:c>
      <x:c r="I1653" s="9" t="str">
        <x:v>P14</x:v>
      </x:c>
      <x:c r="J1653" s="11" t="n">
        <x:v>46304.85138888889</x:v>
      </x:c>
      <x:c r="K1653" s="15" t="n">
        <x:v>12</x:v>
      </x:c>
      <x:c r="L1653" s="15" t="n">
        <x:v>2</x:v>
      </x:c>
      <x:c r="M1653" s="13" t="n">
        <x:f>J1653+(K1653+L1653)/1440</x:f>
        <x:v>46304.86111111112</x:v>
      </x:c>
      <x:c r="N1653" s="13" t="n">
        <x:f>VLOOKUP(C1653,'MES orders'!$A$8:$H$127,5,FALSE)</x:f>
        <x:v>46307.666666666664</x:v>
      </x:c>
      <x:c r="O1653" s="16" t="n">
        <x:f>MAX(0,(M1653-N1653)*24)</x:f>
        <x:v>0</x:v>
      </x:c>
      <x:c r="P1653" s="9" t="str">
        <x:v>No</x:v>
      </x:c>
      <x:c r="Q1653" s="15" t="n">
        <x:v>14</x:v>
      </x:c>
      <x:c r="R1653" s="13" t="n">
        <x:f>J1653+Q1653/1440</x:f>
        <x:v>46304.86111111112</x:v>
      </x:c>
      <x:c r="S1653" s="2" t="str">
        <x:f>VLOOKUP(C1653,'MES orders'!$A$8:$H$127,6,FALSE)</x:f>
        <x:v>Normal</x:v>
      </x:c>
      <x:c r="T1653" s="9" t="str"/>
    </x:row>
    <x:row r="1654" ht="22" customHeight="1">
      <x:c r="A1654" s="2" t="str">
        <x:v>L00462-080</x:v>
      </x:c>
      <x:c r="B1654" s="2" t="str">
        <x:v>L00462</x:v>
      </x:c>
      <x:c r="C1654" s="2" t="str">
        <x:v>SO-26093</x:v>
      </x:c>
      <x:c r="D1654" s="2" t="str">
        <x:v>S-S-AL</x:v>
      </x:c>
      <x:c r="E1654" s="14" t="n">
        <x:v>15</x:v>
      </x:c>
      <x:c r="F1654" s="2" t="str">
        <x:v>Final leak / function test</x:v>
      </x:c>
      <x:c r="G1654" s="9" t="str">
        <x:v>QA-03</x:v>
      </x:c>
      <x:c r="H1654" s="15" t="n">
        <x:v>72</x:v>
      </x:c>
      <x:c r="I1654" s="9" t="str">
        <x:v>P24</x:v>
      </x:c>
      <x:c r="J1654" s="11" t="n">
        <x:v>46304.85555555556</x:v>
      </x:c>
      <x:c r="K1654" s="15" t="n">
        <x:v>10</x:v>
      </x:c>
      <x:c r="L1654" s="15" t="n">
        <x:v>14</x:v>
      </x:c>
      <x:c r="M1654" s="13" t="n">
        <x:f>J1654+(K1654+L1654)/1440</x:f>
        <x:v>46304.87222222223</x:v>
      </x:c>
      <x:c r="N1654" s="13" t="n">
        <x:f>VLOOKUP(C1654,'MES orders'!$A$8:$H$127,5,FALSE)</x:f>
        <x:v>46308.666666666664</x:v>
      </x:c>
      <x:c r="O1654" s="16" t="n">
        <x:f>MAX(0,(M1654-N1654)*24)</x:f>
        <x:v>0</x:v>
      </x:c>
      <x:c r="P1654" s="9" t="str">
        <x:v>No</x:v>
      </x:c>
      <x:c r="Q1654" s="15" t="n">
        <x:v>24</x:v>
      </x:c>
      <x:c r="R1654" s="13" t="n">
        <x:f>J1654+Q1654/1440</x:f>
        <x:v>46304.87222222223</x:v>
      </x:c>
      <x:c r="S1654" s="2" t="str">
        <x:f>VLOOKUP(C1654,'MES orders'!$A$8:$H$127,6,FALSE)</x:f>
        <x:v>Urgent</x:v>
      </x:c>
      <x:c r="T1654" s="9" t="str"/>
    </x:row>
    <x:row r="1655" ht="22" customHeight="1">
      <x:c r="A1655" s="2" t="str">
        <x:v>L00138-060</x:v>
      </x:c>
      <x:c r="B1655" s="2" t="str">
        <x:v>L00138</x:v>
      </x:c>
      <x:c r="C1655" s="2" t="str">
        <x:v>SO-26028</x:v>
      </x:c>
      <x:c r="D1655" s="2" t="str">
        <x:v>R-S-SS</x:v>
      </x:c>
      <x:c r="E1655" s="14" t="n">
        <x:v>5</x:v>
      </x:c>
      <x:c r="F1655" s="2" t="str">
        <x:v>Final leak / function test</x:v>
      </x:c>
      <x:c r="G1655" s="9" t="str">
        <x:v>QA-02</x:v>
      </x:c>
      <x:c r="H1655" s="15" t="n">
        <x:v>117</x:v>
      </x:c>
      <x:c r="I1655" s="9" t="str">
        <x:v>P23</x:v>
      </x:c>
      <x:c r="J1655" s="11" t="n">
        <x:v>46304.856944444444</x:v>
      </x:c>
      <x:c r="K1655" s="15" t="n">
        <x:v>10</x:v>
      </x:c>
      <x:c r="L1655" s="15" t="n">
        <x:v>4</x:v>
      </x:c>
      <x:c r="M1655" s="13" t="n">
        <x:f>J1655+(K1655+L1655)/1440</x:f>
        <x:v>46304.86666666667</x:v>
      </x:c>
      <x:c r="N1655" s="13" t="n">
        <x:f>VLOOKUP(C1655,'MES orders'!$A$8:$H$127,5,FALSE)</x:f>
        <x:v>46307.666666666664</x:v>
      </x:c>
      <x:c r="O1655" s="16" t="n">
        <x:f>MAX(0,(M1655-N1655)*24)</x:f>
        <x:v>0</x:v>
      </x:c>
      <x:c r="P1655" s="9" t="str">
        <x:v>No</x:v>
      </x:c>
      <x:c r="Q1655" s="15" t="n">
        <x:v>14</x:v>
      </x:c>
      <x:c r="R1655" s="13" t="n">
        <x:f>J1655+Q1655/1440</x:f>
        <x:v>46304.86666666667</x:v>
      </x:c>
      <x:c r="S1655" s="2" t="str">
        <x:f>VLOOKUP(C1655,'MES orders'!$A$8:$H$127,6,FALSE)</x:f>
        <x:v>Normal</x:v>
      </x:c>
      <x:c r="T1655" s="9" t="str"/>
    </x:row>
    <x:row r="1656" ht="22" customHeight="1">
      <x:c r="A1656" s="2" t="str">
        <x:v>L00422-060</x:v>
      </x:c>
      <x:c r="B1656" s="2" t="str">
        <x:v>L00422</x:v>
      </x:c>
      <x:c r="C1656" s="2" t="str">
        <x:v>SO-26085</x:v>
      </x:c>
      <x:c r="D1656" s="2" t="str">
        <x:v>S-C-AL</x:v>
      </x:c>
      <x:c r="E1656" s="14" t="n">
        <x:v>10</x:v>
      </x:c>
      <x:c r="F1656" s="2" t="str">
        <x:v>Sensor calibration</x:v>
      </x:c>
      <x:c r="G1656" s="9" t="str">
        <x:v>CAL-01</x:v>
      </x:c>
      <x:c r="H1656" s="15" t="n">
        <x:v>82</x:v>
      </x:c>
      <x:c r="I1656" s="9" t="str">
        <x:v>P21</x:v>
      </x:c>
      <x:c r="J1656" s="11" t="n">
        <x:v>46304.85902777778</x:v>
      </x:c>
      <x:c r="K1656" s="15" t="n">
        <x:v>10</x:v>
      </x:c>
      <x:c r="L1656" s="15" t="n">
        <x:v>10</x:v>
      </x:c>
      <x:c r="M1656" s="13" t="n">
        <x:f>J1656+(K1656+L1656)/1440</x:f>
        <x:v>46304.87291666667</x:v>
      </x:c>
      <x:c r="N1656" s="13" t="n">
        <x:f>VLOOKUP(C1656,'MES orders'!$A$8:$H$127,5,FALSE)</x:f>
        <x:v>46308.666666666664</x:v>
      </x:c>
      <x:c r="O1656" s="16" t="n">
        <x:f>MAX(0,(M1656-N1656)*24)</x:f>
        <x:v>0</x:v>
      </x:c>
      <x:c r="P1656" s="9" t="str">
        <x:v>No</x:v>
      </x:c>
      <x:c r="Q1656" s="15" t="n">
        <x:v>20</x:v>
      </x:c>
      <x:c r="R1656" s="13" t="n">
        <x:f>J1656+Q1656/1440</x:f>
        <x:v>46304.87291666667</x:v>
      </x:c>
      <x:c r="S1656" s="2" t="str">
        <x:f>VLOOKUP(C1656,'MES orders'!$A$8:$H$127,6,FALSE)</x:f>
        <x:v>High</x:v>
      </x:c>
      <x:c r="T1656" s="9" t="str"/>
    </x:row>
    <x:row r="1657" ht="22" customHeight="1">
      <x:c r="A1657" s="2" t="str">
        <x:v>L00140-020</x:v>
      </x:c>
      <x:c r="B1657" s="2" t="str">
        <x:v>L00140</x:v>
      </x:c>
      <x:c r="C1657" s="2" t="str">
        <x:v>SO-26028</x:v>
      </x:c>
      <x:c r="D1657" s="2" t="str">
        <x:v>R-S-SS</x:v>
      </x:c>
      <x:c r="E1657" s="14" t="n">
        <x:v>5</x:v>
      </x:c>
      <x:c r="F1657" s="2" t="str">
        <x:v>Deburr &amp; inspect</x:v>
      </x:c>
      <x:c r="G1657" s="9" t="str">
        <x:v>DB-02</x:v>
      </x:c>
      <x:c r="H1657" s="15" t="n">
        <x:v>109</x:v>
      </x:c>
      <x:c r="I1657" s="9" t="str">
        <x:v>P15</x:v>
      </x:c>
      <x:c r="J1657" s="11" t="n">
        <x:v>46304.86041666667</x:v>
      </x:c>
      <x:c r="K1657" s="15" t="n">
        <x:v>4</x:v>
      </x:c>
      <x:c r="L1657" s="15" t="n">
        <x:v>4</x:v>
      </x:c>
      <x:c r="M1657" s="13" t="n">
        <x:f>J1657+(K1657+L1657)/1440</x:f>
        <x:v>46304.86597222223</x:v>
      </x:c>
      <x:c r="N1657" s="13" t="n">
        <x:f>VLOOKUP(C1657,'MES orders'!$A$8:$H$127,5,FALSE)</x:f>
        <x:v>46307.666666666664</x:v>
      </x:c>
      <x:c r="O1657" s="16" t="n">
        <x:f>MAX(0,(M1657-N1657)*24)</x:f>
        <x:v>0</x:v>
      </x:c>
      <x:c r="P1657" s="9" t="str">
        <x:v>No</x:v>
      </x:c>
      <x:c r="Q1657" s="15" t="n">
        <x:v>8</x:v>
      </x:c>
      <x:c r="R1657" s="13" t="n">
        <x:f>J1657+Q1657/1440</x:f>
        <x:v>46304.86597222223</x:v>
      </x:c>
      <x:c r="S1657" s="2" t="str">
        <x:f>VLOOKUP(C1657,'MES orders'!$A$8:$H$127,6,FALSE)</x:f>
        <x:v>Normal</x:v>
      </x:c>
      <x:c r="T1657" s="9" t="str"/>
    </x:row>
    <x:row r="1658" ht="22" customHeight="1">
      <x:c r="A1658" s="2" t="str">
        <x:v>L00136-050</x:v>
      </x:c>
      <x:c r="B1658" s="2" t="str">
        <x:v>L00136</x:v>
      </x:c>
      <x:c r="C1658" s="2" t="str">
        <x:v>SO-26028</x:v>
      </x:c>
      <x:c r="D1658" s="2" t="str">
        <x:v>R-S-SS</x:v>
      </x:c>
      <x:c r="E1658" s="14" t="n">
        <x:v>5</x:v>
      </x:c>
      <x:c r="F1658" s="2" t="str">
        <x:v>Valve adjustment</x:v>
      </x:c>
      <x:c r="G1658" s="9" t="str">
        <x:v>AS-03</x:v>
      </x:c>
      <x:c r="H1658" s="15" t="n">
        <x:v>87</x:v>
      </x:c>
      <x:c r="I1658" s="9" t="str">
        <x:v>P20</x:v>
      </x:c>
      <x:c r="J1658" s="11" t="n">
        <x:v>46304.86111111111</x:v>
      </x:c>
      <x:c r="K1658" s="15" t="n">
        <x:v>6</x:v>
      </x:c>
      <x:c r="L1658" s="15" t="n">
        <x:v>6</x:v>
      </x:c>
      <x:c r="M1658" s="13" t="n">
        <x:f>J1658+(K1658+L1658)/1440</x:f>
        <x:v>46304.86944444444</x:v>
      </x:c>
      <x:c r="N1658" s="13" t="n">
        <x:f>VLOOKUP(C1658,'MES orders'!$A$8:$H$127,5,FALSE)</x:f>
        <x:v>46307.666666666664</x:v>
      </x:c>
      <x:c r="O1658" s="16" t="n">
        <x:f>MAX(0,(M1658-N1658)*24)</x:f>
        <x:v>0</x:v>
      </x:c>
      <x:c r="P1658" s="9" t="str">
        <x:v>No</x:v>
      </x:c>
      <x:c r="Q1658" s="15" t="n">
        <x:v>12</x:v>
      </x:c>
      <x:c r="R1658" s="13" t="n">
        <x:f>J1658+Q1658/1440</x:f>
        <x:v>46304.86944444444</x:v>
      </x:c>
      <x:c r="S1658" s="2" t="str">
        <x:f>VLOOKUP(C1658,'MES orders'!$A$8:$H$127,6,FALSE)</x:f>
        <x:v>Normal</x:v>
      </x:c>
      <x:c r="T1658" s="9" t="str"/>
    </x:row>
    <x:row r="1659" ht="22" customHeight="1">
      <x:c r="A1659" s="2" t="str">
        <x:v>L00139-040</x:v>
      </x:c>
      <x:c r="B1659" s="2" t="str">
        <x:v>L00139</x:v>
      </x:c>
      <x:c r="C1659" s="2" t="str">
        <x:v>SO-26028</x:v>
      </x:c>
      <x:c r="D1659" s="2" t="str">
        <x:v>R-S-SS</x:v>
      </x:c>
      <x:c r="E1659" s="14" t="n">
        <x:v>5</x:v>
      </x:c>
      <x:c r="F1659" s="2" t="str">
        <x:v>Mechanical assembly</x:v>
      </x:c>
      <x:c r="G1659" s="9" t="str">
        <x:v>AS-04</x:v>
      </x:c>
      <x:c r="H1659" s="15" t="n">
        <x:v>60</x:v>
      </x:c>
      <x:c r="I1659" s="9" t="str">
        <x:v>P14</x:v>
      </x:c>
      <x:c r="J1659" s="11" t="n">
        <x:v>46304.86111111111</x:v>
      </x:c>
      <x:c r="K1659" s="15" t="n">
        <x:v>8</x:v>
      </x:c>
      <x:c r="L1659" s="15" t="n">
        <x:v>9</x:v>
      </x:c>
      <x:c r="M1659" s="13" t="n">
        <x:f>J1659+(K1659+L1659)/1440</x:f>
        <x:v>46304.87291666667</x:v>
      </x:c>
      <x:c r="N1659" s="13" t="n">
        <x:f>VLOOKUP(C1659,'MES orders'!$A$8:$H$127,5,FALSE)</x:f>
        <x:v>46307.666666666664</x:v>
      </x:c>
      <x:c r="O1659" s="16" t="n">
        <x:f>MAX(0,(M1659-N1659)*24)</x:f>
        <x:v>0</x:v>
      </x:c>
      <x:c r="P1659" s="9" t="str">
        <x:v>No</x:v>
      </x:c>
      <x:c r="Q1659" s="15" t="n">
        <x:v>17</x:v>
      </x:c>
      <x:c r="R1659" s="13" t="n">
        <x:f>J1659+Q1659/1440</x:f>
        <x:v>46304.87291666667</x:v>
      </x:c>
      <x:c r="S1659" s="2" t="str">
        <x:f>VLOOKUP(C1659,'MES orders'!$A$8:$H$127,6,FALSE)</x:f>
        <x:v>Normal</x:v>
      </x:c>
      <x:c r="T1659" s="9" t="str"/>
    </x:row>
    <x:row r="1660" ht="22" customHeight="1">
      <x:c r="A1660" s="2" t="str">
        <x:v>L00097-040</x:v>
      </x:c>
      <x:c r="B1660" s="2" t="str">
        <x:v>L00097</x:v>
      </x:c>
      <x:c r="C1660" s="2" t="str">
        <x:v>SO-26020</x:v>
      </x:c>
      <x:c r="D1660" s="2" t="str">
        <x:v>R-C-SS</x:v>
      </x:c>
      <x:c r="E1660" s="14" t="n">
        <x:v>25</x:v>
      </x:c>
      <x:c r="F1660" s="2" t="str">
        <x:v>Mechanical assembly</x:v>
      </x:c>
      <x:c r="G1660" s="9" t="str">
        <x:v>AS-02</x:v>
      </x:c>
      <x:c r="H1660" s="15" t="n">
        <x:v>109</x:v>
      </x:c>
      <x:c r="I1660" s="9" t="str">
        <x:v>P18</x:v>
      </x:c>
      <x:c r="J1660" s="11" t="n">
        <x:v>46304.86388888889</x:v>
      </x:c>
      <x:c r="K1660" s="15" t="n">
        <x:v>8</x:v>
      </x:c>
      <x:c r="L1660" s="15" t="n">
        <x:v>36</x:v>
      </x:c>
      <x:c r="M1660" s="13" t="n">
        <x:f>J1660+(K1660+L1660)/1440</x:f>
        <x:v>46304.89444444444</x:v>
      </x:c>
      <x:c r="N1660" s="13" t="n">
        <x:f>VLOOKUP(C1660,'MES orders'!$A$8:$H$127,5,FALSE)</x:f>
        <x:v>46307.666666666664</x:v>
      </x:c>
      <x:c r="O1660" s="16" t="n">
        <x:f>MAX(0,(M1660-N1660)*24)</x:f>
        <x:v>0</x:v>
      </x:c>
      <x:c r="P1660" s="9" t="str">
        <x:v>No</x:v>
      </x:c>
      <x:c r="Q1660" s="15" t="n">
        <x:v>44</x:v>
      </x:c>
      <x:c r="R1660" s="13" t="n">
        <x:f>J1660+Q1660/1440</x:f>
        <x:v>46304.89444444444</x:v>
      </x:c>
      <x:c r="S1660" s="2" t="str">
        <x:f>VLOOKUP(C1660,'MES orders'!$A$8:$H$127,6,FALSE)</x:f>
        <x:v>Normal</x:v>
      </x:c>
      <x:c r="T1660" s="9" t="str"/>
    </x:row>
    <x:row r="1661" ht="22" customHeight="1">
      <x:c r="A1661" s="2" t="str">
        <x:v>L00098-030</x:v>
      </x:c>
      <x:c r="B1661" s="2" t="str">
        <x:v>L00098</x:v>
      </x:c>
      <x:c r="C1661" s="2" t="str">
        <x:v>SO-26020</x:v>
      </x:c>
      <x:c r="D1661" s="2" t="str">
        <x:v>R-C-SS</x:v>
      </x:c>
      <x:c r="E1661" s="14" t="n">
        <x:v>25</x:v>
      </x:c>
      <x:c r="F1661" s="2" t="str">
        <x:v>Wash &amp; dry</x:v>
      </x:c>
      <x:c r="G1661" s="9" t="str">
        <x:v>WS-01</x:v>
      </x:c>
      <x:c r="H1661" s="15" t="n">
        <x:v>154</x:v>
      </x:c>
      <x:c r="I1661" s="9" t="str">
        <x:v>P17</x:v>
      </x:c>
      <x:c r="J1661" s="11" t="n">
        <x:v>46304.86388888889</x:v>
      </x:c>
      <x:c r="K1661" s="15" t="n">
        <x:v>12</x:v>
      </x:c>
      <x:c r="L1661" s="15" t="n">
        <x:v>7</x:v>
      </x:c>
      <x:c r="M1661" s="13" t="n">
        <x:f>J1661+(K1661+L1661)/1440</x:f>
        <x:v>46304.87708333333</x:v>
      </x:c>
      <x:c r="N1661" s="13" t="n">
        <x:f>VLOOKUP(C1661,'MES orders'!$A$8:$H$127,5,FALSE)</x:f>
        <x:v>46307.666666666664</x:v>
      </x:c>
      <x:c r="O1661" s="16" t="n">
        <x:f>MAX(0,(M1661-N1661)*24)</x:f>
        <x:v>0</x:v>
      </x:c>
      <x:c r="P1661" s="9" t="str">
        <x:v>No</x:v>
      </x:c>
      <x:c r="Q1661" s="15" t="n">
        <x:v>19</x:v>
      </x:c>
      <x:c r="R1661" s="13" t="n">
        <x:f>J1661+Q1661/1440</x:f>
        <x:v>46304.87708333333</x:v>
      </x:c>
      <x:c r="S1661" s="2" t="str">
        <x:f>VLOOKUP(C1661,'MES orders'!$A$8:$H$127,6,FALSE)</x:f>
        <x:v>Normal</x:v>
      </x:c>
      <x:c r="T1661" s="9" t="str"/>
    </x:row>
    <x:row r="1662" ht="22" customHeight="1">
      <x:c r="A1662" s="2" t="str">
        <x:v>L00100-030</x:v>
      </x:c>
      <x:c r="B1662" s="2" t="str">
        <x:v>L00100</x:v>
      </x:c>
      <x:c r="C1662" s="2" t="str">
        <x:v>SO-26020</x:v>
      </x:c>
      <x:c r="D1662" s="2" t="str">
        <x:v>R-C-SS</x:v>
      </x:c>
      <x:c r="E1662" s="14" t="n">
        <x:v>25</x:v>
      </x:c>
      <x:c r="F1662" s="2" t="str">
        <x:v>Wash &amp; dry</x:v>
      </x:c>
      <x:c r="G1662" s="9" t="str">
        <x:v>WS-02</x:v>
      </x:c>
      <x:c r="H1662" s="15" t="n">
        <x:v>111</x:v>
      </x:c>
      <x:c r="I1662" s="9" t="str">
        <x:v>P13</x:v>
      </x:c>
      <x:c r="J1662" s="11" t="n">
        <x:v>46304.86388888889</x:v>
      </x:c>
      <x:c r="K1662" s="15" t="n">
        <x:v>12</x:v>
      </x:c>
      <x:c r="L1662" s="15" t="n">
        <x:v>7</x:v>
      </x:c>
      <x:c r="M1662" s="13" t="n">
        <x:f>J1662+(K1662+L1662)/1440</x:f>
        <x:v>46304.87708333333</x:v>
      </x:c>
      <x:c r="N1662" s="13" t="n">
        <x:f>VLOOKUP(C1662,'MES orders'!$A$8:$H$127,5,FALSE)</x:f>
        <x:v>46307.666666666664</x:v>
      </x:c>
      <x:c r="O1662" s="16" t="n">
        <x:f>MAX(0,(M1662-N1662)*24)</x:f>
        <x:v>0</x:v>
      </x:c>
      <x:c r="P1662" s="9" t="str">
        <x:v>No</x:v>
      </x:c>
      <x:c r="Q1662" s="15" t="n">
        <x:v>19</x:v>
      </x:c>
      <x:c r="R1662" s="13" t="n">
        <x:f>J1662+Q1662/1440</x:f>
        <x:v>46304.87708333333</x:v>
      </x:c>
      <x:c r="S1662" s="2" t="str">
        <x:f>VLOOKUP(C1662,'MES orders'!$A$8:$H$127,6,FALSE)</x:f>
        <x:v>Normal</x:v>
      </x:c>
      <x:c r="T1662" s="9" t="str"/>
    </x:row>
    <x:row r="1663" ht="22" customHeight="1">
      <x:c r="A1663" s="2" t="str">
        <x:v>L00216-010</x:v>
      </x:c>
      <x:c r="B1663" s="2" t="str">
        <x:v>L00216</x:v>
      </x:c>
      <x:c r="C1663" s="2" t="str">
        <x:v>SO-26044</x:v>
      </x:c>
      <x:c r="D1663" s="2" t="str">
        <x:v>S-C-SS</x:v>
      </x:c>
      <x:c r="E1663" s="14" t="n">
        <x:v>5</x:v>
      </x:c>
      <x:c r="F1663" s="2" t="str">
        <x:v>CNC machining</x:v>
      </x:c>
      <x:c r="G1663" s="9" t="str">
        <x:v>CNC-03</x:v>
      </x:c>
      <x:c r="H1663" s="15" t="n">
        <x:v>52</x:v>
      </x:c>
      <x:c r="I1663" s="9" t="str">
        <x:v>P15</x:v>
      </x:c>
      <x:c r="J1663" s="11" t="n">
        <x:v>46304.86597222222</x:v>
      </x:c>
      <x:c r="K1663" s="15" t="n">
        <x:v>18</x:v>
      </x:c>
      <x:c r="L1663" s="15" t="n">
        <x:v>12</x:v>
      </x:c>
      <x:c r="M1663" s="13" t="n">
        <x:f>J1663+(K1663+L1663)/1440</x:f>
        <x:v>46304.88680555556</x:v>
      </x:c>
      <x:c r="N1663" s="13" t="n">
        <x:f>VLOOKUP(C1663,'MES orders'!$A$8:$H$127,5,FALSE)</x:f>
        <x:v>46307.666666666664</x:v>
      </x:c>
      <x:c r="O1663" s="16" t="n">
        <x:f>MAX(0,(M1663-N1663)*24)</x:f>
        <x:v>0</x:v>
      </x:c>
      <x:c r="P1663" s="9" t="str">
        <x:v>No</x:v>
      </x:c>
      <x:c r="Q1663" s="15" t="n">
        <x:v>18</x:v>
      </x:c>
      <x:c r="R1663" s="13" t="n">
        <x:f>J1663+Q1663/1440</x:f>
        <x:v>46304.87847222222</x:v>
      </x:c>
      <x:c r="S1663" s="2" t="str">
        <x:f>VLOOKUP(C1663,'MES orders'!$A$8:$H$127,6,FALSE)</x:f>
        <x:v>Normal</x:v>
      </x:c>
      <x:c r="T1663" s="9" t="str"/>
    </x:row>
    <x:row r="1664" ht="22" customHeight="1">
      <x:c r="A1664" s="2" t="str">
        <x:v>L00136-060</x:v>
      </x:c>
      <x:c r="B1664" s="2" t="str">
        <x:v>L00136</x:v>
      </x:c>
      <x:c r="C1664" s="2" t="str">
        <x:v>SO-26028</x:v>
      </x:c>
      <x:c r="D1664" s="2" t="str">
        <x:v>R-S-SS</x:v>
      </x:c>
      <x:c r="E1664" s="14" t="n">
        <x:v>5</x:v>
      </x:c>
      <x:c r="F1664" s="2" t="str">
        <x:v>Final leak / function test</x:v>
      </x:c>
      <x:c r="G1664" s="9" t="str">
        <x:v>QA-02</x:v>
      </x:c>
      <x:c r="H1664" s="15" t="n">
        <x:v>118</x:v>
      </x:c>
      <x:c r="I1664" s="9" t="str">
        <x:v>P23</x:v>
      </x:c>
      <x:c r="J1664" s="11" t="n">
        <x:v>46304.86944444444</x:v>
      </x:c>
      <x:c r="K1664" s="15" t="n">
        <x:v>10</x:v>
      </x:c>
      <x:c r="L1664" s="15" t="n">
        <x:v>4</x:v>
      </x:c>
      <x:c r="M1664" s="13" t="n">
        <x:f>J1664+(K1664+L1664)/1440</x:f>
        <x:v>46304.879166666666</x:v>
      </x:c>
      <x:c r="N1664" s="13" t="n">
        <x:f>VLOOKUP(C1664,'MES orders'!$A$8:$H$127,5,FALSE)</x:f>
        <x:v>46307.666666666664</x:v>
      </x:c>
      <x:c r="O1664" s="16" t="n">
        <x:f>MAX(0,(M1664-N1664)*24)</x:f>
        <x:v>0</x:v>
      </x:c>
      <x:c r="P1664" s="9" t="str">
        <x:v>No</x:v>
      </x:c>
      <x:c r="Q1664" s="15" t="n">
        <x:v>14</x:v>
      </x:c>
      <x:c r="R1664" s="13" t="n">
        <x:f>J1664+Q1664/1440</x:f>
        <x:v>46304.879166666666</x:v>
      </x:c>
      <x:c r="S1664" s="2" t="str">
        <x:f>VLOOKUP(C1664,'MES orders'!$A$8:$H$127,6,FALSE)</x:f>
        <x:v>Normal</x:v>
      </x:c>
      <x:c r="T1664" s="9" t="str"/>
    </x:row>
    <x:row r="1665" ht="22" customHeight="1">
      <x:c r="A1665" s="2" t="str">
        <x:v>L00463-080</x:v>
      </x:c>
      <x:c r="B1665" s="2" t="str">
        <x:v>L00463</x:v>
      </x:c>
      <x:c r="C1665" s="2" t="str">
        <x:v>SO-26093</x:v>
      </x:c>
      <x:c r="D1665" s="2" t="str">
        <x:v>S-S-AL</x:v>
      </x:c>
      <x:c r="E1665" s="14" t="n">
        <x:v>15</x:v>
      </x:c>
      <x:c r="F1665" s="2" t="str">
        <x:v>Final leak / function test</x:v>
      </x:c>
      <x:c r="G1665" s="9" t="str">
        <x:v>QA-03</x:v>
      </x:c>
      <x:c r="H1665" s="15" t="n">
        <x:v>73</x:v>
      </x:c>
      <x:c r="I1665" s="9" t="str">
        <x:v>P24</x:v>
      </x:c>
      <x:c r="J1665" s="11" t="n">
        <x:v>46304.87222222222</x:v>
      </x:c>
      <x:c r="K1665" s="15" t="n">
        <x:v>10</x:v>
      </x:c>
      <x:c r="L1665" s="15" t="n">
        <x:v>14</x:v>
      </x:c>
      <x:c r="M1665" s="13" t="n">
        <x:f>J1665+(K1665+L1665)/1440</x:f>
        <x:v>46304.88888888889</x:v>
      </x:c>
      <x:c r="N1665" s="13" t="n">
        <x:f>VLOOKUP(C1665,'MES orders'!$A$8:$H$127,5,FALSE)</x:f>
        <x:v>46308.666666666664</x:v>
      </x:c>
      <x:c r="O1665" s="16" t="n">
        <x:f>MAX(0,(M1665-N1665)*24)</x:f>
        <x:v>0</x:v>
      </x:c>
      <x:c r="P1665" s="9" t="str">
        <x:v>No</x:v>
      </x:c>
      <x:c r="Q1665" s="15" t="n">
        <x:v>24</x:v>
      </x:c>
      <x:c r="R1665" s="13" t="n">
        <x:f>J1665+Q1665/1440</x:f>
        <x:v>46304.88888888889</x:v>
      </x:c>
      <x:c r="S1665" s="2" t="str">
        <x:f>VLOOKUP(C1665,'MES orders'!$A$8:$H$127,6,FALSE)</x:f>
        <x:v>Urgent</x:v>
      </x:c>
      <x:c r="T1665" s="9" t="str"/>
    </x:row>
    <x:row r="1666" ht="22" customHeight="1">
      <x:c r="A1666" s="2" t="str">
        <x:v>L00139-050</x:v>
      </x:c>
      <x:c r="B1666" s="2" t="str">
        <x:v>L00139</x:v>
      </x:c>
      <x:c r="C1666" s="2" t="str">
        <x:v>SO-26028</x:v>
      </x:c>
      <x:c r="D1666" s="2" t="str">
        <x:v>R-S-SS</x:v>
      </x:c>
      <x:c r="E1666" s="14" t="n">
        <x:v>5</x:v>
      </x:c>
      <x:c r="F1666" s="2" t="str">
        <x:v>Valve adjustment</x:v>
      </x:c>
      <x:c r="G1666" s="9" t="str">
        <x:v>AS-03</x:v>
      </x:c>
      <x:c r="H1666" s="15" t="n">
        <x:v>88</x:v>
      </x:c>
      <x:c r="I1666" s="9" t="str">
        <x:v>P20</x:v>
      </x:c>
      <x:c r="J1666" s="11" t="n">
        <x:v>46304.87291666667</x:v>
      </x:c>
      <x:c r="K1666" s="15" t="n">
        <x:v>6</x:v>
      </x:c>
      <x:c r="L1666" s="15" t="n">
        <x:v>6</x:v>
      </x:c>
      <x:c r="M1666" s="13" t="n">
        <x:f>J1666+(K1666+L1666)/1440</x:f>
        <x:v>46304.88125</x:v>
      </x:c>
      <x:c r="N1666" s="13" t="n">
        <x:f>VLOOKUP(C1666,'MES orders'!$A$8:$H$127,5,FALSE)</x:f>
        <x:v>46307.666666666664</x:v>
      </x:c>
      <x:c r="O1666" s="16" t="n">
        <x:f>MAX(0,(M1666-N1666)*24)</x:f>
        <x:v>0</x:v>
      </x:c>
      <x:c r="P1666" s="9" t="str">
        <x:v>No</x:v>
      </x:c>
      <x:c r="Q1666" s="15" t="n">
        <x:v>12</x:v>
      </x:c>
      <x:c r="R1666" s="13" t="n">
        <x:f>J1666+Q1666/1440</x:f>
        <x:v>46304.88125</x:v>
      </x:c>
      <x:c r="S1666" s="2" t="str">
        <x:f>VLOOKUP(C1666,'MES orders'!$A$8:$H$127,6,FALSE)</x:f>
        <x:v>Normal</x:v>
      </x:c>
      <x:c r="T1666" s="9" t="str"/>
    </x:row>
    <x:row r="1667" ht="22" customHeight="1">
      <x:c r="A1667" s="2" t="str">
        <x:v>L00100-040</x:v>
      </x:c>
      <x:c r="B1667" s="2" t="str">
        <x:v>L00100</x:v>
      </x:c>
      <x:c r="C1667" s="2" t="str">
        <x:v>SO-26020</x:v>
      </x:c>
      <x:c r="D1667" s="2" t="str">
        <x:v>R-C-SS</x:v>
      </x:c>
      <x:c r="E1667" s="14" t="n">
        <x:v>25</x:v>
      </x:c>
      <x:c r="F1667" s="2" t="str">
        <x:v>Mechanical assembly</x:v>
      </x:c>
      <x:c r="G1667" s="9" t="str">
        <x:v>AS-04</x:v>
      </x:c>
      <x:c r="H1667" s="15" t="n">
        <x:v>61</x:v>
      </x:c>
      <x:c r="I1667" s="9" t="str">
        <x:v>P13</x:v>
      </x:c>
      <x:c r="J1667" s="11" t="n">
        <x:v>46304.87708333333</x:v>
      </x:c>
      <x:c r="K1667" s="15" t="n">
        <x:v>8</x:v>
      </x:c>
      <x:c r="L1667" s="15" t="n">
        <x:v>36</x:v>
      </x:c>
      <x:c r="M1667" s="13" t="n">
        <x:f>J1667+(K1667+L1667)/1440</x:f>
        <x:v>46304.907638888886</x:v>
      </x:c>
      <x:c r="N1667" s="13" t="n">
        <x:f>VLOOKUP(C1667,'MES orders'!$A$8:$H$127,5,FALSE)</x:f>
        <x:v>46307.666666666664</x:v>
      </x:c>
      <x:c r="O1667" s="16" t="n">
        <x:f>MAX(0,(M1667-N1667)*24)</x:f>
        <x:v>0</x:v>
      </x:c>
      <x:c r="P1667" s="9" t="str">
        <x:v>No</x:v>
      </x:c>
      <x:c r="Q1667" s="15" t="n">
        <x:v>44</x:v>
      </x:c>
      <x:c r="R1667" s="13" t="n">
        <x:f>J1667+Q1667/1440</x:f>
        <x:v>46304.907638888886</x:v>
      </x:c>
      <x:c r="S1667" s="2" t="str">
        <x:f>VLOOKUP(C1667,'MES orders'!$A$8:$H$127,6,FALSE)</x:f>
        <x:v>Normal</x:v>
      </x:c>
      <x:c r="T1667" s="9" t="str"/>
    </x:row>
    <x:row r="1668" ht="22" customHeight="1">
      <x:c r="A1668" s="2" t="str">
        <x:v>L00140-030</x:v>
      </x:c>
      <x:c r="B1668" s="2" t="str">
        <x:v>L00140</x:v>
      </x:c>
      <x:c r="C1668" s="2" t="str">
        <x:v>SO-26028</x:v>
      </x:c>
      <x:c r="D1668" s="2" t="str">
        <x:v>R-S-SS</x:v>
      </x:c>
      <x:c r="E1668" s="14" t="n">
        <x:v>5</x:v>
      </x:c>
      <x:c r="F1668" s="2" t="str">
        <x:v>Wash &amp; dry</x:v>
      </x:c>
      <x:c r="G1668" s="9" t="str">
        <x:v>WS-01</x:v>
      </x:c>
      <x:c r="H1668" s="15" t="n">
        <x:v>155</x:v>
      </x:c>
      <x:c r="I1668" s="9" t="str">
        <x:v>P14</x:v>
      </x:c>
      <x:c r="J1668" s="11" t="n">
        <x:v>46304.87708333333</x:v>
      </x:c>
      <x:c r="K1668" s="15" t="n">
        <x:v>12</x:v>
      </x:c>
      <x:c r="L1668" s="15" t="n">
        <x:v>2</x:v>
      </x:c>
      <x:c r="M1668" s="13" t="n">
        <x:f>J1668+(K1668+L1668)/1440</x:f>
        <x:v>46304.88680555556</x:v>
      </x:c>
      <x:c r="N1668" s="13" t="n">
        <x:f>VLOOKUP(C1668,'MES orders'!$A$8:$H$127,5,FALSE)</x:f>
        <x:v>46307.666666666664</x:v>
      </x:c>
      <x:c r="O1668" s="16" t="n">
        <x:f>MAX(0,(M1668-N1668)*24)</x:f>
        <x:v>0</x:v>
      </x:c>
      <x:c r="P1668" s="9" t="str">
        <x:v>No</x:v>
      </x:c>
      <x:c r="Q1668" s="15" t="n">
        <x:v>14</x:v>
      </x:c>
      <x:c r="R1668" s="13" t="n">
        <x:f>J1668+Q1668/1440</x:f>
        <x:v>46304.88680555556</x:v>
      </x:c>
      <x:c r="S1668" s="2" t="str">
        <x:f>VLOOKUP(C1668,'MES orders'!$A$8:$H$127,6,FALSE)</x:f>
        <x:v>Normal</x:v>
      </x:c>
      <x:c r="T1668" s="9" t="str"/>
    </x:row>
    <x:row r="1669" ht="22" customHeight="1">
      <x:c r="A1669" s="2" t="str">
        <x:v>L00423-030</x:v>
      </x:c>
      <x:c r="B1669" s="2" t="str">
        <x:v>L00423</x:v>
      </x:c>
      <x:c r="C1669" s="2" t="str">
        <x:v>SO-26085</x:v>
      </x:c>
      <x:c r="D1669" s="2" t="str">
        <x:v>S-C-AL</x:v>
      </x:c>
      <x:c r="E1669" s="14" t="n">
        <x:v>10</x:v>
      </x:c>
      <x:c r="F1669" s="2" t="str">
        <x:v>Wash &amp; dry</x:v>
      </x:c>
      <x:c r="G1669" s="9" t="str">
        <x:v>WS-02</x:v>
      </x:c>
      <x:c r="H1669" s="15" t="n">
        <x:v>112</x:v>
      </x:c>
      <x:c r="I1669" s="9" t="str">
        <x:v>P19</x:v>
      </x:c>
      <x:c r="J1669" s="11" t="n">
        <x:v>46304.87708333333</x:v>
      </x:c>
      <x:c r="K1669" s="15" t="n">
        <x:v>12</x:v>
      </x:c>
      <x:c r="L1669" s="15" t="n">
        <x:v>3</x:v>
      </x:c>
      <x:c r="M1669" s="13" t="n">
        <x:f>J1669+(K1669+L1669)/1440</x:f>
        <x:v>46304.8875</x:v>
      </x:c>
      <x:c r="N1669" s="13" t="n">
        <x:f>VLOOKUP(C1669,'MES orders'!$A$8:$H$127,5,FALSE)</x:f>
        <x:v>46308.666666666664</x:v>
      </x:c>
      <x:c r="O1669" s="16" t="n">
        <x:f>MAX(0,(M1669-N1669)*24)</x:f>
        <x:v>0</x:v>
      </x:c>
      <x:c r="P1669" s="9" t="str">
        <x:v>No</x:v>
      </x:c>
      <x:c r="Q1669" s="15" t="n">
        <x:v>15</x:v>
      </x:c>
      <x:c r="R1669" s="13" t="n">
        <x:f>J1669+Q1669/1440</x:f>
        <x:v>46304.8875</x:v>
      </x:c>
      <x:c r="S1669" s="2" t="str">
        <x:f>VLOOKUP(C1669,'MES orders'!$A$8:$H$127,6,FALSE)</x:f>
        <x:v>High</x:v>
      </x:c>
      <x:c r="T1669" s="9" t="str"/>
    </x:row>
    <x:row r="1670" ht="22" customHeight="1">
      <x:c r="A1670" s="2" t="str">
        <x:v>L00421-070</x:v>
      </x:c>
      <x:c r="B1670" s="2" t="str">
        <x:v>L00421</x:v>
      </x:c>
      <x:c r="C1670" s="2" t="str">
        <x:v>SO-26085</x:v>
      </x:c>
      <x:c r="D1670" s="2" t="str">
        <x:v>S-C-AL</x:v>
      </x:c>
      <x:c r="E1670" s="14" t="n">
        <x:v>10</x:v>
      </x:c>
      <x:c r="F1670" s="2" t="str">
        <x:v>Final assembly</x:v>
      </x:c>
      <x:c r="G1670" s="9" t="str">
        <x:v>AS-06</x:v>
      </x:c>
      <x:c r="H1670" s="15" t="n">
        <x:v>12</x:v>
      </x:c>
      <x:c r="I1670" s="9" t="str">
        <x:v>P20</x:v>
      </x:c>
      <x:c r="J1670" s="11" t="n">
        <x:v>46304.88125</x:v>
      </x:c>
      <x:c r="K1670" s="15" t="n">
        <x:v>5</x:v>
      </x:c>
      <x:c r="L1670" s="15" t="n">
        <x:v>6</x:v>
      </x:c>
      <x:c r="M1670" s="13" t="n">
        <x:f>J1670+(K1670+L1670)/1440</x:f>
        <x:v>46304.88888888889</x:v>
      </x:c>
      <x:c r="N1670" s="13" t="n">
        <x:f>VLOOKUP(C1670,'MES orders'!$A$8:$H$127,5,FALSE)</x:f>
        <x:v>46308.666666666664</x:v>
      </x:c>
      <x:c r="O1670" s="16" t="n">
        <x:f>MAX(0,(M1670-N1670)*24)</x:f>
        <x:v>0</x:v>
      </x:c>
      <x:c r="P1670" s="9" t="str">
        <x:v>No</x:v>
      </x:c>
      <x:c r="Q1670" s="15" t="n">
        <x:v>11</x:v>
      </x:c>
      <x:c r="R1670" s="13" t="n">
        <x:f>J1670+Q1670/1440</x:f>
        <x:v>46304.88888888889</x:v>
      </x:c>
      <x:c r="S1670" s="2" t="str">
        <x:f>VLOOKUP(C1670,'MES orders'!$A$8:$H$127,6,FALSE)</x:f>
        <x:v>High</x:v>
      </x:c>
      <x:c r="T1670" s="9" t="str"/>
    </x:row>
    <x:row r="1671" ht="22" customHeight="1">
      <x:c r="A1671" s="2" t="str">
        <x:v>L00139-060</x:v>
      </x:c>
      <x:c r="B1671" s="2" t="str">
        <x:v>L00139</x:v>
      </x:c>
      <x:c r="C1671" s="2" t="str">
        <x:v>SO-26028</x:v>
      </x:c>
      <x:c r="D1671" s="2" t="str">
        <x:v>R-S-SS</x:v>
      </x:c>
      <x:c r="E1671" s="14" t="n">
        <x:v>5</x:v>
      </x:c>
      <x:c r="F1671" s="2" t="str">
        <x:v>Final leak / function test</x:v>
      </x:c>
      <x:c r="G1671" s="9" t="str">
        <x:v>QA-02</x:v>
      </x:c>
      <x:c r="H1671" s="15" t="n">
        <x:v>119</x:v>
      </x:c>
      <x:c r="I1671" s="9" t="str">
        <x:v>P23</x:v>
      </x:c>
      <x:c r="J1671" s="11" t="n">
        <x:v>46304.88125</x:v>
      </x:c>
      <x:c r="K1671" s="15" t="n">
        <x:v>10</x:v>
      </x:c>
      <x:c r="L1671" s="15" t="n">
        <x:v>4</x:v>
      </x:c>
      <x:c r="M1671" s="13" t="n">
        <x:f>J1671+(K1671+L1671)/1440</x:f>
        <x:v>46304.89097222222</x:v>
      </x:c>
      <x:c r="N1671" s="13" t="n">
        <x:f>VLOOKUP(C1671,'MES orders'!$A$8:$H$127,5,FALSE)</x:f>
        <x:v>46307.666666666664</x:v>
      </x:c>
      <x:c r="O1671" s="16" t="n">
        <x:f>MAX(0,(M1671-N1671)*24)</x:f>
        <x:v>0</x:v>
      </x:c>
      <x:c r="P1671" s="9" t="str">
        <x:v>No</x:v>
      </x:c>
      <x:c r="Q1671" s="15" t="n">
        <x:v>14</x:v>
      </x:c>
      <x:c r="R1671" s="13" t="n">
        <x:f>J1671+Q1671/1440</x:f>
        <x:v>46304.89097222222</x:v>
      </x:c>
      <x:c r="S1671" s="2" t="str">
        <x:f>VLOOKUP(C1671,'MES orders'!$A$8:$H$127,6,FALSE)</x:f>
        <x:v>Normal</x:v>
      </x:c>
      <x:c r="T1671" s="9" t="str"/>
    </x:row>
    <x:row r="1672" ht="22" customHeight="1">
      <x:c r="A1672" s="2" t="str">
        <x:v>L00096-050</x:v>
      </x:c>
      <x:c r="B1672" s="2" t="str">
        <x:v>L00096</x:v>
      </x:c>
      <x:c r="C1672" s="2" t="str">
        <x:v>SO-26020</x:v>
      </x:c>
      <x:c r="D1672" s="2" t="str">
        <x:v>R-C-SS</x:v>
      </x:c>
      <x:c r="E1672" s="14" t="n">
        <x:v>25</x:v>
      </x:c>
      <x:c r="F1672" s="2" t="str">
        <x:v>Valve adjustment</x:v>
      </x:c>
      <x:c r="G1672" s="9" t="str">
        <x:v>AS-01</x:v>
      </x:c>
      <x:c r="H1672" s="15" t="n">
        <x:v>133</x:v>
      </x:c>
      <x:c r="I1672" s="9" t="str">
        <x:v>P17</x:v>
      </x:c>
      <x:c r="J1672" s="11" t="n">
        <x:v>46304.881944444445</x:v>
      </x:c>
      <x:c r="K1672" s="15" t="n">
        <x:v>6</x:v>
      </x:c>
      <x:c r="L1672" s="15" t="n">
        <x:v>22</x:v>
      </x:c>
      <x:c r="M1672" s="13" t="n">
        <x:f>J1672+(K1672+L1672)/1440</x:f>
        <x:v>46304.90138888889</x:v>
      </x:c>
      <x:c r="N1672" s="13" t="n">
        <x:f>VLOOKUP(C1672,'MES orders'!$A$8:$H$127,5,FALSE)</x:f>
        <x:v>46307.666666666664</x:v>
      </x:c>
      <x:c r="O1672" s="16" t="n">
        <x:f>MAX(0,(M1672-N1672)*24)</x:f>
        <x:v>0</x:v>
      </x:c>
      <x:c r="P1672" s="9" t="str">
        <x:v>No</x:v>
      </x:c>
      <x:c r="Q1672" s="15" t="n">
        <x:v>28</x:v>
      </x:c>
      <x:c r="R1672" s="13" t="n">
        <x:f>J1672+Q1672/1440</x:f>
        <x:v>46304.90138888889</x:v>
      </x:c>
      <x:c r="S1672" s="2" t="str">
        <x:f>VLOOKUP(C1672,'MES orders'!$A$8:$H$127,6,FALSE)</x:f>
        <x:v>Normal</x:v>
      </x:c>
      <x:c r="T1672" s="9" t="str"/>
    </x:row>
    <x:row r="1673" ht="22" customHeight="1">
      <x:c r="A1673" s="2" t="str">
        <x:v>L00098-040</x:v>
      </x:c>
      <x:c r="B1673" s="2" t="str">
        <x:v>L00098</x:v>
      </x:c>
      <x:c r="C1673" s="2" t="str">
        <x:v>SO-26020</x:v>
      </x:c>
      <x:c r="D1673" s="2" t="str">
        <x:v>R-C-SS</x:v>
      </x:c>
      <x:c r="E1673" s="14" t="n">
        <x:v>25</x:v>
      </x:c>
      <x:c r="F1673" s="2" t="str">
        <x:v>Mechanical assembly</x:v>
      </x:c>
      <x:c r="G1673" s="9" t="str">
        <x:v>AS-03</x:v>
      </x:c>
      <x:c r="H1673" s="15" t="n">
        <x:v>89</x:v>
      </x:c>
      <x:c r="I1673" s="9" t="str">
        <x:v>P16</x:v>
      </x:c>
      <x:c r="J1673" s="11" t="n">
        <x:v>46304.881944444445</x:v>
      </x:c>
      <x:c r="K1673" s="15" t="n">
        <x:v>8</x:v>
      </x:c>
      <x:c r="L1673" s="15" t="n">
        <x:v>36</x:v>
      </x:c>
      <x:c r="M1673" s="13" t="n">
        <x:f>J1673+(K1673+L1673)/1440</x:f>
        <x:v>46304.9125</x:v>
      </x:c>
      <x:c r="N1673" s="13" t="n">
        <x:f>VLOOKUP(C1673,'MES orders'!$A$8:$H$127,5,FALSE)</x:f>
        <x:v>46307.666666666664</x:v>
      </x:c>
      <x:c r="O1673" s="16" t="n">
        <x:f>MAX(0,(M1673-N1673)*24)</x:f>
        <x:v>0</x:v>
      </x:c>
      <x:c r="P1673" s="9" t="str">
        <x:v>No</x:v>
      </x:c>
      <x:c r="Q1673" s="15" t="n">
        <x:v>44</x:v>
      </x:c>
      <x:c r="R1673" s="13" t="n">
        <x:f>J1673+Q1673/1440</x:f>
        <x:v>46304.9125</x:v>
      </x:c>
      <x:c r="S1673" s="2" t="str">
        <x:f>VLOOKUP(C1673,'MES orders'!$A$8:$H$127,6,FALSE)</x:f>
        <x:v>Normal</x:v>
      </x:c>
      <x:c r="T1673" s="9" t="str"/>
    </x:row>
    <x:row r="1674" ht="22" customHeight="1">
      <x:c r="A1674" s="2" t="str">
        <x:v>L00140-040</x:v>
      </x:c>
      <x:c r="B1674" s="2" t="str">
        <x:v>L00140</x:v>
      </x:c>
      <x:c r="C1674" s="2" t="str">
        <x:v>SO-26028</x:v>
      </x:c>
      <x:c r="D1674" s="2" t="str">
        <x:v>R-S-SS</x:v>
      </x:c>
      <x:c r="E1674" s="14" t="n">
        <x:v>5</x:v>
      </x:c>
      <x:c r="F1674" s="2" t="str">
        <x:v>Mechanical assembly</x:v>
      </x:c>
      <x:c r="G1674" s="9" t="str">
        <x:v>AS-05</x:v>
      </x:c>
      <x:c r="H1674" s="15" t="n">
        <x:v>37</x:v>
      </x:c>
      <x:c r="I1674" s="9" t="str">
        <x:v>P14</x:v>
      </x:c>
      <x:c r="J1674" s="11" t="n">
        <x:v>46304.88680555556</x:v>
      </x:c>
      <x:c r="K1674" s="15" t="n">
        <x:v>8</x:v>
      </x:c>
      <x:c r="L1674" s="15" t="n">
        <x:v>9</x:v>
      </x:c>
      <x:c r="M1674" s="13" t="n">
        <x:f>J1674+(K1674+L1674)/1440</x:f>
        <x:v>46304.898611111115</x:v>
      </x:c>
      <x:c r="N1674" s="13" t="n">
        <x:f>VLOOKUP(C1674,'MES orders'!$A$8:$H$127,5,FALSE)</x:f>
        <x:v>46307.666666666664</x:v>
      </x:c>
      <x:c r="O1674" s="16" t="n">
        <x:f>MAX(0,(M1674-N1674)*24)</x:f>
        <x:v>0</x:v>
      </x:c>
      <x:c r="P1674" s="9" t="str">
        <x:v>No</x:v>
      </x:c>
      <x:c r="Q1674" s="15" t="n">
        <x:v>17</x:v>
      </x:c>
      <x:c r="R1674" s="13" t="n">
        <x:f>J1674+Q1674/1440</x:f>
        <x:v>46304.898611111115</x:v>
      </x:c>
      <x:c r="S1674" s="2" t="str">
        <x:f>VLOOKUP(C1674,'MES orders'!$A$8:$H$127,6,FALSE)</x:f>
        <x:v>Normal</x:v>
      </x:c>
      <x:c r="T1674" s="9" t="str"/>
    </x:row>
    <x:row r="1675" ht="22" customHeight="1">
      <x:c r="A1675" s="2" t="str">
        <x:v>L00216-020</x:v>
      </x:c>
      <x:c r="B1675" s="2" t="str">
        <x:v>L00216</x:v>
      </x:c>
      <x:c r="C1675" s="2" t="str">
        <x:v>SO-26044</x:v>
      </x:c>
      <x:c r="D1675" s="2" t="str">
        <x:v>S-C-SS</x:v>
      </x:c>
      <x:c r="E1675" s="14" t="n">
        <x:v>5</x:v>
      </x:c>
      <x:c r="F1675" s="2" t="str">
        <x:v>Deburr &amp; inspect</x:v>
      </x:c>
      <x:c r="G1675" s="9" t="str">
        <x:v>DB-01</x:v>
      </x:c>
      <x:c r="H1675" s="15" t="n">
        <x:v>159</x:v>
      </x:c>
      <x:c r="I1675" s="9" t="str">
        <x:v>P15</x:v>
      </x:c>
      <x:c r="J1675" s="11" t="n">
        <x:v>46304.88680555556</x:v>
      </x:c>
      <x:c r="K1675" s="15" t="n">
        <x:v>4</x:v>
      </x:c>
      <x:c r="L1675" s="15" t="n">
        <x:v>3</x:v>
      </x:c>
      <x:c r="M1675" s="13" t="n">
        <x:f>J1675+(K1675+L1675)/1440</x:f>
        <x:v>46304.89166666667</x:v>
      </x:c>
      <x:c r="N1675" s="13" t="n">
        <x:f>VLOOKUP(C1675,'MES orders'!$A$8:$H$127,5,FALSE)</x:f>
        <x:v>46307.666666666664</x:v>
      </x:c>
      <x:c r="O1675" s="16" t="n">
        <x:f>MAX(0,(M1675-N1675)*24)</x:f>
        <x:v>0</x:v>
      </x:c>
      <x:c r="P1675" s="9" t="str">
        <x:v>No</x:v>
      </x:c>
      <x:c r="Q1675" s="15" t="n">
        <x:v>7</x:v>
      </x:c>
      <x:c r="R1675" s="13" t="n">
        <x:f>J1675+Q1675/1440</x:f>
        <x:v>46304.89166666667</x:v>
      </x:c>
      <x:c r="S1675" s="2" t="str">
        <x:f>VLOOKUP(C1675,'MES orders'!$A$8:$H$127,6,FALSE)</x:f>
        <x:v>Normal</x:v>
      </x:c>
      <x:c r="T1675" s="9" t="str"/>
    </x:row>
    <x:row r="1676" ht="22" customHeight="1">
      <x:c r="A1676" s="2" t="str">
        <x:v>L00423-040</x:v>
      </x:c>
      <x:c r="B1676" s="2" t="str">
        <x:v>L00423</x:v>
      </x:c>
      <x:c r="C1676" s="2" t="str">
        <x:v>SO-26085</x:v>
      </x:c>
      <x:c r="D1676" s="2" t="str">
        <x:v>S-C-AL</x:v>
      </x:c>
      <x:c r="E1676" s="14" t="n">
        <x:v>10</x:v>
      </x:c>
      <x:c r="F1676" s="2" t="str">
        <x:v>Mechanical preassembly</x:v>
      </x:c>
      <x:c r="G1676" s="9" t="str">
        <x:v>AS-07</x:v>
      </x:c>
      <x:c r="H1676" s="15" t="n">
        <x:v>2</x:v>
      </x:c>
      <x:c r="I1676" s="9" t="str">
        <x:v>P19</x:v>
      </x:c>
      <x:c r="J1676" s="11" t="n">
        <x:v>46304.8875</x:v>
      </x:c>
      <x:c r="K1676" s="15" t="n">
        <x:v>6</x:v>
      </x:c>
      <x:c r="L1676" s="15" t="n">
        <x:v>9</x:v>
      </x:c>
      <x:c r="M1676" s="13" t="n">
        <x:f>J1676+(K1676+L1676)/1440</x:f>
        <x:v>46304.89791666666</x:v>
      </x:c>
      <x:c r="N1676" s="13" t="n">
        <x:f>VLOOKUP(C1676,'MES orders'!$A$8:$H$127,5,FALSE)</x:f>
        <x:v>46308.666666666664</x:v>
      </x:c>
      <x:c r="O1676" s="16" t="n">
        <x:f>MAX(0,(M1676-N1676)*24)</x:f>
        <x:v>0</x:v>
      </x:c>
      <x:c r="P1676" s="9" t="str">
        <x:v>No</x:v>
      </x:c>
      <x:c r="Q1676" s="15" t="n">
        <x:v>15</x:v>
      </x:c>
      <x:c r="R1676" s="13" t="n">
        <x:f>J1676+Q1676/1440</x:f>
        <x:v>46304.89791666666</x:v>
      </x:c>
      <x:c r="S1676" s="2" t="str">
        <x:f>VLOOKUP(C1676,'MES orders'!$A$8:$H$127,6,FALSE)</x:f>
        <x:v>High</x:v>
      </x:c>
      <x:c r="T1676" s="9" t="str"/>
    </x:row>
    <x:row r="1677" ht="22" customHeight="1">
      <x:c r="A1677" s="2" t="str">
        <x:v>L00422-070</x:v>
      </x:c>
      <x:c r="B1677" s="2" t="str">
        <x:v>L00422</x:v>
      </x:c>
      <x:c r="C1677" s="2" t="str">
        <x:v>SO-26085</x:v>
      </x:c>
      <x:c r="D1677" s="2" t="str">
        <x:v>S-C-AL</x:v>
      </x:c>
      <x:c r="E1677" s="14" t="n">
        <x:v>10</x:v>
      </x:c>
      <x:c r="F1677" s="2" t="str">
        <x:v>Final assembly</x:v>
      </x:c>
      <x:c r="G1677" s="9" t="str">
        <x:v>AS-06</x:v>
      </x:c>
      <x:c r="H1677" s="15" t="n">
        <x:v>13</x:v>
      </x:c>
      <x:c r="I1677" s="9" t="str">
        <x:v>P20</x:v>
      </x:c>
      <x:c r="J1677" s="11" t="n">
        <x:v>46304.88888888889</x:v>
      </x:c>
      <x:c r="K1677" s="15" t="n">
        <x:v>5</x:v>
      </x:c>
      <x:c r="L1677" s="15" t="n">
        <x:v>6</x:v>
      </x:c>
      <x:c r="M1677" s="13" t="n">
        <x:f>J1677+(K1677+L1677)/1440</x:f>
        <x:v>46304.89652777778</x:v>
      </x:c>
      <x:c r="N1677" s="13" t="n">
        <x:f>VLOOKUP(C1677,'MES orders'!$A$8:$H$127,5,FALSE)</x:f>
        <x:v>46308.666666666664</x:v>
      </x:c>
      <x:c r="O1677" s="16" t="n">
        <x:f>MAX(0,(M1677-N1677)*24)</x:f>
        <x:v>0</x:v>
      </x:c>
      <x:c r="P1677" s="9" t="str">
        <x:v>No</x:v>
      </x:c>
      <x:c r="Q1677" s="15" t="n">
        <x:v>11</x:v>
      </x:c>
      <x:c r="R1677" s="13" t="n">
        <x:f>J1677+Q1677/1440</x:f>
        <x:v>46304.89652777778</x:v>
      </x:c>
      <x:c r="S1677" s="2" t="str">
        <x:f>VLOOKUP(C1677,'MES orders'!$A$8:$H$127,6,FALSE)</x:f>
        <x:v>High</x:v>
      </x:c>
      <x:c r="T1677" s="9" t="str"/>
    </x:row>
    <x:row r="1678" ht="22" customHeight="1">
      <x:c r="A1678" s="2" t="str">
        <x:v>L00465-080</x:v>
      </x:c>
      <x:c r="B1678" s="2" t="str">
        <x:v>L00465</x:v>
      </x:c>
      <x:c r="C1678" s="2" t="str">
        <x:v>SO-26093</x:v>
      </x:c>
      <x:c r="D1678" s="2" t="str">
        <x:v>S-S-AL</x:v>
      </x:c>
      <x:c r="E1678" s="14" t="n">
        <x:v>15</x:v>
      </x:c>
      <x:c r="F1678" s="2" t="str">
        <x:v>Final leak / function test</x:v>
      </x:c>
      <x:c r="G1678" s="9" t="str">
        <x:v>QA-03</x:v>
      </x:c>
      <x:c r="H1678" s="15" t="n">
        <x:v>74</x:v>
      </x:c>
      <x:c r="I1678" s="9" t="str">
        <x:v>P24</x:v>
      </x:c>
      <x:c r="J1678" s="11" t="n">
        <x:v>46304.88888888889</x:v>
      </x:c>
      <x:c r="K1678" s="15" t="n">
        <x:v>10</x:v>
      </x:c>
      <x:c r="L1678" s="15" t="n">
        <x:v>14</x:v>
      </x:c>
      <x:c r="M1678" s="13" t="n">
        <x:f>J1678+(K1678+L1678)/1440</x:f>
        <x:v>46304.90555555556</x:v>
      </x:c>
      <x:c r="N1678" s="13" t="n">
        <x:f>VLOOKUP(C1678,'MES orders'!$A$8:$H$127,5,FALSE)</x:f>
        <x:v>46308.666666666664</x:v>
      </x:c>
      <x:c r="O1678" s="16" t="n">
        <x:f>MAX(0,(M1678-N1678)*24)</x:f>
        <x:v>0</x:v>
      </x:c>
      <x:c r="P1678" s="9" t="str">
        <x:v>No</x:v>
      </x:c>
      <x:c r="Q1678" s="15" t="n">
        <x:v>24</x:v>
      </x:c>
      <x:c r="R1678" s="13" t="n">
        <x:f>J1678+Q1678/1440</x:f>
        <x:v>46304.90555555556</x:v>
      </x:c>
      <x:c r="S1678" s="2" t="str">
        <x:f>VLOOKUP(C1678,'MES orders'!$A$8:$H$127,6,FALSE)</x:f>
        <x:v>Urgent</x:v>
      </x:c>
      <x:c r="T1678" s="9" t="str"/>
    </x:row>
    <x:row r="1679" ht="22" customHeight="1">
      <x:c r="A1679" s="2" t="str">
        <x:v>L00421-080</x:v>
      </x:c>
      <x:c r="B1679" s="2" t="str">
        <x:v>L00421</x:v>
      </x:c>
      <x:c r="C1679" s="2" t="str">
        <x:v>SO-26085</x:v>
      </x:c>
      <x:c r="D1679" s="2" t="str">
        <x:v>S-C-AL</x:v>
      </x:c>
      <x:c r="E1679" s="14" t="n">
        <x:v>10</x:v>
      </x:c>
      <x:c r="F1679" s="2" t="str">
        <x:v>Final leak / function test</x:v>
      </x:c>
      <x:c r="G1679" s="9" t="str">
        <x:v>QA-02</x:v>
      </x:c>
      <x:c r="H1679" s="15" t="n">
        <x:v>120</x:v>
      </x:c>
      <x:c r="I1679" s="9" t="str">
        <x:v>P23</x:v>
      </x:c>
      <x:c r="J1679" s="11" t="n">
        <x:v>46304.89097222222</x:v>
      </x:c>
      <x:c r="K1679" s="15" t="n">
        <x:v>10</x:v>
      </x:c>
      <x:c r="L1679" s="15" t="n">
        <x:v>7</x:v>
      </x:c>
      <x:c r="M1679" s="13" t="n">
        <x:f>J1679+(K1679+L1679)/1440</x:f>
        <x:v>46304.90277777778</x:v>
      </x:c>
      <x:c r="N1679" s="13" t="n">
        <x:f>VLOOKUP(C1679,'MES orders'!$A$8:$H$127,5,FALSE)</x:f>
        <x:v>46308.666666666664</x:v>
      </x:c>
      <x:c r="O1679" s="16" t="n">
        <x:f>MAX(0,(M1679-N1679)*24)</x:f>
        <x:v>0</x:v>
      </x:c>
      <x:c r="P1679" s="9" t="str">
        <x:v>No</x:v>
      </x:c>
      <x:c r="Q1679" s="15" t="n">
        <x:v>17</x:v>
      </x:c>
      <x:c r="R1679" s="13" t="n">
        <x:f>J1679+Q1679/1440</x:f>
        <x:v>46304.90277777778</x:v>
      </x:c>
      <x:c r="S1679" s="2" t="str">
        <x:f>VLOOKUP(C1679,'MES orders'!$A$8:$H$127,6,FALSE)</x:f>
        <x:v>High</x:v>
      </x:c>
      <x:c r="T1679" s="9" t="str"/>
    </x:row>
    <x:row r="1680" ht="22" customHeight="1">
      <x:c r="A1680" s="2" t="str">
        <x:v>L00216-030</x:v>
      </x:c>
      <x:c r="B1680" s="2" t="str">
        <x:v>L00216</x:v>
      </x:c>
      <x:c r="C1680" s="2" t="str">
        <x:v>SO-26044</x:v>
      </x:c>
      <x:c r="D1680" s="2" t="str">
        <x:v>S-C-SS</x:v>
      </x:c>
      <x:c r="E1680" s="14" t="n">
        <x:v>5</x:v>
      </x:c>
      <x:c r="F1680" s="2" t="str">
        <x:v>Wash &amp; dry</x:v>
      </x:c>
      <x:c r="G1680" s="9" t="str">
        <x:v>WS-01</x:v>
      </x:c>
      <x:c r="H1680" s="15" t="n">
        <x:v>156</x:v>
      </x:c>
      <x:c r="I1680" s="9" t="str">
        <x:v>P15</x:v>
      </x:c>
      <x:c r="J1680" s="11" t="n">
        <x:v>46304.89166666667</x:v>
      </x:c>
      <x:c r="K1680" s="15" t="n">
        <x:v>12</x:v>
      </x:c>
      <x:c r="L1680" s="15" t="n">
        <x:v>1</x:v>
      </x:c>
      <x:c r="M1680" s="13" t="n">
        <x:f>J1680+(K1680+L1680)/1440</x:f>
        <x:v>46304.90069444445</x:v>
      </x:c>
      <x:c r="N1680" s="13" t="n">
        <x:f>VLOOKUP(C1680,'MES orders'!$A$8:$H$127,5,FALSE)</x:f>
        <x:v>46307.666666666664</x:v>
      </x:c>
      <x:c r="O1680" s="16" t="n">
        <x:f>MAX(0,(M1680-N1680)*24)</x:f>
        <x:v>0</x:v>
      </x:c>
      <x:c r="P1680" s="9" t="str">
        <x:v>No</x:v>
      </x:c>
      <x:c r="Q1680" s="15" t="n">
        <x:v>13</x:v>
      </x:c>
      <x:c r="R1680" s="13" t="n">
        <x:f>J1680+Q1680/1440</x:f>
        <x:v>46304.90069444445</x:v>
      </x:c>
      <x:c r="S1680" s="2" t="str">
        <x:f>VLOOKUP(C1680,'MES orders'!$A$8:$H$127,6,FALSE)</x:f>
        <x:v>Normal</x:v>
      </x:c>
      <x:c r="T1680" s="9" t="str"/>
    </x:row>
    <x:row r="1681" ht="22" customHeight="1">
      <x:c r="A1681" s="2" t="str">
        <x:v>L00097-050</x:v>
      </x:c>
      <x:c r="B1681" s="2" t="str">
        <x:v>L00097</x:v>
      </x:c>
      <x:c r="C1681" s="2" t="str">
        <x:v>SO-26020</x:v>
      </x:c>
      <x:c r="D1681" s="2" t="str">
        <x:v>R-C-SS</x:v>
      </x:c>
      <x:c r="E1681" s="14" t="n">
        <x:v>25</x:v>
      </x:c>
      <x:c r="F1681" s="2" t="str">
        <x:v>Valve adjustment</x:v>
      </x:c>
      <x:c r="G1681" s="9" t="str">
        <x:v>AS-02</x:v>
      </x:c>
      <x:c r="H1681" s="15" t="n">
        <x:v>110</x:v>
      </x:c>
      <x:c r="I1681" s="9" t="str">
        <x:v>P18</x:v>
      </x:c>
      <x:c r="J1681" s="11" t="n">
        <x:v>46304.89444444444</x:v>
      </x:c>
      <x:c r="K1681" s="15" t="n">
        <x:v>6</x:v>
      </x:c>
      <x:c r="L1681" s="15" t="n">
        <x:v>22</x:v>
      </x:c>
      <x:c r="M1681" s="13" t="n">
        <x:f>J1681+(K1681+L1681)/1440</x:f>
        <x:v>46304.913888888885</x:v>
      </x:c>
      <x:c r="N1681" s="13" t="n">
        <x:f>VLOOKUP(C1681,'MES orders'!$A$8:$H$127,5,FALSE)</x:f>
        <x:v>46307.666666666664</x:v>
      </x:c>
      <x:c r="O1681" s="16" t="n">
        <x:f>MAX(0,(M1681-N1681)*24)</x:f>
        <x:v>0</x:v>
      </x:c>
      <x:c r="P1681" s="9" t="str">
        <x:v>No</x:v>
      </x:c>
      <x:c r="Q1681" s="15" t="n">
        <x:v>28</x:v>
      </x:c>
      <x:c r="R1681" s="13" t="n">
        <x:f>J1681+Q1681/1440</x:f>
        <x:v>46304.913888888885</x:v>
      </x:c>
      <x:c r="S1681" s="2" t="str">
        <x:f>VLOOKUP(C1681,'MES orders'!$A$8:$H$127,6,FALSE)</x:f>
        <x:v>Normal</x:v>
      </x:c>
      <x:c r="T1681" s="9" t="str"/>
    </x:row>
    <x:row r="1682" ht="22" customHeight="1">
      <x:c r="A1682" s="2" t="str">
        <x:v>L00423-050</x:v>
      </x:c>
      <x:c r="B1682" s="2" t="str">
        <x:v>L00423</x:v>
      </x:c>
      <x:c r="C1682" s="2" t="str">
        <x:v>SO-26085</x:v>
      </x:c>
      <x:c r="D1682" s="2" t="str">
        <x:v>S-C-AL</x:v>
      </x:c>
      <x:c r="E1682" s="14" t="n">
        <x:v>10</x:v>
      </x:c>
      <x:c r="F1682" s="2" t="str">
        <x:v>Sensor installation</x:v>
      </x:c>
      <x:c r="G1682" s="9" t="str">
        <x:v>EL-02</x:v>
      </x:c>
      <x:c r="H1682" s="15" t="n">
        <x:v>29</x:v>
      </x:c>
      <x:c r="I1682" s="9" t="str">
        <x:v>P21</x:v>
      </x:c>
      <x:c r="J1682" s="11" t="n">
        <x:v>46304.89791666667</x:v>
      </x:c>
      <x:c r="K1682" s="15" t="n">
        <x:v>8</x:v>
      </x:c>
      <x:c r="L1682" s="15" t="n">
        <x:v>10</x:v>
      </x:c>
      <x:c r="M1682" s="13" t="n">
        <x:f>J1682+(K1682+L1682)/1440</x:f>
        <x:v>46304.910416666666</x:v>
      </x:c>
      <x:c r="N1682" s="13" t="n">
        <x:f>VLOOKUP(C1682,'MES orders'!$A$8:$H$127,5,FALSE)</x:f>
        <x:v>46308.666666666664</x:v>
      </x:c>
      <x:c r="O1682" s="16" t="n">
        <x:f>MAX(0,(M1682-N1682)*24)</x:f>
        <x:v>0</x:v>
      </x:c>
      <x:c r="P1682" s="9" t="str">
        <x:v>No</x:v>
      </x:c>
      <x:c r="Q1682" s="15" t="n">
        <x:v>18</x:v>
      </x:c>
      <x:c r="R1682" s="13" t="n">
        <x:f>J1682+Q1682/1440</x:f>
        <x:v>46304.910416666666</x:v>
      </x:c>
      <x:c r="S1682" s="2" t="str">
        <x:f>VLOOKUP(C1682,'MES orders'!$A$8:$H$127,6,FALSE)</x:f>
        <x:v>High</x:v>
      </x:c>
      <x:c r="T1682" s="9" t="str"/>
    </x:row>
    <x:row r="1683" ht="22" customHeight="1">
      <x:c r="A1683" s="2" t="str">
        <x:v>L00140-050</x:v>
      </x:c>
      <x:c r="B1683" s="2" t="str">
        <x:v>L00140</x:v>
      </x:c>
      <x:c r="C1683" s="2" t="str">
        <x:v>SO-26028</x:v>
      </x:c>
      <x:c r="D1683" s="2" t="str">
        <x:v>R-S-SS</x:v>
      </x:c>
      <x:c r="E1683" s="14" t="n">
        <x:v>5</x:v>
      </x:c>
      <x:c r="F1683" s="2" t="str">
        <x:v>Valve adjustment</x:v>
      </x:c>
      <x:c r="G1683" s="9" t="str">
        <x:v>AS-05</x:v>
      </x:c>
      <x:c r="H1683" s="15" t="n">
        <x:v>38</x:v>
      </x:c>
      <x:c r="I1683" s="9" t="str">
        <x:v>P20</x:v>
      </x:c>
      <x:c r="J1683" s="11" t="n">
        <x:v>46304.89861111111</x:v>
      </x:c>
      <x:c r="K1683" s="15" t="n">
        <x:v>6</x:v>
      </x:c>
      <x:c r="L1683" s="15" t="n">
        <x:v>6</x:v>
      </x:c>
      <x:c r="M1683" s="13" t="n">
        <x:f>J1683+(K1683+L1683)/1440</x:f>
        <x:v>46304.90694444444</x:v>
      </x:c>
      <x:c r="N1683" s="13" t="n">
        <x:f>VLOOKUP(C1683,'MES orders'!$A$8:$H$127,5,FALSE)</x:f>
        <x:v>46307.666666666664</x:v>
      </x:c>
      <x:c r="O1683" s="16" t="n">
        <x:f>MAX(0,(M1683-N1683)*24)</x:f>
        <x:v>0</x:v>
      </x:c>
      <x:c r="P1683" s="9" t="str">
        <x:v>No</x:v>
      </x:c>
      <x:c r="Q1683" s="15" t="n">
        <x:v>12</x:v>
      </x:c>
      <x:c r="R1683" s="13" t="n">
        <x:f>J1683+Q1683/1440</x:f>
        <x:v>46304.90694444444</x:v>
      </x:c>
      <x:c r="S1683" s="2" t="str">
        <x:f>VLOOKUP(C1683,'MES orders'!$A$8:$H$127,6,FALSE)</x:f>
        <x:v>Normal</x:v>
      </x:c>
      <x:c r="T1683" s="9" t="str"/>
    </x:row>
    <x:row r="1684" ht="22" customHeight="1">
      <x:c r="A1684" s="2" t="str">
        <x:v>L00216-040</x:v>
      </x:c>
      <x:c r="B1684" s="2" t="str">
        <x:v>L00216</x:v>
      </x:c>
      <x:c r="C1684" s="2" t="str">
        <x:v>SO-26044</x:v>
      </x:c>
      <x:c r="D1684" s="2" t="str">
        <x:v>S-C-SS</x:v>
      </x:c>
      <x:c r="E1684" s="14" t="n">
        <x:v>5</x:v>
      </x:c>
      <x:c r="F1684" s="2" t="str">
        <x:v>Mechanical preassembly</x:v>
      </x:c>
      <x:c r="G1684" s="9" t="str">
        <x:v>AS-06</x:v>
      </x:c>
      <x:c r="H1684" s="15" t="n">
        <x:v>14</x:v>
      </x:c>
      <x:c r="I1684" s="9" t="str">
        <x:v>P14</x:v>
      </x:c>
      <x:c r="J1684" s="11" t="n">
        <x:v>46304.90069444444</x:v>
      </x:c>
      <x:c r="K1684" s="15" t="n">
        <x:v>6</x:v>
      </x:c>
      <x:c r="L1684" s="15" t="n">
        <x:v>4</x:v>
      </x:c>
      <x:c r="M1684" s="13" t="n">
        <x:f>J1684+(K1684+L1684)/1440</x:f>
        <x:v>46304.907638888886</x:v>
      </x:c>
      <x:c r="N1684" s="13" t="n">
        <x:f>VLOOKUP(C1684,'MES orders'!$A$8:$H$127,5,FALSE)</x:f>
        <x:v>46307.666666666664</x:v>
      </x:c>
      <x:c r="O1684" s="16" t="n">
        <x:f>MAX(0,(M1684-N1684)*24)</x:f>
        <x:v>0</x:v>
      </x:c>
      <x:c r="P1684" s="9" t="str">
        <x:v>No</x:v>
      </x:c>
      <x:c r="Q1684" s="15" t="n">
        <x:v>10</x:v>
      </x:c>
      <x:c r="R1684" s="13" t="n">
        <x:f>J1684+Q1684/1440</x:f>
        <x:v>46304.907638888886</x:v>
      </x:c>
      <x:c r="S1684" s="2" t="str">
        <x:f>VLOOKUP(C1684,'MES orders'!$A$8:$H$127,6,FALSE)</x:f>
        <x:v>Normal</x:v>
      </x:c>
      <x:c r="T1684" s="9" t="str"/>
    </x:row>
    <x:row r="1685" ht="22" customHeight="1">
      <x:c r="A1685" s="2" t="str">
        <x:v>L00099-020</x:v>
      </x:c>
      <x:c r="B1685" s="2" t="str">
        <x:v>L00099</x:v>
      </x:c>
      <x:c r="C1685" s="2" t="str">
        <x:v>SO-26020</x:v>
      </x:c>
      <x:c r="D1685" s="2" t="str">
        <x:v>R-C-SS</x:v>
      </x:c>
      <x:c r="E1685" s="14" t="n">
        <x:v>25</x:v>
      </x:c>
      <x:c r="F1685" s="2" t="str">
        <x:v>Deburr &amp; inspect</x:v>
      </x:c>
      <x:c r="G1685" s="9" t="str">
        <x:v>DB-01</x:v>
      </x:c>
      <x:c r="H1685" s="15" t="n">
        <x:v>160</x:v>
      </x:c>
      <x:c r="I1685" s="9" t="str">
        <x:v>P17</x:v>
      </x:c>
      <x:c r="J1685" s="11" t="n">
        <x:v>46304.90138888889</x:v>
      </x:c>
      <x:c r="K1685" s="15" t="n">
        <x:v>4</x:v>
      </x:c>
      <x:c r="L1685" s="15" t="n">
        <x:v>14</x:v>
      </x:c>
      <x:c r="M1685" s="13" t="n">
        <x:f>J1685+(K1685+L1685)/1440</x:f>
        <x:v>46304.913888888885</x:v>
      </x:c>
      <x:c r="N1685" s="13" t="n">
        <x:f>VLOOKUP(C1685,'MES orders'!$A$8:$H$127,5,FALSE)</x:f>
        <x:v>46307.666666666664</x:v>
      </x:c>
      <x:c r="O1685" s="16" t="n">
        <x:f>MAX(0,(M1685-N1685)*24)</x:f>
        <x:v>0</x:v>
      </x:c>
      <x:c r="P1685" s="9" t="str">
        <x:v>No</x:v>
      </x:c>
      <x:c r="Q1685" s="15" t="n">
        <x:v>18</x:v>
      </x:c>
      <x:c r="R1685" s="13" t="n">
        <x:f>J1685+Q1685/1440</x:f>
        <x:v>46304.913888888885</x:v>
      </x:c>
      <x:c r="S1685" s="2" t="str">
        <x:f>VLOOKUP(C1685,'MES orders'!$A$8:$H$127,6,FALSE)</x:f>
        <x:v>Normal</x:v>
      </x:c>
      <x:c r="T1685" s="9" t="str"/>
    </x:row>
    <x:row r="1686" ht="22" customHeight="1">
      <x:c r="A1686" s="2" t="str">
        <x:v>L00140-060</x:v>
      </x:c>
      <x:c r="B1686" s="2" t="str">
        <x:v>L00140</x:v>
      </x:c>
      <x:c r="C1686" s="2" t="str">
        <x:v>SO-26028</x:v>
      </x:c>
      <x:c r="D1686" s="2" t="str">
        <x:v>R-S-SS</x:v>
      </x:c>
      <x:c r="E1686" s="14" t="n">
        <x:v>5</x:v>
      </x:c>
      <x:c r="F1686" s="2" t="str">
        <x:v>Final leak / function test</x:v>
      </x:c>
      <x:c r="G1686" s="9" t="str">
        <x:v>QA-02</x:v>
      </x:c>
      <x:c r="H1686" s="15" t="n">
        <x:v>121</x:v>
      </x:c>
      <x:c r="I1686" s="9" t="str">
        <x:v>P23</x:v>
      </x:c>
      <x:c r="J1686" s="11" t="n">
        <x:v>46304.90694444445</x:v>
      </x:c>
      <x:c r="K1686" s="15" t="n">
        <x:v>10</x:v>
      </x:c>
      <x:c r="L1686" s="15" t="n">
        <x:v>4</x:v>
      </x:c>
      <x:c r="M1686" s="13" t="n">
        <x:f>J1686+(K1686+L1686)/1440</x:f>
        <x:v>46304.91666666667</x:v>
      </x:c>
      <x:c r="N1686" s="13" t="n">
        <x:f>VLOOKUP(C1686,'MES orders'!$A$8:$H$127,5,FALSE)</x:f>
        <x:v>46307.666666666664</x:v>
      </x:c>
      <x:c r="O1686" s="16" t="n">
        <x:f>MAX(0,(M1686-N1686)*24)</x:f>
        <x:v>0</x:v>
      </x:c>
      <x:c r="P1686" s="9" t="str">
        <x:v>No</x:v>
      </x:c>
      <x:c r="Q1686" s="15" t="n">
        <x:v>14</x:v>
      </x:c>
      <x:c r="R1686" s="13" t="n">
        <x:f>J1686+Q1686/1440</x:f>
        <x:v>46304.91666666667</x:v>
      </x:c>
      <x:c r="S1686" s="2" t="str">
        <x:f>VLOOKUP(C1686,'MES orders'!$A$8:$H$127,6,FALSE)</x:f>
        <x:v>Normal</x:v>
      </x:c>
      <x:c r="T1686" s="9" t="str"/>
    </x:row>
    <x:row r="1687" ht="22" customHeight="1">
      <x:c r="A1687" s="2" t="str">
        <x:v>L00216-050</x:v>
      </x:c>
      <x:c r="B1687" s="2" t="str">
        <x:v>L00216</x:v>
      </x:c>
      <x:c r="C1687" s="2" t="str">
        <x:v>SO-26044</x:v>
      </x:c>
      <x:c r="D1687" s="2" t="str">
        <x:v>S-C-SS</x:v>
      </x:c>
      <x:c r="E1687" s="14" t="n">
        <x:v>5</x:v>
      </x:c>
      <x:c r="F1687" s="2" t="str">
        <x:v>Sensor installation</x:v>
      </x:c>
      <x:c r="G1687" s="9" t="str">
        <x:v>EL-01</x:v>
      </x:c>
      <x:c r="H1687" s="15" t="n">
        <x:v>55</x:v>
      </x:c>
      <x:c r="I1687" s="9" t="str">
        <x:v>P19</x:v>
      </x:c>
      <x:c r="J1687" s="11" t="n">
        <x:v>46304.907638888886</x:v>
      </x:c>
      <x:c r="K1687" s="15" t="n">
        <x:v>8</x:v>
      </x:c>
      <x:c r="L1687" s="15" t="n">
        <x:v>5</x:v>
      </x:c>
      <x:c r="M1687" s="13" t="n">
        <x:f>J1687+(K1687+L1687)/1440</x:f>
        <x:v>46304.916666666664</x:v>
      </x:c>
      <x:c r="N1687" s="13" t="n">
        <x:f>VLOOKUP(C1687,'MES orders'!$A$8:$H$127,5,FALSE)</x:f>
        <x:v>46307.666666666664</x:v>
      </x:c>
      <x:c r="O1687" s="16" t="n">
        <x:f>MAX(0,(M1687-N1687)*24)</x:f>
        <x:v>0</x:v>
      </x:c>
      <x:c r="P1687" s="9" t="str">
        <x:v>No</x:v>
      </x:c>
      <x:c r="Q1687" s="15" t="n">
        <x:v>13</x:v>
      </x:c>
      <x:c r="R1687" s="13" t="n">
        <x:f>J1687+Q1687/1440</x:f>
        <x:v>46304.916666666664</x:v>
      </x:c>
      <x:c r="S1687" s="2" t="str">
        <x:f>VLOOKUP(C1687,'MES orders'!$A$8:$H$127,6,FALSE)</x:f>
        <x:v>Normal</x:v>
      </x:c>
      <x:c r="T1687" s="9" t="str"/>
    </x:row>
    <x:row r="1688" ht="22" customHeight="1">
      <x:c r="A1688" s="2" t="str">
        <x:v>L00098-050</x:v>
      </x:c>
      <x:c r="B1688" s="2" t="str">
        <x:v>L00098</x:v>
      </x:c>
      <x:c r="C1688" s="2" t="str">
        <x:v>SO-26020</x:v>
      </x:c>
      <x:c r="D1688" s="2" t="str">
        <x:v>R-C-SS</x:v>
      </x:c>
      <x:c r="E1688" s="14" t="n">
        <x:v>25</x:v>
      </x:c>
      <x:c r="F1688" s="2" t="str">
        <x:v>Valve adjustment</x:v>
      </x:c>
      <x:c r="G1688" s="9" t="str">
        <x:v>AS-01</x:v>
      </x:c>
      <x:c r="H1688" s="15" t="n">
        <x:v>134</x:v>
      </x:c>
      <x:c r="I1688" s="9" t="str">
        <x:v>P05</x:v>
      </x:c>
      <x:c r="J1688" s="11" t="n">
        <x:v>46307.25</x:v>
      </x:c>
      <x:c r="K1688" s="15" t="n">
        <x:v>6</x:v>
      </x:c>
      <x:c r="L1688" s="15" t="n">
        <x:v>22</x:v>
      </x:c>
      <x:c r="M1688" s="13" t="n">
        <x:f>J1688+(K1688+L1688)/1440</x:f>
        <x:v>46307.26944444444</x:v>
      </x:c>
      <x:c r="N1688" s="13" t="n">
        <x:f>VLOOKUP(C1688,'MES orders'!$A$8:$H$127,5,FALSE)</x:f>
        <x:v>46307.666666666664</x:v>
      </x:c>
      <x:c r="O1688" s="16" t="n">
        <x:f>MAX(0,(M1688-N1688)*24)</x:f>
        <x:v>0</x:v>
      </x:c>
      <x:c r="P1688" s="9" t="str">
        <x:v>No</x:v>
      </x:c>
      <x:c r="Q1688" s="15" t="n">
        <x:v>28</x:v>
      </x:c>
      <x:c r="R1688" s="13" t="n">
        <x:f>J1688+Q1688/1440</x:f>
        <x:v>46307.26944444444</x:v>
      </x:c>
      <x:c r="S1688" s="2" t="str">
        <x:f>VLOOKUP(C1688,'MES orders'!$A$8:$H$127,6,FALSE)</x:f>
        <x:v>Normal</x:v>
      </x:c>
      <x:c r="T1688" s="9" t="str"/>
    </x:row>
    <x:row r="1689" ht="22" customHeight="1">
      <x:c r="A1689" s="2" t="str">
        <x:v>L00100-050</x:v>
      </x:c>
      <x:c r="B1689" s="2" t="str">
        <x:v>L00100</x:v>
      </x:c>
      <x:c r="C1689" s="2" t="str">
        <x:v>SO-26020</x:v>
      </x:c>
      <x:c r="D1689" s="2" t="str">
        <x:v>R-C-SS</x:v>
      </x:c>
      <x:c r="E1689" s="14" t="n">
        <x:v>25</x:v>
      </x:c>
      <x:c r="F1689" s="2" t="str">
        <x:v>Valve adjustment</x:v>
      </x:c>
      <x:c r="G1689" s="9" t="str">
        <x:v>AS-03</x:v>
      </x:c>
      <x:c r="H1689" s="15" t="n">
        <x:v>90</x:v>
      </x:c>
      <x:c r="I1689" s="9" t="str">
        <x:v>P06</x:v>
      </x:c>
      <x:c r="J1689" s="11" t="n">
        <x:v>46307.25</x:v>
      </x:c>
      <x:c r="K1689" s="15" t="n">
        <x:v>6</x:v>
      </x:c>
      <x:c r="L1689" s="15" t="n">
        <x:v>22</x:v>
      </x:c>
      <x:c r="M1689" s="13" t="n">
        <x:f>J1689+(K1689+L1689)/1440</x:f>
        <x:v>46307.26944444444</x:v>
      </x:c>
      <x:c r="N1689" s="13" t="n">
        <x:f>VLOOKUP(C1689,'MES orders'!$A$8:$H$127,5,FALSE)</x:f>
        <x:v>46307.666666666664</x:v>
      </x:c>
      <x:c r="O1689" s="16" t="n">
        <x:f>MAX(0,(M1689-N1689)*24)</x:f>
        <x:v>0</x:v>
      </x:c>
      <x:c r="P1689" s="9" t="str">
        <x:v>No</x:v>
      </x:c>
      <x:c r="Q1689" s="15" t="n">
        <x:v>28</x:v>
      </x:c>
      <x:c r="R1689" s="13" t="n">
        <x:f>J1689+Q1689/1440</x:f>
        <x:v>46307.26944444444</x:v>
      </x:c>
      <x:c r="S1689" s="2" t="str">
        <x:f>VLOOKUP(C1689,'MES orders'!$A$8:$H$127,6,FALSE)</x:f>
        <x:v>Normal</x:v>
      </x:c>
      <x:c r="T1689" s="9" t="str"/>
    </x:row>
    <x:row r="1690" ht="22" customHeight="1">
      <x:c r="A1690" s="2" t="str">
        <x:v>L00216-060</x:v>
      </x:c>
      <x:c r="B1690" s="2" t="str">
        <x:v>L00216</x:v>
      </x:c>
      <x:c r="C1690" s="2" t="str">
        <x:v>SO-26044</x:v>
      </x:c>
      <x:c r="D1690" s="2" t="str">
        <x:v>S-C-SS</x:v>
      </x:c>
      <x:c r="E1690" s="14" t="n">
        <x:v>5</x:v>
      </x:c>
      <x:c r="F1690" s="2" t="str">
        <x:v>Sensor calibration</x:v>
      </x:c>
      <x:c r="G1690" s="9" t="str">
        <x:v>CAL-01</x:v>
      </x:c>
      <x:c r="H1690" s="15" t="n">
        <x:v>83</x:v>
      </x:c>
      <x:c r="I1690" s="9" t="str">
        <x:v>P09</x:v>
      </x:c>
      <x:c r="J1690" s="11" t="n">
        <x:v>46307.25</x:v>
      </x:c>
      <x:c r="K1690" s="15" t="n">
        <x:v>10</x:v>
      </x:c>
      <x:c r="L1690" s="15" t="n">
        <x:v>5</x:v>
      </x:c>
      <x:c r="M1690" s="13" t="n">
        <x:f>J1690+(K1690+L1690)/1440</x:f>
        <x:v>46307.260416666664</x:v>
      </x:c>
      <x:c r="N1690" s="13" t="n">
        <x:f>VLOOKUP(C1690,'MES orders'!$A$8:$H$127,5,FALSE)</x:f>
        <x:v>46307.666666666664</x:v>
      </x:c>
      <x:c r="O1690" s="16" t="n">
        <x:f>MAX(0,(M1690-N1690)*24)</x:f>
        <x:v>0</x:v>
      </x:c>
      <x:c r="P1690" s="9" t="str">
        <x:v>No</x:v>
      </x:c>
      <x:c r="Q1690" s="15" t="n">
        <x:v>15</x:v>
      </x:c>
      <x:c r="R1690" s="13" t="n">
        <x:f>J1690+Q1690/1440</x:f>
        <x:v>46307.260416666664</x:v>
      </x:c>
      <x:c r="S1690" s="2" t="str">
        <x:f>VLOOKUP(C1690,'MES orders'!$A$8:$H$127,6,FALSE)</x:f>
        <x:v>Normal</x:v>
      </x:c>
      <x:c r="T1690" s="9" t="str"/>
    </x:row>
    <x:row r="1691" ht="22" customHeight="1">
      <x:c r="A1691" s="2" t="str">
        <x:v>L00217-010</x:v>
      </x:c>
      <x:c r="B1691" s="2" t="str">
        <x:v>L00217</x:v>
      </x:c>
      <x:c r="C1691" s="2" t="str">
        <x:v>SO-26044</x:v>
      </x:c>
      <x:c r="D1691" s="2" t="str">
        <x:v>S-C-SS</x:v>
      </x:c>
      <x:c r="E1691" s="14" t="n">
        <x:v>5</x:v>
      </x:c>
      <x:c r="F1691" s="2" t="str">
        <x:v>CNC machining</x:v>
      </x:c>
      <x:c r="G1691" s="9" t="str">
        <x:v>CNC-03</x:v>
      </x:c>
      <x:c r="H1691" s="15" t="n">
        <x:v>53</x:v>
      </x:c>
      <x:c r="I1691" s="9" t="str">
        <x:v>P01</x:v>
      </x:c>
      <x:c r="J1691" s="11" t="n">
        <x:v>46307.25</x:v>
      </x:c>
      <x:c r="K1691" s="15" t="n">
        <x:v>18</x:v>
      </x:c>
      <x:c r="L1691" s="15" t="n">
        <x:v>12</x:v>
      </x:c>
      <x:c r="M1691" s="13" t="n">
        <x:f>J1691+(K1691+L1691)/1440</x:f>
        <x:v>46307.270833333336</x:v>
      </x:c>
      <x:c r="N1691" s="13" t="n">
        <x:f>VLOOKUP(C1691,'MES orders'!$A$8:$H$127,5,FALSE)</x:f>
        <x:v>46307.666666666664</x:v>
      </x:c>
      <x:c r="O1691" s="16" t="n">
        <x:f>MAX(0,(M1691-N1691)*24)</x:f>
        <x:v>0</x:v>
      </x:c>
      <x:c r="P1691" s="9" t="str">
        <x:v>No</x:v>
      </x:c>
      <x:c r="Q1691" s="15" t="n">
        <x:v>18</x:v>
      </x:c>
      <x:c r="R1691" s="13" t="n">
        <x:f>J1691+Q1691/1440</x:f>
        <x:v>46307.2625</x:v>
      </x:c>
      <x:c r="S1691" s="2" t="str">
        <x:f>VLOOKUP(C1691,'MES orders'!$A$8:$H$127,6,FALSE)</x:f>
        <x:v>Normal</x:v>
      </x:c>
      <x:c r="T1691" s="9" t="str"/>
    </x:row>
    <x:row r="1692" ht="22" customHeight="1">
      <x:c r="A1692" s="2" t="str">
        <x:v>L00218-010</x:v>
      </x:c>
      <x:c r="B1692" s="2" t="str">
        <x:v>L00218</x:v>
      </x:c>
      <x:c r="C1692" s="2" t="str">
        <x:v>SO-26044</x:v>
      </x:c>
      <x:c r="D1692" s="2" t="str">
        <x:v>S-C-SS</x:v>
      </x:c>
      <x:c r="E1692" s="14" t="n">
        <x:v>5</x:v>
      </x:c>
      <x:c r="F1692" s="2" t="str">
        <x:v>CNC machining</x:v>
      </x:c>
      <x:c r="G1692" s="9" t="str">
        <x:v>CNC-04</x:v>
      </x:c>
      <x:c r="H1692" s="15" t="n">
        <x:v>50</x:v>
      </x:c>
      <x:c r="I1692" s="9" t="str">
        <x:v>P02</x:v>
      </x:c>
      <x:c r="J1692" s="11" t="n">
        <x:v>46307.25</x:v>
      </x:c>
      <x:c r="K1692" s="15" t="n">
        <x:v>18</x:v>
      </x:c>
      <x:c r="L1692" s="15" t="n">
        <x:v>12</x:v>
      </x:c>
      <x:c r="M1692" s="13" t="n">
        <x:f>J1692+(K1692+L1692)/1440</x:f>
        <x:v>46307.270833333336</x:v>
      </x:c>
      <x:c r="N1692" s="13" t="n">
        <x:f>VLOOKUP(C1692,'MES orders'!$A$8:$H$127,5,FALSE)</x:f>
        <x:v>46307.666666666664</x:v>
      </x:c>
      <x:c r="O1692" s="16" t="n">
        <x:f>MAX(0,(M1692-N1692)*24)</x:f>
        <x:v>0</x:v>
      </x:c>
      <x:c r="P1692" s="9" t="str">
        <x:v>No</x:v>
      </x:c>
      <x:c r="Q1692" s="15" t="n">
        <x:v>18</x:v>
      </x:c>
      <x:c r="R1692" s="13" t="n">
        <x:f>J1692+Q1692/1440</x:f>
        <x:v>46307.2625</x:v>
      </x:c>
      <x:c r="S1692" s="2" t="str">
        <x:f>VLOOKUP(C1692,'MES orders'!$A$8:$H$127,6,FALSE)</x:f>
        <x:v>Normal</x:v>
      </x:c>
      <x:c r="T1692" s="9" t="str"/>
    </x:row>
    <x:row r="1693" ht="22" customHeight="1">
      <x:c r="A1693" s="2" t="str">
        <x:v>L00219-010</x:v>
      </x:c>
      <x:c r="B1693" s="2" t="str">
        <x:v>L00219</x:v>
      </x:c>
      <x:c r="C1693" s="2" t="str">
        <x:v>SO-26044</x:v>
      </x:c>
      <x:c r="D1693" s="2" t="str">
        <x:v>S-C-SS</x:v>
      </x:c>
      <x:c r="E1693" s="14" t="n">
        <x:v>5</x:v>
      </x:c>
      <x:c r="F1693" s="2" t="str">
        <x:v>CNC machining</x:v>
      </x:c>
      <x:c r="G1693" s="9" t="str">
        <x:v>CNC-05</x:v>
      </x:c>
      <x:c r="H1693" s="15" t="n">
        <x:v>44</x:v>
      </x:c>
      <x:c r="I1693" s="9" t="str">
        <x:v>P03</x:v>
      </x:c>
      <x:c r="J1693" s="11" t="n">
        <x:v>46307.25</x:v>
      </x:c>
      <x:c r="K1693" s="15" t="n">
        <x:v>18</x:v>
      </x:c>
      <x:c r="L1693" s="15" t="n">
        <x:v>12</x:v>
      </x:c>
      <x:c r="M1693" s="13" t="n">
        <x:f>J1693+(K1693+L1693)/1440</x:f>
        <x:v>46307.270833333336</x:v>
      </x:c>
      <x:c r="N1693" s="13" t="n">
        <x:f>VLOOKUP(C1693,'MES orders'!$A$8:$H$127,5,FALSE)</x:f>
        <x:v>46307.666666666664</x:v>
      </x:c>
      <x:c r="O1693" s="16" t="n">
        <x:f>MAX(0,(M1693-N1693)*24)</x:f>
        <x:v>0</x:v>
      </x:c>
      <x:c r="P1693" s="9" t="str">
        <x:v>No</x:v>
      </x:c>
      <x:c r="Q1693" s="15" t="n">
        <x:v>18</x:v>
      </x:c>
      <x:c r="R1693" s="13" t="n">
        <x:f>J1693+Q1693/1440</x:f>
        <x:v>46307.2625</x:v>
      </x:c>
      <x:c r="S1693" s="2" t="str">
        <x:f>VLOOKUP(C1693,'MES orders'!$A$8:$H$127,6,FALSE)</x:f>
        <x:v>Normal</x:v>
      </x:c>
      <x:c r="T1693" s="9" t="str"/>
    </x:row>
    <x:row r="1694" ht="22" customHeight="1">
      <x:c r="A1694" s="2" t="str">
        <x:v>L00096-060</x:v>
      </x:c>
      <x:c r="B1694" s="2" t="str">
        <x:v>L00096</x:v>
      </x:c>
      <x:c r="C1694" s="2" t="str">
        <x:v>SO-26020</x:v>
      </x:c>
      <x:c r="D1694" s="2" t="str">
        <x:v>R-C-SS</x:v>
      </x:c>
      <x:c r="E1694" s="14" t="n">
        <x:v>25</x:v>
      </x:c>
      <x:c r="F1694" s="2" t="str">
        <x:v>Final leak / function test</x:v>
      </x:c>
      <x:c r="G1694" s="9" t="str">
        <x:v>QA-02</x:v>
      </x:c>
      <x:c r="H1694" s="15" t="n">
        <x:v>122</x:v>
      </x:c>
      <x:c r="I1694" s="9" t="str">
        <x:v>P11</x:v>
      </x:c>
      <x:c r="J1694" s="11" t="n">
        <x:v>46307.25</x:v>
      </x:c>
      <x:c r="K1694" s="15" t="n">
        <x:v>10</x:v>
      </x:c>
      <x:c r="L1694" s="15" t="n">
        <x:v>18</x:v>
      </x:c>
      <x:c r="M1694" s="13" t="n">
        <x:f>J1694+(K1694+L1694)/1440</x:f>
        <x:v>46307.26944444444</x:v>
      </x:c>
      <x:c r="N1694" s="13" t="n">
        <x:f>VLOOKUP(C1694,'MES orders'!$A$8:$H$127,5,FALSE)</x:f>
        <x:v>46307.666666666664</x:v>
      </x:c>
      <x:c r="O1694" s="16" t="n">
        <x:f>MAX(0,(M1694-N1694)*24)</x:f>
        <x:v>0</x:v>
      </x:c>
      <x:c r="P1694" s="9" t="str">
        <x:v>No</x:v>
      </x:c>
      <x:c r="Q1694" s="15" t="n">
        <x:v>28</x:v>
      </x:c>
      <x:c r="R1694" s="13" t="n">
        <x:f>J1694+Q1694/1440</x:f>
        <x:v>46307.26944444444</x:v>
      </x:c>
      <x:c r="S1694" s="2" t="str">
        <x:f>VLOOKUP(C1694,'MES orders'!$A$8:$H$127,6,FALSE)</x:f>
        <x:v>Normal</x:v>
      </x:c>
      <x:c r="T1694" s="9" t="str"/>
    </x:row>
    <x:row r="1695" ht="22" customHeight="1">
      <x:c r="A1695" s="2" t="str">
        <x:v>L00097-060</x:v>
      </x:c>
      <x:c r="B1695" s="2" t="str">
        <x:v>L00097</x:v>
      </x:c>
      <x:c r="C1695" s="2" t="str">
        <x:v>SO-26020</x:v>
      </x:c>
      <x:c r="D1695" s="2" t="str">
        <x:v>R-C-SS</x:v>
      </x:c>
      <x:c r="E1695" s="14" t="n">
        <x:v>25</x:v>
      </x:c>
      <x:c r="F1695" s="2" t="str">
        <x:v>Final leak / function test</x:v>
      </x:c>
      <x:c r="G1695" s="9" t="str">
        <x:v>QA-03</x:v>
      </x:c>
      <x:c r="H1695" s="15" t="n">
        <x:v>75</x:v>
      </x:c>
      <x:c r="I1695" s="9" t="str">
        <x:v>P12</x:v>
      </x:c>
      <x:c r="J1695" s="11" t="n">
        <x:v>46307.25</x:v>
      </x:c>
      <x:c r="K1695" s="15" t="n">
        <x:v>10</x:v>
      </x:c>
      <x:c r="L1695" s="15" t="n">
        <x:v>18</x:v>
      </x:c>
      <x:c r="M1695" s="13" t="n">
        <x:f>J1695+(K1695+L1695)/1440</x:f>
        <x:v>46307.26944444444</x:v>
      </x:c>
      <x:c r="N1695" s="13" t="n">
        <x:f>VLOOKUP(C1695,'MES orders'!$A$8:$H$127,5,FALSE)</x:f>
        <x:v>46307.666666666664</x:v>
      </x:c>
      <x:c r="O1695" s="16" t="n">
        <x:f>MAX(0,(M1695-N1695)*24)</x:f>
        <x:v>0</x:v>
      </x:c>
      <x:c r="P1695" s="9" t="str">
        <x:v>No</x:v>
      </x:c>
      <x:c r="Q1695" s="15" t="n">
        <x:v>28</x:v>
      </x:c>
      <x:c r="R1695" s="13" t="n">
        <x:f>J1695+Q1695/1440</x:f>
        <x:v>46307.26944444444</x:v>
      </x:c>
      <x:c r="S1695" s="2" t="str">
        <x:f>VLOOKUP(C1695,'MES orders'!$A$8:$H$127,6,FALSE)</x:f>
        <x:v>Normal</x:v>
      </x:c>
      <x:c r="T1695" s="9" t="str"/>
    </x:row>
    <x:row r="1696" ht="22" customHeight="1">
      <x:c r="A1696" s="2" t="str">
        <x:v>L00099-030</x:v>
      </x:c>
      <x:c r="B1696" s="2" t="str">
        <x:v>L00099</x:v>
      </x:c>
      <x:c r="C1696" s="2" t="str">
        <x:v>SO-26020</x:v>
      </x:c>
      <x:c r="D1696" s="2" t="str">
        <x:v>R-C-SS</x:v>
      </x:c>
      <x:c r="E1696" s="14" t="n">
        <x:v>25</x:v>
      </x:c>
      <x:c r="F1696" s="2" t="str">
        <x:v>Wash &amp; dry</x:v>
      </x:c>
      <x:c r="G1696" s="9" t="str">
        <x:v>WS-01</x:v>
      </x:c>
      <x:c r="H1696" s="15" t="n">
        <x:v>157</x:v>
      </x:c>
      <x:c r="I1696" s="9" t="str">
        <x:v>P04</x:v>
      </x:c>
      <x:c r="J1696" s="11" t="n">
        <x:v>46307.25</x:v>
      </x:c>
      <x:c r="K1696" s="15" t="n">
        <x:v>12</x:v>
      </x:c>
      <x:c r="L1696" s="15" t="n">
        <x:v>7</x:v>
      </x:c>
      <x:c r="M1696" s="13" t="n">
        <x:f>J1696+(K1696+L1696)/1440</x:f>
        <x:v>46307.263194444444</x:v>
      </x:c>
      <x:c r="N1696" s="13" t="n">
        <x:f>VLOOKUP(C1696,'MES orders'!$A$8:$H$127,5,FALSE)</x:f>
        <x:v>46307.666666666664</x:v>
      </x:c>
      <x:c r="O1696" s="16" t="n">
        <x:f>MAX(0,(M1696-N1696)*24)</x:f>
        <x:v>0</x:v>
      </x:c>
      <x:c r="P1696" s="9" t="str">
        <x:v>No</x:v>
      </x:c>
      <x:c r="Q1696" s="15" t="n">
        <x:v>19</x:v>
      </x:c>
      <x:c r="R1696" s="13" t="n">
        <x:f>J1696+Q1696/1440</x:f>
        <x:v>46307.263194444444</x:v>
      </x:c>
      <x:c r="S1696" s="2" t="str">
        <x:f>VLOOKUP(C1696,'MES orders'!$A$8:$H$127,6,FALSE)</x:f>
        <x:v>Normal</x:v>
      </x:c>
      <x:c r="T1696" s="9" t="str"/>
    </x:row>
    <x:row r="1697" ht="22" customHeight="1">
      <x:c r="A1697" s="2" t="str">
        <x:v>L00423-060</x:v>
      </x:c>
      <x:c r="B1697" s="2" t="str">
        <x:v>L00423</x:v>
      </x:c>
      <x:c r="C1697" s="2" t="str">
        <x:v>SO-26085</x:v>
      </x:c>
      <x:c r="D1697" s="2" t="str">
        <x:v>S-C-AL</x:v>
      </x:c>
      <x:c r="E1697" s="14" t="n">
        <x:v>10</x:v>
      </x:c>
      <x:c r="F1697" s="2" t="str">
        <x:v>Sensor calibration</x:v>
      </x:c>
      <x:c r="G1697" s="9" t="str">
        <x:v>CAL-01</x:v>
      </x:c>
      <x:c r="H1697" s="15" t="n">
        <x:v>84</x:v>
      </x:c>
      <x:c r="I1697" s="9" t="str">
        <x:v>P09</x:v>
      </x:c>
      <x:c r="J1697" s="11" t="n">
        <x:v>46307.260416666664</x:v>
      </x:c>
      <x:c r="K1697" s="15" t="n">
        <x:v>10</x:v>
      </x:c>
      <x:c r="L1697" s="15" t="n">
        <x:v>10</x:v>
      </x:c>
      <x:c r="M1697" s="13" t="n">
        <x:f>J1697+(K1697+L1697)/1440</x:f>
        <x:v>46307.274305555555</x:v>
      </x:c>
      <x:c r="N1697" s="13" t="n">
        <x:f>VLOOKUP(C1697,'MES orders'!$A$8:$H$127,5,FALSE)</x:f>
        <x:v>46308.666666666664</x:v>
      </x:c>
      <x:c r="O1697" s="16" t="n">
        <x:f>MAX(0,(M1697-N1697)*24)</x:f>
        <x:v>0</x:v>
      </x:c>
      <x:c r="P1697" s="9" t="str">
        <x:v>No</x:v>
      </x:c>
      <x:c r="Q1697" s="15" t="n">
        <x:v>20</x:v>
      </x:c>
      <x:c r="R1697" s="13" t="n">
        <x:f>J1697+Q1697/1440</x:f>
        <x:v>46307.274305555555</x:v>
      </x:c>
      <x:c r="S1697" s="2" t="str">
        <x:f>VLOOKUP(C1697,'MES orders'!$A$8:$H$127,6,FALSE)</x:f>
        <x:v>High</x:v>
      </x:c>
      <x:c r="T1697" s="9" t="str"/>
    </x:row>
    <x:row r="1698" ht="22" customHeight="1">
      <x:c r="A1698" s="2" t="str">
        <x:v>L00220-010</x:v>
      </x:c>
      <x:c r="B1698" s="2" t="str">
        <x:v>L00220</x:v>
      </x:c>
      <x:c r="C1698" s="2" t="str">
        <x:v>SO-26044</x:v>
      </x:c>
      <x:c r="D1698" s="2" t="str">
        <x:v>S-C-SS</x:v>
      </x:c>
      <x:c r="E1698" s="14" t="n">
        <x:v>5</x:v>
      </x:c>
      <x:c r="F1698" s="2" t="str">
        <x:v>CNC machining</x:v>
      </x:c>
      <x:c r="G1698" s="9" t="str">
        <x:v>CNC-06</x:v>
      </x:c>
      <x:c r="H1698" s="15" t="n">
        <x:v>41</x:v>
      </x:c>
      <x:c r="I1698" s="9" t="str">
        <x:v>P01</x:v>
      </x:c>
      <x:c r="J1698" s="11" t="n">
        <x:v>46307.2625</x:v>
      </x:c>
      <x:c r="K1698" s="15" t="n">
        <x:v>18</x:v>
      </x:c>
      <x:c r="L1698" s="15" t="n">
        <x:v>12</x:v>
      </x:c>
      <x:c r="M1698" s="13" t="n">
        <x:f>J1698+(K1698+L1698)/1440</x:f>
        <x:v>46307.28333333333</x:v>
      </x:c>
      <x:c r="N1698" s="13" t="n">
        <x:f>VLOOKUP(C1698,'MES orders'!$A$8:$H$127,5,FALSE)</x:f>
        <x:v>46307.666666666664</x:v>
      </x:c>
      <x:c r="O1698" s="16" t="n">
        <x:f>MAX(0,(M1698-N1698)*24)</x:f>
        <x:v>0</x:v>
      </x:c>
      <x:c r="P1698" s="9" t="str">
        <x:v>No</x:v>
      </x:c>
      <x:c r="Q1698" s="15" t="n">
        <x:v>18</x:v>
      </x:c>
      <x:c r="R1698" s="13" t="n">
        <x:f>J1698+Q1698/1440</x:f>
        <x:v>46307.274999999994</x:v>
      </x:c>
      <x:c r="S1698" s="2" t="str">
        <x:f>VLOOKUP(C1698,'MES orders'!$A$8:$H$127,6,FALSE)</x:f>
        <x:v>Normal</x:v>
      </x:c>
      <x:c r="T1698" s="9" t="str"/>
    </x:row>
    <x:row r="1699" ht="22" customHeight="1">
      <x:c r="A1699" s="2" t="str">
        <x:v>L00099-040</x:v>
      </x:c>
      <x:c r="B1699" s="2" t="str">
        <x:v>L00099</x:v>
      </x:c>
      <x:c r="C1699" s="2" t="str">
        <x:v>SO-26020</x:v>
      </x:c>
      <x:c r="D1699" s="2" t="str">
        <x:v>R-C-SS</x:v>
      </x:c>
      <x:c r="E1699" s="14" t="n">
        <x:v>25</x:v>
      </x:c>
      <x:c r="F1699" s="2" t="str">
        <x:v>Mechanical assembly</x:v>
      </x:c>
      <x:c r="G1699" s="9" t="str">
        <x:v>AS-02</x:v>
      </x:c>
      <x:c r="H1699" s="15" t="n">
        <x:v>111</x:v>
      </x:c>
      <x:c r="I1699" s="9" t="str">
        <x:v>P04</x:v>
      </x:c>
      <x:c r="J1699" s="11" t="n">
        <x:v>46307.263194444444</x:v>
      </x:c>
      <x:c r="K1699" s="15" t="n">
        <x:v>8</x:v>
      </x:c>
      <x:c r="L1699" s="15" t="n">
        <x:v>36</x:v>
      </x:c>
      <x:c r="M1699" s="13" t="n">
        <x:f>J1699+(K1699+L1699)/1440</x:f>
        <x:v>46307.29375</x:v>
      </x:c>
      <x:c r="N1699" s="13" t="n">
        <x:f>VLOOKUP(C1699,'MES orders'!$A$8:$H$127,5,FALSE)</x:f>
        <x:v>46307.666666666664</x:v>
      </x:c>
      <x:c r="O1699" s="16" t="n">
        <x:f>MAX(0,(M1699-N1699)*24)</x:f>
        <x:v>0</x:v>
      </x:c>
      <x:c r="P1699" s="9" t="str">
        <x:v>No</x:v>
      </x:c>
      <x:c r="Q1699" s="15" t="n">
        <x:v>44</x:v>
      </x:c>
      <x:c r="R1699" s="13" t="n">
        <x:f>J1699+Q1699/1440</x:f>
        <x:v>46307.29375</x:v>
      </x:c>
      <x:c r="S1699" s="2" t="str">
        <x:f>VLOOKUP(C1699,'MES orders'!$A$8:$H$127,6,FALSE)</x:f>
        <x:v>Normal</x:v>
      </x:c>
      <x:c r="T1699" s="9" t="str"/>
    </x:row>
    <x:row r="1700" ht="22" customHeight="1">
      <x:c r="A1700" s="2" t="str">
        <x:v>L00216-070</x:v>
      </x:c>
      <x:c r="B1700" s="2" t="str">
        <x:v>L00216</x:v>
      </x:c>
      <x:c r="C1700" s="2" t="str">
        <x:v>SO-26044</x:v>
      </x:c>
      <x:c r="D1700" s="2" t="str">
        <x:v>S-C-SS</x:v>
      </x:c>
      <x:c r="E1700" s="14" t="n">
        <x:v>5</x:v>
      </x:c>
      <x:c r="F1700" s="2" t="str">
        <x:v>Final assembly</x:v>
      </x:c>
      <x:c r="G1700" s="9" t="str">
        <x:v>AS-01</x:v>
      </x:c>
      <x:c r="H1700" s="15" t="n">
        <x:v>135</x:v>
      </x:c>
      <x:c r="I1700" s="9" t="str">
        <x:v>P05</x:v>
      </x:c>
      <x:c r="J1700" s="11" t="n">
        <x:v>46307.26944444444</x:v>
      </x:c>
      <x:c r="K1700" s="15" t="n">
        <x:v>5</x:v>
      </x:c>
      <x:c r="L1700" s="15" t="n">
        <x:v>3</x:v>
      </x:c>
      <x:c r="M1700" s="13" t="n">
        <x:f>J1700+(K1700+L1700)/1440</x:f>
        <x:v>46307.275</x:v>
      </x:c>
      <x:c r="N1700" s="13" t="n">
        <x:f>VLOOKUP(C1700,'MES orders'!$A$8:$H$127,5,FALSE)</x:f>
        <x:v>46307.666666666664</x:v>
      </x:c>
      <x:c r="O1700" s="16" t="n">
        <x:f>MAX(0,(M1700-N1700)*24)</x:f>
        <x:v>0</x:v>
      </x:c>
      <x:c r="P1700" s="9" t="str">
        <x:v>No</x:v>
      </x:c>
      <x:c r="Q1700" s="15" t="n">
        <x:v>8</x:v>
      </x:c>
      <x:c r="R1700" s="13" t="n">
        <x:f>J1700+Q1700/1440</x:f>
        <x:v>46307.275</x:v>
      </x:c>
      <x:c r="S1700" s="2" t="str">
        <x:f>VLOOKUP(C1700,'MES orders'!$A$8:$H$127,6,FALSE)</x:f>
        <x:v>Normal</x:v>
      </x:c>
      <x:c r="T1700" s="9" t="str"/>
    </x:row>
    <x:row r="1701" ht="22" customHeight="1">
      <x:c r="A1701" s="2" t="str">
        <x:v>L00098-060</x:v>
      </x:c>
      <x:c r="B1701" s="2" t="str">
        <x:v>L00098</x:v>
      </x:c>
      <x:c r="C1701" s="2" t="str">
        <x:v>SO-26020</x:v>
      </x:c>
      <x:c r="D1701" s="2" t="str">
        <x:v>R-C-SS</x:v>
      </x:c>
      <x:c r="E1701" s="14" t="n">
        <x:v>25</x:v>
      </x:c>
      <x:c r="F1701" s="2" t="str">
        <x:v>Final leak / function test</x:v>
      </x:c>
      <x:c r="G1701" s="9" t="str">
        <x:v>QA-02</x:v>
      </x:c>
      <x:c r="H1701" s="15" t="n">
        <x:v>123</x:v>
      </x:c>
      <x:c r="I1701" s="9" t="str">
        <x:v>P11</x:v>
      </x:c>
      <x:c r="J1701" s="11" t="n">
        <x:v>46307.26944444444</x:v>
      </x:c>
      <x:c r="K1701" s="15" t="n">
        <x:v>10</x:v>
      </x:c>
      <x:c r="L1701" s="15" t="n">
        <x:v>18</x:v>
      </x:c>
      <x:c r="M1701" s="13" t="n">
        <x:f>J1701+(K1701+L1701)/1440</x:f>
        <x:v>46307.288888888885</x:v>
      </x:c>
      <x:c r="N1701" s="13" t="n">
        <x:f>VLOOKUP(C1701,'MES orders'!$A$8:$H$127,5,FALSE)</x:f>
        <x:v>46307.666666666664</x:v>
      </x:c>
      <x:c r="O1701" s="16" t="n">
        <x:f>MAX(0,(M1701-N1701)*24)</x:f>
        <x:v>0</x:v>
      </x:c>
      <x:c r="P1701" s="9" t="str">
        <x:v>No</x:v>
      </x:c>
      <x:c r="Q1701" s="15" t="n">
        <x:v>28</x:v>
      </x:c>
      <x:c r="R1701" s="13" t="n">
        <x:f>J1701+Q1701/1440</x:f>
        <x:v>46307.288888888885</x:v>
      </x:c>
      <x:c r="S1701" s="2" t="str">
        <x:f>VLOOKUP(C1701,'MES orders'!$A$8:$H$127,6,FALSE)</x:f>
        <x:v>Normal</x:v>
      </x:c>
      <x:c r="T1701" s="9" t="str"/>
    </x:row>
    <x:row r="1702" ht="22" customHeight="1">
      <x:c r="A1702" s="2" t="str">
        <x:v>L00100-060</x:v>
      </x:c>
      <x:c r="B1702" s="2" t="str">
        <x:v>L00100</x:v>
      </x:c>
      <x:c r="C1702" s="2" t="str">
        <x:v>SO-26020</x:v>
      </x:c>
      <x:c r="D1702" s="2" t="str">
        <x:v>R-C-SS</x:v>
      </x:c>
      <x:c r="E1702" s="14" t="n">
        <x:v>25</x:v>
      </x:c>
      <x:c r="F1702" s="2" t="str">
        <x:v>Final leak / function test</x:v>
      </x:c>
      <x:c r="G1702" s="9" t="str">
        <x:v>QA-03</x:v>
      </x:c>
      <x:c r="H1702" s="15" t="n">
        <x:v>76</x:v>
      </x:c>
      <x:c r="I1702" s="9" t="str">
        <x:v>P12</x:v>
      </x:c>
      <x:c r="J1702" s="11" t="n">
        <x:v>46307.26944444444</x:v>
      </x:c>
      <x:c r="K1702" s="15" t="n">
        <x:v>10</x:v>
      </x:c>
      <x:c r="L1702" s="15" t="n">
        <x:v>18</x:v>
      </x:c>
      <x:c r="M1702" s="13" t="n">
        <x:f>J1702+(K1702+L1702)/1440</x:f>
        <x:v>46307.288888888885</x:v>
      </x:c>
      <x:c r="N1702" s="13" t="n">
        <x:f>VLOOKUP(C1702,'MES orders'!$A$8:$H$127,5,FALSE)</x:f>
        <x:v>46307.666666666664</x:v>
      </x:c>
      <x:c r="O1702" s="16" t="n">
        <x:f>MAX(0,(M1702-N1702)*24)</x:f>
        <x:v>0</x:v>
      </x:c>
      <x:c r="P1702" s="9" t="str">
        <x:v>No</x:v>
      </x:c>
      <x:c r="Q1702" s="15" t="n">
        <x:v>28</x:v>
      </x:c>
      <x:c r="R1702" s="13" t="n">
        <x:f>J1702+Q1702/1440</x:f>
        <x:v>46307.288888888885</x:v>
      </x:c>
      <x:c r="S1702" s="2" t="str">
        <x:f>VLOOKUP(C1702,'MES orders'!$A$8:$H$127,6,FALSE)</x:f>
        <x:v>Normal</x:v>
      </x:c>
      <x:c r="T1702" s="9" t="str"/>
    </x:row>
    <x:row r="1703" ht="22" customHeight="1">
      <x:c r="A1703" s="2" t="str">
        <x:v>L00256-010</x:v>
      </x:c>
      <x:c r="B1703" s="2" t="str">
        <x:v>L00256</x:v>
      </x:c>
      <x:c r="C1703" s="2" t="str">
        <x:v>SO-26052</x:v>
      </x:c>
      <x:c r="D1703" s="2" t="str">
        <x:v>S-S-SS</x:v>
      </x:c>
      <x:c r="E1703" s="14" t="n">
        <x:v>25</x:v>
      </x:c>
      <x:c r="F1703" s="2" t="str">
        <x:v>CNC machining</x:v>
      </x:c>
      <x:c r="G1703" s="9" t="str">
        <x:v>CNC-03</x:v>
      </x:c>
      <x:c r="H1703" s="15" t="n">
        <x:v>54</x:v>
      </x:c>
      <x:c r="I1703" s="9" t="str">
        <x:v>P02</x:v>
      </x:c>
      <x:c r="J1703" s="11" t="n">
        <x:v>46307.270833333336</x:v>
      </x:c>
      <x:c r="K1703" s="15" t="n">
        <x:v>18</x:v>
      </x:c>
      <x:c r="L1703" s="15" t="n">
        <x:v>75</x:v>
      </x:c>
      <x:c r="M1703" s="13" t="n">
        <x:f>J1703+(K1703+L1703)/1440</x:f>
        <x:v>46307.33541666667</x:v>
      </x:c>
      <x:c r="N1703" s="13" t="n">
        <x:f>VLOOKUP(C1703,'MES orders'!$A$8:$H$127,5,FALSE)</x:f>
        <x:v>46307.666666666664</x:v>
      </x:c>
      <x:c r="O1703" s="16" t="n">
        <x:f>MAX(0,(M1703-N1703)*24)</x:f>
        <x:v>0</x:v>
      </x:c>
      <x:c r="P1703" s="9" t="str">
        <x:v>No</x:v>
      </x:c>
      <x:c r="Q1703" s="15" t="n">
        <x:v>18</x:v>
      </x:c>
      <x:c r="R1703" s="13" t="n">
        <x:f>J1703+Q1703/1440</x:f>
        <x:v>46307.28333333333</x:v>
      </x:c>
      <x:c r="S1703" s="2" t="str">
        <x:f>VLOOKUP(C1703,'MES orders'!$A$8:$H$127,6,FALSE)</x:f>
        <x:v>Normal</x:v>
      </x:c>
      <x:c r="T1703" s="9" t="str"/>
    </x:row>
    <x:row r="1704" ht="22" customHeight="1">
      <x:c r="A1704" s="2" t="str">
        <x:v>L00257-010</x:v>
      </x:c>
      <x:c r="B1704" s="2" t="str">
        <x:v>L00257</x:v>
      </x:c>
      <x:c r="C1704" s="2" t="str">
        <x:v>SO-26052</x:v>
      </x:c>
      <x:c r="D1704" s="2" t="str">
        <x:v>S-S-SS</x:v>
      </x:c>
      <x:c r="E1704" s="14" t="n">
        <x:v>25</x:v>
      </x:c>
      <x:c r="F1704" s="2" t="str">
        <x:v>CNC machining</x:v>
      </x:c>
      <x:c r="G1704" s="9" t="str">
        <x:v>CNC-04</x:v>
      </x:c>
      <x:c r="H1704" s="15" t="n">
        <x:v>51</x:v>
      </x:c>
      <x:c r="I1704" s="9" t="str">
        <x:v>P03</x:v>
      </x:c>
      <x:c r="J1704" s="11" t="n">
        <x:v>46307.270833333336</x:v>
      </x:c>
      <x:c r="K1704" s="15" t="n">
        <x:v>18</x:v>
      </x:c>
      <x:c r="L1704" s="15" t="n">
        <x:v>75</x:v>
      </x:c>
      <x:c r="M1704" s="13" t="n">
        <x:f>J1704+(K1704+L1704)/1440</x:f>
        <x:v>46307.33541666667</x:v>
      </x:c>
      <x:c r="N1704" s="13" t="n">
        <x:f>VLOOKUP(C1704,'MES orders'!$A$8:$H$127,5,FALSE)</x:f>
        <x:v>46307.666666666664</x:v>
      </x:c>
      <x:c r="O1704" s="16" t="n">
        <x:f>MAX(0,(M1704-N1704)*24)</x:f>
        <x:v>0</x:v>
      </x:c>
      <x:c r="P1704" s="9" t="str">
        <x:v>No</x:v>
      </x:c>
      <x:c r="Q1704" s="15" t="n">
        <x:v>18</x:v>
      </x:c>
      <x:c r="R1704" s="13" t="n">
        <x:f>J1704+Q1704/1440</x:f>
        <x:v>46307.28333333333</x:v>
      </x:c>
      <x:c r="S1704" s="2" t="str">
        <x:f>VLOOKUP(C1704,'MES orders'!$A$8:$H$127,6,FALSE)</x:f>
        <x:v>Normal</x:v>
      </x:c>
      <x:c r="T1704" s="9" t="str"/>
    </x:row>
    <x:row r="1705" ht="22" customHeight="1">
      <x:c r="A1705" s="2" t="str">
        <x:v>L00217-020</x:v>
      </x:c>
      <x:c r="B1705" s="2" t="str">
        <x:v>L00217</x:v>
      </x:c>
      <x:c r="C1705" s="2" t="str">
        <x:v>SO-26044</x:v>
      </x:c>
      <x:c r="D1705" s="2" t="str">
        <x:v>S-C-SS</x:v>
      </x:c>
      <x:c r="E1705" s="14" t="n">
        <x:v>5</x:v>
      </x:c>
      <x:c r="F1705" s="2" t="str">
        <x:v>Deburr &amp; inspect</x:v>
      </x:c>
      <x:c r="G1705" s="9" t="str">
        <x:v>DB-01</x:v>
      </x:c>
      <x:c r="H1705" s="15" t="n">
        <x:v>161</x:v>
      </x:c>
      <x:c r="I1705" s="9" t="str">
        <x:v>P06</x:v>
      </x:c>
      <x:c r="J1705" s="11" t="n">
        <x:v>46307.270833333336</x:v>
      </x:c>
      <x:c r="K1705" s="15" t="n">
        <x:v>4</x:v>
      </x:c>
      <x:c r="L1705" s="15" t="n">
        <x:v>3</x:v>
      </x:c>
      <x:c r="M1705" s="13" t="n">
        <x:f>J1705+(K1705+L1705)/1440</x:f>
        <x:v>46307.27569444445</x:v>
      </x:c>
      <x:c r="N1705" s="13" t="n">
        <x:f>VLOOKUP(C1705,'MES orders'!$A$8:$H$127,5,FALSE)</x:f>
        <x:v>46307.666666666664</x:v>
      </x:c>
      <x:c r="O1705" s="16" t="n">
        <x:f>MAX(0,(M1705-N1705)*24)</x:f>
        <x:v>0</x:v>
      </x:c>
      <x:c r="P1705" s="9" t="str">
        <x:v>No</x:v>
      </x:c>
      <x:c r="Q1705" s="15" t="n">
        <x:v>7</x:v>
      </x:c>
      <x:c r="R1705" s="13" t="n">
        <x:f>J1705+Q1705/1440</x:f>
        <x:v>46307.27569444445</x:v>
      </x:c>
      <x:c r="S1705" s="2" t="str">
        <x:f>VLOOKUP(C1705,'MES orders'!$A$8:$H$127,6,FALSE)</x:f>
        <x:v>Normal</x:v>
      </x:c>
      <x:c r="T1705" s="9" t="str"/>
    </x:row>
    <x:row r="1706" ht="22" customHeight="1">
      <x:c r="A1706" s="2" t="str">
        <x:v>L00258-010</x:v>
      </x:c>
      <x:c r="B1706" s="2" t="str">
        <x:v>L00258</x:v>
      </x:c>
      <x:c r="C1706" s="2" t="str">
        <x:v>SO-26052</x:v>
      </x:c>
      <x:c r="D1706" s="2" t="str">
        <x:v>S-S-SS</x:v>
      </x:c>
      <x:c r="E1706" s="14" t="n">
        <x:v>25</x:v>
      </x:c>
      <x:c r="F1706" s="2" t="str">
        <x:v>CNC machining</x:v>
      </x:c>
      <x:c r="G1706" s="9" t="str">
        <x:v>CNC-05</x:v>
      </x:c>
      <x:c r="H1706" s="15" t="n">
        <x:v>45</x:v>
      </x:c>
      <x:c r="I1706" s="9" t="str">
        <x:v>P01</x:v>
      </x:c>
      <x:c r="J1706" s="11" t="n">
        <x:v>46307.275</x:v>
      </x:c>
      <x:c r="K1706" s="15" t="n">
        <x:v>18</x:v>
      </x:c>
      <x:c r="L1706" s="15" t="n">
        <x:v>75</x:v>
      </x:c>
      <x:c r="M1706" s="13" t="n">
        <x:f>J1706+(K1706+L1706)/1440</x:f>
        <x:v>46307.339583333334</x:v>
      </x:c>
      <x:c r="N1706" s="13" t="n">
        <x:f>VLOOKUP(C1706,'MES orders'!$A$8:$H$127,5,FALSE)</x:f>
        <x:v>46307.666666666664</x:v>
      </x:c>
      <x:c r="O1706" s="16" t="n">
        <x:f>MAX(0,(M1706-N1706)*24)</x:f>
        <x:v>0</x:v>
      </x:c>
      <x:c r="P1706" s="9" t="str">
        <x:v>No</x:v>
      </x:c>
      <x:c r="Q1706" s="15" t="n">
        <x:v>18</x:v>
      </x:c>
      <x:c r="R1706" s="13" t="n">
        <x:f>J1706+Q1706/1440</x:f>
        <x:v>46307.2875</x:v>
      </x:c>
      <x:c r="S1706" s="2" t="str">
        <x:f>VLOOKUP(C1706,'MES orders'!$A$8:$H$127,6,FALSE)</x:f>
        <x:v>Normal</x:v>
      </x:c>
      <x:c r="T1706" s="9" t="str"/>
    </x:row>
    <x:row r="1707" ht="22" customHeight="1">
      <x:c r="A1707" s="2" t="str">
        <x:v>L00218-020</x:v>
      </x:c>
      <x:c r="B1707" s="2" t="str">
        <x:v>L00218</x:v>
      </x:c>
      <x:c r="C1707" s="2" t="str">
        <x:v>SO-26044</x:v>
      </x:c>
      <x:c r="D1707" s="2" t="str">
        <x:v>S-C-SS</x:v>
      </x:c>
      <x:c r="E1707" s="14" t="n">
        <x:v>5</x:v>
      </x:c>
      <x:c r="F1707" s="2" t="str">
        <x:v>Deburr &amp; inspect</x:v>
      </x:c>
      <x:c r="G1707" s="9" t="str">
        <x:v>DB-01</x:v>
      </x:c>
      <x:c r="H1707" s="15" t="n">
        <x:v>162</x:v>
      </x:c>
      <x:c r="I1707" s="9" t="str">
        <x:v>P06</x:v>
      </x:c>
      <x:c r="J1707" s="11" t="n">
        <x:v>46307.27569444444</x:v>
      </x:c>
      <x:c r="K1707" s="15" t="n">
        <x:v>4</x:v>
      </x:c>
      <x:c r="L1707" s="15" t="n">
        <x:v>3</x:v>
      </x:c>
      <x:c r="M1707" s="13" t="n">
        <x:f>J1707+(K1707+L1707)/1440</x:f>
        <x:v>46307.28055555555</x:v>
      </x:c>
      <x:c r="N1707" s="13" t="n">
        <x:f>VLOOKUP(C1707,'MES orders'!$A$8:$H$127,5,FALSE)</x:f>
        <x:v>46307.666666666664</x:v>
      </x:c>
      <x:c r="O1707" s="16" t="n">
        <x:f>MAX(0,(M1707-N1707)*24)</x:f>
        <x:v>0</x:v>
      </x:c>
      <x:c r="P1707" s="9" t="str">
        <x:v>No</x:v>
      </x:c>
      <x:c r="Q1707" s="15" t="n">
        <x:v>7</x:v>
      </x:c>
      <x:c r="R1707" s="13" t="n">
        <x:f>J1707+Q1707/1440</x:f>
        <x:v>46307.28055555555</x:v>
      </x:c>
      <x:c r="S1707" s="2" t="str">
        <x:f>VLOOKUP(C1707,'MES orders'!$A$8:$H$127,6,FALSE)</x:f>
        <x:v>Normal</x:v>
      </x:c>
      <x:c r="T1707" s="9" t="str"/>
    </x:row>
    <x:row r="1708" ht="22" customHeight="1">
      <x:c r="A1708" s="2" t="str">
        <x:v>L00217-030</x:v>
      </x:c>
      <x:c r="B1708" s="2" t="str">
        <x:v>L00217</x:v>
      </x:c>
      <x:c r="C1708" s="2" t="str">
        <x:v>SO-26044</x:v>
      </x:c>
      <x:c r="D1708" s="2" t="str">
        <x:v>S-C-SS</x:v>
      </x:c>
      <x:c r="E1708" s="14" t="n">
        <x:v>5</x:v>
      </x:c>
      <x:c r="F1708" s="2" t="str">
        <x:v>Wash &amp; dry</x:v>
      </x:c>
      <x:c r="G1708" s="9" t="str">
        <x:v>WS-01</x:v>
      </x:c>
      <x:c r="H1708" s="15" t="n">
        <x:v>158</x:v>
      </x:c>
      <x:c r="I1708" s="9" t="str">
        <x:v>P05</x:v>
      </x:c>
      <x:c r="J1708" s="11" t="n">
        <x:v>46307.27569444444</x:v>
      </x:c>
      <x:c r="K1708" s="15" t="n">
        <x:v>12</x:v>
      </x:c>
      <x:c r="L1708" s="15" t="n">
        <x:v>1</x:v>
      </x:c>
      <x:c r="M1708" s="13" t="n">
        <x:f>J1708+(K1708+L1708)/1440</x:f>
        <x:v>46307.28472222222</x:v>
      </x:c>
      <x:c r="N1708" s="13" t="n">
        <x:f>VLOOKUP(C1708,'MES orders'!$A$8:$H$127,5,FALSE)</x:f>
        <x:v>46307.666666666664</x:v>
      </x:c>
      <x:c r="O1708" s="16" t="n">
        <x:f>MAX(0,(M1708-N1708)*24)</x:f>
        <x:v>0</x:v>
      </x:c>
      <x:c r="P1708" s="9" t="str">
        <x:v>No</x:v>
      </x:c>
      <x:c r="Q1708" s="15" t="n">
        <x:v>13</x:v>
      </x:c>
      <x:c r="R1708" s="13" t="n">
        <x:f>J1708+Q1708/1440</x:f>
        <x:v>46307.28472222222</x:v>
      </x:c>
      <x:c r="S1708" s="2" t="str">
        <x:f>VLOOKUP(C1708,'MES orders'!$A$8:$H$127,6,FALSE)</x:f>
        <x:v>Normal</x:v>
      </x:c>
      <x:c r="T1708" s="9" t="str"/>
    </x:row>
    <x:row r="1709" ht="22" customHeight="1">
      <x:c r="A1709" s="2" t="str">
        <x:v>L00424-010</x:v>
      </x:c>
      <x:c r="B1709" s="2" t="str">
        <x:v>L00424</x:v>
      </x:c>
      <x:c r="C1709" s="2" t="str">
        <x:v>SO-26085</x:v>
      </x:c>
      <x:c r="D1709" s="2" t="str">
        <x:v>S-C-AL</x:v>
      </x:c>
      <x:c r="E1709" s="14" t="n">
        <x:v>10</x:v>
      </x:c>
      <x:c r="F1709" s="2" t="str">
        <x:v>CNC machining</x:v>
      </x:c>
      <x:c r="G1709" s="9" t="str">
        <x:v>CNC-01</x:v>
      </x:c>
      <x:c r="H1709" s="15" t="n">
        <x:v>52</x:v>
      </x:c>
      <x:c r="I1709" s="9" t="str">
        <x:v>P03</x:v>
      </x:c>
      <x:c r="J1709" s="11" t="n">
        <x:v>46307.28333333333</x:v>
      </x:c>
      <x:c r="K1709" s="15" t="n">
        <x:v>18</x:v>
      </x:c>
      <x:c r="L1709" s="15" t="n">
        <x:v>19</x:v>
      </x:c>
      <x:c r="M1709" s="13" t="n">
        <x:f>J1709+(K1709+L1709)/1440</x:f>
        <x:v>46307.309027777774</x:v>
      </x:c>
      <x:c r="N1709" s="13" t="n">
        <x:f>VLOOKUP(C1709,'MES orders'!$A$8:$H$127,5,FALSE)</x:f>
        <x:v>46308.666666666664</x:v>
      </x:c>
      <x:c r="O1709" s="16" t="n">
        <x:f>MAX(0,(M1709-N1709)*24)</x:f>
        <x:v>0</x:v>
      </x:c>
      <x:c r="P1709" s="9" t="str">
        <x:v>No</x:v>
      </x:c>
      <x:c r="Q1709" s="15" t="n">
        <x:v>18</x:v>
      </x:c>
      <x:c r="R1709" s="13" t="n">
        <x:f>J1709+Q1709/1440</x:f>
        <x:v>46307.29583333333</x:v>
      </x:c>
      <x:c r="S1709" s="2" t="str">
        <x:f>VLOOKUP(C1709,'MES orders'!$A$8:$H$127,6,FALSE)</x:f>
        <x:v>High</x:v>
      </x:c>
      <x:c r="T1709" s="9" t="str"/>
    </x:row>
    <x:row r="1710" ht="22" customHeight="1">
      <x:c r="A1710" s="2" t="str">
        <x:v>L00259-010</x:v>
      </x:c>
      <x:c r="B1710" s="2" t="str">
        <x:v>L00259</x:v>
      </x:c>
      <x:c r="C1710" s="2" t="str">
        <x:v>SO-26052</x:v>
      </x:c>
      <x:c r="D1710" s="2" t="str">
        <x:v>S-S-SS</x:v>
      </x:c>
      <x:c r="E1710" s="14" t="n">
        <x:v>25</x:v>
      </x:c>
      <x:c r="F1710" s="2" t="str">
        <x:v>CNC machining</x:v>
      </x:c>
      <x:c r="G1710" s="9" t="str">
        <x:v>CNC-06</x:v>
      </x:c>
      <x:c r="H1710" s="15" t="n">
        <x:v>42</x:v>
      </x:c>
      <x:c r="I1710" s="9" t="str">
        <x:v>P02</x:v>
      </x:c>
      <x:c r="J1710" s="11" t="n">
        <x:v>46307.28333333333</x:v>
      </x:c>
      <x:c r="K1710" s="15" t="n">
        <x:v>18</x:v>
      </x:c>
      <x:c r="L1710" s="15" t="n">
        <x:v>75</x:v>
      </x:c>
      <x:c r="M1710" s="13" t="n">
        <x:f>J1710+(K1710+L1710)/1440</x:f>
        <x:v>46307.347916666666</x:v>
      </x:c>
      <x:c r="N1710" s="13" t="n">
        <x:f>VLOOKUP(C1710,'MES orders'!$A$8:$H$127,5,FALSE)</x:f>
        <x:v>46307.666666666664</x:v>
      </x:c>
      <x:c r="O1710" s="16" t="n">
        <x:f>MAX(0,(M1710-N1710)*24)</x:f>
        <x:v>0</x:v>
      </x:c>
      <x:c r="P1710" s="9" t="str">
        <x:v>No</x:v>
      </x:c>
      <x:c r="Q1710" s="15" t="n">
        <x:v>18</x:v>
      </x:c>
      <x:c r="R1710" s="13" t="n">
        <x:f>J1710+Q1710/1440</x:f>
        <x:v>46307.29583333333</x:v>
      </x:c>
      <x:c r="S1710" s="2" t="str">
        <x:f>VLOOKUP(C1710,'MES orders'!$A$8:$H$127,6,FALSE)</x:f>
        <x:v>Normal</x:v>
      </x:c>
      <x:c r="T1710" s="9" t="str"/>
    </x:row>
    <x:row r="1711" ht="22" customHeight="1">
      <x:c r="A1711" s="2" t="str">
        <x:v>L00217-040</x:v>
      </x:c>
      <x:c r="B1711" s="2" t="str">
        <x:v>L00217</x:v>
      </x:c>
      <x:c r="C1711" s="2" t="str">
        <x:v>SO-26044</x:v>
      </x:c>
      <x:c r="D1711" s="2" t="str">
        <x:v>S-C-SS</x:v>
      </x:c>
      <x:c r="E1711" s="14" t="n">
        <x:v>5</x:v>
      </x:c>
      <x:c r="F1711" s="2" t="str">
        <x:v>Mechanical preassembly</x:v>
      </x:c>
      <x:c r="G1711" s="9" t="str">
        <x:v>AS-01</x:v>
      </x:c>
      <x:c r="H1711" s="15" t="n">
        <x:v>136</x:v>
      </x:c>
      <x:c r="I1711" s="9" t="str">
        <x:v>P05</x:v>
      </x:c>
      <x:c r="J1711" s="11" t="n">
        <x:v>46307.28472222222</x:v>
      </x:c>
      <x:c r="K1711" s="15" t="n">
        <x:v>6</x:v>
      </x:c>
      <x:c r="L1711" s="15" t="n">
        <x:v>4</x:v>
      </x:c>
      <x:c r="M1711" s="13" t="n">
        <x:f>J1711+(K1711+L1711)/1440</x:f>
        <x:v>46307.291666666664</x:v>
      </x:c>
      <x:c r="N1711" s="13" t="n">
        <x:f>VLOOKUP(C1711,'MES orders'!$A$8:$H$127,5,FALSE)</x:f>
        <x:v>46307.666666666664</x:v>
      </x:c>
      <x:c r="O1711" s="16" t="n">
        <x:f>MAX(0,(M1711-N1711)*24)</x:f>
        <x:v>0</x:v>
      </x:c>
      <x:c r="P1711" s="9" t="str">
        <x:v>No</x:v>
      </x:c>
      <x:c r="Q1711" s="15" t="n">
        <x:v>10</x:v>
      </x:c>
      <x:c r="R1711" s="13" t="n">
        <x:f>J1711+Q1711/1440</x:f>
        <x:v>46307.291666666664</x:v>
      </x:c>
      <x:c r="S1711" s="2" t="str">
        <x:f>VLOOKUP(C1711,'MES orders'!$A$8:$H$127,6,FALSE)</x:f>
        <x:v>Normal</x:v>
      </x:c>
      <x:c r="T1711" s="9" t="str"/>
    </x:row>
    <x:row r="1712" ht="22" customHeight="1">
      <x:c r="A1712" s="2" t="str">
        <x:v>L00218-030</x:v>
      </x:c>
      <x:c r="B1712" s="2" t="str">
        <x:v>L00218</x:v>
      </x:c>
      <x:c r="C1712" s="2" t="str">
        <x:v>SO-26044</x:v>
      </x:c>
      <x:c r="D1712" s="2" t="str">
        <x:v>S-C-SS</x:v>
      </x:c>
      <x:c r="E1712" s="14" t="n">
        <x:v>5</x:v>
      </x:c>
      <x:c r="F1712" s="2" t="str">
        <x:v>Wash &amp; dry</x:v>
      </x:c>
      <x:c r="G1712" s="9" t="str">
        <x:v>WS-01</x:v>
      </x:c>
      <x:c r="H1712" s="15" t="n">
        <x:v>159</x:v>
      </x:c>
      <x:c r="I1712" s="9" t="str">
        <x:v>P06</x:v>
      </x:c>
      <x:c r="J1712" s="11" t="n">
        <x:v>46307.28472222222</x:v>
      </x:c>
      <x:c r="K1712" s="15" t="n">
        <x:v>12</x:v>
      </x:c>
      <x:c r="L1712" s="15" t="n">
        <x:v>1</x:v>
      </x:c>
      <x:c r="M1712" s="13" t="n">
        <x:f>J1712+(K1712+L1712)/1440</x:f>
        <x:v>46307.29375</x:v>
      </x:c>
      <x:c r="N1712" s="13" t="n">
        <x:f>VLOOKUP(C1712,'MES orders'!$A$8:$H$127,5,FALSE)</x:f>
        <x:v>46307.666666666664</x:v>
      </x:c>
      <x:c r="O1712" s="16" t="n">
        <x:f>MAX(0,(M1712-N1712)*24)</x:f>
        <x:v>0</x:v>
      </x:c>
      <x:c r="P1712" s="9" t="str">
        <x:v>No</x:v>
      </x:c>
      <x:c r="Q1712" s="15" t="n">
        <x:v>13</x:v>
      </x:c>
      <x:c r="R1712" s="13" t="n">
        <x:f>J1712+Q1712/1440</x:f>
        <x:v>46307.29375</x:v>
      </x:c>
      <x:c r="S1712" s="2" t="str">
        <x:f>VLOOKUP(C1712,'MES orders'!$A$8:$H$127,6,FALSE)</x:f>
        <x:v>Normal</x:v>
      </x:c>
      <x:c r="T1712" s="9" t="str"/>
    </x:row>
    <x:row r="1713" ht="22" customHeight="1">
      <x:c r="A1713" s="2" t="str">
        <x:v>L00425-010</x:v>
      </x:c>
      <x:c r="B1713" s="2" t="str">
        <x:v>L00425</x:v>
      </x:c>
      <x:c r="C1713" s="2" t="str">
        <x:v>SO-26085</x:v>
      </x:c>
      <x:c r="D1713" s="2" t="str">
        <x:v>S-C-AL</x:v>
      </x:c>
      <x:c r="E1713" s="14" t="n">
        <x:v>10</x:v>
      </x:c>
      <x:c r="F1713" s="2" t="str">
        <x:v>CNC machining</x:v>
      </x:c>
      <x:c r="G1713" s="9" t="str">
        <x:v>CNC-02</x:v>
      </x:c>
      <x:c r="H1713" s="15" t="n">
        <x:v>35</x:v>
      </x:c>
      <x:c r="I1713" s="9" t="str">
        <x:v>P01</x:v>
      </x:c>
      <x:c r="J1713" s="11" t="n">
        <x:v>46307.2875</x:v>
      </x:c>
      <x:c r="K1713" s="15" t="n">
        <x:v>18</x:v>
      </x:c>
      <x:c r="L1713" s="15" t="n">
        <x:v>19</x:v>
      </x:c>
      <x:c r="M1713" s="13" t="n">
        <x:f>J1713+(K1713+L1713)/1440</x:f>
        <x:v>46307.31319444444</x:v>
      </x:c>
      <x:c r="N1713" s="13" t="n">
        <x:f>VLOOKUP(C1713,'MES orders'!$A$8:$H$127,5,FALSE)</x:f>
        <x:v>46308.666666666664</x:v>
      </x:c>
      <x:c r="O1713" s="16" t="n">
        <x:f>MAX(0,(M1713-N1713)*24)</x:f>
        <x:v>0</x:v>
      </x:c>
      <x:c r="P1713" s="9" t="str">
        <x:v>No</x:v>
      </x:c>
      <x:c r="Q1713" s="15" t="n">
        <x:v>18</x:v>
      </x:c>
      <x:c r="R1713" s="13" t="n">
        <x:f>J1713+Q1713/1440</x:f>
        <x:v>46307.299999999996</x:v>
      </x:c>
      <x:c r="S1713" s="2" t="str">
        <x:f>VLOOKUP(C1713,'MES orders'!$A$8:$H$127,6,FALSE)</x:f>
        <x:v>High</x:v>
      </x:c>
      <x:c r="T1713" s="9" t="str"/>
    </x:row>
    <x:row r="1714" ht="22" customHeight="1">
      <x:c r="A1714" s="2" t="str">
        <x:v>L00216-080</x:v>
      </x:c>
      <x:c r="B1714" s="2" t="str">
        <x:v>L00216</x:v>
      </x:c>
      <x:c r="C1714" s="2" t="str">
        <x:v>SO-26044</x:v>
      </x:c>
      <x:c r="D1714" s="2" t="str">
        <x:v>S-C-SS</x:v>
      </x:c>
      <x:c r="E1714" s="14" t="n">
        <x:v>5</x:v>
      </x:c>
      <x:c r="F1714" s="2" t="str">
        <x:v>Final leak / function test</x:v>
      </x:c>
      <x:c r="G1714" s="9" t="str">
        <x:v>QA-02</x:v>
      </x:c>
      <x:c r="H1714" s="15" t="n">
        <x:v>124</x:v>
      </x:c>
      <x:c r="I1714" s="9" t="str">
        <x:v>P11</x:v>
      </x:c>
      <x:c r="J1714" s="11" t="n">
        <x:v>46307.28888888889</x:v>
      </x:c>
      <x:c r="K1714" s="15" t="n">
        <x:v>10</x:v>
      </x:c>
      <x:c r="L1714" s="15" t="n">
        <x:v>4</x:v>
      </x:c>
      <x:c r="M1714" s="13" t="n">
        <x:f>J1714+(K1714+L1714)/1440</x:f>
        <x:v>46307.29861111112</x:v>
      </x:c>
      <x:c r="N1714" s="13" t="n">
        <x:f>VLOOKUP(C1714,'MES orders'!$A$8:$H$127,5,FALSE)</x:f>
        <x:v>46307.666666666664</x:v>
      </x:c>
      <x:c r="O1714" s="16" t="n">
        <x:f>MAX(0,(M1714-N1714)*24)</x:f>
        <x:v>0</x:v>
      </x:c>
      <x:c r="P1714" s="9" t="str">
        <x:v>No</x:v>
      </x:c>
      <x:c r="Q1714" s="15" t="n">
        <x:v>14</x:v>
      </x:c>
      <x:c r="R1714" s="13" t="n">
        <x:f>J1714+Q1714/1440</x:f>
        <x:v>46307.29861111112</x:v>
      </x:c>
      <x:c r="S1714" s="2" t="str">
        <x:f>VLOOKUP(C1714,'MES orders'!$A$8:$H$127,6,FALSE)</x:f>
        <x:v>Normal</x:v>
      </x:c>
      <x:c r="T1714" s="9" t="str"/>
    </x:row>
    <x:row r="1715" ht="22" customHeight="1">
      <x:c r="A1715" s="2" t="str">
        <x:v>L00422-080</x:v>
      </x:c>
      <x:c r="B1715" s="2" t="str">
        <x:v>L00422</x:v>
      </x:c>
      <x:c r="C1715" s="2" t="str">
        <x:v>SO-26085</x:v>
      </x:c>
      <x:c r="D1715" s="2" t="str">
        <x:v>S-C-AL</x:v>
      </x:c>
      <x:c r="E1715" s="14" t="n">
        <x:v>10</x:v>
      </x:c>
      <x:c r="F1715" s="2" t="str">
        <x:v>Final leak / function test</x:v>
      </x:c>
      <x:c r="G1715" s="9" t="str">
        <x:v>QA-03</x:v>
      </x:c>
      <x:c r="H1715" s="15" t="n">
        <x:v>77</x:v>
      </x:c>
      <x:c r="I1715" s="9" t="str">
        <x:v>P12</x:v>
      </x:c>
      <x:c r="J1715" s="11" t="n">
        <x:v>46307.28888888889</x:v>
      </x:c>
      <x:c r="K1715" s="15" t="n">
        <x:v>10</x:v>
      </x:c>
      <x:c r="L1715" s="15" t="n">
        <x:v>7</x:v>
      </x:c>
      <x:c r="M1715" s="13" t="n">
        <x:f>J1715+(K1715+L1715)/1440</x:f>
        <x:v>46307.30069444445</x:v>
      </x:c>
      <x:c r="N1715" s="13" t="n">
        <x:f>VLOOKUP(C1715,'MES orders'!$A$8:$H$127,5,FALSE)</x:f>
        <x:v>46308.666666666664</x:v>
      </x:c>
      <x:c r="O1715" s="16" t="n">
        <x:f>MAX(0,(M1715-N1715)*24)</x:f>
        <x:v>0</x:v>
      </x:c>
      <x:c r="P1715" s="9" t="str">
        <x:v>No</x:v>
      </x:c>
      <x:c r="Q1715" s="15" t="n">
        <x:v>17</x:v>
      </x:c>
      <x:c r="R1715" s="13" t="n">
        <x:f>J1715+Q1715/1440</x:f>
        <x:v>46307.30069444445</x:v>
      </x:c>
      <x:c r="S1715" s="2" t="str">
        <x:f>VLOOKUP(C1715,'MES orders'!$A$8:$H$127,6,FALSE)</x:f>
        <x:v>High</x:v>
      </x:c>
      <x:c r="T1715" s="9" t="str"/>
    </x:row>
    <x:row r="1716" ht="22" customHeight="1">
      <x:c r="A1716" s="2" t="str">
        <x:v>L00217-050</x:v>
      </x:c>
      <x:c r="B1716" s="2" t="str">
        <x:v>L00217</x:v>
      </x:c>
      <x:c r="C1716" s="2" t="str">
        <x:v>SO-26044</x:v>
      </x:c>
      <x:c r="D1716" s="2" t="str">
        <x:v>S-C-SS</x:v>
      </x:c>
      <x:c r="E1716" s="14" t="n">
        <x:v>5</x:v>
      </x:c>
      <x:c r="F1716" s="2" t="str">
        <x:v>Sensor installation</x:v>
      </x:c>
      <x:c r="G1716" s="9" t="str">
        <x:v>EL-01</x:v>
      </x:c>
      <x:c r="H1716" s="15" t="n">
        <x:v>56</x:v>
      </x:c>
      <x:c r="I1716" s="9" t="str">
        <x:v>P07</x:v>
      </x:c>
      <x:c r="J1716" s="11" t="n">
        <x:v>46307.291666666664</x:v>
      </x:c>
      <x:c r="K1716" s="15" t="n">
        <x:v>8</x:v>
      </x:c>
      <x:c r="L1716" s="15" t="n">
        <x:v>5</x:v>
      </x:c>
      <x:c r="M1716" s="13" t="n">
        <x:f>J1716+(K1716+L1716)/1440</x:f>
        <x:v>46307.30069444444</x:v>
      </x:c>
      <x:c r="N1716" s="13" t="n">
        <x:f>VLOOKUP(C1716,'MES orders'!$A$8:$H$127,5,FALSE)</x:f>
        <x:v>46307.666666666664</x:v>
      </x:c>
      <x:c r="O1716" s="16" t="n">
        <x:f>MAX(0,(M1716-N1716)*24)</x:f>
        <x:v>0</x:v>
      </x:c>
      <x:c r="P1716" s="9" t="str">
        <x:v>No</x:v>
      </x:c>
      <x:c r="Q1716" s="15" t="n">
        <x:v>13</x:v>
      </x:c>
      <x:c r="R1716" s="13" t="n">
        <x:f>J1716+Q1716/1440</x:f>
        <x:v>46307.30069444444</x:v>
      </x:c>
      <x:c r="S1716" s="2" t="str">
        <x:f>VLOOKUP(C1716,'MES orders'!$A$8:$H$127,6,FALSE)</x:f>
        <x:v>Normal</x:v>
      </x:c>
      <x:c r="T1716" s="9" t="str"/>
    </x:row>
    <x:row r="1717" ht="22" customHeight="1">
      <x:c r="A1717" s="2" t="str">
        <x:v>L00099-050</x:v>
      </x:c>
      <x:c r="B1717" s="2" t="str">
        <x:v>L00099</x:v>
      </x:c>
      <x:c r="C1717" s="2" t="str">
        <x:v>SO-26020</x:v>
      </x:c>
      <x:c r="D1717" s="2" t="str">
        <x:v>R-C-SS</x:v>
      </x:c>
      <x:c r="E1717" s="14" t="n">
        <x:v>25</x:v>
      </x:c>
      <x:c r="F1717" s="2" t="str">
        <x:v>Valve adjustment</x:v>
      </x:c>
      <x:c r="G1717" s="9" t="str">
        <x:v>AS-01</x:v>
      </x:c>
      <x:c r="H1717" s="15" t="n">
        <x:v>137</x:v>
      </x:c>
      <x:c r="I1717" s="9" t="str">
        <x:v>P05</x:v>
      </x:c>
      <x:c r="J1717" s="11" t="n">
        <x:v>46307.29375</x:v>
      </x:c>
      <x:c r="K1717" s="15" t="n">
        <x:v>6</x:v>
      </x:c>
      <x:c r="L1717" s="15" t="n">
        <x:v>22</x:v>
      </x:c>
      <x:c r="M1717" s="13" t="n">
        <x:f>J1717+(K1717+L1717)/1440</x:f>
        <x:v>46307.31319444444</x:v>
      </x:c>
      <x:c r="N1717" s="13" t="n">
        <x:f>VLOOKUP(C1717,'MES orders'!$A$8:$H$127,5,FALSE)</x:f>
        <x:v>46307.666666666664</x:v>
      </x:c>
      <x:c r="O1717" s="16" t="n">
        <x:f>MAX(0,(M1717-N1717)*24)</x:f>
        <x:v>0</x:v>
      </x:c>
      <x:c r="P1717" s="9" t="str">
        <x:v>No</x:v>
      </x:c>
      <x:c r="Q1717" s="15" t="n">
        <x:v>28</x:v>
      </x:c>
      <x:c r="R1717" s="13" t="n">
        <x:f>J1717+Q1717/1440</x:f>
        <x:v>46307.31319444444</x:v>
      </x:c>
      <x:c r="S1717" s="2" t="str">
        <x:f>VLOOKUP(C1717,'MES orders'!$A$8:$H$127,6,FALSE)</x:f>
        <x:v>Normal</x:v>
      </x:c>
      <x:c r="T1717" s="9" t="str"/>
    </x:row>
    <x:row r="1718" ht="22" customHeight="1">
      <x:c r="A1718" s="2" t="str">
        <x:v>L00218-040</x:v>
      </x:c>
      <x:c r="B1718" s="2" t="str">
        <x:v>L00218</x:v>
      </x:c>
      <x:c r="C1718" s="2" t="str">
        <x:v>SO-26044</x:v>
      </x:c>
      <x:c r="D1718" s="2" t="str">
        <x:v>S-C-SS</x:v>
      </x:c>
      <x:c r="E1718" s="14" t="n">
        <x:v>5</x:v>
      </x:c>
      <x:c r="F1718" s="2" t="str">
        <x:v>Mechanical preassembly</x:v>
      </x:c>
      <x:c r="G1718" s="9" t="str">
        <x:v>AS-02</x:v>
      </x:c>
      <x:c r="H1718" s="15" t="n">
        <x:v>112</x:v>
      </x:c>
      <x:c r="I1718" s="9" t="str">
        <x:v>P04</x:v>
      </x:c>
      <x:c r="J1718" s="11" t="n">
        <x:v>46307.29375</x:v>
      </x:c>
      <x:c r="K1718" s="15" t="n">
        <x:v>6</x:v>
      </x:c>
      <x:c r="L1718" s="15" t="n">
        <x:v>4</x:v>
      </x:c>
      <x:c r="M1718" s="13" t="n">
        <x:f>J1718+(K1718+L1718)/1440</x:f>
        <x:v>46307.30069444444</x:v>
      </x:c>
      <x:c r="N1718" s="13" t="n">
        <x:f>VLOOKUP(C1718,'MES orders'!$A$8:$H$127,5,FALSE)</x:f>
        <x:v>46307.666666666664</x:v>
      </x:c>
      <x:c r="O1718" s="16" t="n">
        <x:f>MAX(0,(M1718-N1718)*24)</x:f>
        <x:v>0</x:v>
      </x:c>
      <x:c r="P1718" s="9" t="str">
        <x:v>No</x:v>
      </x:c>
      <x:c r="Q1718" s="15" t="n">
        <x:v>10</x:v>
      </x:c>
      <x:c r="R1718" s="13" t="n">
        <x:f>J1718+Q1718/1440</x:f>
        <x:v>46307.30069444444</x:v>
      </x:c>
      <x:c r="S1718" s="2" t="str">
        <x:f>VLOOKUP(C1718,'MES orders'!$A$8:$H$127,6,FALSE)</x:f>
        <x:v>Normal</x:v>
      </x:c>
      <x:c r="T1718" s="9" t="str"/>
    </x:row>
    <x:row r="1719" ht="22" customHeight="1">
      <x:c r="A1719" s="2" t="str">
        <x:v>L00219-020</x:v>
      </x:c>
      <x:c r="B1719" s="2" t="str">
        <x:v>L00219</x:v>
      </x:c>
      <x:c r="C1719" s="2" t="str">
        <x:v>SO-26044</x:v>
      </x:c>
      <x:c r="D1719" s="2" t="str">
        <x:v>S-C-SS</x:v>
      </x:c>
      <x:c r="E1719" s="14" t="n">
        <x:v>5</x:v>
      </x:c>
      <x:c r="F1719" s="2" t="str">
        <x:v>Deburr &amp; inspect</x:v>
      </x:c>
      <x:c r="G1719" s="9" t="str">
        <x:v>DB-01</x:v>
      </x:c>
      <x:c r="H1719" s="15" t="n">
        <x:v>163</x:v>
      </x:c>
      <x:c r="I1719" s="9" t="str">
        <x:v>P06</x:v>
      </x:c>
      <x:c r="J1719" s="11" t="n">
        <x:v>46307.29375</x:v>
      </x:c>
      <x:c r="K1719" s="15" t="n">
        <x:v>4</x:v>
      </x:c>
      <x:c r="L1719" s="15" t="n">
        <x:v>3</x:v>
      </x:c>
      <x:c r="M1719" s="13" t="n">
        <x:f>J1719+(K1719+L1719)/1440</x:f>
        <x:v>46307.29861111111</x:v>
      </x:c>
      <x:c r="N1719" s="13" t="n">
        <x:f>VLOOKUP(C1719,'MES orders'!$A$8:$H$127,5,FALSE)</x:f>
        <x:v>46307.666666666664</x:v>
      </x:c>
      <x:c r="O1719" s="16" t="n">
        <x:f>MAX(0,(M1719-N1719)*24)</x:f>
        <x:v>0</x:v>
      </x:c>
      <x:c r="P1719" s="9" t="str">
        <x:v>No</x:v>
      </x:c>
      <x:c r="Q1719" s="15" t="n">
        <x:v>7</x:v>
      </x:c>
      <x:c r="R1719" s="13" t="n">
        <x:f>J1719+Q1719/1440</x:f>
        <x:v>46307.29861111111</x:v>
      </x:c>
      <x:c r="S1719" s="2" t="str">
        <x:f>VLOOKUP(C1719,'MES orders'!$A$8:$H$127,6,FALSE)</x:f>
        <x:v>Normal</x:v>
      </x:c>
      <x:c r="T1719" s="9" t="str"/>
    </x:row>
    <x:row r="1720" ht="22" customHeight="1">
      <x:c r="A1720" s="2" t="str">
        <x:v>L00219-030</x:v>
      </x:c>
      <x:c r="B1720" s="2" t="str">
        <x:v>L00219</x:v>
      </x:c>
      <x:c r="C1720" s="2" t="str">
        <x:v>SO-26044</x:v>
      </x:c>
      <x:c r="D1720" s="2" t="str">
        <x:v>S-C-SS</x:v>
      </x:c>
      <x:c r="E1720" s="14" t="n">
        <x:v>5</x:v>
      </x:c>
      <x:c r="F1720" s="2" t="str">
        <x:v>Wash &amp; dry</x:v>
      </x:c>
      <x:c r="G1720" s="9" t="str">
        <x:v>WS-01</x:v>
      </x:c>
      <x:c r="H1720" s="15" t="n">
        <x:v>160</x:v>
      </x:c>
      <x:c r="I1720" s="9" t="str">
        <x:v>P06</x:v>
      </x:c>
      <x:c r="J1720" s="11" t="n">
        <x:v>46307.29861111111</x:v>
      </x:c>
      <x:c r="K1720" s="15" t="n">
        <x:v>12</x:v>
      </x:c>
      <x:c r="L1720" s="15" t="n">
        <x:v>1</x:v>
      </x:c>
      <x:c r="M1720" s="13" t="n">
        <x:f>J1720+(K1720+L1720)/1440</x:f>
        <x:v>46307.30763888889</x:v>
      </x:c>
      <x:c r="N1720" s="13" t="n">
        <x:f>VLOOKUP(C1720,'MES orders'!$A$8:$H$127,5,FALSE)</x:f>
        <x:v>46307.666666666664</x:v>
      </x:c>
      <x:c r="O1720" s="16" t="n">
        <x:f>MAX(0,(M1720-N1720)*24)</x:f>
        <x:v>0</x:v>
      </x:c>
      <x:c r="P1720" s="9" t="str">
        <x:v>No</x:v>
      </x:c>
      <x:c r="Q1720" s="15" t="n">
        <x:v>13</x:v>
      </x:c>
      <x:c r="R1720" s="13" t="n">
        <x:f>J1720+Q1720/1440</x:f>
        <x:v>46307.30763888889</x:v>
      </x:c>
      <x:c r="S1720" s="2" t="str">
        <x:f>VLOOKUP(C1720,'MES orders'!$A$8:$H$127,6,FALSE)</x:f>
        <x:v>Normal</x:v>
      </x:c>
      <x:c r="T1720" s="9" t="str"/>
    </x:row>
    <x:row r="1721" ht="22" customHeight="1">
      <x:c r="A1721" s="2" t="str">
        <x:v>L00217-060</x:v>
      </x:c>
      <x:c r="B1721" s="2" t="str">
        <x:v>L00217</x:v>
      </x:c>
      <x:c r="C1721" s="2" t="str">
        <x:v>SO-26044</x:v>
      </x:c>
      <x:c r="D1721" s="2" t="str">
        <x:v>S-C-SS</x:v>
      </x:c>
      <x:c r="E1721" s="14" t="n">
        <x:v>5</x:v>
      </x:c>
      <x:c r="F1721" s="2" t="str">
        <x:v>Sensor calibration</x:v>
      </x:c>
      <x:c r="G1721" s="9" t="str">
        <x:v>CAL-01</x:v>
      </x:c>
      <x:c r="H1721" s="15" t="n">
        <x:v>85</x:v>
      </x:c>
      <x:c r="I1721" s="9" t="str">
        <x:v>P09</x:v>
      </x:c>
      <x:c r="J1721" s="11" t="n">
        <x:v>46307.30069444444</x:v>
      </x:c>
      <x:c r="K1721" s="15" t="n">
        <x:v>10</x:v>
      </x:c>
      <x:c r="L1721" s="15" t="n">
        <x:v>5</x:v>
      </x:c>
      <x:c r="M1721" s="13" t="n">
        <x:f>J1721+(K1721+L1721)/1440</x:f>
        <x:v>46307.31111111111</x:v>
      </x:c>
      <x:c r="N1721" s="13" t="n">
        <x:f>VLOOKUP(C1721,'MES orders'!$A$8:$H$127,5,FALSE)</x:f>
        <x:v>46307.666666666664</x:v>
      </x:c>
      <x:c r="O1721" s="16" t="n">
        <x:f>MAX(0,(M1721-N1721)*24)</x:f>
        <x:v>0</x:v>
      </x:c>
      <x:c r="P1721" s="9" t="str">
        <x:v>No</x:v>
      </x:c>
      <x:c r="Q1721" s="15" t="n">
        <x:v>15</x:v>
      </x:c>
      <x:c r="R1721" s="13" t="n">
        <x:f>J1721+Q1721/1440</x:f>
        <x:v>46307.31111111111</x:v>
      </x:c>
      <x:c r="S1721" s="2" t="str">
        <x:f>VLOOKUP(C1721,'MES orders'!$A$8:$H$127,6,FALSE)</x:f>
        <x:v>Normal</x:v>
      </x:c>
      <x:c r="T1721" s="9" t="str"/>
    </x:row>
    <x:row r="1722" ht="22" customHeight="1">
      <x:c r="A1722" s="2" t="str">
        <x:v>L00220-020</x:v>
      </x:c>
      <x:c r="B1722" s="2" t="str">
        <x:v>L00220</x:v>
      </x:c>
      <x:c r="C1722" s="2" t="str">
        <x:v>SO-26044</x:v>
      </x:c>
      <x:c r="D1722" s="2" t="str">
        <x:v>S-C-SS</x:v>
      </x:c>
      <x:c r="E1722" s="14" t="n">
        <x:v>5</x:v>
      </x:c>
      <x:c r="F1722" s="2" t="str">
        <x:v>Deburr &amp; inspect</x:v>
      </x:c>
      <x:c r="G1722" s="9" t="str">
        <x:v>DB-01</x:v>
      </x:c>
      <x:c r="H1722" s="15" t="n">
        <x:v>164</x:v>
      </x:c>
      <x:c r="I1722" s="9" t="str">
        <x:v>P04</x:v>
      </x:c>
      <x:c r="J1722" s="11" t="n">
        <x:v>46307.30069444444</x:v>
      </x:c>
      <x:c r="K1722" s="15" t="n">
        <x:v>4</x:v>
      </x:c>
      <x:c r="L1722" s="15" t="n">
        <x:v>3</x:v>
      </x:c>
      <x:c r="M1722" s="13" t="n">
        <x:f>J1722+(K1722+L1722)/1440</x:f>
        <x:v>46307.305555555555</x:v>
      </x:c>
      <x:c r="N1722" s="13" t="n">
        <x:f>VLOOKUP(C1722,'MES orders'!$A$8:$H$127,5,FALSE)</x:f>
        <x:v>46307.666666666664</x:v>
      </x:c>
      <x:c r="O1722" s="16" t="n">
        <x:f>MAX(0,(M1722-N1722)*24)</x:f>
        <x:v>0</x:v>
      </x:c>
      <x:c r="P1722" s="9" t="str">
        <x:v>No</x:v>
      </x:c>
      <x:c r="Q1722" s="15" t="n">
        <x:v>7</x:v>
      </x:c>
      <x:c r="R1722" s="13" t="n">
        <x:f>J1722+Q1722/1440</x:f>
        <x:v>46307.305555555555</x:v>
      </x:c>
      <x:c r="S1722" s="2" t="str">
        <x:f>VLOOKUP(C1722,'MES orders'!$A$8:$H$127,6,FALSE)</x:f>
        <x:v>Normal</x:v>
      </x:c>
      <x:c r="T1722" s="9" t="str"/>
    </x:row>
    <x:row r="1723" ht="22" customHeight="1">
      <x:c r="A1723" s="2" t="str">
        <x:v>L00218-050</x:v>
      </x:c>
      <x:c r="B1723" s="2" t="str">
        <x:v>L00218</x:v>
      </x:c>
      <x:c r="C1723" s="2" t="str">
        <x:v>SO-26044</x:v>
      </x:c>
      <x:c r="D1723" s="2" t="str">
        <x:v>S-C-SS</x:v>
      </x:c>
      <x:c r="E1723" s="14" t="n">
        <x:v>5</x:v>
      </x:c>
      <x:c r="F1723" s="2" t="str">
        <x:v>Sensor installation</x:v>
      </x:c>
      <x:c r="G1723" s="9" t="str">
        <x:v>EL-01</x:v>
      </x:c>
      <x:c r="H1723" s="15" t="n">
        <x:v>57</x:v>
      </x:c>
      <x:c r="I1723" s="9" t="str">
        <x:v>P07</x:v>
      </x:c>
      <x:c r="J1723" s="11" t="n">
        <x:v>46307.30069444444</x:v>
      </x:c>
      <x:c r="K1723" s="15" t="n">
        <x:v>8</x:v>
      </x:c>
      <x:c r="L1723" s="15" t="n">
        <x:v>5</x:v>
      </x:c>
      <x:c r="M1723" s="13" t="n">
        <x:f>J1723+(K1723+L1723)/1440</x:f>
        <x:v>46307.30972222222</x:v>
      </x:c>
      <x:c r="N1723" s="13" t="n">
        <x:f>VLOOKUP(C1723,'MES orders'!$A$8:$H$127,5,FALSE)</x:f>
        <x:v>46307.666666666664</x:v>
      </x:c>
      <x:c r="O1723" s="16" t="n">
        <x:f>MAX(0,(M1723-N1723)*24)</x:f>
        <x:v>0</x:v>
      </x:c>
      <x:c r="P1723" s="9" t="str">
        <x:v>No</x:v>
      </x:c>
      <x:c r="Q1723" s="15" t="n">
        <x:v>13</x:v>
      </x:c>
      <x:c r="R1723" s="13" t="n">
        <x:f>J1723+Q1723/1440</x:f>
        <x:v>46307.30972222222</x:v>
      </x:c>
      <x:c r="S1723" s="2" t="str">
        <x:f>VLOOKUP(C1723,'MES orders'!$A$8:$H$127,6,FALSE)</x:f>
        <x:v>Normal</x:v>
      </x:c>
      <x:c r="T1723" s="9" t="str"/>
    </x:row>
    <x:row r="1724" ht="22" customHeight="1">
      <x:c r="A1724" s="2" t="str">
        <x:v>L00219-040</x:v>
      </x:c>
      <x:c r="B1724" s="2" t="str">
        <x:v>L00219</x:v>
      </x:c>
      <x:c r="C1724" s="2" t="str">
        <x:v>SO-26044</x:v>
      </x:c>
      <x:c r="D1724" s="2" t="str">
        <x:v>S-C-SS</x:v>
      </x:c>
      <x:c r="E1724" s="14" t="n">
        <x:v>5</x:v>
      </x:c>
      <x:c r="F1724" s="2" t="str">
        <x:v>Mechanical preassembly</x:v>
      </x:c>
      <x:c r="G1724" s="9" t="str">
        <x:v>AS-03</x:v>
      </x:c>
      <x:c r="H1724" s="15" t="n">
        <x:v>91</x:v>
      </x:c>
      <x:c r="I1724" s="9" t="str">
        <x:v>P04</x:v>
      </x:c>
      <x:c r="J1724" s="11" t="n">
        <x:v>46307.30763888889</x:v>
      </x:c>
      <x:c r="K1724" s="15" t="n">
        <x:v>6</x:v>
      </x:c>
      <x:c r="L1724" s="15" t="n">
        <x:v>4</x:v>
      </x:c>
      <x:c r="M1724" s="13" t="n">
        <x:f>J1724+(K1724+L1724)/1440</x:f>
        <x:v>46307.31458333333</x:v>
      </x:c>
      <x:c r="N1724" s="13" t="n">
        <x:f>VLOOKUP(C1724,'MES orders'!$A$8:$H$127,5,FALSE)</x:f>
        <x:v>46307.666666666664</x:v>
      </x:c>
      <x:c r="O1724" s="16" t="n">
        <x:f>MAX(0,(M1724-N1724)*24)</x:f>
        <x:v>0</x:v>
      </x:c>
      <x:c r="P1724" s="9" t="str">
        <x:v>No</x:v>
      </x:c>
      <x:c r="Q1724" s="15" t="n">
        <x:v>10</x:v>
      </x:c>
      <x:c r="R1724" s="13" t="n">
        <x:f>J1724+Q1724/1440</x:f>
        <x:v>46307.31458333333</x:v>
      </x:c>
      <x:c r="S1724" s="2" t="str">
        <x:f>VLOOKUP(C1724,'MES orders'!$A$8:$H$127,6,FALSE)</x:f>
        <x:v>Normal</x:v>
      </x:c>
      <x:c r="T1724" s="9" t="str"/>
    </x:row>
    <x:row r="1725" ht="22" customHeight="1">
      <x:c r="A1725" s="2" t="str">
        <x:v>L00061-010</x:v>
      </x:c>
      <x:c r="B1725" s="2" t="str">
        <x:v>L00061</x:v>
      </x:c>
      <x:c r="C1725" s="2" t="str">
        <x:v>SO-26013</x:v>
      </x:c>
      <x:c r="D1725" s="2" t="str">
        <x:v>S-C-AL</x:v>
      </x:c>
      <x:c r="E1725" s="14" t="n">
        <x:v>5</x:v>
      </x:c>
      <x:c r="F1725" s="2" t="str">
        <x:v>CNC machining</x:v>
      </x:c>
      <x:c r="G1725" s="9" t="str">
        <x:v>CNC-01</x:v>
      </x:c>
      <x:c r="H1725" s="15" t="n">
        <x:v>53</x:v>
      </x:c>
      <x:c r="I1725" s="9" t="str">
        <x:v>P01</x:v>
      </x:c>
      <x:c r="J1725" s="11" t="n">
        <x:v>46307.30902777778</x:v>
      </x:c>
      <x:c r="K1725" s="15" t="n">
        <x:v>18</x:v>
      </x:c>
      <x:c r="L1725" s="15" t="n">
        <x:v>10</x:v>
      </x:c>
      <x:c r="M1725" s="13" t="n">
        <x:f>J1725+(K1725+L1725)/1440</x:f>
        <x:v>46307.32847222222</x:v>
      </x:c>
      <x:c r="N1725" s="13" t="n">
        <x:f>VLOOKUP(C1725,'MES orders'!$A$8:$H$127,5,FALSE)</x:f>
        <x:v>46308.666666666664</x:v>
      </x:c>
      <x:c r="O1725" s="16" t="n">
        <x:f>MAX(0,(M1725-N1725)*24)</x:f>
        <x:v>0</x:v>
      </x:c>
      <x:c r="P1725" s="9" t="str">
        <x:v>No</x:v>
      </x:c>
      <x:c r="Q1725" s="15" t="n">
        <x:v>18</x:v>
      </x:c>
      <x:c r="R1725" s="13" t="n">
        <x:f>J1725+Q1725/1440</x:f>
        <x:v>46307.32152777778</x:v>
      </x:c>
      <x:c r="S1725" s="2" t="str">
        <x:f>VLOOKUP(C1725,'MES orders'!$A$8:$H$127,6,FALSE)</x:f>
        <x:v>Normal</x:v>
      </x:c>
      <x:c r="T1725" s="9" t="str"/>
    </x:row>
    <x:row r="1726" ht="22" customHeight="1">
      <x:c r="A1726" s="2" t="str">
        <x:v>L00217-070</x:v>
      </x:c>
      <x:c r="B1726" s="2" t="str">
        <x:v>L00217</x:v>
      </x:c>
      <x:c r="C1726" s="2" t="str">
        <x:v>SO-26044</x:v>
      </x:c>
      <x:c r="D1726" s="2" t="str">
        <x:v>S-C-SS</x:v>
      </x:c>
      <x:c r="E1726" s="14" t="n">
        <x:v>5</x:v>
      </x:c>
      <x:c r="F1726" s="2" t="str">
        <x:v>Final assembly</x:v>
      </x:c>
      <x:c r="G1726" s="9" t="str">
        <x:v>AS-02</x:v>
      </x:c>
      <x:c r="H1726" s="15" t="n">
        <x:v>113</x:v>
      </x:c>
      <x:c r="I1726" s="9" t="str">
        <x:v>P06</x:v>
      </x:c>
      <x:c r="J1726" s="11" t="n">
        <x:v>46307.311111111114</x:v>
      </x:c>
      <x:c r="K1726" s="15" t="n">
        <x:v>5</x:v>
      </x:c>
      <x:c r="L1726" s="15" t="n">
        <x:v>3</x:v>
      </x:c>
      <x:c r="M1726" s="13" t="n">
        <x:f>J1726+(K1726+L1726)/1440</x:f>
        <x:v>46307.31666666667</x:v>
      </x:c>
      <x:c r="N1726" s="13" t="n">
        <x:f>VLOOKUP(C1726,'MES orders'!$A$8:$H$127,5,FALSE)</x:f>
        <x:v>46307.666666666664</x:v>
      </x:c>
      <x:c r="O1726" s="16" t="n">
        <x:f>MAX(0,(M1726-N1726)*24)</x:f>
        <x:v>0</x:v>
      </x:c>
      <x:c r="P1726" s="9" t="str">
        <x:v>No</x:v>
      </x:c>
      <x:c r="Q1726" s="15" t="n">
        <x:v>8</x:v>
      </x:c>
      <x:c r="R1726" s="13" t="n">
        <x:f>J1726+Q1726/1440</x:f>
        <x:v>46307.31666666667</x:v>
      </x:c>
      <x:c r="S1726" s="2" t="str">
        <x:f>VLOOKUP(C1726,'MES orders'!$A$8:$H$127,6,FALSE)</x:f>
        <x:v>Normal</x:v>
      </x:c>
      <x:c r="T1726" s="9" t="str"/>
    </x:row>
    <x:row r="1727" ht="22" customHeight="1">
      <x:c r="A1727" s="2" t="str">
        <x:v>L00218-060</x:v>
      </x:c>
      <x:c r="B1727" s="2" t="str">
        <x:v>L00218</x:v>
      </x:c>
      <x:c r="C1727" s="2" t="str">
        <x:v>SO-26044</x:v>
      </x:c>
      <x:c r="D1727" s="2" t="str">
        <x:v>S-C-SS</x:v>
      </x:c>
      <x:c r="E1727" s="14" t="n">
        <x:v>5</x:v>
      </x:c>
      <x:c r="F1727" s="2" t="str">
        <x:v>Sensor calibration</x:v>
      </x:c>
      <x:c r="G1727" s="9" t="str">
        <x:v>CAL-01</x:v>
      </x:c>
      <x:c r="H1727" s="15" t="n">
        <x:v>86</x:v>
      </x:c>
      <x:c r="I1727" s="9" t="str">
        <x:v>P09</x:v>
      </x:c>
      <x:c r="J1727" s="11" t="n">
        <x:v>46307.311111111114</x:v>
      </x:c>
      <x:c r="K1727" s="15" t="n">
        <x:v>10</x:v>
      </x:c>
      <x:c r="L1727" s="15" t="n">
        <x:v>5</x:v>
      </x:c>
      <x:c r="M1727" s="13" t="n">
        <x:f>J1727+(K1727+L1727)/1440</x:f>
        <x:v>46307.32152777778</x:v>
      </x:c>
      <x:c r="N1727" s="13" t="n">
        <x:f>VLOOKUP(C1727,'MES orders'!$A$8:$H$127,5,FALSE)</x:f>
        <x:v>46307.666666666664</x:v>
      </x:c>
      <x:c r="O1727" s="16" t="n">
        <x:f>MAX(0,(M1727-N1727)*24)</x:f>
        <x:v>0</x:v>
      </x:c>
      <x:c r="P1727" s="9" t="str">
        <x:v>No</x:v>
      </x:c>
      <x:c r="Q1727" s="15" t="n">
        <x:v>15</x:v>
      </x:c>
      <x:c r="R1727" s="13" t="n">
        <x:f>J1727+Q1727/1440</x:f>
        <x:v>46307.32152777778</x:v>
      </x:c>
      <x:c r="S1727" s="2" t="str">
        <x:f>VLOOKUP(C1727,'MES orders'!$A$8:$H$127,6,FALSE)</x:f>
        <x:v>Normal</x:v>
      </x:c>
      <x:c r="T1727" s="9" t="str"/>
    </x:row>
    <x:row r="1728" ht="22" customHeight="1">
      <x:c r="A1728" s="2" t="str">
        <x:v>L00423-070</x:v>
      </x:c>
      <x:c r="B1728" s="2" t="str">
        <x:v>L00423</x:v>
      </x:c>
      <x:c r="C1728" s="2" t="str">
        <x:v>SO-26085</x:v>
      </x:c>
      <x:c r="D1728" s="2" t="str">
        <x:v>S-C-AL</x:v>
      </x:c>
      <x:c r="E1728" s="14" t="n">
        <x:v>10</x:v>
      </x:c>
      <x:c r="F1728" s="2" t="str">
        <x:v>Final assembly</x:v>
      </x:c>
      <x:c r="G1728" s="9" t="str">
        <x:v>AS-01</x:v>
      </x:c>
      <x:c r="H1728" s="15" t="n">
        <x:v>138</x:v>
      </x:c>
      <x:c r="I1728" s="9" t="str">
        <x:v>P05</x:v>
      </x:c>
      <x:c r="J1728" s="11" t="n">
        <x:v>46307.31319444445</x:v>
      </x:c>
      <x:c r="K1728" s="15" t="n">
        <x:v>5</x:v>
      </x:c>
      <x:c r="L1728" s="15" t="n">
        <x:v>6</x:v>
      </x:c>
      <x:c r="M1728" s="13" t="n">
        <x:f>J1728+(K1728+L1728)/1440</x:f>
        <x:v>46307.32083333334</x:v>
      </x:c>
      <x:c r="N1728" s="13" t="n">
        <x:f>VLOOKUP(C1728,'MES orders'!$A$8:$H$127,5,FALSE)</x:f>
        <x:v>46308.666666666664</x:v>
      </x:c>
      <x:c r="O1728" s="16" t="n">
        <x:f>MAX(0,(M1728-N1728)*24)</x:f>
        <x:v>0</x:v>
      </x:c>
      <x:c r="P1728" s="9" t="str">
        <x:v>No</x:v>
      </x:c>
      <x:c r="Q1728" s="15" t="n">
        <x:v>11</x:v>
      </x:c>
      <x:c r="R1728" s="13" t="n">
        <x:f>J1728+Q1728/1440</x:f>
        <x:v>46307.32083333334</x:v>
      </x:c>
      <x:c r="S1728" s="2" t="str">
        <x:f>VLOOKUP(C1728,'MES orders'!$A$8:$H$127,6,FALSE)</x:f>
        <x:v>High</x:v>
      </x:c>
      <x:c r="T1728" s="9" t="str"/>
    </x:row>
    <x:row r="1729" ht="22" customHeight="1">
      <x:c r="A1729" s="2" t="str">
        <x:v>L00062-010</x:v>
      </x:c>
      <x:c r="B1729" s="2" t="str">
        <x:v>L00062</x:v>
      </x:c>
      <x:c r="C1729" s="2" t="str">
        <x:v>SO-26013</x:v>
      </x:c>
      <x:c r="D1729" s="2" t="str">
        <x:v>S-C-AL</x:v>
      </x:c>
      <x:c r="E1729" s="14" t="n">
        <x:v>5</x:v>
      </x:c>
      <x:c r="F1729" s="2" t="str">
        <x:v>CNC machining</x:v>
      </x:c>
      <x:c r="G1729" s="9" t="str">
        <x:v>CNC-02</x:v>
      </x:c>
      <x:c r="H1729" s="15" t="n">
        <x:v>36</x:v>
      </x:c>
      <x:c r="I1729" s="9" t="str">
        <x:v>P02</x:v>
      </x:c>
      <x:c r="J1729" s="11" t="n">
        <x:v>46307.31319444445</x:v>
      </x:c>
      <x:c r="K1729" s="15" t="n">
        <x:v>18</x:v>
      </x:c>
      <x:c r="L1729" s="15" t="n">
        <x:v>10</x:v>
      </x:c>
      <x:c r="M1729" s="13" t="n">
        <x:f>J1729+(K1729+L1729)/1440</x:f>
        <x:v>46307.33263888889</x:v>
      </x:c>
      <x:c r="N1729" s="13" t="n">
        <x:f>VLOOKUP(C1729,'MES orders'!$A$8:$H$127,5,FALSE)</x:f>
        <x:v>46308.666666666664</x:v>
      </x:c>
      <x:c r="O1729" s="16" t="n">
        <x:f>MAX(0,(M1729-N1729)*24)</x:f>
        <x:v>0</x:v>
      </x:c>
      <x:c r="P1729" s="9" t="str">
        <x:v>No</x:v>
      </x:c>
      <x:c r="Q1729" s="15" t="n">
        <x:v>18</x:v>
      </x:c>
      <x:c r="R1729" s="13" t="n">
        <x:f>J1729+Q1729/1440</x:f>
        <x:v>46307.325694444444</x:v>
      </x:c>
      <x:c r="S1729" s="2" t="str">
        <x:f>VLOOKUP(C1729,'MES orders'!$A$8:$H$127,6,FALSE)</x:f>
        <x:v>Normal</x:v>
      </x:c>
      <x:c r="T1729" s="9" t="str"/>
    </x:row>
    <x:row r="1730" ht="22" customHeight="1">
      <x:c r="A1730" s="2" t="str">
        <x:v>L00099-060</x:v>
      </x:c>
      <x:c r="B1730" s="2" t="str">
        <x:v>L00099</x:v>
      </x:c>
      <x:c r="C1730" s="2" t="str">
        <x:v>SO-26020</x:v>
      </x:c>
      <x:c r="D1730" s="2" t="str">
        <x:v>R-C-SS</x:v>
      </x:c>
      <x:c r="E1730" s="14" t="n">
        <x:v>25</x:v>
      </x:c>
      <x:c r="F1730" s="2" t="str">
        <x:v>Final leak / function test</x:v>
      </x:c>
      <x:c r="G1730" s="9" t="str">
        <x:v>QA-02</x:v>
      </x:c>
      <x:c r="H1730" s="15" t="n">
        <x:v>125</x:v>
      </x:c>
      <x:c r="I1730" s="9" t="str">
        <x:v>P11</x:v>
      </x:c>
      <x:c r="J1730" s="11" t="n">
        <x:v>46307.31319444445</x:v>
      </x:c>
      <x:c r="K1730" s="15" t="n">
        <x:v>10</x:v>
      </x:c>
      <x:c r="L1730" s="15" t="n">
        <x:v>18</x:v>
      </x:c>
      <x:c r="M1730" s="13" t="n">
        <x:f>J1730+(K1730+L1730)/1440</x:f>
        <x:v>46307.33263888889</x:v>
      </x:c>
      <x:c r="N1730" s="13" t="n">
        <x:f>VLOOKUP(C1730,'MES orders'!$A$8:$H$127,5,FALSE)</x:f>
        <x:v>46307.666666666664</x:v>
      </x:c>
      <x:c r="O1730" s="16" t="n">
        <x:f>MAX(0,(M1730-N1730)*24)</x:f>
        <x:v>0</x:v>
      </x:c>
      <x:c r="P1730" s="9" t="str">
        <x:v>No</x:v>
      </x:c>
      <x:c r="Q1730" s="15" t="n">
        <x:v>28</x:v>
      </x:c>
      <x:c r="R1730" s="13" t="n">
        <x:f>J1730+Q1730/1440</x:f>
        <x:v>46307.33263888889</x:v>
      </x:c>
      <x:c r="S1730" s="2" t="str">
        <x:f>VLOOKUP(C1730,'MES orders'!$A$8:$H$127,6,FALSE)</x:f>
        <x:v>Normal</x:v>
      </x:c>
      <x:c r="T1730" s="9" t="str"/>
    </x:row>
    <x:row r="1731" ht="22" customHeight="1">
      <x:c r="A1731" s="2" t="str">
        <x:v>L00219-050</x:v>
      </x:c>
      <x:c r="B1731" s="2" t="str">
        <x:v>L00219</x:v>
      </x:c>
      <x:c r="C1731" s="2" t="str">
        <x:v>SO-26044</x:v>
      </x:c>
      <x:c r="D1731" s="2" t="str">
        <x:v>S-C-SS</x:v>
      </x:c>
      <x:c r="E1731" s="14" t="n">
        <x:v>5</x:v>
      </x:c>
      <x:c r="F1731" s="2" t="str">
        <x:v>Sensor installation</x:v>
      </x:c>
      <x:c r="G1731" s="9" t="str">
        <x:v>EL-01</x:v>
      </x:c>
      <x:c r="H1731" s="15" t="n">
        <x:v>58</x:v>
      </x:c>
      <x:c r="I1731" s="9" t="str">
        <x:v>P07</x:v>
      </x:c>
      <x:c r="J1731" s="11" t="n">
        <x:v>46307.31458333333</x:v>
      </x:c>
      <x:c r="K1731" s="15" t="n">
        <x:v>8</x:v>
      </x:c>
      <x:c r="L1731" s="15" t="n">
        <x:v>5</x:v>
      </x:c>
      <x:c r="M1731" s="13" t="n">
        <x:f>J1731+(K1731+L1731)/1440</x:f>
        <x:v>46307.32361111111</x:v>
      </x:c>
      <x:c r="N1731" s="13" t="n">
        <x:f>VLOOKUP(C1731,'MES orders'!$A$8:$H$127,5,FALSE)</x:f>
        <x:v>46307.666666666664</x:v>
      </x:c>
      <x:c r="O1731" s="16" t="n">
        <x:f>MAX(0,(M1731-N1731)*24)</x:f>
        <x:v>0</x:v>
      </x:c>
      <x:c r="P1731" s="9" t="str">
        <x:v>No</x:v>
      </x:c>
      <x:c r="Q1731" s="15" t="n">
        <x:v>13</x:v>
      </x:c>
      <x:c r="R1731" s="13" t="n">
        <x:f>J1731+Q1731/1440</x:f>
        <x:v>46307.32361111111</x:v>
      </x:c>
      <x:c r="S1731" s="2" t="str">
        <x:f>VLOOKUP(C1731,'MES orders'!$A$8:$H$127,6,FALSE)</x:f>
        <x:v>Normal</x:v>
      </x:c>
      <x:c r="T1731" s="9" t="str"/>
    </x:row>
    <x:row r="1732" ht="22" customHeight="1">
      <x:c r="A1732" s="2" t="str">
        <x:v>L00220-030</x:v>
      </x:c>
      <x:c r="B1732" s="2" t="str">
        <x:v>L00220</x:v>
      </x:c>
      <x:c r="C1732" s="2" t="str">
        <x:v>SO-26044</x:v>
      </x:c>
      <x:c r="D1732" s="2" t="str">
        <x:v>S-C-SS</x:v>
      </x:c>
      <x:c r="E1732" s="14" t="n">
        <x:v>5</x:v>
      </x:c>
      <x:c r="F1732" s="2" t="str">
        <x:v>Wash &amp; dry</x:v>
      </x:c>
      <x:c r="G1732" s="9" t="str">
        <x:v>WS-01</x:v>
      </x:c>
      <x:c r="H1732" s="15" t="n">
        <x:v>161</x:v>
      </x:c>
      <x:c r="I1732" s="9" t="str">
        <x:v>P04</x:v>
      </x:c>
      <x:c r="J1732" s="11" t="n">
        <x:v>46307.31458333333</x:v>
      </x:c>
      <x:c r="K1732" s="15" t="n">
        <x:v>12</x:v>
      </x:c>
      <x:c r="L1732" s="15" t="n">
        <x:v>1</x:v>
      </x:c>
      <x:c r="M1732" s="13" t="n">
        <x:f>J1732+(K1732+L1732)/1440</x:f>
        <x:v>46307.32361111111</x:v>
      </x:c>
      <x:c r="N1732" s="13" t="n">
        <x:f>VLOOKUP(C1732,'MES orders'!$A$8:$H$127,5,FALSE)</x:f>
        <x:v>46307.666666666664</x:v>
      </x:c>
      <x:c r="O1732" s="16" t="n">
        <x:f>MAX(0,(M1732-N1732)*24)</x:f>
        <x:v>0</x:v>
      </x:c>
      <x:c r="P1732" s="9" t="str">
        <x:v>No</x:v>
      </x:c>
      <x:c r="Q1732" s="15" t="n">
        <x:v>13</x:v>
      </x:c>
      <x:c r="R1732" s="13" t="n">
        <x:f>J1732+Q1732/1440</x:f>
        <x:v>46307.32361111111</x:v>
      </x:c>
      <x:c r="S1732" s="2" t="str">
        <x:f>VLOOKUP(C1732,'MES orders'!$A$8:$H$127,6,FALSE)</x:f>
        <x:v>Normal</x:v>
      </x:c>
      <x:c r="T1732" s="9" t="str"/>
    </x:row>
    <x:row r="1733" ht="22" customHeight="1">
      <x:c r="A1733" s="2" t="str">
        <x:v>L00424-020</x:v>
      </x:c>
      <x:c r="B1733" s="2" t="str">
        <x:v>L00424</x:v>
      </x:c>
      <x:c r="C1733" s="2" t="str">
        <x:v>SO-26085</x:v>
      </x:c>
      <x:c r="D1733" s="2" t="str">
        <x:v>S-C-AL</x:v>
      </x:c>
      <x:c r="E1733" s="14" t="n">
        <x:v>10</x:v>
      </x:c>
      <x:c r="F1733" s="2" t="str">
        <x:v>Deburr &amp; inspect</x:v>
      </x:c>
      <x:c r="G1733" s="9" t="str">
        <x:v>DB-01</x:v>
      </x:c>
      <x:c r="H1733" s="15" t="n">
        <x:v>165</x:v>
      </x:c>
      <x:c r="I1733" s="9" t="str">
        <x:v>P06</x:v>
      </x:c>
      <x:c r="J1733" s="11" t="n">
        <x:v>46307.316666666666</x:v>
      </x:c>
      <x:c r="K1733" s="15" t="n">
        <x:v>4</x:v>
      </x:c>
      <x:c r="L1733" s="15" t="n">
        <x:v>6</x:v>
      </x:c>
      <x:c r="M1733" s="13" t="n">
        <x:f>J1733+(K1733+L1733)/1440</x:f>
        <x:v>46307.32361111111</x:v>
      </x:c>
      <x:c r="N1733" s="13" t="n">
        <x:f>VLOOKUP(C1733,'MES orders'!$A$8:$H$127,5,FALSE)</x:f>
        <x:v>46308.666666666664</x:v>
      </x:c>
      <x:c r="O1733" s="16" t="n">
        <x:f>MAX(0,(M1733-N1733)*24)</x:f>
        <x:v>0</x:v>
      </x:c>
      <x:c r="P1733" s="9" t="str">
        <x:v>No</x:v>
      </x:c>
      <x:c r="Q1733" s="15" t="n">
        <x:v>10</x:v>
      </x:c>
      <x:c r="R1733" s="13" t="n">
        <x:f>J1733+Q1733/1440</x:f>
        <x:v>46307.32361111111</x:v>
      </x:c>
      <x:c r="S1733" s="2" t="str">
        <x:f>VLOOKUP(C1733,'MES orders'!$A$8:$H$127,6,FALSE)</x:f>
        <x:v>High</x:v>
      </x:c>
      <x:c r="T1733" s="9" t="str"/>
    </x:row>
    <x:row r="1734" ht="22" customHeight="1">
      <x:c r="A1734" s="2" t="str">
        <x:v>L00217-080</x:v>
      </x:c>
      <x:c r="B1734" s="2" t="str">
        <x:v>L00217</x:v>
      </x:c>
      <x:c r="C1734" s="2" t="str">
        <x:v>SO-26044</x:v>
      </x:c>
      <x:c r="D1734" s="2" t="str">
        <x:v>S-C-SS</x:v>
      </x:c>
      <x:c r="E1734" s="14" t="n">
        <x:v>5</x:v>
      </x:c>
      <x:c r="F1734" s="2" t="str">
        <x:v>Final leak / function test</x:v>
      </x:c>
      <x:c r="G1734" s="9" t="str">
        <x:v>QA-03</x:v>
      </x:c>
      <x:c r="H1734" s="15" t="n">
        <x:v>78</x:v>
      </x:c>
      <x:c r="I1734" s="9" t="str">
        <x:v>P12</x:v>
      </x:c>
      <x:c r="J1734" s="11" t="n">
        <x:v>46307.316666666666</x:v>
      </x:c>
      <x:c r="K1734" s="15" t="n">
        <x:v>10</x:v>
      </x:c>
      <x:c r="L1734" s="15" t="n">
        <x:v>4</x:v>
      </x:c>
      <x:c r="M1734" s="13" t="n">
        <x:f>J1734+(K1734+L1734)/1440</x:f>
        <x:v>46307.32638888889</x:v>
      </x:c>
      <x:c r="N1734" s="13" t="n">
        <x:f>VLOOKUP(C1734,'MES orders'!$A$8:$H$127,5,FALSE)</x:f>
        <x:v>46307.666666666664</x:v>
      </x:c>
      <x:c r="O1734" s="16" t="n">
        <x:f>MAX(0,(M1734-N1734)*24)</x:f>
        <x:v>0</x:v>
      </x:c>
      <x:c r="P1734" s="9" t="str">
        <x:v>No</x:v>
      </x:c>
      <x:c r="Q1734" s="15" t="n">
        <x:v>14</x:v>
      </x:c>
      <x:c r="R1734" s="13" t="n">
        <x:f>J1734+Q1734/1440</x:f>
        <x:v>46307.32638888889</x:v>
      </x:c>
      <x:c r="S1734" s="2" t="str">
        <x:f>VLOOKUP(C1734,'MES orders'!$A$8:$H$127,6,FALSE)</x:f>
        <x:v>Normal</x:v>
      </x:c>
      <x:c r="T1734" s="9" t="str"/>
    </x:row>
    <x:row r="1735" ht="22" customHeight="1">
      <x:c r="A1735" s="2" t="str">
        <x:v>L00218-070</x:v>
      </x:c>
      <x:c r="B1735" s="2" t="str">
        <x:v>L00218</x:v>
      </x:c>
      <x:c r="C1735" s="2" t="str">
        <x:v>SO-26044</x:v>
      </x:c>
      <x:c r="D1735" s="2" t="str">
        <x:v>S-C-SS</x:v>
      </x:c>
      <x:c r="E1735" s="14" t="n">
        <x:v>5</x:v>
      </x:c>
      <x:c r="F1735" s="2" t="str">
        <x:v>Final assembly</x:v>
      </x:c>
      <x:c r="G1735" s="9" t="str">
        <x:v>AS-01</x:v>
      </x:c>
      <x:c r="H1735" s="15" t="n">
        <x:v>139</x:v>
      </x:c>
      <x:c r="I1735" s="9" t="str">
        <x:v>P05</x:v>
      </x:c>
      <x:c r="J1735" s="11" t="n">
        <x:v>46307.32152777778</x:v>
      </x:c>
      <x:c r="K1735" s="15" t="n">
        <x:v>5</x:v>
      </x:c>
      <x:c r="L1735" s="15" t="n">
        <x:v>3</x:v>
      </x:c>
      <x:c r="M1735" s="13" t="n">
        <x:f>J1735+(K1735+L1735)/1440</x:f>
        <x:v>46307.32708333334</x:v>
      </x:c>
      <x:c r="N1735" s="13" t="n">
        <x:f>VLOOKUP(C1735,'MES orders'!$A$8:$H$127,5,FALSE)</x:f>
        <x:v>46307.666666666664</x:v>
      </x:c>
      <x:c r="O1735" s="16" t="n">
        <x:f>MAX(0,(M1735-N1735)*24)</x:f>
        <x:v>0</x:v>
      </x:c>
      <x:c r="P1735" s="9" t="str">
        <x:v>No</x:v>
      </x:c>
      <x:c r="Q1735" s="15" t="n">
        <x:v>8</x:v>
      </x:c>
      <x:c r="R1735" s="13" t="n">
        <x:f>J1735+Q1735/1440</x:f>
        <x:v>46307.32708333334</x:v>
      </x:c>
      <x:c r="S1735" s="2" t="str">
        <x:f>VLOOKUP(C1735,'MES orders'!$A$8:$H$127,6,FALSE)</x:f>
        <x:v>Normal</x:v>
      </x:c>
      <x:c r="T1735" s="9" t="str"/>
    </x:row>
    <x:row r="1736" ht="22" customHeight="1">
      <x:c r="A1736" s="2" t="str">
        <x:v>L00220-040</x:v>
      </x:c>
      <x:c r="B1736" s="2" t="str">
        <x:v>L00220</x:v>
      </x:c>
      <x:c r="C1736" s="2" t="str">
        <x:v>SO-26044</x:v>
      </x:c>
      <x:c r="D1736" s="2" t="str">
        <x:v>S-C-SS</x:v>
      </x:c>
      <x:c r="E1736" s="14" t="n">
        <x:v>5</x:v>
      </x:c>
      <x:c r="F1736" s="2" t="str">
        <x:v>Mechanical preassembly</x:v>
      </x:c>
      <x:c r="G1736" s="9" t="str">
        <x:v>AS-02</x:v>
      </x:c>
      <x:c r="H1736" s="15" t="n">
        <x:v>114</x:v>
      </x:c>
      <x:c r="I1736" s="9" t="str">
        <x:v>P04</x:v>
      </x:c>
      <x:c r="J1736" s="11" t="n">
        <x:v>46307.32361111111</x:v>
      </x:c>
      <x:c r="K1736" s="15" t="n">
        <x:v>6</x:v>
      </x:c>
      <x:c r="L1736" s="15" t="n">
        <x:v>4</x:v>
      </x:c>
      <x:c r="M1736" s="13" t="n">
        <x:f>J1736+(K1736+L1736)/1440</x:f>
        <x:v>46307.330555555556</x:v>
      </x:c>
      <x:c r="N1736" s="13" t="n">
        <x:f>VLOOKUP(C1736,'MES orders'!$A$8:$H$127,5,FALSE)</x:f>
        <x:v>46307.666666666664</x:v>
      </x:c>
      <x:c r="O1736" s="16" t="n">
        <x:f>MAX(0,(M1736-N1736)*24)</x:f>
        <x:v>0</x:v>
      </x:c>
      <x:c r="P1736" s="9" t="str">
        <x:v>No</x:v>
      </x:c>
      <x:c r="Q1736" s="15" t="n">
        <x:v>10</x:v>
      </x:c>
      <x:c r="R1736" s="13" t="n">
        <x:f>J1736+Q1736/1440</x:f>
        <x:v>46307.330555555556</x:v>
      </x:c>
      <x:c r="S1736" s="2" t="str">
        <x:f>VLOOKUP(C1736,'MES orders'!$A$8:$H$127,6,FALSE)</x:f>
        <x:v>Normal</x:v>
      </x:c>
      <x:c r="T1736" s="9" t="str"/>
    </x:row>
    <x:row r="1737" ht="22" customHeight="1">
      <x:c r="A1737" s="2" t="str">
        <x:v>L00219-060</x:v>
      </x:c>
      <x:c r="B1737" s="2" t="str">
        <x:v>L00219</x:v>
      </x:c>
      <x:c r="C1737" s="2" t="str">
        <x:v>SO-26044</x:v>
      </x:c>
      <x:c r="D1737" s="2" t="str">
        <x:v>S-C-SS</x:v>
      </x:c>
      <x:c r="E1737" s="14" t="n">
        <x:v>5</x:v>
      </x:c>
      <x:c r="F1737" s="2" t="str">
        <x:v>Sensor calibration</x:v>
      </x:c>
      <x:c r="G1737" s="9" t="str">
        <x:v>CAL-01</x:v>
      </x:c>
      <x:c r="H1737" s="15" t="n">
        <x:v>87</x:v>
      </x:c>
      <x:c r="I1737" s="9" t="str">
        <x:v>P09</x:v>
      </x:c>
      <x:c r="J1737" s="11" t="n">
        <x:v>46307.32361111111</x:v>
      </x:c>
      <x:c r="K1737" s="15" t="n">
        <x:v>10</x:v>
      </x:c>
      <x:c r="L1737" s="15" t="n">
        <x:v>5</x:v>
      </x:c>
      <x:c r="M1737" s="13" t="n">
        <x:f>J1737+(K1737+L1737)/1440</x:f>
        <x:v>46307.334027777775</x:v>
      </x:c>
      <x:c r="N1737" s="13" t="n">
        <x:f>VLOOKUP(C1737,'MES orders'!$A$8:$H$127,5,FALSE)</x:f>
        <x:v>46307.666666666664</x:v>
      </x:c>
      <x:c r="O1737" s="16" t="n">
        <x:f>MAX(0,(M1737-N1737)*24)</x:f>
        <x:v>0</x:v>
      </x:c>
      <x:c r="P1737" s="9" t="str">
        <x:v>No</x:v>
      </x:c>
      <x:c r="Q1737" s="15" t="n">
        <x:v>15</x:v>
      </x:c>
      <x:c r="R1737" s="13" t="n">
        <x:f>J1737+Q1737/1440</x:f>
        <x:v>46307.334027777775</x:v>
      </x:c>
      <x:c r="S1737" s="2" t="str">
        <x:f>VLOOKUP(C1737,'MES orders'!$A$8:$H$127,6,FALSE)</x:f>
        <x:v>Normal</x:v>
      </x:c>
      <x:c r="T1737" s="9" t="str"/>
    </x:row>
    <x:row r="1738" ht="22" customHeight="1">
      <x:c r="A1738" s="2" t="str">
        <x:v>L00424-030</x:v>
      </x:c>
      <x:c r="B1738" s="2" t="str">
        <x:v>L00424</x:v>
      </x:c>
      <x:c r="C1738" s="2" t="str">
        <x:v>SO-26085</x:v>
      </x:c>
      <x:c r="D1738" s="2" t="str">
        <x:v>S-C-AL</x:v>
      </x:c>
      <x:c r="E1738" s="14" t="n">
        <x:v>10</x:v>
      </x:c>
      <x:c r="F1738" s="2" t="str">
        <x:v>Wash &amp; dry</x:v>
      </x:c>
      <x:c r="G1738" s="9" t="str">
        <x:v>WS-01</x:v>
      </x:c>
      <x:c r="H1738" s="15" t="n">
        <x:v>162</x:v>
      </x:c>
      <x:c r="I1738" s="9" t="str">
        <x:v>P06</x:v>
      </x:c>
      <x:c r="J1738" s="11" t="n">
        <x:v>46307.32361111111</x:v>
      </x:c>
      <x:c r="K1738" s="15" t="n">
        <x:v>12</x:v>
      </x:c>
      <x:c r="L1738" s="15" t="n">
        <x:v>3</x:v>
      </x:c>
      <x:c r="M1738" s="13" t="n">
        <x:f>J1738+(K1738+L1738)/1440</x:f>
        <x:v>46307.334027777775</x:v>
      </x:c>
      <x:c r="N1738" s="13" t="n">
        <x:f>VLOOKUP(C1738,'MES orders'!$A$8:$H$127,5,FALSE)</x:f>
        <x:v>46308.666666666664</x:v>
      </x:c>
      <x:c r="O1738" s="16" t="n">
        <x:f>MAX(0,(M1738-N1738)*24)</x:f>
        <x:v>0</x:v>
      </x:c>
      <x:c r="P1738" s="9" t="str">
        <x:v>No</x:v>
      </x:c>
      <x:c r="Q1738" s="15" t="n">
        <x:v>15</x:v>
      </x:c>
      <x:c r="R1738" s="13" t="n">
        <x:f>J1738+Q1738/1440</x:f>
        <x:v>46307.334027777775</x:v>
      </x:c>
      <x:c r="S1738" s="2" t="str">
        <x:f>VLOOKUP(C1738,'MES orders'!$A$8:$H$127,6,FALSE)</x:f>
        <x:v>High</x:v>
      </x:c>
      <x:c r="T1738" s="9" t="str"/>
    </x:row>
    <x:row r="1739" ht="22" customHeight="1">
      <x:c r="A1739" s="2" t="str">
        <x:v>L00425-020</x:v>
      </x:c>
      <x:c r="B1739" s="2" t="str">
        <x:v>L00425</x:v>
      </x:c>
      <x:c r="C1739" s="2" t="str">
        <x:v>SO-26085</x:v>
      </x:c>
      <x:c r="D1739" s="2" t="str">
        <x:v>S-C-AL</x:v>
      </x:c>
      <x:c r="E1739" s="14" t="n">
        <x:v>10</x:v>
      </x:c>
      <x:c r="F1739" s="2" t="str">
        <x:v>Deburr &amp; inspect</x:v>
      </x:c>
      <x:c r="G1739" s="9" t="str">
        <x:v>DB-01</x:v>
      </x:c>
      <x:c r="H1739" s="15" t="n">
        <x:v>166</x:v>
      </x:c>
      <x:c r="I1739" s="9" t="str">
        <x:v>P05</x:v>
      </x:c>
      <x:c r="J1739" s="11" t="n">
        <x:v>46307.32708333333</x:v>
      </x:c>
      <x:c r="K1739" s="15" t="n">
        <x:v>4</x:v>
      </x:c>
      <x:c r="L1739" s="15" t="n">
        <x:v>6</x:v>
      </x:c>
      <x:c r="M1739" s="13" t="n">
        <x:f>J1739+(K1739+L1739)/1440</x:f>
        <x:v>46307.334027777775</x:v>
      </x:c>
      <x:c r="N1739" s="13" t="n">
        <x:f>VLOOKUP(C1739,'MES orders'!$A$8:$H$127,5,FALSE)</x:f>
        <x:v>46308.666666666664</x:v>
      </x:c>
      <x:c r="O1739" s="16" t="n">
        <x:f>MAX(0,(M1739-N1739)*24)</x:f>
        <x:v>0</x:v>
      </x:c>
      <x:c r="P1739" s="9" t="str">
        <x:v>No</x:v>
      </x:c>
      <x:c r="Q1739" s="15" t="n">
        <x:v>10</x:v>
      </x:c>
      <x:c r="R1739" s="13" t="n">
        <x:f>J1739+Q1739/1440</x:f>
        <x:v>46307.334027777775</x:v>
      </x:c>
      <x:c r="S1739" s="2" t="str">
        <x:f>VLOOKUP(C1739,'MES orders'!$A$8:$H$127,6,FALSE)</x:f>
        <x:v>High</x:v>
      </x:c>
      <x:c r="T1739" s="9" t="str"/>
    </x:row>
    <x:row r="1740" ht="22" customHeight="1">
      <x:c r="A1740" s="2" t="str">
        <x:v>L00218-080</x:v>
      </x:c>
      <x:c r="B1740" s="2" t="str">
        <x:v>L00218</x:v>
      </x:c>
      <x:c r="C1740" s="2" t="str">
        <x:v>SO-26044</x:v>
      </x:c>
      <x:c r="D1740" s="2" t="str">
        <x:v>S-C-SS</x:v>
      </x:c>
      <x:c r="E1740" s="14" t="n">
        <x:v>5</x:v>
      </x:c>
      <x:c r="F1740" s="2" t="str">
        <x:v>Final leak / function test</x:v>
      </x:c>
      <x:c r="G1740" s="9" t="str">
        <x:v>QA-03</x:v>
      </x:c>
      <x:c r="H1740" s="15" t="n">
        <x:v>79</x:v>
      </x:c>
      <x:c r="I1740" s="9" t="str">
        <x:v>P12</x:v>
      </x:c>
      <x:c r="J1740" s="11" t="n">
        <x:v>46307.32708333333</x:v>
      </x:c>
      <x:c r="K1740" s="15" t="n">
        <x:v>10</x:v>
      </x:c>
      <x:c r="L1740" s="15" t="n">
        <x:v>4</x:v>
      </x:c>
      <x:c r="M1740" s="13" t="n">
        <x:f>J1740+(K1740+L1740)/1440</x:f>
        <x:v>46307.336805555555</x:v>
      </x:c>
      <x:c r="N1740" s="13" t="n">
        <x:f>VLOOKUP(C1740,'MES orders'!$A$8:$H$127,5,FALSE)</x:f>
        <x:v>46307.666666666664</x:v>
      </x:c>
      <x:c r="O1740" s="16" t="n">
        <x:f>MAX(0,(M1740-N1740)*24)</x:f>
        <x:v>0</x:v>
      </x:c>
      <x:c r="P1740" s="9" t="str">
        <x:v>No</x:v>
      </x:c>
      <x:c r="Q1740" s="15" t="n">
        <x:v>14</x:v>
      </x:c>
      <x:c r="R1740" s="13" t="n">
        <x:f>J1740+Q1740/1440</x:f>
        <x:v>46307.336805555555</x:v>
      </x:c>
      <x:c r="S1740" s="2" t="str">
        <x:f>VLOOKUP(C1740,'MES orders'!$A$8:$H$127,6,FALSE)</x:f>
        <x:v>Normal</x:v>
      </x:c>
      <x:c r="T1740" s="9" t="str"/>
    </x:row>
    <x:row r="1741" ht="22" customHeight="1">
      <x:c r="A1741" s="2" t="str">
        <x:v>L00061-020</x:v>
      </x:c>
      <x:c r="B1741" s="2" t="str">
        <x:v>L00061</x:v>
      </x:c>
      <x:c r="C1741" s="2" t="str">
        <x:v>SO-26013</x:v>
      </x:c>
      <x:c r="D1741" s="2" t="str">
        <x:v>S-C-AL</x:v>
      </x:c>
      <x:c r="E1741" s="14" t="n">
        <x:v>5</x:v>
      </x:c>
      <x:c r="F1741" s="2" t="str">
        <x:v>Deburr &amp; inspect</x:v>
      </x:c>
      <x:c r="G1741" s="9" t="str">
        <x:v>DB-02</x:v>
      </x:c>
      <x:c r="H1741" s="15" t="n">
        <x:v>110</x:v>
      </x:c>
      <x:c r="I1741" s="9" t="str">
        <x:v>P04</x:v>
      </x:c>
      <x:c r="J1741" s="11" t="n">
        <x:v>46307.330555555556</x:v>
      </x:c>
      <x:c r="K1741" s="15" t="n">
        <x:v>4</x:v>
      </x:c>
      <x:c r="L1741" s="15" t="n">
        <x:v>3</x:v>
      </x:c>
      <x:c r="M1741" s="13" t="n">
        <x:f>J1741+(K1741+L1741)/1440</x:f>
        <x:v>46307.33541666667</x:v>
      </x:c>
      <x:c r="N1741" s="13" t="n">
        <x:f>VLOOKUP(C1741,'MES orders'!$A$8:$H$127,5,FALSE)</x:f>
        <x:v>46308.666666666664</x:v>
      </x:c>
      <x:c r="O1741" s="16" t="n">
        <x:f>MAX(0,(M1741-N1741)*24)</x:f>
        <x:v>0</x:v>
      </x:c>
      <x:c r="P1741" s="9" t="str">
        <x:v>No</x:v>
      </x:c>
      <x:c r="Q1741" s="15" t="n">
        <x:v>7</x:v>
      </x:c>
      <x:c r="R1741" s="13" t="n">
        <x:f>J1741+Q1741/1440</x:f>
        <x:v>46307.33541666667</x:v>
      </x:c>
      <x:c r="S1741" s="2" t="str">
        <x:f>VLOOKUP(C1741,'MES orders'!$A$8:$H$127,6,FALSE)</x:f>
        <x:v>Normal</x:v>
      </x:c>
      <x:c r="T1741" s="9" t="str"/>
    </x:row>
    <x:row r="1742" ht="22" customHeight="1">
      <x:c r="A1742" s="2" t="str">
        <x:v>L00220-050</x:v>
      </x:c>
      <x:c r="B1742" s="2" t="str">
        <x:v>L00220</x:v>
      </x:c>
      <x:c r="C1742" s="2" t="str">
        <x:v>SO-26044</x:v>
      </x:c>
      <x:c r="D1742" s="2" t="str">
        <x:v>S-C-SS</x:v>
      </x:c>
      <x:c r="E1742" s="14" t="n">
        <x:v>5</x:v>
      </x:c>
      <x:c r="F1742" s="2" t="str">
        <x:v>Sensor installation</x:v>
      </x:c>
      <x:c r="G1742" s="9" t="str">
        <x:v>EL-01</x:v>
      </x:c>
      <x:c r="H1742" s="15" t="n">
        <x:v>59</x:v>
      </x:c>
      <x:c r="I1742" s="9" t="str">
        <x:v>P07</x:v>
      </x:c>
      <x:c r="J1742" s="11" t="n">
        <x:v>46307.330555555556</x:v>
      </x:c>
      <x:c r="K1742" s="15" t="n">
        <x:v>8</x:v>
      </x:c>
      <x:c r="L1742" s="15" t="n">
        <x:v>5</x:v>
      </x:c>
      <x:c r="M1742" s="13" t="n">
        <x:f>J1742+(K1742+L1742)/1440</x:f>
        <x:v>46307.339583333334</x:v>
      </x:c>
      <x:c r="N1742" s="13" t="n">
        <x:f>VLOOKUP(C1742,'MES orders'!$A$8:$H$127,5,FALSE)</x:f>
        <x:v>46307.666666666664</x:v>
      </x:c>
      <x:c r="O1742" s="16" t="n">
        <x:f>MAX(0,(M1742-N1742)*24)</x:f>
        <x:v>0</x:v>
      </x:c>
      <x:c r="P1742" s="9" t="str">
        <x:v>No</x:v>
      </x:c>
      <x:c r="Q1742" s="15" t="n">
        <x:v>13</x:v>
      </x:c>
      <x:c r="R1742" s="13" t="n">
        <x:f>J1742+Q1742/1440</x:f>
        <x:v>46307.339583333334</x:v>
      </x:c>
      <x:c r="S1742" s="2" t="str">
        <x:f>VLOOKUP(C1742,'MES orders'!$A$8:$H$127,6,FALSE)</x:f>
        <x:v>Normal</x:v>
      </x:c>
      <x:c r="T1742" s="9" t="str"/>
    </x:row>
    <x:row r="1743" ht="22" customHeight="1">
      <x:c r="A1743" s="2" t="str">
        <x:v>L00219-070</x:v>
      </x:c>
      <x:c r="B1743" s="2" t="str">
        <x:v>L00219</x:v>
      </x:c>
      <x:c r="C1743" s="2" t="str">
        <x:v>SO-26044</x:v>
      </x:c>
      <x:c r="D1743" s="2" t="str">
        <x:v>S-C-SS</x:v>
      </x:c>
      <x:c r="E1743" s="14" t="n">
        <x:v>5</x:v>
      </x:c>
      <x:c r="F1743" s="2" t="str">
        <x:v>Final assembly</x:v>
      </x:c>
      <x:c r="G1743" s="9" t="str">
        <x:v>AS-01</x:v>
      </x:c>
      <x:c r="H1743" s="15" t="n">
        <x:v>140</x:v>
      </x:c>
      <x:c r="I1743" s="9" t="str">
        <x:v>P05</x:v>
      </x:c>
      <x:c r="J1743" s="11" t="n">
        <x:v>46307.334027777775</x:v>
      </x:c>
      <x:c r="K1743" s="15" t="n">
        <x:v>5</x:v>
      </x:c>
      <x:c r="L1743" s="15" t="n">
        <x:v>3</x:v>
      </x:c>
      <x:c r="M1743" s="13" t="n">
        <x:f>J1743+(K1743+L1743)/1440</x:f>
        <x:v>46307.339583333334</x:v>
      </x:c>
      <x:c r="N1743" s="13" t="n">
        <x:f>VLOOKUP(C1743,'MES orders'!$A$8:$H$127,5,FALSE)</x:f>
        <x:v>46307.666666666664</x:v>
      </x:c>
      <x:c r="O1743" s="16" t="n">
        <x:f>MAX(0,(M1743-N1743)*24)</x:f>
        <x:v>0</x:v>
      </x:c>
      <x:c r="P1743" s="9" t="str">
        <x:v>No</x:v>
      </x:c>
      <x:c r="Q1743" s="15" t="n">
        <x:v>8</x:v>
      </x:c>
      <x:c r="R1743" s="13" t="n">
        <x:f>J1743+Q1743/1440</x:f>
        <x:v>46307.339583333334</x:v>
      </x:c>
      <x:c r="S1743" s="2" t="str">
        <x:f>VLOOKUP(C1743,'MES orders'!$A$8:$H$127,6,FALSE)</x:f>
        <x:v>Normal</x:v>
      </x:c>
      <x:c r="T1743" s="9" t="str"/>
    </x:row>
    <x:row r="1744" ht="22" customHeight="1">
      <x:c r="A1744" s="2" t="str">
        <x:v>L00425-030</x:v>
      </x:c>
      <x:c r="B1744" s="2" t="str">
        <x:v>L00425</x:v>
      </x:c>
      <x:c r="C1744" s="2" t="str">
        <x:v>SO-26085</x:v>
      </x:c>
      <x:c r="D1744" s="2" t="str">
        <x:v>S-C-AL</x:v>
      </x:c>
      <x:c r="E1744" s="14" t="n">
        <x:v>10</x:v>
      </x:c>
      <x:c r="F1744" s="2" t="str">
        <x:v>Wash &amp; dry</x:v>
      </x:c>
      <x:c r="G1744" s="9" t="str">
        <x:v>WS-01</x:v>
      </x:c>
      <x:c r="H1744" s="15" t="n">
        <x:v>163</x:v>
      </x:c>
      <x:c r="I1744" s="9" t="str">
        <x:v>P08</x:v>
      </x:c>
      <x:c r="J1744" s="11" t="n">
        <x:v>46307.334027777775</x:v>
      </x:c>
      <x:c r="K1744" s="15" t="n">
        <x:v>12</x:v>
      </x:c>
      <x:c r="L1744" s="15" t="n">
        <x:v>3</x:v>
      </x:c>
      <x:c r="M1744" s="13" t="n">
        <x:f>J1744+(K1744+L1744)/1440</x:f>
        <x:v>46307.34444444444</x:v>
      </x:c>
      <x:c r="N1744" s="13" t="n">
        <x:f>VLOOKUP(C1744,'MES orders'!$A$8:$H$127,5,FALSE)</x:f>
        <x:v>46308.666666666664</x:v>
      </x:c>
      <x:c r="O1744" s="16" t="n">
        <x:f>MAX(0,(M1744-N1744)*24)</x:f>
        <x:v>0</x:v>
      </x:c>
      <x:c r="P1744" s="9" t="str">
        <x:v>No</x:v>
      </x:c>
      <x:c r="Q1744" s="15" t="n">
        <x:v>15</x:v>
      </x:c>
      <x:c r="R1744" s="13" t="n">
        <x:f>J1744+Q1744/1440</x:f>
        <x:v>46307.34444444444</x:v>
      </x:c>
      <x:c r="S1744" s="2" t="str">
        <x:f>VLOOKUP(C1744,'MES orders'!$A$8:$H$127,6,FALSE)</x:f>
        <x:v>High</x:v>
      </x:c>
      <x:c r="T1744" s="9" t="str"/>
    </x:row>
    <x:row r="1745" ht="22" customHeight="1">
      <x:c r="A1745" s="2" t="str">
        <x:v>L00260-010</x:v>
      </x:c>
      <x:c r="B1745" s="2" t="str">
        <x:v>L00260</x:v>
      </x:c>
      <x:c r="C1745" s="2" t="str">
        <x:v>SO-26052</x:v>
      </x:c>
      <x:c r="D1745" s="2" t="str">
        <x:v>S-S-SS</x:v>
      </x:c>
      <x:c r="E1745" s="14" t="n">
        <x:v>25</x:v>
      </x:c>
      <x:c r="F1745" s="2" t="str">
        <x:v>CNC machining</x:v>
      </x:c>
      <x:c r="G1745" s="9" t="str">
        <x:v>CNC-03</x:v>
      </x:c>
      <x:c r="H1745" s="15" t="n">
        <x:v>55</x:v>
      </x:c>
      <x:c r="I1745" s="9" t="str">
        <x:v>P01</x:v>
      </x:c>
      <x:c r="J1745" s="11" t="n">
        <x:v>46307.33541666667</x:v>
      </x:c>
      <x:c r="K1745" s="15" t="n">
        <x:v>18</x:v>
      </x:c>
      <x:c r="L1745" s="15" t="n">
        <x:v>75</x:v>
      </x:c>
      <x:c r="M1745" s="13" t="n">
        <x:f>J1745+(K1745+L1745)/1440</x:f>
        <x:v>46307.4</x:v>
      </x:c>
      <x:c r="N1745" s="13" t="n">
        <x:f>VLOOKUP(C1745,'MES orders'!$A$8:$H$127,5,FALSE)</x:f>
        <x:v>46307.666666666664</x:v>
      </x:c>
      <x:c r="O1745" s="16" t="n">
        <x:f>MAX(0,(M1745-N1745)*24)</x:f>
        <x:v>0</x:v>
      </x:c>
      <x:c r="P1745" s="9" t="str">
        <x:v>No</x:v>
      </x:c>
      <x:c r="Q1745" s="15" t="n">
        <x:v>18</x:v>
      </x:c>
      <x:c r="R1745" s="13" t="n">
        <x:f>J1745+Q1745/1440</x:f>
        <x:v>46307.347916666666</x:v>
      </x:c>
      <x:c r="S1745" s="2" t="str">
        <x:f>VLOOKUP(C1745,'MES orders'!$A$8:$H$127,6,FALSE)</x:f>
        <x:v>Normal</x:v>
      </x:c>
      <x:c r="T1745" s="9" t="str"/>
    </x:row>
    <x:row r="1746" ht="22" customHeight="1">
      <x:c r="A1746" s="2" t="str">
        <x:v>L00296-010</x:v>
      </x:c>
      <x:c r="B1746" s="2" t="str">
        <x:v>L00296</x:v>
      </x:c>
      <x:c r="C1746" s="2" t="str">
        <x:v>SO-26060</x:v>
      </x:c>
      <x:c r="D1746" s="2" t="str">
        <x:v>S-L-SS</x:v>
      </x:c>
      <x:c r="E1746" s="14" t="n">
        <x:v>5</x:v>
      </x:c>
      <x:c r="F1746" s="2" t="str">
        <x:v>CNC machining</x:v>
      </x:c>
      <x:c r="G1746" s="9" t="str">
        <x:v>CNC-04</x:v>
      </x:c>
      <x:c r="H1746" s="15" t="n">
        <x:v>52</x:v>
      </x:c>
      <x:c r="I1746" s="9" t="str">
        <x:v>P02</x:v>
      </x:c>
      <x:c r="J1746" s="11" t="n">
        <x:v>46307.33541666667</x:v>
      </x:c>
      <x:c r="K1746" s="15" t="n">
        <x:v>18</x:v>
      </x:c>
      <x:c r="L1746" s="15" t="n">
        <x:v>20</x:v>
      </x:c>
      <x:c r="M1746" s="13" t="n">
        <x:f>J1746+(K1746+L1746)/1440</x:f>
        <x:v>46307.361805555556</x:v>
      </x:c>
      <x:c r="N1746" s="13" t="n">
        <x:f>VLOOKUP(C1746,'MES orders'!$A$8:$H$127,5,FALSE)</x:f>
        <x:v>46307.666666666664</x:v>
      </x:c>
      <x:c r="O1746" s="16" t="n">
        <x:f>MAX(0,(M1746-N1746)*24)</x:f>
        <x:v>0</x:v>
      </x:c>
      <x:c r="P1746" s="9" t="str">
        <x:v>No</x:v>
      </x:c>
      <x:c r="Q1746" s="15" t="n">
        <x:v>18</x:v>
      </x:c>
      <x:c r="R1746" s="13" t="n">
        <x:f>J1746+Q1746/1440</x:f>
        <x:v>46307.347916666666</x:v>
      </x:c>
      <x:c r="S1746" s="2" t="str">
        <x:f>VLOOKUP(C1746,'MES orders'!$A$8:$H$127,6,FALSE)</x:f>
        <x:v>Normal</x:v>
      </x:c>
      <x:c r="T1746" s="9" t="str"/>
    </x:row>
    <x:row r="1747" ht="22" customHeight="1">
      <x:c r="A1747" s="2" t="str">
        <x:v>L00256-020</x:v>
      </x:c>
      <x:c r="B1747" s="2" t="str">
        <x:v>L00256</x:v>
      </x:c>
      <x:c r="C1747" s="2" t="str">
        <x:v>SO-26052</x:v>
      </x:c>
      <x:c r="D1747" s="2" t="str">
        <x:v>S-S-SS</x:v>
      </x:c>
      <x:c r="E1747" s="14" t="n">
        <x:v>25</x:v>
      </x:c>
      <x:c r="F1747" s="2" t="str">
        <x:v>Deburr &amp; inspect</x:v>
      </x:c>
      <x:c r="G1747" s="9" t="str">
        <x:v>DB-01</x:v>
      </x:c>
      <x:c r="H1747" s="15" t="n">
        <x:v>167</x:v>
      </x:c>
      <x:c r="I1747" s="9" t="str">
        <x:v>P04</x:v>
      </x:c>
      <x:c r="J1747" s="11" t="n">
        <x:v>46307.33541666667</x:v>
      </x:c>
      <x:c r="K1747" s="15" t="n">
        <x:v>4</x:v>
      </x:c>
      <x:c r="L1747" s="15" t="n">
        <x:v>18</x:v>
      </x:c>
      <x:c r="M1747" s="13" t="n">
        <x:f>J1747+(K1747+L1747)/1440</x:f>
        <x:v>46307.350694444445</x:v>
      </x:c>
      <x:c r="N1747" s="13" t="n">
        <x:f>VLOOKUP(C1747,'MES orders'!$A$8:$H$127,5,FALSE)</x:f>
        <x:v>46307.666666666664</x:v>
      </x:c>
      <x:c r="O1747" s="16" t="n">
        <x:f>MAX(0,(M1747-N1747)*24)</x:f>
        <x:v>0</x:v>
      </x:c>
      <x:c r="P1747" s="9" t="str">
        <x:v>No</x:v>
      </x:c>
      <x:c r="Q1747" s="15" t="n">
        <x:v>22</x:v>
      </x:c>
      <x:c r="R1747" s="13" t="n">
        <x:f>J1747+Q1747/1440</x:f>
        <x:v>46307.350694444445</x:v>
      </x:c>
      <x:c r="S1747" s="2" t="str">
        <x:f>VLOOKUP(C1747,'MES orders'!$A$8:$H$127,6,FALSE)</x:f>
        <x:v>Normal</x:v>
      </x:c>
      <x:c r="T1747" s="9" t="str"/>
    </x:row>
    <x:row r="1748" ht="22" customHeight="1">
      <x:c r="A1748" s="2" t="str">
        <x:v>L00257-020</x:v>
      </x:c>
      <x:c r="B1748" s="2" t="str">
        <x:v>L00257</x:v>
      </x:c>
      <x:c r="C1748" s="2" t="str">
        <x:v>SO-26052</x:v>
      </x:c>
      <x:c r="D1748" s="2" t="str">
        <x:v>S-S-SS</x:v>
      </x:c>
      <x:c r="E1748" s="14" t="n">
        <x:v>25</x:v>
      </x:c>
      <x:c r="F1748" s="2" t="str">
        <x:v>Deburr &amp; inspect</x:v>
      </x:c>
      <x:c r="G1748" s="9" t="str">
        <x:v>DB-02</x:v>
      </x:c>
      <x:c r="H1748" s="15" t="n">
        <x:v>111</x:v>
      </x:c>
      <x:c r="I1748" s="9" t="str">
        <x:v>P06</x:v>
      </x:c>
      <x:c r="J1748" s="11" t="n">
        <x:v>46307.33541666667</x:v>
      </x:c>
      <x:c r="K1748" s="15" t="n">
        <x:v>4</x:v>
      </x:c>
      <x:c r="L1748" s="15" t="n">
        <x:v>18</x:v>
      </x:c>
      <x:c r="M1748" s="13" t="n">
        <x:f>J1748+(K1748+L1748)/1440</x:f>
        <x:v>46307.350694444445</x:v>
      </x:c>
      <x:c r="N1748" s="13" t="n">
        <x:f>VLOOKUP(C1748,'MES orders'!$A$8:$H$127,5,FALSE)</x:f>
        <x:v>46307.666666666664</x:v>
      </x:c>
      <x:c r="O1748" s="16" t="n">
        <x:f>MAX(0,(M1748-N1748)*24)</x:f>
        <x:v>0</x:v>
      </x:c>
      <x:c r="P1748" s="9" t="str">
        <x:v>No</x:v>
      </x:c>
      <x:c r="Q1748" s="15" t="n">
        <x:v>22</x:v>
      </x:c>
      <x:c r="R1748" s="13" t="n">
        <x:f>J1748+Q1748/1440</x:f>
        <x:v>46307.350694444445</x:v>
      </x:c>
      <x:c r="S1748" s="2" t="str">
        <x:f>VLOOKUP(C1748,'MES orders'!$A$8:$H$127,6,FALSE)</x:f>
        <x:v>Normal</x:v>
      </x:c>
      <x:c r="T1748" s="9" t="str"/>
    </x:row>
    <x:row r="1749" ht="22" customHeight="1">
      <x:c r="A1749" s="2" t="str">
        <x:v>L00423-080</x:v>
      </x:c>
      <x:c r="B1749" s="2" t="str">
        <x:v>L00423</x:v>
      </x:c>
      <x:c r="C1749" s="2" t="str">
        <x:v>SO-26085</x:v>
      </x:c>
      <x:c r="D1749" s="2" t="str">
        <x:v>S-C-AL</x:v>
      </x:c>
      <x:c r="E1749" s="14" t="n">
        <x:v>10</x:v>
      </x:c>
      <x:c r="F1749" s="2" t="str">
        <x:v>Final leak / function test</x:v>
      </x:c>
      <x:c r="G1749" s="9" t="str">
        <x:v>QA-03</x:v>
      </x:c>
      <x:c r="H1749" s="15" t="n">
        <x:v>80</x:v>
      </x:c>
      <x:c r="I1749" s="9" t="str">
        <x:v>P12</x:v>
      </x:c>
      <x:c r="J1749" s="11" t="n">
        <x:v>46307.336805555555</x:v>
      </x:c>
      <x:c r="K1749" s="15" t="n">
        <x:v>10</x:v>
      </x:c>
      <x:c r="L1749" s="15" t="n">
        <x:v>7</x:v>
      </x:c>
      <x:c r="M1749" s="13" t="n">
        <x:f>J1749+(K1749+L1749)/1440</x:f>
        <x:v>46307.34861111111</x:v>
      </x:c>
      <x:c r="N1749" s="13" t="n">
        <x:f>VLOOKUP(C1749,'MES orders'!$A$8:$H$127,5,FALSE)</x:f>
        <x:v>46308.666666666664</x:v>
      </x:c>
      <x:c r="O1749" s="16" t="n">
        <x:f>MAX(0,(M1749-N1749)*24)</x:f>
        <x:v>0</x:v>
      </x:c>
      <x:c r="P1749" s="9" t="str">
        <x:v>No</x:v>
      </x:c>
      <x:c r="Q1749" s="15" t="n">
        <x:v>17</x:v>
      </x:c>
      <x:c r="R1749" s="13" t="n">
        <x:f>J1749+Q1749/1440</x:f>
        <x:v>46307.34861111111</x:v>
      </x:c>
      <x:c r="S1749" s="2" t="str">
        <x:f>VLOOKUP(C1749,'MES orders'!$A$8:$H$127,6,FALSE)</x:f>
        <x:v>High</x:v>
      </x:c>
      <x:c r="T1749" s="9" t="str"/>
    </x:row>
    <x:row r="1750" ht="22" customHeight="1">
      <x:c r="A1750" s="2" t="str">
        <x:v>L00424-040</x:v>
      </x:c>
      <x:c r="B1750" s="2" t="str">
        <x:v>L00424</x:v>
      </x:c>
      <x:c r="C1750" s="2" t="str">
        <x:v>SO-26085</x:v>
      </x:c>
      <x:c r="D1750" s="2" t="str">
        <x:v>S-C-AL</x:v>
      </x:c>
      <x:c r="E1750" s="14" t="n">
        <x:v>10</x:v>
      </x:c>
      <x:c r="F1750" s="2" t="str">
        <x:v>Mechanical preassembly</x:v>
      </x:c>
      <x:c r="G1750" s="9" t="str">
        <x:v>AS-01</x:v>
      </x:c>
      <x:c r="H1750" s="15" t="n">
        <x:v>141</x:v>
      </x:c>
      <x:c r="I1750" s="9" t="str">
        <x:v>P05</x:v>
      </x:c>
      <x:c r="J1750" s="11" t="n">
        <x:v>46307.339583333334</x:v>
      </x:c>
      <x:c r="K1750" s="15" t="n">
        <x:v>6</x:v>
      </x:c>
      <x:c r="L1750" s="15" t="n">
        <x:v>9</x:v>
      </x:c>
      <x:c r="M1750" s="13" t="n">
        <x:f>J1750+(K1750+L1750)/1440</x:f>
        <x:v>46307.35</x:v>
      </x:c>
      <x:c r="N1750" s="13" t="n">
        <x:f>VLOOKUP(C1750,'MES orders'!$A$8:$H$127,5,FALSE)</x:f>
        <x:v>46308.666666666664</x:v>
      </x:c>
      <x:c r="O1750" s="16" t="n">
        <x:f>MAX(0,(M1750-N1750)*24)</x:f>
        <x:v>0</x:v>
      </x:c>
      <x:c r="P1750" s="9" t="str">
        <x:v>No</x:v>
      </x:c>
      <x:c r="Q1750" s="15" t="n">
        <x:v>15</x:v>
      </x:c>
      <x:c r="R1750" s="13" t="n">
        <x:f>J1750+Q1750/1440</x:f>
        <x:v>46307.35</x:v>
      </x:c>
      <x:c r="S1750" s="2" t="str">
        <x:f>VLOOKUP(C1750,'MES orders'!$A$8:$H$127,6,FALSE)</x:f>
        <x:v>High</x:v>
      </x:c>
      <x:c r="T1750" s="9" t="str"/>
    </x:row>
    <x:row r="1751" ht="22" customHeight="1">
      <x:c r="A1751" s="2" t="str">
        <x:v>L00220-060</x:v>
      </x:c>
      <x:c r="B1751" s="2" t="str">
        <x:v>L00220</x:v>
      </x:c>
      <x:c r="C1751" s="2" t="str">
        <x:v>SO-26044</x:v>
      </x:c>
      <x:c r="D1751" s="2" t="str">
        <x:v>S-C-SS</x:v>
      </x:c>
      <x:c r="E1751" s="14" t="n">
        <x:v>5</x:v>
      </x:c>
      <x:c r="F1751" s="2" t="str">
        <x:v>Sensor calibration</x:v>
      </x:c>
      <x:c r="G1751" s="9" t="str">
        <x:v>CAL-01</x:v>
      </x:c>
      <x:c r="H1751" s="15" t="n">
        <x:v>88</x:v>
      </x:c>
      <x:c r="I1751" s="9" t="str">
        <x:v>P09</x:v>
      </x:c>
      <x:c r="J1751" s="11" t="n">
        <x:v>46307.339583333334</x:v>
      </x:c>
      <x:c r="K1751" s="15" t="n">
        <x:v>10</x:v>
      </x:c>
      <x:c r="L1751" s="15" t="n">
        <x:v>5</x:v>
      </x:c>
      <x:c r="M1751" s="13" t="n">
        <x:f>J1751+(K1751+L1751)/1440</x:f>
        <x:v>46307.35</x:v>
      </x:c>
      <x:c r="N1751" s="13" t="n">
        <x:f>VLOOKUP(C1751,'MES orders'!$A$8:$H$127,5,FALSE)</x:f>
        <x:v>46307.666666666664</x:v>
      </x:c>
      <x:c r="O1751" s="16" t="n">
        <x:f>MAX(0,(M1751-N1751)*24)</x:f>
        <x:v>0</x:v>
      </x:c>
      <x:c r="P1751" s="9" t="str">
        <x:v>No</x:v>
      </x:c>
      <x:c r="Q1751" s="15" t="n">
        <x:v>15</x:v>
      </x:c>
      <x:c r="R1751" s="13" t="n">
        <x:f>J1751+Q1751/1440</x:f>
        <x:v>46307.35</x:v>
      </x:c>
      <x:c r="S1751" s="2" t="str">
        <x:f>VLOOKUP(C1751,'MES orders'!$A$8:$H$127,6,FALSE)</x:f>
        <x:v>Normal</x:v>
      </x:c>
      <x:c r="T1751" s="9" t="str"/>
    </x:row>
    <x:row r="1752" ht="22" customHeight="1">
      <x:c r="A1752" s="2" t="str">
        <x:v>L00297-010</x:v>
      </x:c>
      <x:c r="B1752" s="2" t="str">
        <x:v>L00297</x:v>
      </x:c>
      <x:c r="C1752" s="2" t="str">
        <x:v>SO-26060</x:v>
      </x:c>
      <x:c r="D1752" s="2" t="str">
        <x:v>S-L-SS</x:v>
      </x:c>
      <x:c r="E1752" s="14" t="n">
        <x:v>5</x:v>
      </x:c>
      <x:c r="F1752" s="2" t="str">
        <x:v>CNC machining</x:v>
      </x:c>
      <x:c r="G1752" s="9" t="str">
        <x:v>CNC-05</x:v>
      </x:c>
      <x:c r="H1752" s="15" t="n">
        <x:v>46</x:v>
      </x:c>
      <x:c r="I1752" s="9" t="str">
        <x:v>P03</x:v>
      </x:c>
      <x:c r="J1752" s="11" t="n">
        <x:v>46307.339583333334</x:v>
      </x:c>
      <x:c r="K1752" s="15" t="n">
        <x:v>18</x:v>
      </x:c>
      <x:c r="L1752" s="15" t="n">
        <x:v>20</x:v>
      </x:c>
      <x:c r="M1752" s="13" t="n">
        <x:f>J1752+(K1752+L1752)/1440</x:f>
        <x:v>46307.36597222222</x:v>
      </x:c>
      <x:c r="N1752" s="13" t="n">
        <x:f>VLOOKUP(C1752,'MES orders'!$A$8:$H$127,5,FALSE)</x:f>
        <x:v>46307.666666666664</x:v>
      </x:c>
      <x:c r="O1752" s="16" t="n">
        <x:f>MAX(0,(M1752-N1752)*24)</x:f>
        <x:v>0</x:v>
      </x:c>
      <x:c r="P1752" s="9" t="str">
        <x:v>No</x:v>
      </x:c>
      <x:c r="Q1752" s="15" t="n">
        <x:v>18</x:v>
      </x:c>
      <x:c r="R1752" s="13" t="n">
        <x:f>J1752+Q1752/1440</x:f>
        <x:v>46307.35208333333</x:v>
      </x:c>
      <x:c r="S1752" s="2" t="str">
        <x:f>VLOOKUP(C1752,'MES orders'!$A$8:$H$127,6,FALSE)</x:f>
        <x:v>Normal</x:v>
      </x:c>
      <x:c r="T1752" s="9" t="str"/>
    </x:row>
    <x:row r="1753" ht="22" customHeight="1">
      <x:c r="A1753" s="2" t="str">
        <x:v>L00219-080</x:v>
      </x:c>
      <x:c r="B1753" s="2" t="str">
        <x:v>L00219</x:v>
      </x:c>
      <x:c r="C1753" s="2" t="str">
        <x:v>SO-26044</x:v>
      </x:c>
      <x:c r="D1753" s="2" t="str">
        <x:v>S-C-SS</x:v>
      </x:c>
      <x:c r="E1753" s="14" t="n">
        <x:v>5</x:v>
      </x:c>
      <x:c r="F1753" s="2" t="str">
        <x:v>Final leak / function test</x:v>
      </x:c>
      <x:c r="G1753" s="9" t="str">
        <x:v>QA-02</x:v>
      </x:c>
      <x:c r="H1753" s="15" t="n">
        <x:v>126</x:v>
      </x:c>
      <x:c r="I1753" s="9" t="str">
        <x:v>P11</x:v>
      </x:c>
      <x:c r="J1753" s="11" t="n">
        <x:v>46307.339583333334</x:v>
      </x:c>
      <x:c r="K1753" s="15" t="n">
        <x:v>10</x:v>
      </x:c>
      <x:c r="L1753" s="15" t="n">
        <x:v>4</x:v>
      </x:c>
      <x:c r="M1753" s="13" t="n">
        <x:f>J1753+(K1753+L1753)/1440</x:f>
        <x:v>46307.34930555556</x:v>
      </x:c>
      <x:c r="N1753" s="13" t="n">
        <x:f>VLOOKUP(C1753,'MES orders'!$A$8:$H$127,5,FALSE)</x:f>
        <x:v>46307.666666666664</x:v>
      </x:c>
      <x:c r="O1753" s="16" t="n">
        <x:f>MAX(0,(M1753-N1753)*24)</x:f>
        <x:v>0</x:v>
      </x:c>
      <x:c r="P1753" s="9" t="str">
        <x:v>No</x:v>
      </x:c>
      <x:c r="Q1753" s="15" t="n">
        <x:v>14</x:v>
      </x:c>
      <x:c r="R1753" s="13" t="n">
        <x:f>J1753+Q1753/1440</x:f>
        <x:v>46307.34930555556</x:v>
      </x:c>
      <x:c r="S1753" s="2" t="str">
        <x:f>VLOOKUP(C1753,'MES orders'!$A$8:$H$127,6,FALSE)</x:f>
        <x:v>Normal</x:v>
      </x:c>
      <x:c r="T1753" s="9" t="str"/>
    </x:row>
    <x:row r="1754" ht="22" customHeight="1">
      <x:c r="A1754" s="2" t="str">
        <x:v>L00425-040</x:v>
      </x:c>
      <x:c r="B1754" s="2" t="str">
        <x:v>L00425</x:v>
      </x:c>
      <x:c r="C1754" s="2" t="str">
        <x:v>SO-26085</x:v>
      </x:c>
      <x:c r="D1754" s="2" t="str">
        <x:v>S-C-AL</x:v>
      </x:c>
      <x:c r="E1754" s="14" t="n">
        <x:v>10</x:v>
      </x:c>
      <x:c r="F1754" s="2" t="str">
        <x:v>Mechanical preassembly</x:v>
      </x:c>
      <x:c r="G1754" s="9" t="str">
        <x:v>AS-02</x:v>
      </x:c>
      <x:c r="H1754" s="15" t="n">
        <x:v>115</x:v>
      </x:c>
      <x:c r="I1754" s="9" t="str">
        <x:v>P08</x:v>
      </x:c>
      <x:c r="J1754" s="11" t="n">
        <x:v>46307.34444444445</x:v>
      </x:c>
      <x:c r="K1754" s="15" t="n">
        <x:v>6</x:v>
      </x:c>
      <x:c r="L1754" s="15" t="n">
        <x:v>9</x:v>
      </x:c>
      <x:c r="M1754" s="13" t="n">
        <x:f>J1754+(K1754+L1754)/1440</x:f>
        <x:v>46307.35486111111</x:v>
      </x:c>
      <x:c r="N1754" s="13" t="n">
        <x:f>VLOOKUP(C1754,'MES orders'!$A$8:$H$127,5,FALSE)</x:f>
        <x:v>46308.666666666664</x:v>
      </x:c>
      <x:c r="O1754" s="16" t="n">
        <x:f>MAX(0,(M1754-N1754)*24)</x:f>
        <x:v>0</x:v>
      </x:c>
      <x:c r="P1754" s="9" t="str">
        <x:v>No</x:v>
      </x:c>
      <x:c r="Q1754" s="15" t="n">
        <x:v>15</x:v>
      </x:c>
      <x:c r="R1754" s="13" t="n">
        <x:f>J1754+Q1754/1440</x:f>
        <x:v>46307.35486111111</x:v>
      </x:c>
      <x:c r="S1754" s="2" t="str">
        <x:f>VLOOKUP(C1754,'MES orders'!$A$8:$H$127,6,FALSE)</x:f>
        <x:v>High</x:v>
      </x:c>
      <x:c r="T1754" s="9" t="str"/>
    </x:row>
    <x:row r="1755" ht="22" customHeight="1">
      <x:c r="A1755" s="2" t="str">
        <x:v>L00063-010</x:v>
      </x:c>
      <x:c r="B1755" s="2" t="str">
        <x:v>L00063</x:v>
      </x:c>
      <x:c r="C1755" s="2" t="str">
        <x:v>SO-26013</x:v>
      </x:c>
      <x:c r="D1755" s="2" t="str">
        <x:v>S-C-AL</x:v>
      </x:c>
      <x:c r="E1755" s="14" t="n">
        <x:v>5</x:v>
      </x:c>
      <x:c r="F1755" s="2" t="str">
        <x:v>CNC machining</x:v>
      </x:c>
      <x:c r="G1755" s="9" t="str">
        <x:v>CNC-01</x:v>
      </x:c>
      <x:c r="H1755" s="15" t="n">
        <x:v>54</x:v>
      </x:c>
      <x:c r="I1755" s="9" t="str">
        <x:v>P02</x:v>
      </x:c>
      <x:c r="J1755" s="11" t="n">
        <x:v>46307.347916666666</x:v>
      </x:c>
      <x:c r="K1755" s="15" t="n">
        <x:v>18</x:v>
      </x:c>
      <x:c r="L1755" s="15" t="n">
        <x:v>10</x:v>
      </x:c>
      <x:c r="M1755" s="13" t="n">
        <x:f>J1755+(K1755+L1755)/1440</x:f>
        <x:v>46307.36736111111</x:v>
      </x:c>
      <x:c r="N1755" s="13" t="n">
        <x:f>VLOOKUP(C1755,'MES orders'!$A$8:$H$127,5,FALSE)</x:f>
        <x:v>46308.666666666664</x:v>
      </x:c>
      <x:c r="O1755" s="16" t="n">
        <x:f>MAX(0,(M1755-N1755)*24)</x:f>
        <x:v>0</x:v>
      </x:c>
      <x:c r="P1755" s="9" t="str">
        <x:v>No</x:v>
      </x:c>
      <x:c r="Q1755" s="15" t="n">
        <x:v>18</x:v>
      </x:c>
      <x:c r="R1755" s="13" t="n">
        <x:f>J1755+Q1755/1440</x:f>
        <x:v>46307.36041666666</x:v>
      </x:c>
      <x:c r="S1755" s="2" t="str">
        <x:f>VLOOKUP(C1755,'MES orders'!$A$8:$H$127,6,FALSE)</x:f>
        <x:v>Normal</x:v>
      </x:c>
      <x:c r="T1755" s="9" t="str"/>
    </x:row>
    <x:row r="1756" ht="22" customHeight="1">
      <x:c r="A1756" s="2" t="str">
        <x:v>L00298-010</x:v>
      </x:c>
      <x:c r="B1756" s="2" t="str">
        <x:v>L00298</x:v>
      </x:c>
      <x:c r="C1756" s="2" t="str">
        <x:v>SO-26060</x:v>
      </x:c>
      <x:c r="D1756" s="2" t="str">
        <x:v>S-L-SS</x:v>
      </x:c>
      <x:c r="E1756" s="14" t="n">
        <x:v>5</x:v>
      </x:c>
      <x:c r="F1756" s="2" t="str">
        <x:v>CNC machining</x:v>
      </x:c>
      <x:c r="G1756" s="9" t="str">
        <x:v>CNC-06</x:v>
      </x:c>
      <x:c r="H1756" s="15" t="n">
        <x:v>43</x:v>
      </x:c>
      <x:c r="I1756" s="9" t="str">
        <x:v>P01</x:v>
      </x:c>
      <x:c r="J1756" s="11" t="n">
        <x:v>46307.347916666666</x:v>
      </x:c>
      <x:c r="K1756" s="15" t="n">
        <x:v>18</x:v>
      </x:c>
      <x:c r="L1756" s="15" t="n">
        <x:v>20</x:v>
      </x:c>
      <x:c r="M1756" s="13" t="n">
        <x:f>J1756+(K1756+L1756)/1440</x:f>
        <x:v>46307.37430555555</x:v>
      </x:c>
      <x:c r="N1756" s="13" t="n">
        <x:f>VLOOKUP(C1756,'MES orders'!$A$8:$H$127,5,FALSE)</x:f>
        <x:v>46307.666666666664</x:v>
      </x:c>
      <x:c r="O1756" s="16" t="n">
        <x:f>MAX(0,(M1756-N1756)*24)</x:f>
        <x:v>0</x:v>
      </x:c>
      <x:c r="P1756" s="9" t="str">
        <x:v>No</x:v>
      </x:c>
      <x:c r="Q1756" s="15" t="n">
        <x:v>18</x:v>
      </x:c>
      <x:c r="R1756" s="13" t="n">
        <x:f>J1756+Q1756/1440</x:f>
        <x:v>46307.36041666666</x:v>
      </x:c>
      <x:c r="S1756" s="2" t="str">
        <x:f>VLOOKUP(C1756,'MES orders'!$A$8:$H$127,6,FALSE)</x:f>
        <x:v>Normal</x:v>
      </x:c>
      <x:c r="T1756" s="9" t="str"/>
    </x:row>
    <x:row r="1757" ht="22" customHeight="1">
      <x:c r="A1757" s="2" t="str">
        <x:v>L00220-070</x:v>
      </x:c>
      <x:c r="B1757" s="2" t="str">
        <x:v>L00220</x:v>
      </x:c>
      <x:c r="C1757" s="2" t="str">
        <x:v>SO-26044</x:v>
      </x:c>
      <x:c r="D1757" s="2" t="str">
        <x:v>S-C-SS</x:v>
      </x:c>
      <x:c r="E1757" s="14" t="n">
        <x:v>5</x:v>
      </x:c>
      <x:c r="F1757" s="2" t="str">
        <x:v>Final assembly</x:v>
      </x:c>
      <x:c r="G1757" s="9" t="str">
        <x:v>AS-01</x:v>
      </x:c>
      <x:c r="H1757" s="15" t="n">
        <x:v>142</x:v>
      </x:c>
      <x:c r="I1757" s="9" t="str">
        <x:v>P05</x:v>
      </x:c>
      <x:c r="J1757" s="11" t="n">
        <x:v>46307.35</x:v>
      </x:c>
      <x:c r="K1757" s="15" t="n">
        <x:v>5</x:v>
      </x:c>
      <x:c r="L1757" s="15" t="n">
        <x:v>3</x:v>
      </x:c>
      <x:c r="M1757" s="13" t="n">
        <x:f>J1757+(K1757+L1757)/1440</x:f>
        <x:v>46307.35555555556</x:v>
      </x:c>
      <x:c r="N1757" s="13" t="n">
        <x:f>VLOOKUP(C1757,'MES orders'!$A$8:$H$127,5,FALSE)</x:f>
        <x:v>46307.666666666664</x:v>
      </x:c>
      <x:c r="O1757" s="16" t="n">
        <x:f>MAX(0,(M1757-N1757)*24)</x:f>
        <x:v>0</x:v>
      </x:c>
      <x:c r="P1757" s="9" t="str">
        <x:v>No</x:v>
      </x:c>
      <x:c r="Q1757" s="15" t="n">
        <x:v>8</x:v>
      </x:c>
      <x:c r="R1757" s="13" t="n">
        <x:f>J1757+Q1757/1440</x:f>
        <x:v>46307.35555555556</x:v>
      </x:c>
      <x:c r="S1757" s="2" t="str">
        <x:f>VLOOKUP(C1757,'MES orders'!$A$8:$H$127,6,FALSE)</x:f>
        <x:v>Normal</x:v>
      </x:c>
      <x:c r="T1757" s="9" t="str"/>
    </x:row>
    <x:row r="1758" ht="22" customHeight="1">
      <x:c r="A1758" s="2" t="str">
        <x:v>L00424-050</x:v>
      </x:c>
      <x:c r="B1758" s="2" t="str">
        <x:v>L00424</x:v>
      </x:c>
      <x:c r="C1758" s="2" t="str">
        <x:v>SO-26085</x:v>
      </x:c>
      <x:c r="D1758" s="2" t="str">
        <x:v>S-C-AL</x:v>
      </x:c>
      <x:c r="E1758" s="14" t="n">
        <x:v>10</x:v>
      </x:c>
      <x:c r="F1758" s="2" t="str">
        <x:v>Sensor installation</x:v>
      </x:c>
      <x:c r="G1758" s="9" t="str">
        <x:v>EL-01</x:v>
      </x:c>
      <x:c r="H1758" s="15" t="n">
        <x:v>60</x:v>
      </x:c>
      <x:c r="I1758" s="9" t="str">
        <x:v>P07</x:v>
      </x:c>
      <x:c r="J1758" s="11" t="n">
        <x:v>46307.35</x:v>
      </x:c>
      <x:c r="K1758" s="15" t="n">
        <x:v>8</x:v>
      </x:c>
      <x:c r="L1758" s="15" t="n">
        <x:v>10</x:v>
      </x:c>
      <x:c r="M1758" s="13" t="n">
        <x:f>J1758+(K1758+L1758)/1440</x:f>
        <x:v>46307.362499999996</x:v>
      </x:c>
      <x:c r="N1758" s="13" t="n">
        <x:f>VLOOKUP(C1758,'MES orders'!$A$8:$H$127,5,FALSE)</x:f>
        <x:v>46308.666666666664</x:v>
      </x:c>
      <x:c r="O1758" s="16" t="n">
        <x:f>MAX(0,(M1758-N1758)*24)</x:f>
        <x:v>0</x:v>
      </x:c>
      <x:c r="P1758" s="9" t="str">
        <x:v>No</x:v>
      </x:c>
      <x:c r="Q1758" s="15" t="n">
        <x:v>18</x:v>
      </x:c>
      <x:c r="R1758" s="13" t="n">
        <x:f>J1758+Q1758/1440</x:f>
        <x:v>46307.362499999996</x:v>
      </x:c>
      <x:c r="S1758" s="2" t="str">
        <x:f>VLOOKUP(C1758,'MES orders'!$A$8:$H$127,6,FALSE)</x:f>
        <x:v>High</x:v>
      </x:c>
      <x:c r="T1758" s="9" t="str"/>
    </x:row>
    <x:row r="1759" ht="22" customHeight="1">
      <x:c r="A1759" s="2" t="str">
        <x:v>L00258-020</x:v>
      </x:c>
      <x:c r="B1759" s="2" t="str">
        <x:v>L00258</x:v>
      </x:c>
      <x:c r="C1759" s="2" t="str">
        <x:v>SO-26052</x:v>
      </x:c>
      <x:c r="D1759" s="2" t="str">
        <x:v>S-S-SS</x:v>
      </x:c>
      <x:c r="E1759" s="14" t="n">
        <x:v>25</x:v>
      </x:c>
      <x:c r="F1759" s="2" t="str">
        <x:v>Deburr &amp; inspect</x:v>
      </x:c>
      <x:c r="G1759" s="9" t="str">
        <x:v>DB-01</x:v>
      </x:c>
      <x:c r="H1759" s="15" t="n">
        <x:v>168</x:v>
      </x:c>
      <x:c r="I1759" s="9" t="str">
        <x:v>P06</x:v>
      </x:c>
      <x:c r="J1759" s="11" t="n">
        <x:v>46307.350694444445</x:v>
      </x:c>
      <x:c r="K1759" s="15" t="n">
        <x:v>4</x:v>
      </x:c>
      <x:c r="L1759" s="15" t="n">
        <x:v>18</x:v>
      </x:c>
      <x:c r="M1759" s="13" t="n">
        <x:f>J1759+(K1759+L1759)/1440</x:f>
        <x:v>46307.36597222222</x:v>
      </x:c>
      <x:c r="N1759" s="13" t="n">
        <x:f>VLOOKUP(C1759,'MES orders'!$A$8:$H$127,5,FALSE)</x:f>
        <x:v>46307.666666666664</x:v>
      </x:c>
      <x:c r="O1759" s="16" t="n">
        <x:f>MAX(0,(M1759-N1759)*24)</x:f>
        <x:v>0</x:v>
      </x:c>
      <x:c r="P1759" s="9" t="str">
        <x:v>No</x:v>
      </x:c>
      <x:c r="Q1759" s="15" t="n">
        <x:v>22</x:v>
      </x:c>
      <x:c r="R1759" s="13" t="n">
        <x:f>J1759+Q1759/1440</x:f>
        <x:v>46307.36597222222</x:v>
      </x:c>
      <x:c r="S1759" s="2" t="str">
        <x:f>VLOOKUP(C1759,'MES orders'!$A$8:$H$127,6,FALSE)</x:f>
        <x:v>Normal</x:v>
      </x:c>
      <x:c r="T1759" s="9" t="str"/>
    </x:row>
    <x:row r="1760" ht="22" customHeight="1">
      <x:c r="A1760" s="2" t="str">
        <x:v>L00256-030</x:v>
      </x:c>
      <x:c r="B1760" s="2" t="str">
        <x:v>L00256</x:v>
      </x:c>
      <x:c r="C1760" s="2" t="str">
        <x:v>SO-26052</x:v>
      </x:c>
      <x:c r="D1760" s="2" t="str">
        <x:v>S-S-SS</x:v>
      </x:c>
      <x:c r="E1760" s="14" t="n">
        <x:v>25</x:v>
      </x:c>
      <x:c r="F1760" s="2" t="str">
        <x:v>Wash &amp; dry</x:v>
      </x:c>
      <x:c r="G1760" s="9" t="str">
        <x:v>WS-01</x:v>
      </x:c>
      <x:c r="H1760" s="15" t="n">
        <x:v>164</x:v>
      </x:c>
      <x:c r="I1760" s="9" t="str">
        <x:v>P04</x:v>
      </x:c>
      <x:c r="J1760" s="11" t="n">
        <x:v>46307.350694444445</x:v>
      </x:c>
      <x:c r="K1760" s="15" t="n">
        <x:v>12</x:v>
      </x:c>
      <x:c r="L1760" s="15" t="n">
        <x:v>9</x:v>
      </x:c>
      <x:c r="M1760" s="13" t="n">
        <x:f>J1760+(K1760+L1760)/1440</x:f>
        <x:v>46307.365277777775</x:v>
      </x:c>
      <x:c r="N1760" s="13" t="n">
        <x:f>VLOOKUP(C1760,'MES orders'!$A$8:$H$127,5,FALSE)</x:f>
        <x:v>46307.666666666664</x:v>
      </x:c>
      <x:c r="O1760" s="16" t="n">
        <x:f>MAX(0,(M1760-N1760)*24)</x:f>
        <x:v>0</x:v>
      </x:c>
      <x:c r="P1760" s="9" t="str">
        <x:v>No</x:v>
      </x:c>
      <x:c r="Q1760" s="15" t="n">
        <x:v>21</x:v>
      </x:c>
      <x:c r="R1760" s="13" t="n">
        <x:f>J1760+Q1760/1440</x:f>
        <x:v>46307.365277777775</x:v>
      </x:c>
      <x:c r="S1760" s="2" t="str">
        <x:f>VLOOKUP(C1760,'MES orders'!$A$8:$H$127,6,FALSE)</x:f>
        <x:v>Normal</x:v>
      </x:c>
      <x:c r="T1760" s="9" t="str"/>
    </x:row>
    <x:row r="1761" ht="22" customHeight="1">
      <x:c r="A1761" s="2" t="str">
        <x:v>L00064-010</x:v>
      </x:c>
      <x:c r="B1761" s="2" t="str">
        <x:v>L00064</x:v>
      </x:c>
      <x:c r="C1761" s="2" t="str">
        <x:v>SO-26013</x:v>
      </x:c>
      <x:c r="D1761" s="2" t="str">
        <x:v>S-C-AL</x:v>
      </x:c>
      <x:c r="E1761" s="14" t="n">
        <x:v>5</x:v>
      </x:c>
      <x:c r="F1761" s="2" t="str">
        <x:v>CNC machining</x:v>
      </x:c>
      <x:c r="G1761" s="9" t="str">
        <x:v>CNC-02</x:v>
      </x:c>
      <x:c r="H1761" s="15" t="n">
        <x:v>37</x:v>
      </x:c>
      <x:c r="I1761" s="9" t="str">
        <x:v>P03</x:v>
      </x:c>
      <x:c r="J1761" s="11" t="n">
        <x:v>46307.35208333333</x:v>
      </x:c>
      <x:c r="K1761" s="15" t="n">
        <x:v>18</x:v>
      </x:c>
      <x:c r="L1761" s="15" t="n">
        <x:v>10</x:v>
      </x:c>
      <x:c r="M1761" s="13" t="n">
        <x:f>J1761+(K1761+L1761)/1440</x:f>
        <x:v>46307.371527777774</x:v>
      </x:c>
      <x:c r="N1761" s="13" t="n">
        <x:f>VLOOKUP(C1761,'MES orders'!$A$8:$H$127,5,FALSE)</x:f>
        <x:v>46308.666666666664</x:v>
      </x:c>
      <x:c r="O1761" s="16" t="n">
        <x:f>MAX(0,(M1761-N1761)*24)</x:f>
        <x:v>0</x:v>
      </x:c>
      <x:c r="P1761" s="9" t="str">
        <x:v>No</x:v>
      </x:c>
      <x:c r="Q1761" s="15" t="n">
        <x:v>18</x:v>
      </x:c>
      <x:c r="R1761" s="13" t="n">
        <x:f>J1761+Q1761/1440</x:f>
        <x:v>46307.36458333333</x:v>
      </x:c>
      <x:c r="S1761" s="2" t="str">
        <x:f>VLOOKUP(C1761,'MES orders'!$A$8:$H$127,6,FALSE)</x:f>
        <x:v>Normal</x:v>
      </x:c>
      <x:c r="T1761" s="9" t="str"/>
    </x:row>
    <x:row r="1762" ht="22" customHeight="1">
      <x:c r="A1762" s="2" t="str">
        <x:v>L00425-050</x:v>
      </x:c>
      <x:c r="B1762" s="2" t="str">
        <x:v>L00425</x:v>
      </x:c>
      <x:c r="C1762" s="2" t="str">
        <x:v>SO-26085</x:v>
      </x:c>
      <x:c r="D1762" s="2" t="str">
        <x:v>S-C-AL</x:v>
      </x:c>
      <x:c r="E1762" s="14" t="n">
        <x:v>10</x:v>
      </x:c>
      <x:c r="F1762" s="2" t="str">
        <x:v>Sensor installation</x:v>
      </x:c>
      <x:c r="G1762" s="9" t="str">
        <x:v>EL-02</x:v>
      </x:c>
      <x:c r="H1762" s="15" t="n">
        <x:v>30</x:v>
      </x:c>
      <x:c r="I1762" s="9" t="str">
        <x:v>P08</x:v>
      </x:c>
      <x:c r="J1762" s="11" t="n">
        <x:v>46307.35486111111</x:v>
      </x:c>
      <x:c r="K1762" s="15" t="n">
        <x:v>8</x:v>
      </x:c>
      <x:c r="L1762" s="15" t="n">
        <x:v>10</x:v>
      </x:c>
      <x:c r="M1762" s="13" t="n">
        <x:f>J1762+(K1762+L1762)/1440</x:f>
        <x:v>46307.36736111111</x:v>
      </x:c>
      <x:c r="N1762" s="13" t="n">
        <x:f>VLOOKUP(C1762,'MES orders'!$A$8:$H$127,5,FALSE)</x:f>
        <x:v>46308.666666666664</x:v>
      </x:c>
      <x:c r="O1762" s="16" t="n">
        <x:f>MAX(0,(M1762-N1762)*24)</x:f>
        <x:v>0</x:v>
      </x:c>
      <x:c r="P1762" s="9" t="str">
        <x:v>No</x:v>
      </x:c>
      <x:c r="Q1762" s="15" t="n">
        <x:v>18</x:v>
      </x:c>
      <x:c r="R1762" s="13" t="n">
        <x:f>J1762+Q1762/1440</x:f>
        <x:v>46307.36736111111</x:v>
      </x:c>
      <x:c r="S1762" s="2" t="str">
        <x:f>VLOOKUP(C1762,'MES orders'!$A$8:$H$127,6,FALSE)</x:f>
        <x:v>High</x:v>
      </x:c>
      <x:c r="T1762" s="9" t="str"/>
    </x:row>
    <x:row r="1763" ht="22" customHeight="1">
      <x:c r="A1763" s="2" t="str">
        <x:v>L00062-020</x:v>
      </x:c>
      <x:c r="B1763" s="2" t="str">
        <x:v>L00062</x:v>
      </x:c>
      <x:c r="C1763" s="2" t="str">
        <x:v>SO-26013</x:v>
      </x:c>
      <x:c r="D1763" s="2" t="str">
        <x:v>S-C-AL</x:v>
      </x:c>
      <x:c r="E1763" s="14" t="n">
        <x:v>5</x:v>
      </x:c>
      <x:c r="F1763" s="2" t="str">
        <x:v>Deburr &amp; inspect</x:v>
      </x:c>
      <x:c r="G1763" s="9" t="str">
        <x:v>DB-02</x:v>
      </x:c>
      <x:c r="H1763" s="15" t="n">
        <x:v>112</x:v>
      </x:c>
      <x:c r="I1763" s="9" t="str">
        <x:v>P05</x:v>
      </x:c>
      <x:c r="J1763" s="11" t="n">
        <x:v>46307.35555555556</x:v>
      </x:c>
      <x:c r="K1763" s="15" t="n">
        <x:v>4</x:v>
      </x:c>
      <x:c r="L1763" s="15" t="n">
        <x:v>3</x:v>
      </x:c>
      <x:c r="M1763" s="13" t="n">
        <x:f>J1763+(K1763+L1763)/1440</x:f>
        <x:v>46307.36041666667</x:v>
      </x:c>
      <x:c r="N1763" s="13" t="n">
        <x:f>VLOOKUP(C1763,'MES orders'!$A$8:$H$127,5,FALSE)</x:f>
        <x:v>46308.666666666664</x:v>
      </x:c>
      <x:c r="O1763" s="16" t="n">
        <x:f>MAX(0,(M1763-N1763)*24)</x:f>
        <x:v>0</x:v>
      </x:c>
      <x:c r="P1763" s="9" t="str">
        <x:v>No</x:v>
      </x:c>
      <x:c r="Q1763" s="15" t="n">
        <x:v>7</x:v>
      </x:c>
      <x:c r="R1763" s="13" t="n">
        <x:f>J1763+Q1763/1440</x:f>
        <x:v>46307.36041666667</x:v>
      </x:c>
      <x:c r="S1763" s="2" t="str">
        <x:f>VLOOKUP(C1763,'MES orders'!$A$8:$H$127,6,FALSE)</x:f>
        <x:v>Normal</x:v>
      </x:c>
      <x:c r="T1763" s="9" t="str"/>
    </x:row>
    <x:row r="1764" ht="22" customHeight="1">
      <x:c r="A1764" s="2" t="str">
        <x:v>L00220-080</x:v>
      </x:c>
      <x:c r="B1764" s="2" t="str">
        <x:v>L00220</x:v>
      </x:c>
      <x:c r="C1764" s="2" t="str">
        <x:v>SO-26044</x:v>
      </x:c>
      <x:c r="D1764" s="2" t="str">
        <x:v>S-C-SS</x:v>
      </x:c>
      <x:c r="E1764" s="14" t="n">
        <x:v>5</x:v>
      </x:c>
      <x:c r="F1764" s="2" t="str">
        <x:v>Final leak / function test</x:v>
      </x:c>
      <x:c r="G1764" s="9" t="str">
        <x:v>QA-02</x:v>
      </x:c>
      <x:c r="H1764" s="15" t="n">
        <x:v>127</x:v>
      </x:c>
      <x:c r="I1764" s="9" t="str">
        <x:v>P11</x:v>
      </x:c>
      <x:c r="J1764" s="11" t="n">
        <x:v>46307.35555555556</x:v>
      </x:c>
      <x:c r="K1764" s="15" t="n">
        <x:v>10</x:v>
      </x:c>
      <x:c r="L1764" s="15" t="n">
        <x:v>4</x:v>
      </x:c>
      <x:c r="M1764" s="13" t="n">
        <x:f>J1764+(K1764+L1764)/1440</x:f>
        <x:v>46307.36527777778</x:v>
      </x:c>
      <x:c r="N1764" s="13" t="n">
        <x:f>VLOOKUP(C1764,'MES orders'!$A$8:$H$127,5,FALSE)</x:f>
        <x:v>46307.666666666664</x:v>
      </x:c>
      <x:c r="O1764" s="16" t="n">
        <x:f>MAX(0,(M1764-N1764)*24)</x:f>
        <x:v>0</x:v>
      </x:c>
      <x:c r="P1764" s="9" t="str">
        <x:v>No</x:v>
      </x:c>
      <x:c r="Q1764" s="15" t="n">
        <x:v>14</x:v>
      </x:c>
      <x:c r="R1764" s="13" t="n">
        <x:f>J1764+Q1764/1440</x:f>
        <x:v>46307.36527777778</x:v>
      </x:c>
      <x:c r="S1764" s="2" t="str">
        <x:f>VLOOKUP(C1764,'MES orders'!$A$8:$H$127,6,FALSE)</x:f>
        <x:v>Normal</x:v>
      </x:c>
      <x:c r="T1764" s="9" t="str"/>
    </x:row>
    <x:row r="1765" ht="22" customHeight="1">
      <x:c r="A1765" s="2" t="str">
        <x:v>L00299-010</x:v>
      </x:c>
      <x:c r="B1765" s="2" t="str">
        <x:v>L00299</x:v>
      </x:c>
      <x:c r="C1765" s="2" t="str">
        <x:v>SO-26060</x:v>
      </x:c>
      <x:c r="D1765" s="2" t="str">
        <x:v>S-L-SS</x:v>
      </x:c>
      <x:c r="E1765" s="14" t="n">
        <x:v>5</x:v>
      </x:c>
      <x:c r="F1765" s="2" t="str">
        <x:v>CNC machining</x:v>
      </x:c>
      <x:c r="G1765" s="9" t="str">
        <x:v>CNC-04</x:v>
      </x:c>
      <x:c r="H1765" s="15" t="n">
        <x:v>53</x:v>
      </x:c>
      <x:c r="I1765" s="9" t="str">
        <x:v>P01</x:v>
      </x:c>
      <x:c r="J1765" s="11" t="n">
        <x:v>46307.361805555556</x:v>
      </x:c>
      <x:c r="K1765" s="15" t="n">
        <x:v>18</x:v>
      </x:c>
      <x:c r="L1765" s="15" t="n">
        <x:v>20</x:v>
      </x:c>
      <x:c r="M1765" s="13" t="n">
        <x:f>J1765+(K1765+L1765)/1440</x:f>
        <x:v>46307.388194444444</x:v>
      </x:c>
      <x:c r="N1765" s="13" t="n">
        <x:f>VLOOKUP(C1765,'MES orders'!$A$8:$H$127,5,FALSE)</x:f>
        <x:v>46307.666666666664</x:v>
      </x:c>
      <x:c r="O1765" s="16" t="n">
        <x:f>MAX(0,(M1765-N1765)*24)</x:f>
        <x:v>0</x:v>
      </x:c>
      <x:c r="P1765" s="9" t="str">
        <x:v>No</x:v>
      </x:c>
      <x:c r="Q1765" s="15" t="n">
        <x:v>18</x:v>
      </x:c>
      <x:c r="R1765" s="13" t="n">
        <x:f>J1765+Q1765/1440</x:f>
        <x:v>46307.37430555555</x:v>
      </x:c>
      <x:c r="S1765" s="2" t="str">
        <x:f>VLOOKUP(C1765,'MES orders'!$A$8:$H$127,6,FALSE)</x:f>
        <x:v>Normal</x:v>
      </x:c>
      <x:c r="T1765" s="9" t="str"/>
    </x:row>
    <x:row r="1766" ht="22" customHeight="1">
      <x:c r="A1766" s="2" t="str">
        <x:v>L00424-060</x:v>
      </x:c>
      <x:c r="B1766" s="2" t="str">
        <x:v>L00424</x:v>
      </x:c>
      <x:c r="C1766" s="2" t="str">
        <x:v>SO-26085</x:v>
      </x:c>
      <x:c r="D1766" s="2" t="str">
        <x:v>S-C-AL</x:v>
      </x:c>
      <x:c r="E1766" s="14" t="n">
        <x:v>10</x:v>
      </x:c>
      <x:c r="F1766" s="2" t="str">
        <x:v>Sensor calibration</x:v>
      </x:c>
      <x:c r="G1766" s="9" t="str">
        <x:v>CAL-01</x:v>
      </x:c>
      <x:c r="H1766" s="15" t="n">
        <x:v>89</x:v>
      </x:c>
      <x:c r="I1766" s="9" t="str">
        <x:v>P09</x:v>
      </x:c>
      <x:c r="J1766" s="11" t="n">
        <x:v>46307.3625</x:v>
      </x:c>
      <x:c r="K1766" s="15" t="n">
        <x:v>10</x:v>
      </x:c>
      <x:c r="L1766" s="15" t="n">
        <x:v>10</x:v>
      </x:c>
      <x:c r="M1766" s="13" t="n">
        <x:f>J1766+(K1766+L1766)/1440</x:f>
        <x:v>46307.37638888889</x:v>
      </x:c>
      <x:c r="N1766" s="13" t="n">
        <x:f>VLOOKUP(C1766,'MES orders'!$A$8:$H$127,5,FALSE)</x:f>
        <x:v>46308.666666666664</x:v>
      </x:c>
      <x:c r="O1766" s="16" t="n">
        <x:f>MAX(0,(M1766-N1766)*24)</x:f>
        <x:v>0</x:v>
      </x:c>
      <x:c r="P1766" s="9" t="str">
        <x:v>No</x:v>
      </x:c>
      <x:c r="Q1766" s="15" t="n">
        <x:v>20</x:v>
      </x:c>
      <x:c r="R1766" s="13" t="n">
        <x:f>J1766+Q1766/1440</x:f>
        <x:v>46307.37638888889</x:v>
      </x:c>
      <x:c r="S1766" s="2" t="str">
        <x:f>VLOOKUP(C1766,'MES orders'!$A$8:$H$127,6,FALSE)</x:f>
        <x:v>High</x:v>
      </x:c>
      <x:c r="T1766" s="9" t="str"/>
    </x:row>
    <x:row r="1767" ht="22" customHeight="1">
      <x:c r="A1767" s="2" t="str">
        <x:v>L00256-040</x:v>
      </x:c>
      <x:c r="B1767" s="2" t="str">
        <x:v>L00256</x:v>
      </x:c>
      <x:c r="C1767" s="2" t="str">
        <x:v>SO-26052</x:v>
      </x:c>
      <x:c r="D1767" s="2" t="str">
        <x:v>S-S-SS</x:v>
      </x:c>
      <x:c r="E1767" s="14" t="n">
        <x:v>25</x:v>
      </x:c>
      <x:c r="F1767" s="2" t="str">
        <x:v>Mechanical preassembly</x:v>
      </x:c>
      <x:c r="G1767" s="9" t="str">
        <x:v>AS-01</x:v>
      </x:c>
      <x:c r="H1767" s="15" t="n">
        <x:v>143</x:v>
      </x:c>
      <x:c r="I1767" s="9" t="str">
        <x:v>P04</x:v>
      </x:c>
      <x:c r="J1767" s="11" t="n">
        <x:v>46307.365277777775</x:v>
      </x:c>
      <x:c r="K1767" s="15" t="n">
        <x:v>6</x:v>
      </x:c>
      <x:c r="L1767" s="15" t="n">
        <x:v>28</x:v>
      </x:c>
      <x:c r="M1767" s="13" t="n">
        <x:f>J1767+(K1767+L1767)/1440</x:f>
        <x:v>46307.38888888888</x:v>
      </x:c>
      <x:c r="N1767" s="13" t="n">
        <x:f>VLOOKUP(C1767,'MES orders'!$A$8:$H$127,5,FALSE)</x:f>
        <x:v>46307.666666666664</x:v>
      </x:c>
      <x:c r="O1767" s="16" t="n">
        <x:f>MAX(0,(M1767-N1767)*24)</x:f>
        <x:v>0</x:v>
      </x:c>
      <x:c r="P1767" s="9" t="str">
        <x:v>No</x:v>
      </x:c>
      <x:c r="Q1767" s="15" t="n">
        <x:v>34</x:v>
      </x:c>
      <x:c r="R1767" s="13" t="n">
        <x:f>J1767+Q1767/1440</x:f>
        <x:v>46307.38888888888</x:v>
      </x:c>
      <x:c r="S1767" s="2" t="str">
        <x:f>VLOOKUP(C1767,'MES orders'!$A$8:$H$127,6,FALSE)</x:f>
        <x:v>Normal</x:v>
      </x:c>
      <x:c r="T1767" s="9" t="str"/>
    </x:row>
    <x:row r="1768" ht="22" customHeight="1">
      <x:c r="A1768" s="2" t="str">
        <x:v>L00257-030</x:v>
      </x:c>
      <x:c r="B1768" s="2" t="str">
        <x:v>L00257</x:v>
      </x:c>
      <x:c r="C1768" s="2" t="str">
        <x:v>SO-26052</x:v>
      </x:c>
      <x:c r="D1768" s="2" t="str">
        <x:v>S-S-SS</x:v>
      </x:c>
      <x:c r="E1768" s="14" t="n">
        <x:v>25</x:v>
      </x:c>
      <x:c r="F1768" s="2" t="str">
        <x:v>Wash &amp; dry</x:v>
      </x:c>
      <x:c r="G1768" s="9" t="str">
        <x:v>WS-01</x:v>
      </x:c>
      <x:c r="H1768" s="15" t="n">
        <x:v>165</x:v>
      </x:c>
      <x:c r="I1768" s="9" t="str">
        <x:v>P05</x:v>
      </x:c>
      <x:c r="J1768" s="11" t="n">
        <x:v>46307.365277777775</x:v>
      </x:c>
      <x:c r="K1768" s="15" t="n">
        <x:v>12</x:v>
      </x:c>
      <x:c r="L1768" s="15" t="n">
        <x:v>9</x:v>
      </x:c>
      <x:c r="M1768" s="13" t="n">
        <x:f>J1768+(K1768+L1768)/1440</x:f>
        <x:v>46307.379861111105</x:v>
      </x:c>
      <x:c r="N1768" s="13" t="n">
        <x:f>VLOOKUP(C1768,'MES orders'!$A$8:$H$127,5,FALSE)</x:f>
        <x:v>46307.666666666664</x:v>
      </x:c>
      <x:c r="O1768" s="16" t="n">
        <x:f>MAX(0,(M1768-N1768)*24)</x:f>
        <x:v>0</x:v>
      </x:c>
      <x:c r="P1768" s="9" t="str">
        <x:v>No</x:v>
      </x:c>
      <x:c r="Q1768" s="15" t="n">
        <x:v>21</x:v>
      </x:c>
      <x:c r="R1768" s="13" t="n">
        <x:f>J1768+Q1768/1440</x:f>
        <x:v>46307.379861111105</x:v>
      </x:c>
      <x:c r="S1768" s="2" t="str">
        <x:f>VLOOKUP(C1768,'MES orders'!$A$8:$H$127,6,FALSE)</x:f>
        <x:v>Normal</x:v>
      </x:c>
      <x:c r="T1768" s="9" t="str"/>
    </x:row>
    <x:row r="1769" ht="22" customHeight="1">
      <x:c r="A1769" s="2" t="str">
        <x:v>L00300-010</x:v>
      </x:c>
      <x:c r="B1769" s="2" t="str">
        <x:v>L00300</x:v>
      </x:c>
      <x:c r="C1769" s="2" t="str">
        <x:v>SO-26060</x:v>
      </x:c>
      <x:c r="D1769" s="2" t="str">
        <x:v>S-L-SS</x:v>
      </x:c>
      <x:c r="E1769" s="14" t="n">
        <x:v>5</x:v>
      </x:c>
      <x:c r="F1769" s="2" t="str">
        <x:v>CNC machining</x:v>
      </x:c>
      <x:c r="G1769" s="9" t="str">
        <x:v>CNC-05</x:v>
      </x:c>
      <x:c r="H1769" s="15" t="n">
        <x:v>47</x:v>
      </x:c>
      <x:c r="I1769" s="9" t="str">
        <x:v>P02</x:v>
      </x:c>
      <x:c r="J1769" s="11" t="n">
        <x:v>46307.36597222222</x:v>
      </x:c>
      <x:c r="K1769" s="15" t="n">
        <x:v>18</x:v>
      </x:c>
      <x:c r="L1769" s="15" t="n">
        <x:v>20</x:v>
      </x:c>
      <x:c r="M1769" s="13" t="n">
        <x:f>J1769+(K1769+L1769)/1440</x:f>
        <x:v>46307.39236111111</x:v>
      </x:c>
      <x:c r="N1769" s="13" t="n">
        <x:f>VLOOKUP(C1769,'MES orders'!$A$8:$H$127,5,FALSE)</x:f>
        <x:v>46307.666666666664</x:v>
      </x:c>
      <x:c r="O1769" s="16" t="n">
        <x:f>MAX(0,(M1769-N1769)*24)</x:f>
        <x:v>0</x:v>
      </x:c>
      <x:c r="P1769" s="9" t="str">
        <x:v>No</x:v>
      </x:c>
      <x:c r="Q1769" s="15" t="n">
        <x:v>18</x:v>
      </x:c>
      <x:c r="R1769" s="13" t="n">
        <x:f>J1769+Q1769/1440</x:f>
        <x:v>46307.37847222222</x:v>
      </x:c>
      <x:c r="S1769" s="2" t="str">
        <x:f>VLOOKUP(C1769,'MES orders'!$A$8:$H$127,6,FALSE)</x:f>
        <x:v>Normal</x:v>
      </x:c>
      <x:c r="T1769" s="9" t="str"/>
    </x:row>
    <x:row r="1770" ht="22" customHeight="1">
      <x:c r="A1770" s="2" t="str">
        <x:v>L00296-020</x:v>
      </x:c>
      <x:c r="B1770" s="2" t="str">
        <x:v>L00296</x:v>
      </x:c>
      <x:c r="C1770" s="2" t="str">
        <x:v>SO-26060</x:v>
      </x:c>
      <x:c r="D1770" s="2" t="str">
        <x:v>S-L-SS</x:v>
      </x:c>
      <x:c r="E1770" s="14" t="n">
        <x:v>5</x:v>
      </x:c>
      <x:c r="F1770" s="2" t="str">
        <x:v>Deburr &amp; inspect</x:v>
      </x:c>
      <x:c r="G1770" s="9" t="str">
        <x:v>DB-01</x:v>
      </x:c>
      <x:c r="H1770" s="15" t="n">
        <x:v>169</x:v>
      </x:c>
      <x:c r="I1770" s="9" t="str">
        <x:v>P06</x:v>
      </x:c>
      <x:c r="J1770" s="11" t="n">
        <x:v>46307.36597222222</x:v>
      </x:c>
      <x:c r="K1770" s="15" t="n">
        <x:v>4</x:v>
      </x:c>
      <x:c r="L1770" s="15" t="n">
        <x:v>5</x:v>
      </x:c>
      <x:c r="M1770" s="13" t="n">
        <x:f>J1770+(K1770+L1770)/1440</x:f>
        <x:v>46307.37222222222</x:v>
      </x:c>
      <x:c r="N1770" s="13" t="n">
        <x:f>VLOOKUP(C1770,'MES orders'!$A$8:$H$127,5,FALSE)</x:f>
        <x:v>46307.666666666664</x:v>
      </x:c>
      <x:c r="O1770" s="16" t="n">
        <x:f>MAX(0,(M1770-N1770)*24)</x:f>
        <x:v>0</x:v>
      </x:c>
      <x:c r="P1770" s="9" t="str">
        <x:v>No</x:v>
      </x:c>
      <x:c r="Q1770" s="15" t="n">
        <x:v>9</x:v>
      </x:c>
      <x:c r="R1770" s="13" t="n">
        <x:f>J1770+Q1770/1440</x:f>
        <x:v>46307.37222222222</x:v>
      </x:c>
      <x:c r="S1770" s="2" t="str">
        <x:f>VLOOKUP(C1770,'MES orders'!$A$8:$H$127,6,FALSE)</x:f>
        <x:v>Normal</x:v>
      </x:c>
      <x:c r="T1770" s="9" t="str"/>
    </x:row>
    <x:row r="1771" ht="22" customHeight="1">
      <x:c r="A1771" s="2" t="str">
        <x:v>L00064-020</x:v>
      </x:c>
      <x:c r="B1771" s="2" t="str">
        <x:v>L00064</x:v>
      </x:c>
      <x:c r="C1771" s="2" t="str">
        <x:v>SO-26013</x:v>
      </x:c>
      <x:c r="D1771" s="2" t="str">
        <x:v>S-C-AL</x:v>
      </x:c>
      <x:c r="E1771" s="14" t="n">
        <x:v>5</x:v>
      </x:c>
      <x:c r="F1771" s="2" t="str">
        <x:v>Deburr &amp; inspect</x:v>
      </x:c>
      <x:c r="G1771" s="9" t="str">
        <x:v>DB-02</x:v>
      </x:c>
      <x:c r="H1771" s="15" t="n">
        <x:v>113</x:v>
      </x:c>
      <x:c r="I1771" s="9" t="str">
        <x:v>P03</x:v>
      </x:c>
      <x:c r="J1771" s="11" t="n">
        <x:v>46307.37152777778</x:v>
      </x:c>
      <x:c r="K1771" s="15" t="n">
        <x:v>4</x:v>
      </x:c>
      <x:c r="L1771" s="15" t="n">
        <x:v>3</x:v>
      </x:c>
      <x:c r="M1771" s="13" t="n">
        <x:f>J1771+(K1771+L1771)/1440</x:f>
        <x:v>46307.37638888889</x:v>
      </x:c>
      <x:c r="N1771" s="13" t="n">
        <x:f>VLOOKUP(C1771,'MES orders'!$A$8:$H$127,5,FALSE)</x:f>
        <x:v>46308.666666666664</x:v>
      </x:c>
      <x:c r="O1771" s="16" t="n">
        <x:f>MAX(0,(M1771-N1771)*24)</x:f>
        <x:v>0</x:v>
      </x:c>
      <x:c r="P1771" s="9" t="str">
        <x:v>No</x:v>
      </x:c>
      <x:c r="Q1771" s="15" t="n">
        <x:v>7</x:v>
      </x:c>
      <x:c r="R1771" s="13" t="n">
        <x:f>J1771+Q1771/1440</x:f>
        <x:v>46307.37638888889</x:v>
      </x:c>
      <x:c r="S1771" s="2" t="str">
        <x:f>VLOOKUP(C1771,'MES orders'!$A$8:$H$127,6,FALSE)</x:f>
        <x:v>Normal</x:v>
      </x:c>
      <x:c r="T1771" s="9" t="str"/>
    </x:row>
    <x:row r="1772" ht="22" customHeight="1">
      <x:c r="A1772" s="2" t="str">
        <x:v>L00336-010</x:v>
      </x:c>
      <x:c r="B1772" s="2" t="str">
        <x:v>L00336</x:v>
      </x:c>
      <x:c r="C1772" s="2" t="str">
        <x:v>SO-26068</x:v>
      </x:c>
      <x:c r="D1772" s="2" t="str">
        <x:v>D-C-SS</x:v>
      </x:c>
      <x:c r="E1772" s="14" t="n">
        <x:v>15</x:v>
      </x:c>
      <x:c r="F1772" s="2" t="str">
        <x:v>CNC machining</x:v>
      </x:c>
      <x:c r="G1772" s="9" t="str">
        <x:v>CNC-06</x:v>
      </x:c>
      <x:c r="H1772" s="15" t="n">
        <x:v>44</x:v>
      </x:c>
      <x:c r="I1772" s="9" t="str">
        <x:v>P01</x:v>
      </x:c>
      <x:c r="J1772" s="11" t="n">
        <x:v>46307.37430555555</x:v>
      </x:c>
      <x:c r="K1772" s="15" t="n">
        <x:v>18</x:v>
      </x:c>
      <x:c r="L1772" s="15" t="n">
        <x:v>36</x:v>
      </x:c>
      <x:c r="M1772" s="13" t="n">
        <x:f>J1772+(K1772+L1772)/1440</x:f>
        <x:v>46307.41180555555</x:v>
      </x:c>
      <x:c r="N1772" s="13" t="n">
        <x:f>VLOOKUP(C1772,'MES orders'!$A$8:$H$127,5,FALSE)</x:f>
        <x:v>46307.666666666664</x:v>
      </x:c>
      <x:c r="O1772" s="16" t="n">
        <x:f>MAX(0,(M1772-N1772)*24)</x:f>
        <x:v>0</x:v>
      </x:c>
      <x:c r="P1772" s="9" t="str">
        <x:v>No</x:v>
      </x:c>
      <x:c r="Q1772" s="15" t="n">
        <x:v>18</x:v>
      </x:c>
      <x:c r="R1772" s="13" t="n">
        <x:f>J1772+Q1772/1440</x:f>
        <x:v>46307.38680555555</x:v>
      </x:c>
      <x:c r="S1772" s="2" t="str">
        <x:f>VLOOKUP(C1772,'MES orders'!$A$8:$H$127,6,FALSE)</x:f>
        <x:v>Normal</x:v>
      </x:c>
      <x:c r="T1772" s="9" t="str"/>
    </x:row>
    <x:row r="1773" ht="22" customHeight="1">
      <x:c r="A1773" s="2" t="str">
        <x:v>L00258-030</x:v>
      </x:c>
      <x:c r="B1773" s="2" t="str">
        <x:v>L00258</x:v>
      </x:c>
      <x:c r="C1773" s="2" t="str">
        <x:v>SO-26052</x:v>
      </x:c>
      <x:c r="D1773" s="2" t="str">
        <x:v>S-S-SS</x:v>
      </x:c>
      <x:c r="E1773" s="14" t="n">
        <x:v>25</x:v>
      </x:c>
      <x:c r="F1773" s="2" t="str">
        <x:v>Wash &amp; dry</x:v>
      </x:c>
      <x:c r="G1773" s="9" t="str">
        <x:v>WS-02</x:v>
      </x:c>
      <x:c r="H1773" s="15" t="n">
        <x:v>113</x:v>
      </x:c>
      <x:c r="I1773" s="9" t="str">
        <x:v>P06</x:v>
      </x:c>
      <x:c r="J1773" s="11" t="n">
        <x:v>46307.375</x:v>
      </x:c>
      <x:c r="K1773" s="15" t="n">
        <x:v>12</x:v>
      </x:c>
      <x:c r="L1773" s="15" t="n">
        <x:v>9</x:v>
      </x:c>
      <x:c r="M1773" s="13" t="n">
        <x:f>J1773+(K1773+L1773)/1440</x:f>
        <x:v>46307.38958333333</x:v>
      </x:c>
      <x:c r="N1773" s="13" t="n">
        <x:f>VLOOKUP(C1773,'MES orders'!$A$8:$H$127,5,FALSE)</x:f>
        <x:v>46307.666666666664</x:v>
      </x:c>
      <x:c r="O1773" s="16" t="n">
        <x:f>MAX(0,(M1773-N1773)*24)</x:f>
        <x:v>0</x:v>
      </x:c>
      <x:c r="P1773" s="9" t="str">
        <x:v>No</x:v>
      </x:c>
      <x:c r="Q1773" s="15" t="n">
        <x:v>21</x:v>
      </x:c>
      <x:c r="R1773" s="13" t="n">
        <x:f>J1773+Q1773/1440</x:f>
        <x:v>46307.38958333333</x:v>
      </x:c>
      <x:c r="S1773" s="2" t="str">
        <x:f>VLOOKUP(C1773,'MES orders'!$A$8:$H$127,6,FALSE)</x:f>
        <x:v>Normal</x:v>
      </x:c>
      <x:c r="T1773" s="9" t="str"/>
    </x:row>
    <x:row r="1774" ht="22" customHeight="1">
      <x:c r="A1774" s="2" t="str">
        <x:v>L00424-070</x:v>
      </x:c>
      <x:c r="B1774" s="2" t="str">
        <x:v>L00424</x:v>
      </x:c>
      <x:c r="C1774" s="2" t="str">
        <x:v>SO-26085</x:v>
      </x:c>
      <x:c r="D1774" s="2" t="str">
        <x:v>S-C-AL</x:v>
      </x:c>
      <x:c r="E1774" s="14" t="n">
        <x:v>10</x:v>
      </x:c>
      <x:c r="F1774" s="2" t="str">
        <x:v>Final assembly</x:v>
      </x:c>
      <x:c r="G1774" s="9" t="str">
        <x:v>AS-03</x:v>
      </x:c>
      <x:c r="H1774" s="15" t="n">
        <x:v>92</x:v>
      </x:c>
      <x:c r="I1774" s="9" t="str">
        <x:v>P08</x:v>
      </x:c>
      <x:c r="J1774" s="11" t="n">
        <x:v>46307.376388888886</x:v>
      </x:c>
      <x:c r="K1774" s="15" t="n">
        <x:v>5</x:v>
      </x:c>
      <x:c r="L1774" s="15" t="n">
        <x:v>6</x:v>
      </x:c>
      <x:c r="M1774" s="13" t="n">
        <x:f>J1774+(K1774+L1774)/1440</x:f>
        <x:v>46307.38402777778</x:v>
      </x:c>
      <x:c r="N1774" s="13" t="n">
        <x:f>VLOOKUP(C1774,'MES orders'!$A$8:$H$127,5,FALSE)</x:f>
        <x:v>46308.666666666664</x:v>
      </x:c>
      <x:c r="O1774" s="16" t="n">
        <x:f>MAX(0,(M1774-N1774)*24)</x:f>
        <x:v>0</x:v>
      </x:c>
      <x:c r="P1774" s="9" t="str">
        <x:v>No</x:v>
      </x:c>
      <x:c r="Q1774" s="15" t="n">
        <x:v>11</x:v>
      </x:c>
      <x:c r="R1774" s="13" t="n">
        <x:f>J1774+Q1774/1440</x:f>
        <x:v>46307.38402777778</x:v>
      </x:c>
      <x:c r="S1774" s="2" t="str">
        <x:f>VLOOKUP(C1774,'MES orders'!$A$8:$H$127,6,FALSE)</x:f>
        <x:v>High</x:v>
      </x:c>
      <x:c r="T1774" s="9" t="str"/>
    </x:row>
    <x:row r="1775" ht="22" customHeight="1">
      <x:c r="A1775" s="2" t="str">
        <x:v>L00425-060</x:v>
      </x:c>
      <x:c r="B1775" s="2" t="str">
        <x:v>L00425</x:v>
      </x:c>
      <x:c r="C1775" s="2" t="str">
        <x:v>SO-26085</x:v>
      </x:c>
      <x:c r="D1775" s="2" t="str">
        <x:v>S-C-AL</x:v>
      </x:c>
      <x:c r="E1775" s="14" t="n">
        <x:v>10</x:v>
      </x:c>
      <x:c r="F1775" s="2" t="str">
        <x:v>Sensor calibration</x:v>
      </x:c>
      <x:c r="G1775" s="9" t="str">
        <x:v>CAL-01</x:v>
      </x:c>
      <x:c r="H1775" s="15" t="n">
        <x:v>90</x:v>
      </x:c>
      <x:c r="I1775" s="9" t="str">
        <x:v>P09</x:v>
      </x:c>
      <x:c r="J1775" s="11" t="n">
        <x:v>46307.376388888886</x:v>
      </x:c>
      <x:c r="K1775" s="15" t="n">
        <x:v>10</x:v>
      </x:c>
      <x:c r="L1775" s="15" t="n">
        <x:v>10</x:v>
      </x:c>
      <x:c r="M1775" s="13" t="n">
        <x:f>J1775+(K1775+L1775)/1440</x:f>
        <x:v>46307.39027777778</x:v>
      </x:c>
      <x:c r="N1775" s="13" t="n">
        <x:f>VLOOKUP(C1775,'MES orders'!$A$8:$H$127,5,FALSE)</x:f>
        <x:v>46308.666666666664</x:v>
      </x:c>
      <x:c r="O1775" s="16" t="n">
        <x:f>MAX(0,(M1775-N1775)*24)</x:f>
        <x:v>0</x:v>
      </x:c>
      <x:c r="P1775" s="9" t="str">
        <x:v>No</x:v>
      </x:c>
      <x:c r="Q1775" s="15" t="n">
        <x:v>20</x:v>
      </x:c>
      <x:c r="R1775" s="13" t="n">
        <x:f>J1775+Q1775/1440</x:f>
        <x:v>46307.39027777778</x:v>
      </x:c>
      <x:c r="S1775" s="2" t="str">
        <x:f>VLOOKUP(C1775,'MES orders'!$A$8:$H$127,6,FALSE)</x:f>
        <x:v>High</x:v>
      </x:c>
      <x:c r="T1775" s="9" t="str"/>
    </x:row>
    <x:row r="1776" ht="22" customHeight="1">
      <x:c r="A1776" s="2" t="str">
        <x:v>L00257-040</x:v>
      </x:c>
      <x:c r="B1776" s="2" t="str">
        <x:v>L00257</x:v>
      </x:c>
      <x:c r="C1776" s="2" t="str">
        <x:v>SO-26052</x:v>
      </x:c>
      <x:c r="D1776" s="2" t="str">
        <x:v>S-S-SS</x:v>
      </x:c>
      <x:c r="E1776" s="14" t="n">
        <x:v>25</x:v>
      </x:c>
      <x:c r="F1776" s="2" t="str">
        <x:v>Mechanical preassembly</x:v>
      </x:c>
      <x:c r="G1776" s="9" t="str">
        <x:v>AS-02</x:v>
      </x:c>
      <x:c r="H1776" s="15" t="n">
        <x:v>116</x:v>
      </x:c>
      <x:c r="I1776" s="9" t="str">
        <x:v>P05</x:v>
      </x:c>
      <x:c r="J1776" s="11" t="n">
        <x:v>46307.37986111111</x:v>
      </x:c>
      <x:c r="K1776" s="15" t="n">
        <x:v>6</x:v>
      </x:c>
      <x:c r="L1776" s="15" t="n">
        <x:v>28</x:v>
      </x:c>
      <x:c r="M1776" s="13" t="n">
        <x:f>J1776+(K1776+L1776)/1440</x:f>
        <x:v>46307.40347222222</x:v>
      </x:c>
      <x:c r="N1776" s="13" t="n">
        <x:f>VLOOKUP(C1776,'MES orders'!$A$8:$H$127,5,FALSE)</x:f>
        <x:v>46307.666666666664</x:v>
      </x:c>
      <x:c r="O1776" s="16" t="n">
        <x:f>MAX(0,(M1776-N1776)*24)</x:f>
        <x:v>0</x:v>
      </x:c>
      <x:c r="P1776" s="9" t="str">
        <x:v>No</x:v>
      </x:c>
      <x:c r="Q1776" s="15" t="n">
        <x:v>34</x:v>
      </x:c>
      <x:c r="R1776" s="13" t="n">
        <x:f>J1776+Q1776/1440</x:f>
        <x:v>46307.40347222222</x:v>
      </x:c>
      <x:c r="S1776" s="2" t="str">
        <x:f>VLOOKUP(C1776,'MES orders'!$A$8:$H$127,6,FALSE)</x:f>
        <x:v>Normal</x:v>
      </x:c>
      <x:c r="T1776" s="9" t="str"/>
    </x:row>
    <x:row r="1777" ht="22" customHeight="1">
      <x:c r="A1777" s="2" t="str">
        <x:v>L00061-030</x:v>
      </x:c>
      <x:c r="B1777" s="2" t="str">
        <x:v>L00061</x:v>
      </x:c>
      <x:c r="C1777" s="2" t="str">
        <x:v>SO-26013</x:v>
      </x:c>
      <x:c r="D1777" s="2" t="str">
        <x:v>S-C-AL</x:v>
      </x:c>
      <x:c r="E1777" s="14" t="n">
        <x:v>5</x:v>
      </x:c>
      <x:c r="F1777" s="2" t="str">
        <x:v>Wash &amp; dry</x:v>
      </x:c>
      <x:c r="G1777" s="9" t="str">
        <x:v>WS-01</x:v>
      </x:c>
      <x:c r="H1777" s="15" t="n">
        <x:v>166</x:v>
      </x:c>
      <x:c r="I1777" s="9" t="str">
        <x:v>P02</x:v>
      </x:c>
      <x:c r="J1777" s="11" t="n">
        <x:v>46307.37986111111</x:v>
      </x:c>
      <x:c r="K1777" s="15" t="n">
        <x:v>12</x:v>
      </x:c>
      <x:c r="L1777" s="15" t="n">
        <x:v>1</x:v>
      </x:c>
      <x:c r="M1777" s="13" t="n">
        <x:f>J1777+(K1777+L1777)/1440</x:f>
        <x:v>46307.38888888889</x:v>
      </x:c>
      <x:c r="N1777" s="13" t="n">
        <x:f>VLOOKUP(C1777,'MES orders'!$A$8:$H$127,5,FALSE)</x:f>
        <x:v>46308.666666666664</x:v>
      </x:c>
      <x:c r="O1777" s="16" t="n">
        <x:f>MAX(0,(M1777-N1777)*24)</x:f>
        <x:v>0</x:v>
      </x:c>
      <x:c r="P1777" s="9" t="str">
        <x:v>No</x:v>
      </x:c>
      <x:c r="Q1777" s="15" t="n">
        <x:v>13</x:v>
      </x:c>
      <x:c r="R1777" s="13" t="n">
        <x:f>J1777+Q1777/1440</x:f>
        <x:v>46307.38888888889</x:v>
      </x:c>
      <x:c r="S1777" s="2" t="str">
        <x:f>VLOOKUP(C1777,'MES orders'!$A$8:$H$127,6,FALSE)</x:f>
        <x:v>Normal</x:v>
      </x:c>
      <x:c r="T1777" s="9" t="str"/>
    </x:row>
    <x:row r="1778" ht="22" customHeight="1">
      <x:c r="A1778" s="2" t="str">
        <x:v>L00424-080</x:v>
      </x:c>
      <x:c r="B1778" s="2" t="str">
        <x:v>L00424</x:v>
      </x:c>
      <x:c r="C1778" s="2" t="str">
        <x:v>SO-26085</x:v>
      </x:c>
      <x:c r="D1778" s="2" t="str">
        <x:v>S-C-AL</x:v>
      </x:c>
      <x:c r="E1778" s="14" t="n">
        <x:v>10</x:v>
      </x:c>
      <x:c r="F1778" s="2" t="str">
        <x:v>Final leak / function test</x:v>
      </x:c>
      <x:c r="G1778" s="9" t="str">
        <x:v>QA-02</x:v>
      </x:c>
      <x:c r="H1778" s="15" t="n">
        <x:v>128</x:v>
      </x:c>
      <x:c r="I1778" s="9" t="str">
        <x:v>P11</x:v>
      </x:c>
      <x:c r="J1778" s="11" t="n">
        <x:v>46307.38402777778</x:v>
      </x:c>
      <x:c r="K1778" s="15" t="n">
        <x:v>10</x:v>
      </x:c>
      <x:c r="L1778" s="15" t="n">
        <x:v>7</x:v>
      </x:c>
      <x:c r="M1778" s="13" t="n">
        <x:f>J1778+(K1778+L1778)/1440</x:f>
        <x:v>46307.395833333336</x:v>
      </x:c>
      <x:c r="N1778" s="13" t="n">
        <x:f>VLOOKUP(C1778,'MES orders'!$A$8:$H$127,5,FALSE)</x:f>
        <x:v>46308.666666666664</x:v>
      </x:c>
      <x:c r="O1778" s="16" t="n">
        <x:f>MAX(0,(M1778-N1778)*24)</x:f>
        <x:v>0</x:v>
      </x:c>
      <x:c r="P1778" s="9" t="str">
        <x:v>No</x:v>
      </x:c>
      <x:c r="Q1778" s="15" t="n">
        <x:v>17</x:v>
      </x:c>
      <x:c r="R1778" s="13" t="n">
        <x:f>J1778+Q1778/1440</x:f>
        <x:v>46307.395833333336</x:v>
      </x:c>
      <x:c r="S1778" s="2" t="str">
        <x:f>VLOOKUP(C1778,'MES orders'!$A$8:$H$127,6,FALSE)</x:f>
        <x:v>High</x:v>
      </x:c>
      <x:c r="T1778" s="9" t="str"/>
    </x:row>
    <x:row r="1779" ht="22" customHeight="1">
      <x:c r="A1779" s="2" t="str">
        <x:v>L00337-010</x:v>
      </x:c>
      <x:c r="B1779" s="2" t="str">
        <x:v>L00337</x:v>
      </x:c>
      <x:c r="C1779" s="2" t="str">
        <x:v>SO-26068</x:v>
      </x:c>
      <x:c r="D1779" s="2" t="str">
        <x:v>D-C-SS</x:v>
      </x:c>
      <x:c r="E1779" s="14" t="n">
        <x:v>15</x:v>
      </x:c>
      <x:c r="F1779" s="2" t="str">
        <x:v>CNC machining</x:v>
      </x:c>
      <x:c r="G1779" s="9" t="str">
        <x:v>CNC-04</x:v>
      </x:c>
      <x:c r="H1779" s="15" t="n">
        <x:v>54</x:v>
      </x:c>
      <x:c r="I1779" s="9" t="str">
        <x:v>P03</x:v>
      </x:c>
      <x:c r="J1779" s="11" t="n">
        <x:v>46307.388194444444</x:v>
      </x:c>
      <x:c r="K1779" s="15" t="n">
        <x:v>18</x:v>
      </x:c>
      <x:c r="L1779" s="15" t="n">
        <x:v>36</x:v>
      </x:c>
      <x:c r="M1779" s="13" t="n">
        <x:f>J1779+(K1779+L1779)/1440</x:f>
        <x:v>46307.42569444444</x:v>
      </x:c>
      <x:c r="N1779" s="13" t="n">
        <x:f>VLOOKUP(C1779,'MES orders'!$A$8:$H$127,5,FALSE)</x:f>
        <x:v>46307.666666666664</x:v>
      </x:c>
      <x:c r="O1779" s="16" t="n">
        <x:f>MAX(0,(M1779-N1779)*24)</x:f>
        <x:v>0</x:v>
      </x:c>
      <x:c r="P1779" s="9" t="str">
        <x:v>No</x:v>
      </x:c>
      <x:c r="Q1779" s="15" t="n">
        <x:v>18</x:v>
      </x:c>
      <x:c r="R1779" s="13" t="n">
        <x:f>J1779+Q1779/1440</x:f>
        <x:v>46307.40069444444</x:v>
      </x:c>
      <x:c r="S1779" s="2" t="str">
        <x:f>VLOOKUP(C1779,'MES orders'!$A$8:$H$127,6,FALSE)</x:f>
        <x:v>Normal</x:v>
      </x:c>
      <x:c r="T1779" s="9" t="str"/>
    </x:row>
    <x:row r="1780" ht="22" customHeight="1">
      <x:c r="A1780" s="2" t="str">
        <x:v>L00299-020</x:v>
      </x:c>
      <x:c r="B1780" s="2" t="str">
        <x:v>L00299</x:v>
      </x:c>
      <x:c r="C1780" s="2" t="str">
        <x:v>SO-26060</x:v>
      </x:c>
      <x:c r="D1780" s="2" t="str">
        <x:v>S-L-SS</x:v>
      </x:c>
      <x:c r="E1780" s="14" t="n">
        <x:v>5</x:v>
      </x:c>
      <x:c r="F1780" s="2" t="str">
        <x:v>Deburr &amp; inspect</x:v>
      </x:c>
      <x:c r="G1780" s="9" t="str">
        <x:v>DB-02</x:v>
      </x:c>
      <x:c r="H1780" s="15" t="n">
        <x:v>114</x:v>
      </x:c>
      <x:c r="I1780" s="9" t="str">
        <x:v>P01</x:v>
      </x:c>
      <x:c r="J1780" s="11" t="n">
        <x:v>46307.388194444444</x:v>
      </x:c>
      <x:c r="K1780" s="15" t="n">
        <x:v>4</x:v>
      </x:c>
      <x:c r="L1780" s="15" t="n">
        <x:v>5</x:v>
      </x:c>
      <x:c r="M1780" s="13" t="n">
        <x:f>J1780+(K1780+L1780)/1440</x:f>
        <x:v>46307.39444444444</x:v>
      </x:c>
      <x:c r="N1780" s="13" t="n">
        <x:f>VLOOKUP(C1780,'MES orders'!$A$8:$H$127,5,FALSE)</x:f>
        <x:v>46307.666666666664</x:v>
      </x:c>
      <x:c r="O1780" s="16" t="n">
        <x:f>MAX(0,(M1780-N1780)*24)</x:f>
        <x:v>0</x:v>
      </x:c>
      <x:c r="P1780" s="9" t="str">
        <x:v>No</x:v>
      </x:c>
      <x:c r="Q1780" s="15" t="n">
        <x:v>9</x:v>
      </x:c>
      <x:c r="R1780" s="13" t="n">
        <x:f>J1780+Q1780/1440</x:f>
        <x:v>46307.39444444444</x:v>
      </x:c>
      <x:c r="S1780" s="2" t="str">
        <x:f>VLOOKUP(C1780,'MES orders'!$A$8:$H$127,6,FALSE)</x:f>
        <x:v>Normal</x:v>
      </x:c>
      <x:c r="T1780" s="9" t="str"/>
    </x:row>
    <x:row r="1781" ht="22" customHeight="1">
      <x:c r="A1781" s="2" t="str">
        <x:v>L00061-040</x:v>
      </x:c>
      <x:c r="B1781" s="2" t="str">
        <x:v>L00061</x:v>
      </x:c>
      <x:c r="C1781" s="2" t="str">
        <x:v>SO-26013</x:v>
      </x:c>
      <x:c r="D1781" s="2" t="str">
        <x:v>S-C-AL</x:v>
      </x:c>
      <x:c r="E1781" s="14" t="n">
        <x:v>5</x:v>
      </x:c>
      <x:c r="F1781" s="2" t="str">
        <x:v>Mechanical preassembly</x:v>
      </x:c>
      <x:c r="G1781" s="9" t="str">
        <x:v>AS-04</x:v>
      </x:c>
      <x:c r="H1781" s="15" t="n">
        <x:v>62</x:v>
      </x:c>
      <x:c r="I1781" s="9" t="str">
        <x:v>P12</x:v>
      </x:c>
      <x:c r="J1781" s="11" t="n">
        <x:v>46307.38888888889</x:v>
      </x:c>
      <x:c r="K1781" s="15" t="n">
        <x:v>6</x:v>
      </x:c>
      <x:c r="L1781" s="15" t="n">
        <x:v>4</x:v>
      </x:c>
      <x:c r="M1781" s="13" t="n">
        <x:f>J1781+(K1781+L1781)/1440</x:f>
        <x:v>46307.395833333336</x:v>
      </x:c>
      <x:c r="N1781" s="13" t="n">
        <x:f>VLOOKUP(C1781,'MES orders'!$A$8:$H$127,5,FALSE)</x:f>
        <x:v>46308.666666666664</x:v>
      </x:c>
      <x:c r="O1781" s="16" t="n">
        <x:f>MAX(0,(M1781-N1781)*24)</x:f>
        <x:v>0</x:v>
      </x:c>
      <x:c r="P1781" s="9" t="str">
        <x:v>No</x:v>
      </x:c>
      <x:c r="Q1781" s="15" t="n">
        <x:v>10</x:v>
      </x:c>
      <x:c r="R1781" s="13" t="n">
        <x:f>J1781+Q1781/1440</x:f>
        <x:v>46307.395833333336</x:v>
      </x:c>
      <x:c r="S1781" s="2" t="str">
        <x:f>VLOOKUP(C1781,'MES orders'!$A$8:$H$127,6,FALSE)</x:f>
        <x:v>Normal</x:v>
      </x:c>
      <x:c r="T1781" s="9" t="str"/>
    </x:row>
    <x:row r="1782" ht="22" customHeight="1">
      <x:c r="A1782" s="2" t="str">
        <x:v>L00256-050</x:v>
      </x:c>
      <x:c r="B1782" s="2" t="str">
        <x:v>L00256</x:v>
      </x:c>
      <x:c r="C1782" s="2" t="str">
        <x:v>SO-26052</x:v>
      </x:c>
      <x:c r="D1782" s="2" t="str">
        <x:v>S-S-SS</x:v>
      </x:c>
      <x:c r="E1782" s="14" t="n">
        <x:v>25</x:v>
      </x:c>
      <x:c r="F1782" s="2" t="str">
        <x:v>Sensor installation</x:v>
      </x:c>
      <x:c r="G1782" s="9" t="str">
        <x:v>EL-01</x:v>
      </x:c>
      <x:c r="H1782" s="15" t="n">
        <x:v>61</x:v>
      </x:c>
      <x:c r="I1782" s="9" t="str">
        <x:v>P07</x:v>
      </x:c>
      <x:c r="J1782" s="11" t="n">
        <x:v>46307.38888888889</x:v>
      </x:c>
      <x:c r="K1782" s="15" t="n">
        <x:v>8</x:v>
      </x:c>
      <x:c r="L1782" s="15" t="n">
        <x:v>30</x:v>
      </x:c>
      <x:c r="M1782" s="13" t="n">
        <x:f>J1782+(K1782+L1782)/1440</x:f>
        <x:v>46307.41527777778</x:v>
      </x:c>
      <x:c r="N1782" s="13" t="n">
        <x:f>VLOOKUP(C1782,'MES orders'!$A$8:$H$127,5,FALSE)</x:f>
        <x:v>46307.666666666664</x:v>
      </x:c>
      <x:c r="O1782" s="16" t="n">
        <x:f>MAX(0,(M1782-N1782)*24)</x:f>
        <x:v>0</x:v>
      </x:c>
      <x:c r="P1782" s="9" t="str">
        <x:v>No</x:v>
      </x:c>
      <x:c r="Q1782" s="15" t="n">
        <x:v>38</x:v>
      </x:c>
      <x:c r="R1782" s="13" t="n">
        <x:f>J1782+Q1782/1440</x:f>
        <x:v>46307.41527777778</x:v>
      </x:c>
      <x:c r="S1782" s="2" t="str">
        <x:f>VLOOKUP(C1782,'MES orders'!$A$8:$H$127,6,FALSE)</x:f>
        <x:v>Normal</x:v>
      </x:c>
      <x:c r="T1782" s="9" t="str"/>
    </x:row>
    <x:row r="1783" ht="22" customHeight="1">
      <x:c r="A1783" s="2" t="str">
        <x:v>L00258-040</x:v>
      </x:c>
      <x:c r="B1783" s="2" t="str">
        <x:v>L00258</x:v>
      </x:c>
      <x:c r="C1783" s="2" t="str">
        <x:v>SO-26052</x:v>
      </x:c>
      <x:c r="D1783" s="2" t="str">
        <x:v>S-S-SS</x:v>
      </x:c>
      <x:c r="E1783" s="14" t="n">
        <x:v>25</x:v>
      </x:c>
      <x:c r="F1783" s="2" t="str">
        <x:v>Mechanical preassembly</x:v>
      </x:c>
      <x:c r="G1783" s="9" t="str">
        <x:v>AS-01</x:v>
      </x:c>
      <x:c r="H1783" s="15" t="n">
        <x:v>144</x:v>
      </x:c>
      <x:c r="I1783" s="9" t="str">
        <x:v>P04</x:v>
      </x:c>
      <x:c r="J1783" s="11" t="n">
        <x:v>46307.38958333333</x:v>
      </x:c>
      <x:c r="K1783" s="15" t="n">
        <x:v>6</x:v>
      </x:c>
      <x:c r="L1783" s="15" t="n">
        <x:v>28</x:v>
      </x:c>
      <x:c r="M1783" s="13" t="n">
        <x:f>J1783+(K1783+L1783)/1440</x:f>
        <x:v>46307.41319444444</x:v>
      </x:c>
      <x:c r="N1783" s="13" t="n">
        <x:f>VLOOKUP(C1783,'MES orders'!$A$8:$H$127,5,FALSE)</x:f>
        <x:v>46307.666666666664</x:v>
      </x:c>
      <x:c r="O1783" s="16" t="n">
        <x:f>MAX(0,(M1783-N1783)*24)</x:f>
        <x:v>0</x:v>
      </x:c>
      <x:c r="P1783" s="9" t="str">
        <x:v>No</x:v>
      </x:c>
      <x:c r="Q1783" s="15" t="n">
        <x:v>34</x:v>
      </x:c>
      <x:c r="R1783" s="13" t="n">
        <x:f>J1783+Q1783/1440</x:f>
        <x:v>46307.41319444444</x:v>
      </x:c>
      <x:c r="S1783" s="2" t="str">
        <x:f>VLOOKUP(C1783,'MES orders'!$A$8:$H$127,6,FALSE)</x:f>
        <x:v>Normal</x:v>
      </x:c>
      <x:c r="T1783" s="9" t="str"/>
    </x:row>
    <x:row r="1784" ht="22" customHeight="1">
      <x:c r="A1784" s="2" t="str">
        <x:v>L00259-020</x:v>
      </x:c>
      <x:c r="B1784" s="2" t="str">
        <x:v>L00259</x:v>
      </x:c>
      <x:c r="C1784" s="2" t="str">
        <x:v>SO-26052</x:v>
      </x:c>
      <x:c r="D1784" s="2" t="str">
        <x:v>S-S-SS</x:v>
      </x:c>
      <x:c r="E1784" s="14" t="n">
        <x:v>25</x:v>
      </x:c>
      <x:c r="F1784" s="2" t="str">
        <x:v>Deburr &amp; inspect</x:v>
      </x:c>
      <x:c r="G1784" s="9" t="str">
        <x:v>DB-01</x:v>
      </x:c>
      <x:c r="H1784" s="15" t="n">
        <x:v>170</x:v>
      </x:c>
      <x:c r="I1784" s="9" t="str">
        <x:v>P06</x:v>
      </x:c>
      <x:c r="J1784" s="11" t="n">
        <x:v>46307.38958333333</x:v>
      </x:c>
      <x:c r="K1784" s="15" t="n">
        <x:v>4</x:v>
      </x:c>
      <x:c r="L1784" s="15" t="n">
        <x:v>18</x:v>
      </x:c>
      <x:c r="M1784" s="13" t="n">
        <x:f>J1784+(K1784+L1784)/1440</x:f>
        <x:v>46307.40486111111</x:v>
      </x:c>
      <x:c r="N1784" s="13" t="n">
        <x:f>VLOOKUP(C1784,'MES orders'!$A$8:$H$127,5,FALSE)</x:f>
        <x:v>46307.666666666664</x:v>
      </x:c>
      <x:c r="O1784" s="16" t="n">
        <x:f>MAX(0,(M1784-N1784)*24)</x:f>
        <x:v>0</x:v>
      </x:c>
      <x:c r="P1784" s="9" t="str">
        <x:v>No</x:v>
      </x:c>
      <x:c r="Q1784" s="15" t="n">
        <x:v>22</x:v>
      </x:c>
      <x:c r="R1784" s="13" t="n">
        <x:f>J1784+Q1784/1440</x:f>
        <x:v>46307.40486111111</x:v>
      </x:c>
      <x:c r="S1784" s="2" t="str">
        <x:f>VLOOKUP(C1784,'MES orders'!$A$8:$H$127,6,FALSE)</x:f>
        <x:v>Normal</x:v>
      </x:c>
      <x:c r="T1784" s="9" t="str"/>
    </x:row>
    <x:row r="1785" ht="22" customHeight="1">
      <x:c r="A1785" s="2" t="str">
        <x:v>L00425-070</x:v>
      </x:c>
      <x:c r="B1785" s="2" t="str">
        <x:v>L00425</x:v>
      </x:c>
      <x:c r="C1785" s="2" t="str">
        <x:v>SO-26085</x:v>
      </x:c>
      <x:c r="D1785" s="2" t="str">
        <x:v>S-C-AL</x:v>
      </x:c>
      <x:c r="E1785" s="14" t="n">
        <x:v>10</x:v>
      </x:c>
      <x:c r="F1785" s="2" t="str">
        <x:v>Final assembly</x:v>
      </x:c>
      <x:c r="G1785" s="9" t="str">
        <x:v>AS-03</x:v>
      </x:c>
      <x:c r="H1785" s="15" t="n">
        <x:v>93</x:v>
      </x:c>
      <x:c r="I1785" s="9" t="str">
        <x:v>P08</x:v>
      </x:c>
      <x:c r="J1785" s="11" t="n">
        <x:v>46307.39027777778</x:v>
      </x:c>
      <x:c r="K1785" s="15" t="n">
        <x:v>5</x:v>
      </x:c>
      <x:c r="L1785" s="15" t="n">
        <x:v>6</x:v>
      </x:c>
      <x:c r="M1785" s="13" t="n">
        <x:f>J1785+(K1785+L1785)/1440</x:f>
        <x:v>46307.39791666667</x:v>
      </x:c>
      <x:c r="N1785" s="13" t="n">
        <x:f>VLOOKUP(C1785,'MES orders'!$A$8:$H$127,5,FALSE)</x:f>
        <x:v>46308.666666666664</x:v>
      </x:c>
      <x:c r="O1785" s="16" t="n">
        <x:f>MAX(0,(M1785-N1785)*24)</x:f>
        <x:v>0</x:v>
      </x:c>
      <x:c r="P1785" s="9" t="str">
        <x:v>No</x:v>
      </x:c>
      <x:c r="Q1785" s="15" t="n">
        <x:v>11</x:v>
      </x:c>
      <x:c r="R1785" s="13" t="n">
        <x:f>J1785+Q1785/1440</x:f>
        <x:v>46307.39791666667</x:v>
      </x:c>
      <x:c r="S1785" s="2" t="str">
        <x:f>VLOOKUP(C1785,'MES orders'!$A$8:$H$127,6,FALSE)</x:f>
        <x:v>High</x:v>
      </x:c>
      <x:c r="T1785" s="9" t="str"/>
    </x:row>
    <x:row r="1786" ht="22" customHeight="1">
      <x:c r="A1786" s="2" t="str">
        <x:v>L00300-020</x:v>
      </x:c>
      <x:c r="B1786" s="2" t="str">
        <x:v>L00300</x:v>
      </x:c>
      <x:c r="C1786" s="2" t="str">
        <x:v>SO-26060</x:v>
      </x:c>
      <x:c r="D1786" s="2" t="str">
        <x:v>S-L-SS</x:v>
      </x:c>
      <x:c r="E1786" s="14" t="n">
        <x:v>5</x:v>
      </x:c>
      <x:c r="F1786" s="2" t="str">
        <x:v>Deburr &amp; inspect</x:v>
      </x:c>
      <x:c r="G1786" s="9" t="str">
        <x:v>DB-02</x:v>
      </x:c>
      <x:c r="H1786" s="15" t="n">
        <x:v>115</x:v>
      </x:c>
      <x:c r="I1786" s="9" t="str">
        <x:v>P02</x:v>
      </x:c>
      <x:c r="J1786" s="11" t="n">
        <x:v>46307.39444444444</x:v>
      </x:c>
      <x:c r="K1786" s="15" t="n">
        <x:v>4</x:v>
      </x:c>
      <x:c r="L1786" s="15" t="n">
        <x:v>5</x:v>
      </x:c>
      <x:c r="M1786" s="13" t="n">
        <x:f>J1786+(K1786+L1786)/1440</x:f>
        <x:v>46307.40069444444</x:v>
      </x:c>
      <x:c r="N1786" s="13" t="n">
        <x:f>VLOOKUP(C1786,'MES orders'!$A$8:$H$127,5,FALSE)</x:f>
        <x:v>46307.666666666664</x:v>
      </x:c>
      <x:c r="O1786" s="16" t="n">
        <x:f>MAX(0,(M1786-N1786)*24)</x:f>
        <x:v>0</x:v>
      </x:c>
      <x:c r="P1786" s="9" t="str">
        <x:v>No</x:v>
      </x:c>
      <x:c r="Q1786" s="15" t="n">
        <x:v>9</x:v>
      </x:c>
      <x:c r="R1786" s="13" t="n">
        <x:f>J1786+Q1786/1440</x:f>
        <x:v>46307.40069444444</x:v>
      </x:c>
      <x:c r="S1786" s="2" t="str">
        <x:f>VLOOKUP(C1786,'MES orders'!$A$8:$H$127,6,FALSE)</x:f>
        <x:v>Normal</x:v>
      </x:c>
      <x:c r="T1786" s="9" t="str"/>
    </x:row>
    <x:row r="1787" ht="22" customHeight="1">
      <x:c r="A1787" s="2" t="str">
        <x:v>L00299-030</x:v>
      </x:c>
      <x:c r="B1787" s="2" t="str">
        <x:v>L00299</x:v>
      </x:c>
      <x:c r="C1787" s="2" t="str">
        <x:v>SO-26060</x:v>
      </x:c>
      <x:c r="D1787" s="2" t="str">
        <x:v>S-L-SS</x:v>
      </x:c>
      <x:c r="E1787" s="14" t="n">
        <x:v>5</x:v>
      </x:c>
      <x:c r="F1787" s="2" t="str">
        <x:v>Wash &amp; dry</x:v>
      </x:c>
      <x:c r="G1787" s="9" t="str">
        <x:v>WS-02</x:v>
      </x:c>
      <x:c r="H1787" s="15" t="n">
        <x:v>114</x:v>
      </x:c>
      <x:c r="I1787" s="9" t="str">
        <x:v>P01</x:v>
      </x:c>
      <x:c r="J1787" s="11" t="n">
        <x:v>46307.39444444444</x:v>
      </x:c>
      <x:c r="K1787" s="15" t="n">
        <x:v>12</x:v>
      </x:c>
      <x:c r="L1787" s="15" t="n">
        <x:v>2</x:v>
      </x:c>
      <x:c r="M1787" s="13" t="n">
        <x:f>J1787+(K1787+L1787)/1440</x:f>
        <x:v>46307.40416666667</x:v>
      </x:c>
      <x:c r="N1787" s="13" t="n">
        <x:f>VLOOKUP(C1787,'MES orders'!$A$8:$H$127,5,FALSE)</x:f>
        <x:v>46307.666666666664</x:v>
      </x:c>
      <x:c r="O1787" s="16" t="n">
        <x:f>MAX(0,(M1787-N1787)*24)</x:f>
        <x:v>0</x:v>
      </x:c>
      <x:c r="P1787" s="9" t="str">
        <x:v>No</x:v>
      </x:c>
      <x:c r="Q1787" s="15" t="n">
        <x:v>14</x:v>
      </x:c>
      <x:c r="R1787" s="13" t="n">
        <x:f>J1787+Q1787/1440</x:f>
        <x:v>46307.40416666667</x:v>
      </x:c>
      <x:c r="S1787" s="2" t="str">
        <x:f>VLOOKUP(C1787,'MES orders'!$A$8:$H$127,6,FALSE)</x:f>
        <x:v>Normal</x:v>
      </x:c>
      <x:c r="T1787" s="9" t="str"/>
    </x:row>
    <x:row r="1788" ht="22" customHeight="1">
      <x:c r="A1788" s="2" t="str">
        <x:v>L00061-050</x:v>
      </x:c>
      <x:c r="B1788" s="2" t="str">
        <x:v>L00061</x:v>
      </x:c>
      <x:c r="C1788" s="2" t="str">
        <x:v>SO-26013</x:v>
      </x:c>
      <x:c r="D1788" s="2" t="str">
        <x:v>S-C-AL</x:v>
      </x:c>
      <x:c r="E1788" s="14" t="n">
        <x:v>5</x:v>
      </x:c>
      <x:c r="F1788" s="2" t="str">
        <x:v>Sensor installation</x:v>
      </x:c>
      <x:c r="G1788" s="9" t="str">
        <x:v>EL-02</x:v>
      </x:c>
      <x:c r="H1788" s="15" t="n">
        <x:v>31</x:v>
      </x:c>
      <x:c r="I1788" s="9" t="str">
        <x:v>P08</x:v>
      </x:c>
      <x:c r="J1788" s="11" t="n">
        <x:v>46307.39791666667</x:v>
      </x:c>
      <x:c r="K1788" s="15" t="n">
        <x:v>8</x:v>
      </x:c>
      <x:c r="L1788" s="15" t="n">
        <x:v>5</x:v>
      </x:c>
      <x:c r="M1788" s="13" t="n">
        <x:f>J1788+(K1788+L1788)/1440</x:f>
        <x:v>46307.40694444445</x:v>
      </x:c>
      <x:c r="N1788" s="13" t="n">
        <x:f>VLOOKUP(C1788,'MES orders'!$A$8:$H$127,5,FALSE)</x:f>
        <x:v>46308.666666666664</x:v>
      </x:c>
      <x:c r="O1788" s="16" t="n">
        <x:f>MAX(0,(M1788-N1788)*24)</x:f>
        <x:v>0</x:v>
      </x:c>
      <x:c r="P1788" s="9" t="str">
        <x:v>No</x:v>
      </x:c>
      <x:c r="Q1788" s="15" t="n">
        <x:v>13</x:v>
      </x:c>
      <x:c r="R1788" s="13" t="n">
        <x:f>J1788+Q1788/1440</x:f>
        <x:v>46307.40694444445</x:v>
      </x:c>
      <x:c r="S1788" s="2" t="str">
        <x:f>VLOOKUP(C1788,'MES orders'!$A$8:$H$127,6,FALSE)</x:f>
        <x:v>Normal</x:v>
      </x:c>
      <x:c r="T1788" s="9" t="str"/>
    </x:row>
    <x:row r="1789" ht="22" customHeight="1">
      <x:c r="A1789" s="2" t="str">
        <x:v>L00425-080</x:v>
      </x:c>
      <x:c r="B1789" s="2" t="str">
        <x:v>L00425</x:v>
      </x:c>
      <x:c r="C1789" s="2" t="str">
        <x:v>SO-26085</x:v>
      </x:c>
      <x:c r="D1789" s="2" t="str">
        <x:v>S-C-AL</x:v>
      </x:c>
      <x:c r="E1789" s="14" t="n">
        <x:v>10</x:v>
      </x:c>
      <x:c r="F1789" s="2" t="str">
        <x:v>Final leak / function test</x:v>
      </x:c>
      <x:c r="G1789" s="9" t="str">
        <x:v>QA-02</x:v>
      </x:c>
      <x:c r="H1789" s="15" t="n">
        <x:v>129</x:v>
      </x:c>
      <x:c r="I1789" s="9" t="str">
        <x:v>P11</x:v>
      </x:c>
      <x:c r="J1789" s="11" t="n">
        <x:v>46307.39791666667</x:v>
      </x:c>
      <x:c r="K1789" s="15" t="n">
        <x:v>10</x:v>
      </x:c>
      <x:c r="L1789" s="15" t="n">
        <x:v>7</x:v>
      </x:c>
      <x:c r="M1789" s="13" t="n">
        <x:f>J1789+(K1789+L1789)/1440</x:f>
        <x:v>46307.409722222226</x:v>
      </x:c>
      <x:c r="N1789" s="13" t="n">
        <x:f>VLOOKUP(C1789,'MES orders'!$A$8:$H$127,5,FALSE)</x:f>
        <x:v>46308.666666666664</x:v>
      </x:c>
      <x:c r="O1789" s="16" t="n">
        <x:f>MAX(0,(M1789-N1789)*24)</x:f>
        <x:v>0</x:v>
      </x:c>
      <x:c r="P1789" s="9" t="str">
        <x:v>No</x:v>
      </x:c>
      <x:c r="Q1789" s="15" t="n">
        <x:v>17</x:v>
      </x:c>
      <x:c r="R1789" s="13" t="n">
        <x:f>J1789+Q1789/1440</x:f>
        <x:v>46307.409722222226</x:v>
      </x:c>
      <x:c r="S1789" s="2" t="str">
        <x:f>VLOOKUP(C1789,'MES orders'!$A$8:$H$127,6,FALSE)</x:f>
        <x:v>High</x:v>
      </x:c>
      <x:c r="T1789" s="9" t="str"/>
    </x:row>
    <x:row r="1790" ht="22" customHeight="1">
      <x:c r="A1790" s="2" t="str">
        <x:v>L00338-010</x:v>
      </x:c>
      <x:c r="B1790" s="2" t="str">
        <x:v>L00338</x:v>
      </x:c>
      <x:c r="C1790" s="2" t="str">
        <x:v>SO-26068</x:v>
      </x:c>
      <x:c r="D1790" s="2" t="str">
        <x:v>D-C-SS</x:v>
      </x:c>
      <x:c r="E1790" s="14" t="n">
        <x:v>15</x:v>
      </x:c>
      <x:c r="F1790" s="2" t="str">
        <x:v>CNC machining</x:v>
      </x:c>
      <x:c r="G1790" s="9" t="str">
        <x:v>CNC-03</x:v>
      </x:c>
      <x:c r="H1790" s="15" t="n">
        <x:v>56</x:v>
      </x:c>
      <x:c r="I1790" s="9" t="str">
        <x:v>P02</x:v>
      </x:c>
      <x:c r="J1790" s="11" t="n">
        <x:v>46307.40069444444</x:v>
      </x:c>
      <x:c r="K1790" s="15" t="n">
        <x:v>18</x:v>
      </x:c>
      <x:c r="L1790" s="15" t="n">
        <x:v>36</x:v>
      </x:c>
      <x:c r="M1790" s="13" t="n">
        <x:f>J1790+(K1790+L1790)/1440</x:f>
        <x:v>46307.43819444444</x:v>
      </x:c>
      <x:c r="N1790" s="13" t="n">
        <x:f>VLOOKUP(C1790,'MES orders'!$A$8:$H$127,5,FALSE)</x:f>
        <x:v>46307.666666666664</x:v>
      </x:c>
      <x:c r="O1790" s="16" t="n">
        <x:f>MAX(0,(M1790-N1790)*24)</x:f>
        <x:v>0</x:v>
      </x:c>
      <x:c r="P1790" s="9" t="str">
        <x:v>No</x:v>
      </x:c>
      <x:c r="Q1790" s="15" t="n">
        <x:v>18</x:v>
      </x:c>
      <x:c r="R1790" s="13" t="n">
        <x:f>J1790+Q1790/1440</x:f>
        <x:v>46307.41319444444</x:v>
      </x:c>
      <x:c r="S1790" s="2" t="str">
        <x:f>VLOOKUP(C1790,'MES orders'!$A$8:$H$127,6,FALSE)</x:f>
        <x:v>Normal</x:v>
      </x:c>
      <x:c r="T1790" s="9" t="str"/>
    </x:row>
    <x:row r="1791" ht="22" customHeight="1">
      <x:c r="A1791" s="2" t="str">
        <x:v>L00339-010</x:v>
      </x:c>
      <x:c r="B1791" s="2" t="str">
        <x:v>L00339</x:v>
      </x:c>
      <x:c r="C1791" s="2" t="str">
        <x:v>SO-26068</x:v>
      </x:c>
      <x:c r="D1791" s="2" t="str">
        <x:v>D-C-SS</x:v>
      </x:c>
      <x:c r="E1791" s="14" t="n">
        <x:v>15</x:v>
      </x:c>
      <x:c r="F1791" s="2" t="str">
        <x:v>CNC machining</x:v>
      </x:c>
      <x:c r="G1791" s="9" t="str">
        <x:v>CNC-05</x:v>
      </x:c>
      <x:c r="H1791" s="15" t="n">
        <x:v>48</x:v>
      </x:c>
      <x:c r="I1791" s="9" t="str">
        <x:v>P03</x:v>
      </x:c>
      <x:c r="J1791" s="11" t="n">
        <x:v>46307.40069444444</x:v>
      </x:c>
      <x:c r="K1791" s="15" t="n">
        <x:v>18</x:v>
      </x:c>
      <x:c r="L1791" s="15" t="n">
        <x:v>36</x:v>
      </x:c>
      <x:c r="M1791" s="13" t="n">
        <x:f>J1791+(K1791+L1791)/1440</x:f>
        <x:v>46307.43819444444</x:v>
      </x:c>
      <x:c r="N1791" s="13" t="n">
        <x:f>VLOOKUP(C1791,'MES orders'!$A$8:$H$127,5,FALSE)</x:f>
        <x:v>46307.666666666664</x:v>
      </x:c>
      <x:c r="O1791" s="16" t="n">
        <x:f>MAX(0,(M1791-N1791)*24)</x:f>
        <x:v>0</x:v>
      </x:c>
      <x:c r="P1791" s="9" t="str">
        <x:v>No</x:v>
      </x:c>
      <x:c r="Q1791" s="15" t="n">
        <x:v>18</x:v>
      </x:c>
      <x:c r="R1791" s="13" t="n">
        <x:f>J1791+Q1791/1440</x:f>
        <x:v>46307.41319444444</x:v>
      </x:c>
      <x:c r="S1791" s="2" t="str">
        <x:f>VLOOKUP(C1791,'MES orders'!$A$8:$H$127,6,FALSE)</x:f>
        <x:v>Normal</x:v>
      </x:c>
      <x:c r="T1791" s="9" t="str"/>
    </x:row>
    <x:row r="1792" ht="22" customHeight="1">
      <x:c r="A1792" s="2" t="str">
        <x:v>L00296-030</x:v>
      </x:c>
      <x:c r="B1792" s="2" t="str">
        <x:v>L00296</x:v>
      </x:c>
      <x:c r="C1792" s="2" t="str">
        <x:v>SO-26060</x:v>
      </x:c>
      <x:c r="D1792" s="2" t="str">
        <x:v>S-L-SS</x:v>
      </x:c>
      <x:c r="E1792" s="14" t="n">
        <x:v>5</x:v>
      </x:c>
      <x:c r="F1792" s="2" t="str">
        <x:v>Wash &amp; dry</x:v>
      </x:c>
      <x:c r="G1792" s="9" t="str">
        <x:v>WS-01</x:v>
      </x:c>
      <x:c r="H1792" s="15" t="n">
        <x:v>167</x:v>
      </x:c>
      <x:c r="I1792" s="9" t="str">
        <x:v>P05</x:v>
      </x:c>
      <x:c r="J1792" s="11" t="n">
        <x:v>46307.40347222222</x:v>
      </x:c>
      <x:c r="K1792" s="15" t="n">
        <x:v>12</x:v>
      </x:c>
      <x:c r="L1792" s="15" t="n">
        <x:v>2</x:v>
      </x:c>
      <x:c r="M1792" s="13" t="n">
        <x:f>J1792+(K1792+L1792)/1440</x:f>
        <x:v>46307.413194444445</x:v>
      </x:c>
      <x:c r="N1792" s="13" t="n">
        <x:f>VLOOKUP(C1792,'MES orders'!$A$8:$H$127,5,FALSE)</x:f>
        <x:v>46307.666666666664</x:v>
      </x:c>
      <x:c r="O1792" s="16" t="n">
        <x:f>MAX(0,(M1792-N1792)*24)</x:f>
        <x:v>0</x:v>
      </x:c>
      <x:c r="P1792" s="9" t="str">
        <x:v>No</x:v>
      </x:c>
      <x:c r="Q1792" s="15" t="n">
        <x:v>14</x:v>
      </x:c>
      <x:c r="R1792" s="13" t="n">
        <x:f>J1792+Q1792/1440</x:f>
        <x:v>46307.413194444445</x:v>
      </x:c>
      <x:c r="S1792" s="2" t="str">
        <x:f>VLOOKUP(C1792,'MES orders'!$A$8:$H$127,6,FALSE)</x:f>
        <x:v>Normal</x:v>
      </x:c>
      <x:c r="T1792" s="9" t="str"/>
    </x:row>
    <x:row r="1793" ht="22" customHeight="1">
      <x:c r="A1793" s="2" t="str">
        <x:v>L00300-030</x:v>
      </x:c>
      <x:c r="B1793" s="2" t="str">
        <x:v>L00300</x:v>
      </x:c>
      <x:c r="C1793" s="2" t="str">
        <x:v>SO-26060</x:v>
      </x:c>
      <x:c r="D1793" s="2" t="str">
        <x:v>S-L-SS</x:v>
      </x:c>
      <x:c r="E1793" s="14" t="n">
        <x:v>5</x:v>
      </x:c>
      <x:c r="F1793" s="2" t="str">
        <x:v>Wash &amp; dry</x:v>
      </x:c>
      <x:c r="G1793" s="9" t="str">
        <x:v>WS-02</x:v>
      </x:c>
      <x:c r="H1793" s="15" t="n">
        <x:v>115</x:v>
      </x:c>
      <x:c r="I1793" s="9" t="str">
        <x:v>P01</x:v>
      </x:c>
      <x:c r="J1793" s="11" t="n">
        <x:v>46307.40416666667</x:v>
      </x:c>
      <x:c r="K1793" s="15" t="n">
        <x:v>12</x:v>
      </x:c>
      <x:c r="L1793" s="15" t="n">
        <x:v>2</x:v>
      </x:c>
      <x:c r="M1793" s="13" t="n">
        <x:f>J1793+(K1793+L1793)/1440</x:f>
        <x:v>46307.41388888889</x:v>
      </x:c>
      <x:c r="N1793" s="13" t="n">
        <x:f>VLOOKUP(C1793,'MES orders'!$A$8:$H$127,5,FALSE)</x:f>
        <x:v>46307.666666666664</x:v>
      </x:c>
      <x:c r="O1793" s="16" t="n">
        <x:f>MAX(0,(M1793-N1793)*24)</x:f>
        <x:v>0</x:v>
      </x:c>
      <x:c r="P1793" s="9" t="str">
        <x:v>No</x:v>
      </x:c>
      <x:c r="Q1793" s="15" t="n">
        <x:v>14</x:v>
      </x:c>
      <x:c r="R1793" s="13" t="n">
        <x:f>J1793+Q1793/1440</x:f>
        <x:v>46307.41388888889</x:v>
      </x:c>
      <x:c r="S1793" s="2" t="str">
        <x:f>VLOOKUP(C1793,'MES orders'!$A$8:$H$127,6,FALSE)</x:f>
        <x:v>Normal</x:v>
      </x:c>
      <x:c r="T1793" s="9" t="str"/>
    </x:row>
    <x:row r="1794" ht="22" customHeight="1">
      <x:c r="A1794" s="2" t="str">
        <x:v>L00297-020</x:v>
      </x:c>
      <x:c r="B1794" s="2" t="str">
        <x:v>L00297</x:v>
      </x:c>
      <x:c r="C1794" s="2" t="str">
        <x:v>SO-26060</x:v>
      </x:c>
      <x:c r="D1794" s="2" t="str">
        <x:v>S-L-SS</x:v>
      </x:c>
      <x:c r="E1794" s="14" t="n">
        <x:v>5</x:v>
      </x:c>
      <x:c r="F1794" s="2" t="str">
        <x:v>Deburr &amp; inspect</x:v>
      </x:c>
      <x:c r="G1794" s="9" t="str">
        <x:v>DB-01</x:v>
      </x:c>
      <x:c r="H1794" s="15" t="n">
        <x:v>171</x:v>
      </x:c>
      <x:c r="I1794" s="9" t="str">
        <x:v>P06</x:v>
      </x:c>
      <x:c r="J1794" s="11" t="n">
        <x:v>46307.404861111114</x:v>
      </x:c>
      <x:c r="K1794" s="15" t="n">
        <x:v>4</x:v>
      </x:c>
      <x:c r="L1794" s="15" t="n">
        <x:v>5</x:v>
      </x:c>
      <x:c r="M1794" s="13" t="n">
        <x:f>J1794+(K1794+L1794)/1440</x:f>
        <x:v>46307.41111111111</x:v>
      </x:c>
      <x:c r="N1794" s="13" t="n">
        <x:f>VLOOKUP(C1794,'MES orders'!$A$8:$H$127,5,FALSE)</x:f>
        <x:v>46307.666666666664</x:v>
      </x:c>
      <x:c r="O1794" s="16" t="n">
        <x:f>MAX(0,(M1794-N1794)*24)</x:f>
        <x:v>0</x:v>
      </x:c>
      <x:c r="P1794" s="9" t="str">
        <x:v>No</x:v>
      </x:c>
      <x:c r="Q1794" s="15" t="n">
        <x:v>9</x:v>
      </x:c>
      <x:c r="R1794" s="13" t="n">
        <x:f>J1794+Q1794/1440</x:f>
        <x:v>46307.41111111111</x:v>
      </x:c>
      <x:c r="S1794" s="2" t="str">
        <x:f>VLOOKUP(C1794,'MES orders'!$A$8:$H$127,6,FALSE)</x:f>
        <x:v>Normal</x:v>
      </x:c>
      <x:c r="T1794" s="9" t="str"/>
    </x:row>
    <x:row r="1795" ht="22" customHeight="1">
      <x:c r="A1795" s="2" t="str">
        <x:v>L00063-020</x:v>
      </x:c>
      <x:c r="B1795" s="2" t="str">
        <x:v>L00063</x:v>
      </x:c>
      <x:c r="C1795" s="2" t="str">
        <x:v>SO-26013</x:v>
      </x:c>
      <x:c r="D1795" s="2" t="str">
        <x:v>S-C-AL</x:v>
      </x:c>
      <x:c r="E1795" s="14" t="n">
        <x:v>5</x:v>
      </x:c>
      <x:c r="F1795" s="2" t="str">
        <x:v>Deburr &amp; inspect</x:v>
      </x:c>
      <x:c r="G1795" s="9" t="str">
        <x:v>DB-01</x:v>
      </x:c>
      <x:c r="H1795" s="15" t="n">
        <x:v>172</x:v>
      </x:c>
      <x:c r="I1795" s="9" t="str">
        <x:v>P06</x:v>
      </x:c>
      <x:c r="J1795" s="11" t="n">
        <x:v>46307.41111111111</x:v>
      </x:c>
      <x:c r="K1795" s="15" t="n">
        <x:v>4</x:v>
      </x:c>
      <x:c r="L1795" s="15" t="n">
        <x:v>3</x:v>
      </x:c>
      <x:c r="M1795" s="13" t="n">
        <x:f>J1795+(K1795+L1795)/1440</x:f>
        <x:v>46307.415972222225</x:v>
      </x:c>
      <x:c r="N1795" s="13" t="n">
        <x:f>VLOOKUP(C1795,'MES orders'!$A$8:$H$127,5,FALSE)</x:f>
        <x:v>46308.666666666664</x:v>
      </x:c>
      <x:c r="O1795" s="16" t="n">
        <x:f>MAX(0,(M1795-N1795)*24)</x:f>
        <x:v>0</x:v>
      </x:c>
      <x:c r="P1795" s="9" t="str">
        <x:v>No</x:v>
      </x:c>
      <x:c r="Q1795" s="15" t="n">
        <x:v>7</x:v>
      </x:c>
      <x:c r="R1795" s="13" t="n">
        <x:f>J1795+Q1795/1440</x:f>
        <x:v>46307.415972222225</x:v>
      </x:c>
      <x:c r="S1795" s="2" t="str">
        <x:f>VLOOKUP(C1795,'MES orders'!$A$8:$H$127,6,FALSE)</x:f>
        <x:v>Normal</x:v>
      </x:c>
      <x:c r="T1795" s="9" t="str"/>
    </x:row>
    <x:row r="1796" ht="22" customHeight="1">
      <x:c r="A1796" s="2" t="str">
        <x:v>L00296-040</x:v>
      </x:c>
      <x:c r="B1796" s="2" t="str">
        <x:v>L00296</x:v>
      </x:c>
      <x:c r="C1796" s="2" t="str">
        <x:v>SO-26060</x:v>
      </x:c>
      <x:c r="D1796" s="2" t="str">
        <x:v>S-L-SS</x:v>
      </x:c>
      <x:c r="E1796" s="14" t="n">
        <x:v>5</x:v>
      </x:c>
      <x:c r="F1796" s="2" t="str">
        <x:v>Mechanical preassembly</x:v>
      </x:c>
      <x:c r="G1796" s="9" t="str">
        <x:v>AS-01</x:v>
      </x:c>
      <x:c r="H1796" s="15" t="n">
        <x:v>145</x:v>
      </x:c>
      <x:c r="I1796" s="9" t="str">
        <x:v>P06</x:v>
      </x:c>
      <x:c r="J1796" s="11" t="n">
        <x:v>46307.4375</x:v>
      </x:c>
      <x:c r="K1796" s="15" t="n">
        <x:v>6</x:v>
      </x:c>
      <x:c r="L1796" s="15" t="n">
        <x:v>7</x:v>
      </x:c>
      <x:c r="M1796" s="13" t="n">
        <x:f>J1796+(K1796+L1796)/1440</x:f>
        <x:v>46307.44652777778</x:v>
      </x:c>
      <x:c r="N1796" s="13" t="n">
        <x:f>VLOOKUP(C1796,'MES orders'!$A$8:$H$127,5,FALSE)</x:f>
        <x:v>46307.666666666664</x:v>
      </x:c>
      <x:c r="O1796" s="16" t="n">
        <x:f>MAX(0,(M1796-N1796)*24)</x:f>
        <x:v>0</x:v>
      </x:c>
      <x:c r="P1796" s="9" t="str">
        <x:v>No</x:v>
      </x:c>
      <x:c r="Q1796" s="15" t="n">
        <x:v>13</x:v>
      </x:c>
      <x:c r="R1796" s="13" t="n">
        <x:f>J1796+Q1796/1440</x:f>
        <x:v>46307.44652777778</x:v>
      </x:c>
      <x:c r="S1796" s="2" t="str">
        <x:f>VLOOKUP(C1796,'MES orders'!$A$8:$H$127,6,FALSE)</x:f>
        <x:v>Normal</x:v>
      </x:c>
      <x:c r="T1796" s="9" t="str"/>
    </x:row>
    <x:row r="1797" ht="22" customHeight="1">
      <x:c r="A1797" s="2" t="str">
        <x:v>L00256-060</x:v>
      </x:c>
      <x:c r="B1797" s="2" t="str">
        <x:v>L00256</x:v>
      </x:c>
      <x:c r="C1797" s="2" t="str">
        <x:v>SO-26052</x:v>
      </x:c>
      <x:c r="D1797" s="2" t="str">
        <x:v>S-S-SS</x:v>
      </x:c>
      <x:c r="E1797" s="14" t="n">
        <x:v>25</x:v>
      </x:c>
      <x:c r="F1797" s="2" t="str">
        <x:v>Sensor calibration</x:v>
      </x:c>
      <x:c r="G1797" s="9" t="str">
        <x:v>CAL-01</x:v>
      </x:c>
      <x:c r="H1797" s="15" t="n">
        <x:v>91</x:v>
      </x:c>
      <x:c r="I1797" s="9" t="str">
        <x:v>P09</x:v>
      </x:c>
      <x:c r="J1797" s="11" t="n">
        <x:v>46307.4375</x:v>
      </x:c>
      <x:c r="K1797" s="15" t="n">
        <x:v>10</x:v>
      </x:c>
      <x:c r="L1797" s="15" t="n">
        <x:v>32</x:v>
      </x:c>
      <x:c r="M1797" s="13" t="n">
        <x:f>J1797+(K1797+L1797)/1440</x:f>
        <x:v>46307.46666666667</x:v>
      </x:c>
      <x:c r="N1797" s="13" t="n">
        <x:f>VLOOKUP(C1797,'MES orders'!$A$8:$H$127,5,FALSE)</x:f>
        <x:v>46307.666666666664</x:v>
      </x:c>
      <x:c r="O1797" s="16" t="n">
        <x:f>MAX(0,(M1797-N1797)*24)</x:f>
        <x:v>0</x:v>
      </x:c>
      <x:c r="P1797" s="9" t="str">
        <x:v>No</x:v>
      </x:c>
      <x:c r="Q1797" s="15" t="n">
        <x:v>42</x:v>
      </x:c>
      <x:c r="R1797" s="13" t="n">
        <x:f>J1797+Q1797/1440</x:f>
        <x:v>46307.46666666667</x:v>
      </x:c>
      <x:c r="S1797" s="2" t="str">
        <x:f>VLOOKUP(C1797,'MES orders'!$A$8:$H$127,6,FALSE)</x:f>
        <x:v>Normal</x:v>
      </x:c>
      <x:c r="T1797" s="9" t="str"/>
    </x:row>
    <x:row r="1798" ht="22" customHeight="1">
      <x:c r="A1798" s="2" t="str">
        <x:v>L00340-010</x:v>
      </x:c>
      <x:c r="B1798" s="2" t="str">
        <x:v>L00340</x:v>
      </x:c>
      <x:c r="C1798" s="2" t="str">
        <x:v>SO-26068</x:v>
      </x:c>
      <x:c r="D1798" s="2" t="str">
        <x:v>D-C-SS</x:v>
      </x:c>
      <x:c r="E1798" s="14" t="n">
        <x:v>15</x:v>
      </x:c>
      <x:c r="F1798" s="2" t="str">
        <x:v>CNC machining</x:v>
      </x:c>
      <x:c r="G1798" s="9" t="str">
        <x:v>CNC-04</x:v>
      </x:c>
      <x:c r="H1798" s="15" t="n">
        <x:v>55</x:v>
      </x:c>
      <x:c r="I1798" s="9" t="str">
        <x:v>P02</x:v>
      </x:c>
      <x:c r="J1798" s="11" t="n">
        <x:v>46307.4375</x:v>
      </x:c>
      <x:c r="K1798" s="15" t="n">
        <x:v>18</x:v>
      </x:c>
      <x:c r="L1798" s="15" t="n">
        <x:v>36</x:v>
      </x:c>
      <x:c r="M1798" s="13" t="n">
        <x:f>J1798+(K1798+L1798)/1440</x:f>
        <x:v>46307.475</x:v>
      </x:c>
      <x:c r="N1798" s="13" t="n">
        <x:f>VLOOKUP(C1798,'MES orders'!$A$8:$H$127,5,FALSE)</x:f>
        <x:v>46307.666666666664</x:v>
      </x:c>
      <x:c r="O1798" s="16" t="n">
        <x:f>MAX(0,(M1798-N1798)*24)</x:f>
        <x:v>0</x:v>
      </x:c>
      <x:c r="P1798" s="9" t="str">
        <x:v>No</x:v>
      </x:c>
      <x:c r="Q1798" s="15" t="n">
        <x:v>18</x:v>
      </x:c>
      <x:c r="R1798" s="13" t="n">
        <x:f>J1798+Q1798/1440</x:f>
        <x:v>46307.45</x:v>
      </x:c>
      <x:c r="S1798" s="2" t="str">
        <x:f>VLOOKUP(C1798,'MES orders'!$A$8:$H$127,6,FALSE)</x:f>
        <x:v>Normal</x:v>
      </x:c>
      <x:c r="T1798" s="9" t="str"/>
    </x:row>
    <x:row r="1799" ht="22" customHeight="1">
      <x:c r="A1799" s="2" t="str">
        <x:v>L00376-010</x:v>
      </x:c>
      <x:c r="B1799" s="2" t="str">
        <x:v>L00376</x:v>
      </x:c>
      <x:c r="C1799" s="2" t="str">
        <x:v>SO-26076</x:v>
      </x:c>
      <x:c r="D1799" s="2" t="str">
        <x:v>D-S-SS</x:v>
      </x:c>
      <x:c r="E1799" s="14" t="n">
        <x:v>10</x:v>
      </x:c>
      <x:c r="F1799" s="2" t="str">
        <x:v>CNC machining</x:v>
      </x:c>
      <x:c r="G1799" s="9" t="str">
        <x:v>CNC-06</x:v>
      </x:c>
      <x:c r="H1799" s="15" t="n">
        <x:v>45</x:v>
      </x:c>
      <x:c r="I1799" s="9" t="str">
        <x:v>P03</x:v>
      </x:c>
      <x:c r="J1799" s="11" t="n">
        <x:v>46307.4375</x:v>
      </x:c>
      <x:c r="K1799" s="15" t="n">
        <x:v>18</x:v>
      </x:c>
      <x:c r="L1799" s="15" t="n">
        <x:v>30</x:v>
      </x:c>
      <x:c r="M1799" s="13" t="n">
        <x:f>J1799+(K1799+L1799)/1440</x:f>
        <x:v>46307.47083333333</x:v>
      </x:c>
      <x:c r="N1799" s="13" t="n">
        <x:f>VLOOKUP(C1799,'MES orders'!$A$8:$H$127,5,FALSE)</x:f>
        <x:v>46307.666666666664</x:v>
      </x:c>
      <x:c r="O1799" s="16" t="n">
        <x:f>MAX(0,(M1799-N1799)*24)</x:f>
        <x:v>0</x:v>
      </x:c>
      <x:c r="P1799" s="9" t="str">
        <x:v>No</x:v>
      </x:c>
      <x:c r="Q1799" s="15" t="n">
        <x:v>18</x:v>
      </x:c>
      <x:c r="R1799" s="13" t="n">
        <x:f>J1799+Q1799/1440</x:f>
        <x:v>46307.45</x:v>
      </x:c>
      <x:c r="S1799" s="2" t="str">
        <x:f>VLOOKUP(C1799,'MES orders'!$A$8:$H$127,6,FALSE)</x:f>
        <x:v>Normal</x:v>
      </x:c>
      <x:c r="T1799" s="9" t="str"/>
    </x:row>
    <x:row r="1800" ht="22" customHeight="1">
      <x:c r="A1800" s="2" t="str">
        <x:v>L00260-020</x:v>
      </x:c>
      <x:c r="B1800" s="2" t="str">
        <x:v>L00260</x:v>
      </x:c>
      <x:c r="C1800" s="2" t="str">
        <x:v>SO-26052</x:v>
      </x:c>
      <x:c r="D1800" s="2" t="str">
        <x:v>S-S-SS</x:v>
      </x:c>
      <x:c r="E1800" s="14" t="n">
        <x:v>25</x:v>
      </x:c>
      <x:c r="F1800" s="2" t="str">
        <x:v>Deburr &amp; inspect</x:v>
      </x:c>
      <x:c r="G1800" s="9" t="str">
        <x:v>DB-01</x:v>
      </x:c>
      <x:c r="H1800" s="15" t="n">
        <x:v>173</x:v>
      </x:c>
      <x:c r="I1800" s="9" t="str">
        <x:v>P05</x:v>
      </x:c>
      <x:c r="J1800" s="11" t="n">
        <x:v>46307.4375</x:v>
      </x:c>
      <x:c r="K1800" s="15" t="n">
        <x:v>4</x:v>
      </x:c>
      <x:c r="L1800" s="15" t="n">
        <x:v>18</x:v>
      </x:c>
      <x:c r="M1800" s="13" t="n">
        <x:f>J1800+(K1800+L1800)/1440</x:f>
        <x:v>46307.45277777778</x:v>
      </x:c>
      <x:c r="N1800" s="13" t="n">
        <x:f>VLOOKUP(C1800,'MES orders'!$A$8:$H$127,5,FALSE)</x:f>
        <x:v>46307.666666666664</x:v>
      </x:c>
      <x:c r="O1800" s="16" t="n">
        <x:f>MAX(0,(M1800-N1800)*24)</x:f>
        <x:v>0</x:v>
      </x:c>
      <x:c r="P1800" s="9" t="str">
        <x:v>No</x:v>
      </x:c>
      <x:c r="Q1800" s="15" t="n">
        <x:v>22</x:v>
      </x:c>
      <x:c r="R1800" s="13" t="n">
        <x:f>J1800+Q1800/1440</x:f>
        <x:v>46307.45277777778</x:v>
      </x:c>
      <x:c r="S1800" s="2" t="str">
        <x:f>VLOOKUP(C1800,'MES orders'!$A$8:$H$127,6,FALSE)</x:f>
        <x:v>Normal</x:v>
      </x:c>
      <x:c r="T1800" s="9" t="str"/>
    </x:row>
    <x:row r="1801" ht="22" customHeight="1">
      <x:c r="A1801" s="2" t="str">
        <x:v>L00257-050</x:v>
      </x:c>
      <x:c r="B1801" s="2" t="str">
        <x:v>L00257</x:v>
      </x:c>
      <x:c r="C1801" s="2" t="str">
        <x:v>SO-26052</x:v>
      </x:c>
      <x:c r="D1801" s="2" t="str">
        <x:v>S-S-SS</x:v>
      </x:c>
      <x:c r="E1801" s="14" t="n">
        <x:v>25</x:v>
      </x:c>
      <x:c r="F1801" s="2" t="str">
        <x:v>Sensor installation</x:v>
      </x:c>
      <x:c r="G1801" s="9" t="str">
        <x:v>EL-01</x:v>
      </x:c>
      <x:c r="H1801" s="15" t="n">
        <x:v>62</x:v>
      </x:c>
      <x:c r="I1801" s="9" t="str">
        <x:v>P07</x:v>
      </x:c>
      <x:c r="J1801" s="11" t="n">
        <x:v>46307.4375</x:v>
      </x:c>
      <x:c r="K1801" s="15" t="n">
        <x:v>8</x:v>
      </x:c>
      <x:c r="L1801" s="15" t="n">
        <x:v>30</x:v>
      </x:c>
      <x:c r="M1801" s="13" t="n">
        <x:f>J1801+(K1801+L1801)/1440</x:f>
        <x:v>46307.46388888889</x:v>
      </x:c>
      <x:c r="N1801" s="13" t="n">
        <x:f>VLOOKUP(C1801,'MES orders'!$A$8:$H$127,5,FALSE)</x:f>
        <x:v>46307.666666666664</x:v>
      </x:c>
      <x:c r="O1801" s="16" t="n">
        <x:f>MAX(0,(M1801-N1801)*24)</x:f>
        <x:v>0</x:v>
      </x:c>
      <x:c r="P1801" s="9" t="str">
        <x:v>No</x:v>
      </x:c>
      <x:c r="Q1801" s="15" t="n">
        <x:v>38</x:v>
      </x:c>
      <x:c r="R1801" s="13" t="n">
        <x:f>J1801+Q1801/1440</x:f>
        <x:v>46307.46388888889</x:v>
      </x:c>
      <x:c r="S1801" s="2" t="str">
        <x:f>VLOOKUP(C1801,'MES orders'!$A$8:$H$127,6,FALSE)</x:f>
        <x:v>Normal</x:v>
      </x:c>
      <x:c r="T1801" s="9" t="str"/>
    </x:row>
    <x:row r="1802" ht="22" customHeight="1">
      <x:c r="A1802" s="2" t="str">
        <x:v>L00258-050</x:v>
      </x:c>
      <x:c r="B1802" s="2" t="str">
        <x:v>L00258</x:v>
      </x:c>
      <x:c r="C1802" s="2" t="str">
        <x:v>SO-26052</x:v>
      </x:c>
      <x:c r="D1802" s="2" t="str">
        <x:v>S-S-SS</x:v>
      </x:c>
      <x:c r="E1802" s="14" t="n">
        <x:v>25</x:v>
      </x:c>
      <x:c r="F1802" s="2" t="str">
        <x:v>Sensor installation</x:v>
      </x:c>
      <x:c r="G1802" s="9" t="str">
        <x:v>EL-02</x:v>
      </x:c>
      <x:c r="H1802" s="15" t="n">
        <x:v>32</x:v>
      </x:c>
      <x:c r="I1802" s="9" t="str">
        <x:v>P08</x:v>
      </x:c>
      <x:c r="J1802" s="11" t="n">
        <x:v>46307.4375</x:v>
      </x:c>
      <x:c r="K1802" s="15" t="n">
        <x:v>8</x:v>
      </x:c>
      <x:c r="L1802" s="15" t="n">
        <x:v>30</x:v>
      </x:c>
      <x:c r="M1802" s="13" t="n">
        <x:f>J1802+(K1802+L1802)/1440</x:f>
        <x:v>46307.46388888889</x:v>
      </x:c>
      <x:c r="N1802" s="13" t="n">
        <x:f>VLOOKUP(C1802,'MES orders'!$A$8:$H$127,5,FALSE)</x:f>
        <x:v>46307.666666666664</x:v>
      </x:c>
      <x:c r="O1802" s="16" t="n">
        <x:f>MAX(0,(M1802-N1802)*24)</x:f>
        <x:v>0</x:v>
      </x:c>
      <x:c r="P1802" s="9" t="str">
        <x:v>No</x:v>
      </x:c>
      <x:c r="Q1802" s="15" t="n">
        <x:v>38</x:v>
      </x:c>
      <x:c r="R1802" s="13" t="n">
        <x:f>J1802+Q1802/1440</x:f>
        <x:v>46307.46388888889</x:v>
      </x:c>
      <x:c r="S1802" s="2" t="str">
        <x:f>VLOOKUP(C1802,'MES orders'!$A$8:$H$127,6,FALSE)</x:f>
        <x:v>Normal</x:v>
      </x:c>
      <x:c r="T1802" s="9" t="str"/>
    </x:row>
    <x:row r="1803" ht="22" customHeight="1">
      <x:c r="A1803" s="2" t="str">
        <x:v>L00259-030</x:v>
      </x:c>
      <x:c r="B1803" s="2" t="str">
        <x:v>L00259</x:v>
      </x:c>
      <x:c r="C1803" s="2" t="str">
        <x:v>SO-26052</x:v>
      </x:c>
      <x:c r="D1803" s="2" t="str">
        <x:v>S-S-SS</x:v>
      </x:c>
      <x:c r="E1803" s="14" t="n">
        <x:v>25</x:v>
      </x:c>
      <x:c r="F1803" s="2" t="str">
        <x:v>Wash &amp; dry</x:v>
      </x:c>
      <x:c r="G1803" s="9" t="str">
        <x:v>WS-01</x:v>
      </x:c>
      <x:c r="H1803" s="15" t="n">
        <x:v>168</x:v>
      </x:c>
      <x:c r="I1803" s="9" t="str">
        <x:v>P04</x:v>
      </x:c>
      <x:c r="J1803" s="11" t="n">
        <x:v>46307.4375</x:v>
      </x:c>
      <x:c r="K1803" s="15" t="n">
        <x:v>12</x:v>
      </x:c>
      <x:c r="L1803" s="15" t="n">
        <x:v>9</x:v>
      </x:c>
      <x:c r="M1803" s="13" t="n">
        <x:f>J1803+(K1803+L1803)/1440</x:f>
        <x:v>46307.45208333333</x:v>
      </x:c>
      <x:c r="N1803" s="13" t="n">
        <x:f>VLOOKUP(C1803,'MES orders'!$A$8:$H$127,5,FALSE)</x:f>
        <x:v>46307.666666666664</x:v>
      </x:c>
      <x:c r="O1803" s="16" t="n">
        <x:f>MAX(0,(M1803-N1803)*24)</x:f>
        <x:v>0</x:v>
      </x:c>
      <x:c r="P1803" s="9" t="str">
        <x:v>No</x:v>
      </x:c>
      <x:c r="Q1803" s="15" t="n">
        <x:v>21</x:v>
      </x:c>
      <x:c r="R1803" s="13" t="n">
        <x:f>J1803+Q1803/1440</x:f>
        <x:v>46307.45208333333</x:v>
      </x:c>
      <x:c r="S1803" s="2" t="str">
        <x:f>VLOOKUP(C1803,'MES orders'!$A$8:$H$127,6,FALSE)</x:f>
        <x:v>Normal</x:v>
      </x:c>
      <x:c r="T1803" s="9" t="str"/>
    </x:row>
    <x:row r="1804" ht="22" customHeight="1">
      <x:c r="A1804" s="2" t="str">
        <x:v>L00062-030</x:v>
      </x:c>
      <x:c r="B1804" s="2" t="str">
        <x:v>L00062</x:v>
      </x:c>
      <x:c r="C1804" s="2" t="str">
        <x:v>SO-26013</x:v>
      </x:c>
      <x:c r="D1804" s="2" t="str">
        <x:v>S-C-AL</x:v>
      </x:c>
      <x:c r="E1804" s="14" t="n">
        <x:v>5</x:v>
      </x:c>
      <x:c r="F1804" s="2" t="str">
        <x:v>Wash &amp; dry</x:v>
      </x:c>
      <x:c r="G1804" s="9" t="str">
        <x:v>WS-02</x:v>
      </x:c>
      <x:c r="H1804" s="15" t="n">
        <x:v>116</x:v>
      </x:c>
      <x:c r="I1804" s="9" t="str">
        <x:v>P11</x:v>
      </x:c>
      <x:c r="J1804" s="11" t="n">
        <x:v>46307.4375</x:v>
      </x:c>
      <x:c r="K1804" s="15" t="n">
        <x:v>12</x:v>
      </x:c>
      <x:c r="L1804" s="15" t="n">
        <x:v>1</x:v>
      </x:c>
      <x:c r="M1804" s="13" t="n">
        <x:f>J1804+(K1804+L1804)/1440</x:f>
        <x:v>46307.44652777778</x:v>
      </x:c>
      <x:c r="N1804" s="13" t="n">
        <x:f>VLOOKUP(C1804,'MES orders'!$A$8:$H$127,5,FALSE)</x:f>
        <x:v>46308.666666666664</x:v>
      </x:c>
      <x:c r="O1804" s="16" t="n">
        <x:f>MAX(0,(M1804-N1804)*24)</x:f>
        <x:v>0</x:v>
      </x:c>
      <x:c r="P1804" s="9" t="str">
        <x:v>No</x:v>
      </x:c>
      <x:c r="Q1804" s="15" t="n">
        <x:v>13</x:v>
      </x:c>
      <x:c r="R1804" s="13" t="n">
        <x:f>J1804+Q1804/1440</x:f>
        <x:v>46307.44652777778</x:v>
      </x:c>
      <x:c r="S1804" s="2" t="str">
        <x:f>VLOOKUP(C1804,'MES orders'!$A$8:$H$127,6,FALSE)</x:f>
        <x:v>Normal</x:v>
      </x:c>
      <x:c r="T1804" s="9" t="str"/>
    </x:row>
    <x:row r="1805" ht="22" customHeight="1">
      <x:c r="A1805" s="2" t="str">
        <x:v>L00339-020</x:v>
      </x:c>
      <x:c r="B1805" s="2" t="str">
        <x:v>L00339</x:v>
      </x:c>
      <x:c r="C1805" s="2" t="str">
        <x:v>SO-26068</x:v>
      </x:c>
      <x:c r="D1805" s="2" t="str">
        <x:v>D-C-SS</x:v>
      </x:c>
      <x:c r="E1805" s="14" t="n">
        <x:v>15</x:v>
      </x:c>
      <x:c r="F1805" s="2" t="str">
        <x:v>Deburr &amp; inspect</x:v>
      </x:c>
      <x:c r="G1805" s="9" t="str">
        <x:v>DB-02</x:v>
      </x:c>
      <x:c r="H1805" s="15" t="n">
        <x:v>116</x:v>
      </x:c>
      <x:c r="I1805" s="9" t="str">
        <x:v>P01</x:v>
      </x:c>
      <x:c r="J1805" s="11" t="n">
        <x:v>46307.43819444445</x:v>
      </x:c>
      <x:c r="K1805" s="15" t="n">
        <x:v>4</x:v>
      </x:c>
      <x:c r="L1805" s="15" t="n">
        <x:v>8</x:v>
      </x:c>
      <x:c r="M1805" s="13" t="n">
        <x:f>J1805+(K1805+L1805)/1440</x:f>
        <x:v>46307.44652777778</x:v>
      </x:c>
      <x:c r="N1805" s="13" t="n">
        <x:f>VLOOKUP(C1805,'MES orders'!$A$8:$H$127,5,FALSE)</x:f>
        <x:v>46307.666666666664</x:v>
      </x:c>
      <x:c r="O1805" s="16" t="n">
        <x:f>MAX(0,(M1805-N1805)*24)</x:f>
        <x:v>0</x:v>
      </x:c>
      <x:c r="P1805" s="9" t="str">
        <x:v>No</x:v>
      </x:c>
      <x:c r="Q1805" s="15" t="n">
        <x:v>12</x:v>
      </x:c>
      <x:c r="R1805" s="13" t="n">
        <x:f>J1805+Q1805/1440</x:f>
        <x:v>46307.44652777778</x:v>
      </x:c>
      <x:c r="S1805" s="2" t="str">
        <x:f>VLOOKUP(C1805,'MES orders'!$A$8:$H$127,6,FALSE)</x:f>
        <x:v>Normal</x:v>
      </x:c>
      <x:c r="T1805" s="9" t="str"/>
    </x:row>
    <x:row r="1806" ht="22" customHeight="1">
      <x:c r="A1806" s="2" t="str">
        <x:v>L00062-040</x:v>
      </x:c>
      <x:c r="B1806" s="2" t="str">
        <x:v>L00062</x:v>
      </x:c>
      <x:c r="C1806" s="2" t="str">
        <x:v>SO-26013</x:v>
      </x:c>
      <x:c r="D1806" s="2" t="str">
        <x:v>S-C-AL</x:v>
      </x:c>
      <x:c r="E1806" s="14" t="n">
        <x:v>5</x:v>
      </x:c>
      <x:c r="F1806" s="2" t="str">
        <x:v>Mechanical preassembly</x:v>
      </x:c>
      <x:c r="G1806" s="9" t="str">
        <x:v>AS-01</x:v>
      </x:c>
      <x:c r="H1806" s="15" t="n">
        <x:v>146</x:v>
      </x:c>
      <x:c r="I1806" s="9" t="str">
        <x:v>P11</x:v>
      </x:c>
      <x:c r="J1806" s="11" t="n">
        <x:v>46307.44652777778</x:v>
      </x:c>
      <x:c r="K1806" s="15" t="n">
        <x:v>6</x:v>
      </x:c>
      <x:c r="L1806" s="15" t="n">
        <x:v>4</x:v>
      </x:c>
      <x:c r="M1806" s="13" t="n">
        <x:f>J1806+(K1806+L1806)/1440</x:f>
        <x:v>46307.45347222222</x:v>
      </x:c>
      <x:c r="N1806" s="13" t="n">
        <x:f>VLOOKUP(C1806,'MES orders'!$A$8:$H$127,5,FALSE)</x:f>
        <x:v>46308.666666666664</x:v>
      </x:c>
      <x:c r="O1806" s="16" t="n">
        <x:f>MAX(0,(M1806-N1806)*24)</x:f>
        <x:v>0</x:v>
      </x:c>
      <x:c r="P1806" s="9" t="str">
        <x:v>No</x:v>
      </x:c>
      <x:c r="Q1806" s="15" t="n">
        <x:v>10</x:v>
      </x:c>
      <x:c r="R1806" s="13" t="n">
        <x:f>J1806+Q1806/1440</x:f>
        <x:v>46307.45347222222</x:v>
      </x:c>
      <x:c r="S1806" s="2" t="str">
        <x:f>VLOOKUP(C1806,'MES orders'!$A$8:$H$127,6,FALSE)</x:f>
        <x:v>Normal</x:v>
      </x:c>
      <x:c r="T1806" s="9" t="str"/>
    </x:row>
    <x:row r="1807" ht="22" customHeight="1">
      <x:c r="A1807" s="2" t="str">
        <x:v>L00377-010</x:v>
      </x:c>
      <x:c r="B1807" s="2" t="str">
        <x:v>L00377</x:v>
      </x:c>
      <x:c r="C1807" s="2" t="str">
        <x:v>SO-26076</x:v>
      </x:c>
      <x:c r="D1807" s="2" t="str">
        <x:v>D-S-SS</x:v>
      </x:c>
      <x:c r="E1807" s="14" t="n">
        <x:v>10</x:v>
      </x:c>
      <x:c r="F1807" s="2" t="str">
        <x:v>CNC machining</x:v>
      </x:c>
      <x:c r="G1807" s="9" t="str">
        <x:v>CNC-03</x:v>
      </x:c>
      <x:c r="H1807" s="15" t="n">
        <x:v>57</x:v>
      </x:c>
      <x:c r="I1807" s="9" t="str">
        <x:v>P01</x:v>
      </x:c>
      <x:c r="J1807" s="11" t="n">
        <x:v>46307.44652777778</x:v>
      </x:c>
      <x:c r="K1807" s="15" t="n">
        <x:v>18</x:v>
      </x:c>
      <x:c r="L1807" s="15" t="n">
        <x:v>30</x:v>
      </x:c>
      <x:c r="M1807" s="13" t="n">
        <x:f>J1807+(K1807+L1807)/1440</x:f>
        <x:v>46307.47986111111</x:v>
      </x:c>
      <x:c r="N1807" s="13" t="n">
        <x:f>VLOOKUP(C1807,'MES orders'!$A$8:$H$127,5,FALSE)</x:f>
        <x:v>46307.666666666664</x:v>
      </x:c>
      <x:c r="O1807" s="16" t="n">
        <x:f>MAX(0,(M1807-N1807)*24)</x:f>
        <x:v>0</x:v>
      </x:c>
      <x:c r="P1807" s="9" t="str">
        <x:v>No</x:v>
      </x:c>
      <x:c r="Q1807" s="15" t="n">
        <x:v>18</x:v>
      </x:c>
      <x:c r="R1807" s="13" t="n">
        <x:f>J1807+Q1807/1440</x:f>
        <x:v>46307.459027777775</x:v>
      </x:c>
      <x:c r="S1807" s="2" t="str">
        <x:f>VLOOKUP(C1807,'MES orders'!$A$8:$H$127,6,FALSE)</x:f>
        <x:v>Normal</x:v>
      </x:c>
      <x:c r="T1807" s="9" t="str"/>
    </x:row>
    <x:row r="1808" ht="22" customHeight="1">
      <x:c r="A1808" s="2" t="str">
        <x:v>L00298-020</x:v>
      </x:c>
      <x:c r="B1808" s="2" t="str">
        <x:v>L00298</x:v>
      </x:c>
      <x:c r="C1808" s="2" t="str">
        <x:v>SO-26060</x:v>
      </x:c>
      <x:c r="D1808" s="2" t="str">
        <x:v>S-L-SS</x:v>
      </x:c>
      <x:c r="E1808" s="14" t="n">
        <x:v>5</x:v>
      </x:c>
      <x:c r="F1808" s="2" t="str">
        <x:v>Deburr &amp; inspect</x:v>
      </x:c>
      <x:c r="G1808" s="9" t="str">
        <x:v>DB-02</x:v>
      </x:c>
      <x:c r="H1808" s="15" t="n">
        <x:v>117</x:v>
      </x:c>
      <x:c r="I1808" s="9" t="str">
        <x:v>P06</x:v>
      </x:c>
      <x:c r="J1808" s="11" t="n">
        <x:v>46307.44652777778</x:v>
      </x:c>
      <x:c r="K1808" s="15" t="n">
        <x:v>4</x:v>
      </x:c>
      <x:c r="L1808" s="15" t="n">
        <x:v>5</x:v>
      </x:c>
      <x:c r="M1808" s="13" t="n">
        <x:f>J1808+(K1808+L1808)/1440</x:f>
        <x:v>46307.45277777778</x:v>
      </x:c>
      <x:c r="N1808" s="13" t="n">
        <x:f>VLOOKUP(C1808,'MES orders'!$A$8:$H$127,5,FALSE)</x:f>
        <x:v>46307.666666666664</x:v>
      </x:c>
      <x:c r="O1808" s="16" t="n">
        <x:f>MAX(0,(M1808-N1808)*24)</x:f>
        <x:v>0</x:v>
      </x:c>
      <x:c r="P1808" s="9" t="str">
        <x:v>No</x:v>
      </x:c>
      <x:c r="Q1808" s="15" t="n">
        <x:v>9</x:v>
      </x:c>
      <x:c r="R1808" s="13" t="n">
        <x:f>J1808+Q1808/1440</x:f>
        <x:v>46307.45277777778</x:v>
      </x:c>
      <x:c r="S1808" s="2" t="str">
        <x:f>VLOOKUP(C1808,'MES orders'!$A$8:$H$127,6,FALSE)</x:f>
        <x:v>Normal</x:v>
      </x:c>
      <x:c r="T1808" s="9" t="str"/>
    </x:row>
    <x:row r="1809" ht="22" customHeight="1">
      <x:c r="A1809" s="2" t="str">
        <x:v>L00065-010</x:v>
      </x:c>
      <x:c r="B1809" s="2" t="str">
        <x:v>L00065</x:v>
      </x:c>
      <x:c r="C1809" s="2" t="str">
        <x:v>SO-26013</x:v>
      </x:c>
      <x:c r="D1809" s="2" t="str">
        <x:v>S-C-AL</x:v>
      </x:c>
      <x:c r="E1809" s="14" t="n">
        <x:v>5</x:v>
      </x:c>
      <x:c r="F1809" s="2" t="str">
        <x:v>CNC machining</x:v>
      </x:c>
      <x:c r="G1809" s="9" t="str">
        <x:v>CNC-01</x:v>
      </x:c>
      <x:c r="H1809" s="15" t="n">
        <x:v>55</x:v>
      </x:c>
      <x:c r="I1809" s="9" t="str">
        <x:v>P03</x:v>
      </x:c>
      <x:c r="J1809" s="11" t="n">
        <x:v>46307.45</x:v>
      </x:c>
      <x:c r="K1809" s="15" t="n">
        <x:v>18</x:v>
      </x:c>
      <x:c r="L1809" s="15" t="n">
        <x:v>10</x:v>
      </x:c>
      <x:c r="M1809" s="13" t="n">
        <x:f>J1809+(K1809+L1809)/1440</x:f>
        <x:v>46307.46944444444</x:v>
      </x:c>
      <x:c r="N1809" s="13" t="n">
        <x:f>VLOOKUP(C1809,'MES orders'!$A$8:$H$127,5,FALSE)</x:f>
        <x:v>46308.666666666664</x:v>
      </x:c>
      <x:c r="O1809" s="16" t="n">
        <x:f>MAX(0,(M1809-N1809)*24)</x:f>
        <x:v>0</x:v>
      </x:c>
      <x:c r="P1809" s="9" t="str">
        <x:v>No</x:v>
      </x:c>
      <x:c r="Q1809" s="15" t="n">
        <x:v>18</x:v>
      </x:c>
      <x:c r="R1809" s="13" t="n">
        <x:f>J1809+Q1809/1440</x:f>
        <x:v>46307.462499999994</x:v>
      </x:c>
      <x:c r="S1809" s="2" t="str">
        <x:f>VLOOKUP(C1809,'MES orders'!$A$8:$H$127,6,FALSE)</x:f>
        <x:v>Normal</x:v>
      </x:c>
      <x:c r="T1809" s="9" t="str"/>
    </x:row>
    <x:row r="1810" ht="22" customHeight="1">
      <x:c r="A1810" s="2" t="str">
        <x:v>L00378-010</x:v>
      </x:c>
      <x:c r="B1810" s="2" t="str">
        <x:v>L00378</x:v>
      </x:c>
      <x:c r="C1810" s="2" t="str">
        <x:v>SO-26076</x:v>
      </x:c>
      <x:c r="D1810" s="2" t="str">
        <x:v>D-S-SS</x:v>
      </x:c>
      <x:c r="E1810" s="14" t="n">
        <x:v>10</x:v>
      </x:c>
      <x:c r="F1810" s="2" t="str">
        <x:v>CNC machining</x:v>
      </x:c>
      <x:c r="G1810" s="9" t="str">
        <x:v>CNC-05</x:v>
      </x:c>
      <x:c r="H1810" s="15" t="n">
        <x:v>49</x:v>
      </x:c>
      <x:c r="I1810" s="9" t="str">
        <x:v>P02</x:v>
      </x:c>
      <x:c r="J1810" s="11" t="n">
        <x:v>46307.45</x:v>
      </x:c>
      <x:c r="K1810" s="15" t="n">
        <x:v>18</x:v>
      </x:c>
      <x:c r="L1810" s="15" t="n">
        <x:v>30</x:v>
      </x:c>
      <x:c r="M1810" s="13" t="n">
        <x:f>J1810+(K1810+L1810)/1440</x:f>
        <x:v>46307.48333333333</x:v>
      </x:c>
      <x:c r="N1810" s="13" t="n">
        <x:f>VLOOKUP(C1810,'MES orders'!$A$8:$H$127,5,FALSE)</x:f>
        <x:v>46307.666666666664</x:v>
      </x:c>
      <x:c r="O1810" s="16" t="n">
        <x:f>MAX(0,(M1810-N1810)*24)</x:f>
        <x:v>0</x:v>
      </x:c>
      <x:c r="P1810" s="9" t="str">
        <x:v>No</x:v>
      </x:c>
      <x:c r="Q1810" s="15" t="n">
        <x:v>18</x:v>
      </x:c>
      <x:c r="R1810" s="13" t="n">
        <x:f>J1810+Q1810/1440</x:f>
        <x:v>46307.462499999994</x:v>
      </x:c>
      <x:c r="S1810" s="2" t="str">
        <x:f>VLOOKUP(C1810,'MES orders'!$A$8:$H$127,6,FALSE)</x:f>
        <x:v>Normal</x:v>
      </x:c>
      <x:c r="T1810" s="9" t="str"/>
    </x:row>
    <x:row r="1811" ht="22" customHeight="1">
      <x:c r="A1811" s="2" t="str">
        <x:v>L00259-040</x:v>
      </x:c>
      <x:c r="B1811" s="2" t="str">
        <x:v>L00259</x:v>
      </x:c>
      <x:c r="C1811" s="2" t="str">
        <x:v>SO-26052</x:v>
      </x:c>
      <x:c r="D1811" s="2" t="str">
        <x:v>S-S-SS</x:v>
      </x:c>
      <x:c r="E1811" s="14" t="n">
        <x:v>25</x:v>
      </x:c>
      <x:c r="F1811" s="2" t="str">
        <x:v>Mechanical preassembly</x:v>
      </x:c>
      <x:c r="G1811" s="9" t="str">
        <x:v>AS-02</x:v>
      </x:c>
      <x:c r="H1811" s="15" t="n">
        <x:v>117</x:v>
      </x:c>
      <x:c r="I1811" s="9" t="str">
        <x:v>P04</x:v>
      </x:c>
      <x:c r="J1811" s="11" t="n">
        <x:v>46307.45208333333</x:v>
      </x:c>
      <x:c r="K1811" s="15" t="n">
        <x:v>6</x:v>
      </x:c>
      <x:c r="L1811" s="15" t="n">
        <x:v>28</x:v>
      </x:c>
      <x:c r="M1811" s="13" t="n">
        <x:f>J1811+(K1811+L1811)/1440</x:f>
        <x:v>46307.47569444444</x:v>
      </x:c>
      <x:c r="N1811" s="13" t="n">
        <x:f>VLOOKUP(C1811,'MES orders'!$A$8:$H$127,5,FALSE)</x:f>
        <x:v>46307.666666666664</x:v>
      </x:c>
      <x:c r="O1811" s="16" t="n">
        <x:f>MAX(0,(M1811-N1811)*24)</x:f>
        <x:v>0</x:v>
      </x:c>
      <x:c r="P1811" s="9" t="str">
        <x:v>No</x:v>
      </x:c>
      <x:c r="Q1811" s="15" t="n">
        <x:v>34</x:v>
      </x:c>
      <x:c r="R1811" s="13" t="n">
        <x:f>J1811+Q1811/1440</x:f>
        <x:v>46307.47569444444</x:v>
      </x:c>
      <x:c r="S1811" s="2" t="str">
        <x:f>VLOOKUP(C1811,'MES orders'!$A$8:$H$127,6,FALSE)</x:f>
        <x:v>Normal</x:v>
      </x:c>
      <x:c r="T1811" s="9" t="str"/>
    </x:row>
    <x:row r="1812" ht="22" customHeight="1">
      <x:c r="A1812" s="2" t="str">
        <x:v>L00260-030</x:v>
      </x:c>
      <x:c r="B1812" s="2" t="str">
        <x:v>L00260</x:v>
      </x:c>
      <x:c r="C1812" s="2" t="str">
        <x:v>SO-26052</x:v>
      </x:c>
      <x:c r="D1812" s="2" t="str">
        <x:v>S-S-SS</x:v>
      </x:c>
      <x:c r="E1812" s="14" t="n">
        <x:v>25</x:v>
      </x:c>
      <x:c r="F1812" s="2" t="str">
        <x:v>Wash &amp; dry</x:v>
      </x:c>
      <x:c r="G1812" s="9" t="str">
        <x:v>WS-01</x:v>
      </x:c>
      <x:c r="H1812" s="15" t="n">
        <x:v>169</x:v>
      </x:c>
      <x:c r="I1812" s="9" t="str">
        <x:v>P06</x:v>
      </x:c>
      <x:c r="J1812" s="11" t="n">
        <x:v>46307.45277777778</x:v>
      </x:c>
      <x:c r="K1812" s="15" t="n">
        <x:v>12</x:v>
      </x:c>
      <x:c r="L1812" s="15" t="n">
        <x:v>9</x:v>
      </x:c>
      <x:c r="M1812" s="13" t="n">
        <x:f>J1812+(K1812+L1812)/1440</x:f>
        <x:v>46307.46736111111</x:v>
      </x:c>
      <x:c r="N1812" s="13" t="n">
        <x:f>VLOOKUP(C1812,'MES orders'!$A$8:$H$127,5,FALSE)</x:f>
        <x:v>46307.666666666664</x:v>
      </x:c>
      <x:c r="O1812" s="16" t="n">
        <x:f>MAX(0,(M1812-N1812)*24)</x:f>
        <x:v>0</x:v>
      </x:c>
      <x:c r="P1812" s="9" t="str">
        <x:v>No</x:v>
      </x:c>
      <x:c r="Q1812" s="15" t="n">
        <x:v>21</x:v>
      </x:c>
      <x:c r="R1812" s="13" t="n">
        <x:f>J1812+Q1812/1440</x:f>
        <x:v>46307.46736111111</x:v>
      </x:c>
      <x:c r="S1812" s="2" t="str">
        <x:f>VLOOKUP(C1812,'MES orders'!$A$8:$H$127,6,FALSE)</x:f>
        <x:v>Normal</x:v>
      </x:c>
      <x:c r="T1812" s="9" t="str"/>
    </x:row>
    <x:row r="1813" ht="22" customHeight="1">
      <x:c r="A1813" s="2" t="str">
        <x:v>L00297-030</x:v>
      </x:c>
      <x:c r="B1813" s="2" t="str">
        <x:v>L00297</x:v>
      </x:c>
      <x:c r="C1813" s="2" t="str">
        <x:v>SO-26060</x:v>
      </x:c>
      <x:c r="D1813" s="2" t="str">
        <x:v>S-L-SS</x:v>
      </x:c>
      <x:c r="E1813" s="14" t="n">
        <x:v>5</x:v>
      </x:c>
      <x:c r="F1813" s="2" t="str">
        <x:v>Wash &amp; dry</x:v>
      </x:c>
      <x:c r="G1813" s="9" t="str">
        <x:v>WS-02</x:v>
      </x:c>
      <x:c r="H1813" s="15" t="n">
        <x:v>117</x:v>
      </x:c>
      <x:c r="I1813" s="9" t="str">
        <x:v>P05</x:v>
      </x:c>
      <x:c r="J1813" s="11" t="n">
        <x:v>46307.45277777778</x:v>
      </x:c>
      <x:c r="K1813" s="15" t="n">
        <x:v>12</x:v>
      </x:c>
      <x:c r="L1813" s="15" t="n">
        <x:v>2</x:v>
      </x:c>
      <x:c r="M1813" s="13" t="n">
        <x:f>J1813+(K1813+L1813)/1440</x:f>
        <x:v>46307.4625</x:v>
      </x:c>
      <x:c r="N1813" s="13" t="n">
        <x:f>VLOOKUP(C1813,'MES orders'!$A$8:$H$127,5,FALSE)</x:f>
        <x:v>46307.666666666664</x:v>
      </x:c>
      <x:c r="O1813" s="16" t="n">
        <x:f>MAX(0,(M1813-N1813)*24)</x:f>
        <x:v>0</x:v>
      </x:c>
      <x:c r="P1813" s="9" t="str">
        <x:v>No</x:v>
      </x:c>
      <x:c r="Q1813" s="15" t="n">
        <x:v>14</x:v>
      </x:c>
      <x:c r="R1813" s="13" t="n">
        <x:f>J1813+Q1813/1440</x:f>
        <x:v>46307.4625</x:v>
      </x:c>
      <x:c r="S1813" s="2" t="str">
        <x:f>VLOOKUP(C1813,'MES orders'!$A$8:$H$127,6,FALSE)</x:f>
        <x:v>Normal</x:v>
      </x:c>
      <x:c r="T1813" s="9" t="str"/>
    </x:row>
    <x:row r="1814" ht="22" customHeight="1">
      <x:c r="A1814" s="2" t="str">
        <x:v>L00063-030</x:v>
      </x:c>
      <x:c r="B1814" s="2" t="str">
        <x:v>L00063</x:v>
      </x:c>
      <x:c r="C1814" s="2" t="str">
        <x:v>SO-26013</x:v>
      </x:c>
      <x:c r="D1814" s="2" t="str">
        <x:v>S-C-AL</x:v>
      </x:c>
      <x:c r="E1814" s="14" t="n">
        <x:v>5</x:v>
      </x:c>
      <x:c r="F1814" s="2" t="str">
        <x:v>Wash &amp; dry</x:v>
      </x:c>
      <x:c r="G1814" s="9" t="str">
        <x:v>WS-02</x:v>
      </x:c>
      <x:c r="H1814" s="15" t="n">
        <x:v>118</x:v>
      </x:c>
      <x:c r="I1814" s="9" t="str">
        <x:v>P01</x:v>
      </x:c>
      <x:c r="J1814" s="11" t="n">
        <x:v>46307.4625</x:v>
      </x:c>
      <x:c r="K1814" s="15" t="n">
        <x:v>12</x:v>
      </x:c>
      <x:c r="L1814" s="15" t="n">
        <x:v>1</x:v>
      </x:c>
      <x:c r="M1814" s="13" t="n">
        <x:f>J1814+(K1814+L1814)/1440</x:f>
        <x:v>46307.47152777778</x:v>
      </x:c>
      <x:c r="N1814" s="13" t="n">
        <x:f>VLOOKUP(C1814,'MES orders'!$A$8:$H$127,5,FALSE)</x:f>
        <x:v>46308.666666666664</x:v>
      </x:c>
      <x:c r="O1814" s="16" t="n">
        <x:f>MAX(0,(M1814-N1814)*24)</x:f>
        <x:v>0</x:v>
      </x:c>
      <x:c r="P1814" s="9" t="str">
        <x:v>No</x:v>
      </x:c>
      <x:c r="Q1814" s="15" t="n">
        <x:v>13</x:v>
      </x:c>
      <x:c r="R1814" s="13" t="n">
        <x:f>J1814+Q1814/1440</x:f>
        <x:v>46307.47152777778</x:v>
      </x:c>
      <x:c r="S1814" s="2" t="str">
        <x:f>VLOOKUP(C1814,'MES orders'!$A$8:$H$127,6,FALSE)</x:f>
        <x:v>Normal</x:v>
      </x:c>
      <x:c r="T1814" s="9" t="str"/>
    </x:row>
    <x:row r="1815" ht="22" customHeight="1">
      <x:c r="A1815" s="2" t="str">
        <x:v>L00296-050</x:v>
      </x:c>
      <x:c r="B1815" s="2" t="str">
        <x:v>L00296</x:v>
      </x:c>
      <x:c r="C1815" s="2" t="str">
        <x:v>SO-26060</x:v>
      </x:c>
      <x:c r="D1815" s="2" t="str">
        <x:v>S-L-SS</x:v>
      </x:c>
      <x:c r="E1815" s="14" t="n">
        <x:v>5</x:v>
      </x:c>
      <x:c r="F1815" s="2" t="str">
        <x:v>Sensor installation</x:v>
      </x:c>
      <x:c r="G1815" s="9" t="str">
        <x:v>EL-01</x:v>
      </x:c>
      <x:c r="H1815" s="15" t="n">
        <x:v>63</x:v>
      </x:c>
      <x:c r="I1815" s="9" t="str">
        <x:v>P07</x:v>
      </x:c>
      <x:c r="J1815" s="11" t="n">
        <x:v>46307.46388888889</x:v>
      </x:c>
      <x:c r="K1815" s="15" t="n">
        <x:v>8</x:v>
      </x:c>
      <x:c r="L1815" s="15" t="n">
        <x:v>8</x:v>
      </x:c>
      <x:c r="M1815" s="13" t="n">
        <x:f>J1815+(K1815+L1815)/1440</x:f>
        <x:v>46307.475</x:v>
      </x:c>
      <x:c r="N1815" s="13" t="n">
        <x:f>VLOOKUP(C1815,'MES orders'!$A$8:$H$127,5,FALSE)</x:f>
        <x:v>46307.666666666664</x:v>
      </x:c>
      <x:c r="O1815" s="16" t="n">
        <x:f>MAX(0,(M1815-N1815)*24)</x:f>
        <x:v>0</x:v>
      </x:c>
      <x:c r="P1815" s="9" t="str">
        <x:v>No</x:v>
      </x:c>
      <x:c r="Q1815" s="15" t="n">
        <x:v>16</x:v>
      </x:c>
      <x:c r="R1815" s="13" t="n">
        <x:f>J1815+Q1815/1440</x:f>
        <x:v>46307.475</x:v>
      </x:c>
      <x:c r="S1815" s="2" t="str">
        <x:f>VLOOKUP(C1815,'MES orders'!$A$8:$H$127,6,FALSE)</x:f>
        <x:v>Normal</x:v>
      </x:c>
      <x:c r="T1815" s="9" t="str"/>
    </x:row>
    <x:row r="1816" ht="22" customHeight="1">
      <x:c r="A1816" s="2" t="str">
        <x:v>L00062-050</x:v>
      </x:c>
      <x:c r="B1816" s="2" t="str">
        <x:v>L00062</x:v>
      </x:c>
      <x:c r="C1816" s="2" t="str">
        <x:v>SO-26013</x:v>
      </x:c>
      <x:c r="D1816" s="2" t="str">
        <x:v>S-C-AL</x:v>
      </x:c>
      <x:c r="E1816" s="14" t="n">
        <x:v>5</x:v>
      </x:c>
      <x:c r="F1816" s="2" t="str">
        <x:v>Sensor installation</x:v>
      </x:c>
      <x:c r="G1816" s="9" t="str">
        <x:v>EL-02</x:v>
      </x:c>
      <x:c r="H1816" s="15" t="n">
        <x:v>33</x:v>
      </x:c>
      <x:c r="I1816" s="9" t="str">
        <x:v>P08</x:v>
      </x:c>
      <x:c r="J1816" s="11" t="n">
        <x:v>46307.46388888889</x:v>
      </x:c>
      <x:c r="K1816" s="15" t="n">
        <x:v>8</x:v>
      </x:c>
      <x:c r="L1816" s="15" t="n">
        <x:v>5</x:v>
      </x:c>
      <x:c r="M1816" s="13" t="n">
        <x:f>J1816+(K1816+L1816)/1440</x:f>
        <x:v>46307.472916666666</x:v>
      </x:c>
      <x:c r="N1816" s="13" t="n">
        <x:f>VLOOKUP(C1816,'MES orders'!$A$8:$H$127,5,FALSE)</x:f>
        <x:v>46308.666666666664</x:v>
      </x:c>
      <x:c r="O1816" s="16" t="n">
        <x:f>MAX(0,(M1816-N1816)*24)</x:f>
        <x:v>0</x:v>
      </x:c>
      <x:c r="P1816" s="9" t="str">
        <x:v>No</x:v>
      </x:c>
      <x:c r="Q1816" s="15" t="n">
        <x:v>13</x:v>
      </x:c>
      <x:c r="R1816" s="13" t="n">
        <x:f>J1816+Q1816/1440</x:f>
        <x:v>46307.472916666666</x:v>
      </x:c>
      <x:c r="S1816" s="2" t="str">
        <x:f>VLOOKUP(C1816,'MES orders'!$A$8:$H$127,6,FALSE)</x:f>
        <x:v>Normal</x:v>
      </x:c>
      <x:c r="T1816" s="9" t="str"/>
    </x:row>
    <x:row r="1817" ht="22" customHeight="1">
      <x:c r="A1817" s="2" t="str">
        <x:v>L00256-070</x:v>
      </x:c>
      <x:c r="B1817" s="2" t="str">
        <x:v>L00256</x:v>
      </x:c>
      <x:c r="C1817" s="2" t="str">
        <x:v>SO-26052</x:v>
      </x:c>
      <x:c r="D1817" s="2" t="str">
        <x:v>S-S-SS</x:v>
      </x:c>
      <x:c r="E1817" s="14" t="n">
        <x:v>25</x:v>
      </x:c>
      <x:c r="F1817" s="2" t="str">
        <x:v>Final assembly</x:v>
      </x:c>
      <x:c r="G1817" s="9" t="str">
        <x:v>AS-01</x:v>
      </x:c>
      <x:c r="H1817" s="15" t="n">
        <x:v>147</x:v>
      </x:c>
      <x:c r="I1817" s="9" t="str">
        <x:v>P05</x:v>
      </x:c>
      <x:c r="J1817" s="11" t="n">
        <x:v>46307.46666666667</x:v>
      </x:c>
      <x:c r="K1817" s="15" t="n">
        <x:v>5</x:v>
      </x:c>
      <x:c r="L1817" s="15" t="n">
        <x:v>20</x:v>
      </x:c>
      <x:c r="M1817" s="13" t="n">
        <x:f>J1817+(K1817+L1817)/1440</x:f>
        <x:v>46307.48402777778</x:v>
      </x:c>
      <x:c r="N1817" s="13" t="n">
        <x:f>VLOOKUP(C1817,'MES orders'!$A$8:$H$127,5,FALSE)</x:f>
        <x:v>46307.666666666664</x:v>
      </x:c>
      <x:c r="O1817" s="16" t="n">
        <x:f>MAX(0,(M1817-N1817)*24)</x:f>
        <x:v>0</x:v>
      </x:c>
      <x:c r="P1817" s="9" t="str">
        <x:v>No</x:v>
      </x:c>
      <x:c r="Q1817" s="15" t="n">
        <x:v>25</x:v>
      </x:c>
      <x:c r="R1817" s="13" t="n">
        <x:f>J1817+Q1817/1440</x:f>
        <x:v>46307.48402777778</x:v>
      </x:c>
      <x:c r="S1817" s="2" t="str">
        <x:f>VLOOKUP(C1817,'MES orders'!$A$8:$H$127,6,FALSE)</x:f>
        <x:v>Normal</x:v>
      </x:c>
      <x:c r="T1817" s="9" t="str"/>
    </x:row>
    <x:row r="1818" ht="22" customHeight="1">
      <x:c r="A1818" s="2" t="str">
        <x:v>L00257-060</x:v>
      </x:c>
      <x:c r="B1818" s="2" t="str">
        <x:v>L00257</x:v>
      </x:c>
      <x:c r="C1818" s="2" t="str">
        <x:v>SO-26052</x:v>
      </x:c>
      <x:c r="D1818" s="2" t="str">
        <x:v>S-S-SS</x:v>
      </x:c>
      <x:c r="E1818" s="14" t="n">
        <x:v>25</x:v>
      </x:c>
      <x:c r="F1818" s="2" t="str">
        <x:v>Sensor calibration</x:v>
      </x:c>
      <x:c r="G1818" s="9" t="str">
        <x:v>CAL-01</x:v>
      </x:c>
      <x:c r="H1818" s="15" t="n">
        <x:v>92</x:v>
      </x:c>
      <x:c r="I1818" s="9" t="str">
        <x:v>P09</x:v>
      </x:c>
      <x:c r="J1818" s="11" t="n">
        <x:v>46307.46666666667</x:v>
      </x:c>
      <x:c r="K1818" s="15" t="n">
        <x:v>10</x:v>
      </x:c>
      <x:c r="L1818" s="15" t="n">
        <x:v>32</x:v>
      </x:c>
      <x:c r="M1818" s="13" t="n">
        <x:f>J1818+(K1818+L1818)/1440</x:f>
        <x:v>46307.495833333334</x:v>
      </x:c>
      <x:c r="N1818" s="13" t="n">
        <x:f>VLOOKUP(C1818,'MES orders'!$A$8:$H$127,5,FALSE)</x:f>
        <x:v>46307.666666666664</x:v>
      </x:c>
      <x:c r="O1818" s="16" t="n">
        <x:f>MAX(0,(M1818-N1818)*24)</x:f>
        <x:v>0</x:v>
      </x:c>
      <x:c r="P1818" s="9" t="str">
        <x:v>No</x:v>
      </x:c>
      <x:c r="Q1818" s="15" t="n">
        <x:v>42</x:v>
      </x:c>
      <x:c r="R1818" s="13" t="n">
        <x:f>J1818+Q1818/1440</x:f>
        <x:v>46307.495833333334</x:v>
      </x:c>
      <x:c r="S1818" s="2" t="str">
        <x:f>VLOOKUP(C1818,'MES orders'!$A$8:$H$127,6,FALSE)</x:f>
        <x:v>Normal</x:v>
      </x:c>
      <x:c r="T1818" s="9" t="str"/>
    </x:row>
    <x:row r="1819" ht="22" customHeight="1">
      <x:c r="A1819" s="2" t="str">
        <x:v>L00260-040</x:v>
      </x:c>
      <x:c r="B1819" s="2" t="str">
        <x:v>L00260</x:v>
      </x:c>
      <x:c r="C1819" s="2" t="str">
        <x:v>SO-26052</x:v>
      </x:c>
      <x:c r="D1819" s="2" t="str">
        <x:v>S-S-SS</x:v>
      </x:c>
      <x:c r="E1819" s="14" t="n">
        <x:v>25</x:v>
      </x:c>
      <x:c r="F1819" s="2" t="str">
        <x:v>Mechanical preassembly</x:v>
      </x:c>
      <x:c r="G1819" s="9" t="str">
        <x:v>AS-03</x:v>
      </x:c>
      <x:c r="H1819" s="15" t="n">
        <x:v>94</x:v>
      </x:c>
      <x:c r="I1819" s="9" t="str">
        <x:v>P06</x:v>
      </x:c>
      <x:c r="J1819" s="11" t="n">
        <x:v>46307.467361111114</x:v>
      </x:c>
      <x:c r="K1819" s="15" t="n">
        <x:v>6</x:v>
      </x:c>
      <x:c r="L1819" s="15" t="n">
        <x:v>28</x:v>
      </x:c>
      <x:c r="M1819" s="13" t="n">
        <x:f>J1819+(K1819+L1819)/1440</x:f>
        <x:v>46307.49097222222</x:v>
      </x:c>
      <x:c r="N1819" s="13" t="n">
        <x:f>VLOOKUP(C1819,'MES orders'!$A$8:$H$127,5,FALSE)</x:f>
        <x:v>46307.666666666664</x:v>
      </x:c>
      <x:c r="O1819" s="16" t="n">
        <x:f>MAX(0,(M1819-N1819)*24)</x:f>
        <x:v>0</x:v>
      </x:c>
      <x:c r="P1819" s="9" t="str">
        <x:v>No</x:v>
      </x:c>
      <x:c r="Q1819" s="15" t="n">
        <x:v>34</x:v>
      </x:c>
      <x:c r="R1819" s="13" t="n">
        <x:f>J1819+Q1819/1440</x:f>
        <x:v>46307.49097222222</x:v>
      </x:c>
      <x:c r="S1819" s="2" t="str">
        <x:f>VLOOKUP(C1819,'MES orders'!$A$8:$H$127,6,FALSE)</x:f>
        <x:v>Normal</x:v>
      </x:c>
      <x:c r="T1819" s="9" t="str"/>
    </x:row>
    <x:row r="1820" ht="22" customHeight="1">
      <x:c r="A1820" s="2" t="str">
        <x:v>L00064-030</x:v>
      </x:c>
      <x:c r="B1820" s="2" t="str">
        <x:v>L00064</x:v>
      </x:c>
      <x:c r="C1820" s="2" t="str">
        <x:v>SO-26013</x:v>
      </x:c>
      <x:c r="D1820" s="2" t="str">
        <x:v>S-C-AL</x:v>
      </x:c>
      <x:c r="E1820" s="14" t="n">
        <x:v>5</x:v>
      </x:c>
      <x:c r="F1820" s="2" t="str">
        <x:v>Wash &amp; dry</x:v>
      </x:c>
      <x:c r="G1820" s="9" t="str">
        <x:v>WS-01</x:v>
      </x:c>
      <x:c r="H1820" s="15" t="n">
        <x:v>170</x:v>
      </x:c>
      <x:c r="I1820" s="9" t="str">
        <x:v>P12</x:v>
      </x:c>
      <x:c r="J1820" s="11" t="n">
        <x:v>46307.467361111114</x:v>
      </x:c>
      <x:c r="K1820" s="15" t="n">
        <x:v>12</x:v>
      </x:c>
      <x:c r="L1820" s="15" t="n">
        <x:v>1</x:v>
      </x:c>
      <x:c r="M1820" s="13" t="n">
        <x:f>J1820+(K1820+L1820)/1440</x:f>
        <x:v>46307.47638888889</x:v>
      </x:c>
      <x:c r="N1820" s="13" t="n">
        <x:f>VLOOKUP(C1820,'MES orders'!$A$8:$H$127,5,FALSE)</x:f>
        <x:v>46308.666666666664</x:v>
      </x:c>
      <x:c r="O1820" s="16" t="n">
        <x:f>MAX(0,(M1820-N1820)*24)</x:f>
        <x:v>0</x:v>
      </x:c>
      <x:c r="P1820" s="9" t="str">
        <x:v>No</x:v>
      </x:c>
      <x:c r="Q1820" s="15" t="n">
        <x:v>13</x:v>
      </x:c>
      <x:c r="R1820" s="13" t="n">
        <x:f>J1820+Q1820/1440</x:f>
        <x:v>46307.47638888889</x:v>
      </x:c>
      <x:c r="S1820" s="2" t="str">
        <x:f>VLOOKUP(C1820,'MES orders'!$A$8:$H$127,6,FALSE)</x:f>
        <x:v>Normal</x:v>
      </x:c>
      <x:c r="T1820" s="9" t="str"/>
    </x:row>
    <x:row r="1821" ht="22" customHeight="1">
      <x:c r="A1821" s="2" t="str">
        <x:v>L00379-010</x:v>
      </x:c>
      <x:c r="B1821" s="2" t="str">
        <x:v>L00379</x:v>
      </x:c>
      <x:c r="C1821" s="2" t="str">
        <x:v>SO-26076</x:v>
      </x:c>
      <x:c r="D1821" s="2" t="str">
        <x:v>D-S-SS</x:v>
      </x:c>
      <x:c r="E1821" s="14" t="n">
        <x:v>10</x:v>
      </x:c>
      <x:c r="F1821" s="2" t="str">
        <x:v>CNC machining</x:v>
      </x:c>
      <x:c r="G1821" s="9" t="str">
        <x:v>CNC-06</x:v>
      </x:c>
      <x:c r="H1821" s="15" t="n">
        <x:v>46</x:v>
      </x:c>
      <x:c r="I1821" s="9" t="str">
        <x:v>P03</x:v>
      </x:c>
      <x:c r="J1821" s="11" t="n">
        <x:v>46307.47083333333</x:v>
      </x:c>
      <x:c r="K1821" s="15" t="n">
        <x:v>18</x:v>
      </x:c>
      <x:c r="L1821" s="15" t="n">
        <x:v>30</x:v>
      </x:c>
      <x:c r="M1821" s="13" t="n">
        <x:f>J1821+(K1821+L1821)/1440</x:f>
        <x:v>46307.504166666666</x:v>
      </x:c>
      <x:c r="N1821" s="13" t="n">
        <x:f>VLOOKUP(C1821,'MES orders'!$A$8:$H$127,5,FALSE)</x:f>
        <x:v>46307.666666666664</x:v>
      </x:c>
      <x:c r="O1821" s="16" t="n">
        <x:f>MAX(0,(M1821-N1821)*24)</x:f>
        <x:v>0</x:v>
      </x:c>
      <x:c r="P1821" s="9" t="str">
        <x:v>No</x:v>
      </x:c>
      <x:c r="Q1821" s="15" t="n">
        <x:v>18</x:v>
      </x:c>
      <x:c r="R1821" s="13" t="n">
        <x:f>J1821+Q1821/1440</x:f>
        <x:v>46307.48333333333</x:v>
      </x:c>
      <x:c r="S1821" s="2" t="str">
        <x:f>VLOOKUP(C1821,'MES orders'!$A$8:$H$127,6,FALSE)</x:f>
        <x:v>Normal</x:v>
      </x:c>
      <x:c r="T1821" s="9" t="str"/>
    </x:row>
    <x:row r="1822" ht="22" customHeight="1">
      <x:c r="A1822" s="2" t="str">
        <x:v>L00376-020</x:v>
      </x:c>
      <x:c r="B1822" s="2" t="str">
        <x:v>L00376</x:v>
      </x:c>
      <x:c r="C1822" s="2" t="str">
        <x:v>SO-26076</x:v>
      </x:c>
      <x:c r="D1822" s="2" t="str">
        <x:v>D-S-SS</x:v>
      </x:c>
      <x:c r="E1822" s="14" t="n">
        <x:v>10</x:v>
      </x:c>
      <x:c r="F1822" s="2" t="str">
        <x:v>Deburr &amp; inspect</x:v>
      </x:c>
      <x:c r="G1822" s="9" t="str">
        <x:v>DB-02</x:v>
      </x:c>
      <x:c r="H1822" s="15" t="n">
        <x:v>118</x:v>
      </x:c>
      <x:c r="I1822" s="9" t="str">
        <x:v>P02</x:v>
      </x:c>
      <x:c r="J1822" s="11" t="n">
        <x:v>46307.47083333333</x:v>
      </x:c>
      <x:c r="K1822" s="15" t="n">
        <x:v>4</x:v>
      </x:c>
      <x:c r="L1822" s="15" t="n">
        <x:v>7</x:v>
      </x:c>
      <x:c r="M1822" s="13" t="n">
        <x:f>J1822+(K1822+L1822)/1440</x:f>
        <x:v>46307.478472222225</x:v>
      </x:c>
      <x:c r="N1822" s="13" t="n">
        <x:f>VLOOKUP(C1822,'MES orders'!$A$8:$H$127,5,FALSE)</x:f>
        <x:v>46307.666666666664</x:v>
      </x:c>
      <x:c r="O1822" s="16" t="n">
        <x:f>MAX(0,(M1822-N1822)*24)</x:f>
        <x:v>0</x:v>
      </x:c>
      <x:c r="P1822" s="9" t="str">
        <x:v>No</x:v>
      </x:c>
      <x:c r="Q1822" s="15" t="n">
        <x:v>11</x:v>
      </x:c>
      <x:c r="R1822" s="13" t="n">
        <x:f>J1822+Q1822/1440</x:f>
        <x:v>46307.478472222225</x:v>
      </x:c>
      <x:c r="S1822" s="2" t="str">
        <x:f>VLOOKUP(C1822,'MES orders'!$A$8:$H$127,6,FALSE)</x:f>
        <x:v>Normal</x:v>
      </x:c>
      <x:c r="T1822" s="9" t="str"/>
    </x:row>
    <x:row r="1823" ht="22" customHeight="1">
      <x:c r="A1823" s="2" t="str">
        <x:v>L00063-040</x:v>
      </x:c>
      <x:c r="B1823" s="2" t="str">
        <x:v>L00063</x:v>
      </x:c>
      <x:c r="C1823" s="2" t="str">
        <x:v>SO-26013</x:v>
      </x:c>
      <x:c r="D1823" s="2" t="str">
        <x:v>S-C-AL</x:v>
      </x:c>
      <x:c r="E1823" s="14" t="n">
        <x:v>5</x:v>
      </x:c>
      <x:c r="F1823" s="2" t="str">
        <x:v>Mechanical preassembly</x:v>
      </x:c>
      <x:c r="G1823" s="9" t="str">
        <x:v>AS-04</x:v>
      </x:c>
      <x:c r="H1823" s="15" t="n">
        <x:v>63</x:v>
      </x:c>
      <x:c r="I1823" s="9" t="str">
        <x:v>P11</x:v>
      </x:c>
      <x:c r="J1823" s="11" t="n">
        <x:v>46307.47152777778</x:v>
      </x:c>
      <x:c r="K1823" s="15" t="n">
        <x:v>6</x:v>
      </x:c>
      <x:c r="L1823" s="15" t="n">
        <x:v>4</x:v>
      </x:c>
      <x:c r="M1823" s="13" t="n">
        <x:f>J1823+(K1823+L1823)/1440</x:f>
        <x:v>46307.478472222225</x:v>
      </x:c>
      <x:c r="N1823" s="13" t="n">
        <x:f>VLOOKUP(C1823,'MES orders'!$A$8:$H$127,5,FALSE)</x:f>
        <x:v>46308.666666666664</x:v>
      </x:c>
      <x:c r="O1823" s="16" t="n">
        <x:f>MAX(0,(M1823-N1823)*24)</x:f>
        <x:v>0</x:v>
      </x:c>
      <x:c r="P1823" s="9" t="str">
        <x:v>No</x:v>
      </x:c>
      <x:c r="Q1823" s="15" t="n">
        <x:v>10</x:v>
      </x:c>
      <x:c r="R1823" s="13" t="n">
        <x:f>J1823+Q1823/1440</x:f>
        <x:v>46307.478472222225</x:v>
      </x:c>
      <x:c r="S1823" s="2" t="str">
        <x:f>VLOOKUP(C1823,'MES orders'!$A$8:$H$127,6,FALSE)</x:f>
        <x:v>Normal</x:v>
      </x:c>
      <x:c r="T1823" s="9" t="str"/>
    </x:row>
    <x:row r="1824" ht="22" customHeight="1">
      <x:c r="A1824" s="2" t="str">
        <x:v>L00340-020</x:v>
      </x:c>
      <x:c r="B1824" s="2" t="str">
        <x:v>L00340</x:v>
      </x:c>
      <x:c r="C1824" s="2" t="str">
        <x:v>SO-26068</x:v>
      </x:c>
      <x:c r="D1824" s="2" t="str">
        <x:v>D-C-SS</x:v>
      </x:c>
      <x:c r="E1824" s="14" t="n">
        <x:v>15</x:v>
      </x:c>
      <x:c r="F1824" s="2" t="str">
        <x:v>Deburr &amp; inspect</x:v>
      </x:c>
      <x:c r="G1824" s="9" t="str">
        <x:v>DB-01</x:v>
      </x:c>
      <x:c r="H1824" s="15" t="n">
        <x:v>174</x:v>
      </x:c>
      <x:c r="I1824" s="9" t="str">
        <x:v>P01</x:v>
      </x:c>
      <x:c r="J1824" s="11" t="n">
        <x:v>46307.475</x:v>
      </x:c>
      <x:c r="K1824" s="15" t="n">
        <x:v>4</x:v>
      </x:c>
      <x:c r="L1824" s="15" t="n">
        <x:v>8</x:v>
      </x:c>
      <x:c r="M1824" s="13" t="n">
        <x:f>J1824+(K1824+L1824)/1440</x:f>
        <x:v>46307.48333333333</x:v>
      </x:c>
      <x:c r="N1824" s="13" t="n">
        <x:f>VLOOKUP(C1824,'MES orders'!$A$8:$H$127,5,FALSE)</x:f>
        <x:v>46307.666666666664</x:v>
      </x:c>
      <x:c r="O1824" s="16" t="n">
        <x:f>MAX(0,(M1824-N1824)*24)</x:f>
        <x:v>0</x:v>
      </x:c>
      <x:c r="P1824" s="9" t="str">
        <x:v>No</x:v>
      </x:c>
      <x:c r="Q1824" s="15" t="n">
        <x:v>12</x:v>
      </x:c>
      <x:c r="R1824" s="13" t="n">
        <x:f>J1824+Q1824/1440</x:f>
        <x:v>46307.48333333333</x:v>
      </x:c>
      <x:c r="S1824" s="2" t="str">
        <x:f>VLOOKUP(C1824,'MES orders'!$A$8:$H$127,6,FALSE)</x:f>
        <x:v>Normal</x:v>
      </x:c>
      <x:c r="T1824" s="9" t="str"/>
    </x:row>
    <x:row r="1825" ht="22" customHeight="1">
      <x:c r="A1825" s="2" t="str">
        <x:v>L00297-040</x:v>
      </x:c>
      <x:c r="B1825" s="2" t="str">
        <x:v>L00297</x:v>
      </x:c>
      <x:c r="C1825" s="2" t="str">
        <x:v>SO-26060</x:v>
      </x:c>
      <x:c r="D1825" s="2" t="str">
        <x:v>S-L-SS</x:v>
      </x:c>
      <x:c r="E1825" s="14" t="n">
        <x:v>5</x:v>
      </x:c>
      <x:c r="F1825" s="2" t="str">
        <x:v>Mechanical preassembly</x:v>
      </x:c>
      <x:c r="G1825" s="9" t="str">
        <x:v>AS-02</x:v>
      </x:c>
      <x:c r="H1825" s="15" t="n">
        <x:v>118</x:v>
      </x:c>
      <x:c r="I1825" s="9" t="str">
        <x:v>P04</x:v>
      </x:c>
      <x:c r="J1825" s="11" t="n">
        <x:v>46307.475694444445</x:v>
      </x:c>
      <x:c r="K1825" s="15" t="n">
        <x:v>6</x:v>
      </x:c>
      <x:c r="L1825" s="15" t="n">
        <x:v>7</x:v>
      </x:c>
      <x:c r="M1825" s="13" t="n">
        <x:f>J1825+(K1825+L1825)/1440</x:f>
        <x:v>46307.48472222222</x:v>
      </x:c>
      <x:c r="N1825" s="13" t="n">
        <x:f>VLOOKUP(C1825,'MES orders'!$A$8:$H$127,5,FALSE)</x:f>
        <x:v>46307.666666666664</x:v>
      </x:c>
      <x:c r="O1825" s="16" t="n">
        <x:f>MAX(0,(M1825-N1825)*24)</x:f>
        <x:v>0</x:v>
      </x:c>
      <x:c r="P1825" s="9" t="str">
        <x:v>No</x:v>
      </x:c>
      <x:c r="Q1825" s="15" t="n">
        <x:v>13</x:v>
      </x:c>
      <x:c r="R1825" s="13" t="n">
        <x:f>J1825+Q1825/1440</x:f>
        <x:v>46307.48472222222</x:v>
      </x:c>
      <x:c r="S1825" s="2" t="str">
        <x:f>VLOOKUP(C1825,'MES orders'!$A$8:$H$127,6,FALSE)</x:f>
        <x:v>Normal</x:v>
      </x:c>
      <x:c r="T1825" s="9" t="str"/>
    </x:row>
    <x:row r="1826" ht="22" customHeight="1">
      <x:c r="A1826" s="2" t="str">
        <x:v>L00259-050</x:v>
      </x:c>
      <x:c r="B1826" s="2" t="str">
        <x:v>L00259</x:v>
      </x:c>
      <x:c r="C1826" s="2" t="str">
        <x:v>SO-26052</x:v>
      </x:c>
      <x:c r="D1826" s="2" t="str">
        <x:v>S-S-SS</x:v>
      </x:c>
      <x:c r="E1826" s="14" t="n">
        <x:v>25</x:v>
      </x:c>
      <x:c r="F1826" s="2" t="str">
        <x:v>Sensor installation</x:v>
      </x:c>
      <x:c r="G1826" s="9" t="str">
        <x:v>EL-01</x:v>
      </x:c>
      <x:c r="H1826" s="15" t="n">
        <x:v>64</x:v>
      </x:c>
      <x:c r="I1826" s="9" t="str">
        <x:v>P07</x:v>
      </x:c>
      <x:c r="J1826" s="11" t="n">
        <x:v>46307.475694444445</x:v>
      </x:c>
      <x:c r="K1826" s="15" t="n">
        <x:v>8</x:v>
      </x:c>
      <x:c r="L1826" s="15" t="n">
        <x:v>30</x:v>
      </x:c>
      <x:c r="M1826" s="13" t="n">
        <x:f>J1826+(K1826+L1826)/1440</x:f>
        <x:v>46307.50208333333</x:v>
      </x:c>
      <x:c r="N1826" s="13" t="n">
        <x:f>VLOOKUP(C1826,'MES orders'!$A$8:$H$127,5,FALSE)</x:f>
        <x:v>46307.666666666664</x:v>
      </x:c>
      <x:c r="O1826" s="16" t="n">
        <x:f>MAX(0,(M1826-N1826)*24)</x:f>
        <x:v>0</x:v>
      </x:c>
      <x:c r="P1826" s="9" t="str">
        <x:v>No</x:v>
      </x:c>
      <x:c r="Q1826" s="15" t="n">
        <x:v>38</x:v>
      </x:c>
      <x:c r="R1826" s="13" t="n">
        <x:f>J1826+Q1826/1440</x:f>
        <x:v>46307.50208333333</x:v>
      </x:c>
      <x:c r="S1826" s="2" t="str">
        <x:f>VLOOKUP(C1826,'MES orders'!$A$8:$H$127,6,FALSE)</x:f>
        <x:v>Normal</x:v>
      </x:c>
      <x:c r="T1826" s="9" t="str"/>
    </x:row>
    <x:row r="1827" ht="22" customHeight="1">
      <x:c r="A1827" s="2" t="str">
        <x:v>L00064-040</x:v>
      </x:c>
      <x:c r="B1827" s="2" t="str">
        <x:v>L00064</x:v>
      </x:c>
      <x:c r="C1827" s="2" t="str">
        <x:v>SO-26013</x:v>
      </x:c>
      <x:c r="D1827" s="2" t="str">
        <x:v>S-C-AL</x:v>
      </x:c>
      <x:c r="E1827" s="14" t="n">
        <x:v>5</x:v>
      </x:c>
      <x:c r="F1827" s="2" t="str">
        <x:v>Mechanical preassembly</x:v>
      </x:c>
      <x:c r="G1827" s="9" t="str">
        <x:v>AS-05</x:v>
      </x:c>
      <x:c r="H1827" s="15" t="n">
        <x:v>39</x:v>
      </x:c>
      <x:c r="I1827" s="9" t="str">
        <x:v>P12</x:v>
      </x:c>
      <x:c r="J1827" s="11" t="n">
        <x:v>46307.47638888889</x:v>
      </x:c>
      <x:c r="K1827" s="15" t="n">
        <x:v>6</x:v>
      </x:c>
      <x:c r="L1827" s="15" t="n">
        <x:v>4</x:v>
      </x:c>
      <x:c r="M1827" s="13" t="n">
        <x:f>J1827+(K1827+L1827)/1440</x:f>
        <x:v>46307.48333333334</x:v>
      </x:c>
      <x:c r="N1827" s="13" t="n">
        <x:f>VLOOKUP(C1827,'MES orders'!$A$8:$H$127,5,FALSE)</x:f>
        <x:v>46308.666666666664</x:v>
      </x:c>
      <x:c r="O1827" s="16" t="n">
        <x:f>MAX(0,(M1827-N1827)*24)</x:f>
        <x:v>0</x:v>
      </x:c>
      <x:c r="P1827" s="9" t="str">
        <x:v>No</x:v>
      </x:c>
      <x:c r="Q1827" s="15" t="n">
        <x:v>10</x:v>
      </x:c>
      <x:c r="R1827" s="13" t="n">
        <x:f>J1827+Q1827/1440</x:f>
        <x:v>46307.48333333334</x:v>
      </x:c>
      <x:c r="S1827" s="2" t="str">
        <x:f>VLOOKUP(C1827,'MES orders'!$A$8:$H$127,6,FALSE)</x:f>
        <x:v>Normal</x:v>
      </x:c>
      <x:c r="T1827" s="9" t="str"/>
    </x:row>
    <x:row r="1828" ht="22" customHeight="1">
      <x:c r="A1828" s="2" t="str">
        <x:v>L00063-050</x:v>
      </x:c>
      <x:c r="B1828" s="2" t="str">
        <x:v>L00063</x:v>
      </x:c>
      <x:c r="C1828" s="2" t="str">
        <x:v>SO-26013</x:v>
      </x:c>
      <x:c r="D1828" s="2" t="str">
        <x:v>S-C-AL</x:v>
      </x:c>
      <x:c r="E1828" s="14" t="n">
        <x:v>5</x:v>
      </x:c>
      <x:c r="F1828" s="2" t="str">
        <x:v>Sensor installation</x:v>
      </x:c>
      <x:c r="G1828" s="9" t="str">
        <x:v>EL-02</x:v>
      </x:c>
      <x:c r="H1828" s="15" t="n">
        <x:v>34</x:v>
      </x:c>
      <x:c r="I1828" s="9" t="str">
        <x:v>P08</x:v>
      </x:c>
      <x:c r="J1828" s="11" t="n">
        <x:v>46307.478472222225</x:v>
      </x:c>
      <x:c r="K1828" s="15" t="n">
        <x:v>8</x:v>
      </x:c>
      <x:c r="L1828" s="15" t="n">
        <x:v>5</x:v>
      </x:c>
      <x:c r="M1828" s="13" t="n">
        <x:f>J1828+(K1828+L1828)/1440</x:f>
        <x:v>46307.4875</x:v>
      </x:c>
      <x:c r="N1828" s="13" t="n">
        <x:f>VLOOKUP(C1828,'MES orders'!$A$8:$H$127,5,FALSE)</x:f>
        <x:v>46308.666666666664</x:v>
      </x:c>
      <x:c r="O1828" s="16" t="n">
        <x:f>MAX(0,(M1828-N1828)*24)</x:f>
        <x:v>0</x:v>
      </x:c>
      <x:c r="P1828" s="9" t="str">
        <x:v>No</x:v>
      </x:c>
      <x:c r="Q1828" s="15" t="n">
        <x:v>13</x:v>
      </x:c>
      <x:c r="R1828" s="13" t="n">
        <x:f>J1828+Q1828/1440</x:f>
        <x:v>46307.4875</x:v>
      </x:c>
      <x:c r="S1828" s="2" t="str">
        <x:f>VLOOKUP(C1828,'MES orders'!$A$8:$H$127,6,FALSE)</x:f>
        <x:v>Normal</x:v>
      </x:c>
      <x:c r="T1828" s="9" t="str"/>
    </x:row>
    <x:row r="1829" ht="22" customHeight="1">
      <x:c r="A1829" s="2" t="str">
        <x:v>L00377-020</x:v>
      </x:c>
      <x:c r="B1829" s="2" t="str">
        <x:v>L00377</x:v>
      </x:c>
      <x:c r="C1829" s="2" t="str">
        <x:v>SO-26076</x:v>
      </x:c>
      <x:c r="D1829" s="2" t="str">
        <x:v>D-S-SS</x:v>
      </x:c>
      <x:c r="E1829" s="14" t="n">
        <x:v>10</x:v>
      </x:c>
      <x:c r="F1829" s="2" t="str">
        <x:v>Deburr &amp; inspect</x:v>
      </x:c>
      <x:c r="G1829" s="9" t="str">
        <x:v>DB-02</x:v>
      </x:c>
      <x:c r="H1829" s="15" t="n">
        <x:v>119</x:v>
      </x:c>
      <x:c r="I1829" s="9" t="str">
        <x:v>P02</x:v>
      </x:c>
      <x:c r="J1829" s="11" t="n">
        <x:v>46307.47986111111</x:v>
      </x:c>
      <x:c r="K1829" s="15" t="n">
        <x:v>4</x:v>
      </x:c>
      <x:c r="L1829" s="15" t="n">
        <x:v>7</x:v>
      </x:c>
      <x:c r="M1829" s="13" t="n">
        <x:f>J1829+(K1829+L1829)/1440</x:f>
        <x:v>46307.4875</x:v>
      </x:c>
      <x:c r="N1829" s="13" t="n">
        <x:f>VLOOKUP(C1829,'MES orders'!$A$8:$H$127,5,FALSE)</x:f>
        <x:v>46307.666666666664</x:v>
      </x:c>
      <x:c r="O1829" s="16" t="n">
        <x:f>MAX(0,(M1829-N1829)*24)</x:f>
        <x:v>0</x:v>
      </x:c>
      <x:c r="P1829" s="9" t="str">
        <x:v>No</x:v>
      </x:c>
      <x:c r="Q1829" s="15" t="n">
        <x:v>11</x:v>
      </x:c>
      <x:c r="R1829" s="13" t="n">
        <x:f>J1829+Q1829/1440</x:f>
        <x:v>46307.4875</x:v>
      </x:c>
      <x:c r="S1829" s="2" t="str">
        <x:f>VLOOKUP(C1829,'MES orders'!$A$8:$H$127,6,FALSE)</x:f>
        <x:v>Normal</x:v>
      </x:c>
      <x:c r="T1829" s="9" t="str"/>
    </x:row>
    <x:row r="1830" ht="22" customHeight="1">
      <x:c r="A1830" s="2" t="str">
        <x:v>L00378-020</x:v>
      </x:c>
      <x:c r="B1830" s="2" t="str">
        <x:v>L00378</x:v>
      </x:c>
      <x:c r="C1830" s="2" t="str">
        <x:v>SO-26076</x:v>
      </x:c>
      <x:c r="D1830" s="2" t="str">
        <x:v>D-S-SS</x:v>
      </x:c>
      <x:c r="E1830" s="14" t="n">
        <x:v>10</x:v>
      </x:c>
      <x:c r="F1830" s="2" t="str">
        <x:v>Deburr &amp; inspect</x:v>
      </x:c>
      <x:c r="G1830" s="9" t="str">
        <x:v>DB-01</x:v>
      </x:c>
      <x:c r="H1830" s="15" t="n">
        <x:v>175</x:v>
      </x:c>
      <x:c r="I1830" s="9" t="str">
        <x:v>P03</x:v>
      </x:c>
      <x:c r="J1830" s="11" t="n">
        <x:v>46307.48333333333</x:v>
      </x:c>
      <x:c r="K1830" s="15" t="n">
        <x:v>4</x:v>
      </x:c>
      <x:c r="L1830" s="15" t="n">
        <x:v>7</x:v>
      </x:c>
      <x:c r="M1830" s="13" t="n">
        <x:f>J1830+(K1830+L1830)/1440</x:f>
        <x:v>46307.49097222222</x:v>
      </x:c>
      <x:c r="N1830" s="13" t="n">
        <x:f>VLOOKUP(C1830,'MES orders'!$A$8:$H$127,5,FALSE)</x:f>
        <x:v>46307.666666666664</x:v>
      </x:c>
      <x:c r="O1830" s="16" t="n">
        <x:f>MAX(0,(M1830-N1830)*24)</x:f>
        <x:v>0</x:v>
      </x:c>
      <x:c r="P1830" s="9" t="str">
        <x:v>No</x:v>
      </x:c>
      <x:c r="Q1830" s="15" t="n">
        <x:v>11</x:v>
      </x:c>
      <x:c r="R1830" s="13" t="n">
        <x:f>J1830+Q1830/1440</x:f>
        <x:v>46307.49097222222</x:v>
      </x:c>
      <x:c r="S1830" s="2" t="str">
        <x:f>VLOOKUP(C1830,'MES orders'!$A$8:$H$127,6,FALSE)</x:f>
        <x:v>Normal</x:v>
      </x:c>
      <x:c r="T1830" s="9" t="str"/>
    </x:row>
    <x:row r="1831" ht="22" customHeight="1">
      <x:c r="A1831" s="2" t="str">
        <x:v>L00340-030</x:v>
      </x:c>
      <x:c r="B1831" s="2" t="str">
        <x:v>L00340</x:v>
      </x:c>
      <x:c r="C1831" s="2" t="str">
        <x:v>SO-26068</x:v>
      </x:c>
      <x:c r="D1831" s="2" t="str">
        <x:v>D-C-SS</x:v>
      </x:c>
      <x:c r="E1831" s="14" t="n">
        <x:v>15</x:v>
      </x:c>
      <x:c r="F1831" s="2" t="str">
        <x:v>Wash &amp; dry</x:v>
      </x:c>
      <x:c r="G1831" s="9" t="str">
        <x:v>WS-02</x:v>
      </x:c>
      <x:c r="H1831" s="15" t="n">
        <x:v>119</x:v>
      </x:c>
      <x:c r="I1831" s="9" t="str">
        <x:v>P01</x:v>
      </x:c>
      <x:c r="J1831" s="11" t="n">
        <x:v>46307.48333333333</x:v>
      </x:c>
      <x:c r="K1831" s="15" t="n">
        <x:v>12</x:v>
      </x:c>
      <x:c r="L1831" s="15" t="n">
        <x:v>4</x:v>
      </x:c>
      <x:c r="M1831" s="13" t="n">
        <x:f>J1831+(K1831+L1831)/1440</x:f>
        <x:v>46307.49444444444</x:v>
      </x:c>
      <x:c r="N1831" s="13" t="n">
        <x:f>VLOOKUP(C1831,'MES orders'!$A$8:$H$127,5,FALSE)</x:f>
        <x:v>46307.666666666664</x:v>
      </x:c>
      <x:c r="O1831" s="16" t="n">
        <x:f>MAX(0,(M1831-N1831)*24)</x:f>
        <x:v>0</x:v>
      </x:c>
      <x:c r="P1831" s="9" t="str">
        <x:v>No</x:v>
      </x:c>
      <x:c r="Q1831" s="15" t="n">
        <x:v>16</x:v>
      </x:c>
      <x:c r="R1831" s="13" t="n">
        <x:f>J1831+Q1831/1440</x:f>
        <x:v>46307.49444444444</x:v>
      </x:c>
      <x:c r="S1831" s="2" t="str">
        <x:f>VLOOKUP(C1831,'MES orders'!$A$8:$H$127,6,FALSE)</x:f>
        <x:v>Normal</x:v>
      </x:c>
      <x:c r="T1831" s="9" t="str"/>
    </x:row>
    <x:row r="1832" ht="22" customHeight="1">
      <x:c r="A1832" s="2" t="str">
        <x:v>L00256-080</x:v>
      </x:c>
      <x:c r="B1832" s="2" t="str">
        <x:v>L00256</x:v>
      </x:c>
      <x:c r="C1832" s="2" t="str">
        <x:v>SO-26052</x:v>
      </x:c>
      <x:c r="D1832" s="2" t="str">
        <x:v>S-S-SS</x:v>
      </x:c>
      <x:c r="E1832" s="14" t="n">
        <x:v>25</x:v>
      </x:c>
      <x:c r="F1832" s="2" t="str">
        <x:v>Final leak / function test</x:v>
      </x:c>
      <x:c r="G1832" s="9" t="str">
        <x:v>QA-02</x:v>
      </x:c>
      <x:c r="H1832" s="15" t="n">
        <x:v>130</x:v>
      </x:c>
      <x:c r="I1832" s="9" t="str">
        <x:v>P11</x:v>
      </x:c>
      <x:c r="J1832" s="11" t="n">
        <x:v>46307.48402777778</x:v>
      </x:c>
      <x:c r="K1832" s="15" t="n">
        <x:v>10</x:v>
      </x:c>
      <x:c r="L1832" s="15" t="n">
        <x:v>22</x:v>
      </x:c>
      <x:c r="M1832" s="13" t="n">
        <x:f>J1832+(K1832+L1832)/1440</x:f>
        <x:v>46307.50625</x:v>
      </x:c>
      <x:c r="N1832" s="13" t="n">
        <x:f>VLOOKUP(C1832,'MES orders'!$A$8:$H$127,5,FALSE)</x:f>
        <x:v>46307.666666666664</x:v>
      </x:c>
      <x:c r="O1832" s="16" t="n">
        <x:f>MAX(0,(M1832-N1832)*24)</x:f>
        <x:v>0</x:v>
      </x:c>
      <x:c r="P1832" s="9" t="str">
        <x:v>No</x:v>
      </x:c>
      <x:c r="Q1832" s="15" t="n">
        <x:v>32</x:v>
      </x:c>
      <x:c r="R1832" s="13" t="n">
        <x:f>J1832+Q1832/1440</x:f>
        <x:v>46307.50625</x:v>
      </x:c>
      <x:c r="S1832" s="2" t="str">
        <x:f>VLOOKUP(C1832,'MES orders'!$A$8:$H$127,6,FALSE)</x:f>
        <x:v>Normal</x:v>
      </x:c>
      <x:c r="T1832" s="9" t="str"/>
    </x:row>
    <x:row r="1833" ht="22" customHeight="1">
      <x:c r="A1833" s="2" t="str">
        <x:v>L00298-030</x:v>
      </x:c>
      <x:c r="B1833" s="2" t="str">
        <x:v>L00298</x:v>
      </x:c>
      <x:c r="C1833" s="2" t="str">
        <x:v>SO-26060</x:v>
      </x:c>
      <x:c r="D1833" s="2" t="str">
        <x:v>S-L-SS</x:v>
      </x:c>
      <x:c r="E1833" s="14" t="n">
        <x:v>5</x:v>
      </x:c>
      <x:c r="F1833" s="2" t="str">
        <x:v>Wash &amp; dry</x:v>
      </x:c>
      <x:c r="G1833" s="9" t="str">
        <x:v>WS-01</x:v>
      </x:c>
      <x:c r="H1833" s="15" t="n">
        <x:v>171</x:v>
      </x:c>
      <x:c r="I1833" s="9" t="str">
        <x:v>P05</x:v>
      </x:c>
      <x:c r="J1833" s="11" t="n">
        <x:v>46307.48402777778</x:v>
      </x:c>
      <x:c r="K1833" s="15" t="n">
        <x:v>12</x:v>
      </x:c>
      <x:c r="L1833" s="15" t="n">
        <x:v>2</x:v>
      </x:c>
      <x:c r="M1833" s="13" t="n">
        <x:f>J1833+(K1833+L1833)/1440</x:f>
        <x:v>46307.49375</x:v>
      </x:c>
      <x:c r="N1833" s="13" t="n">
        <x:f>VLOOKUP(C1833,'MES orders'!$A$8:$H$127,5,FALSE)</x:f>
        <x:v>46307.666666666664</x:v>
      </x:c>
      <x:c r="O1833" s="16" t="n">
        <x:f>MAX(0,(M1833-N1833)*24)</x:f>
        <x:v>0</x:v>
      </x:c>
      <x:c r="P1833" s="9" t="str">
        <x:v>No</x:v>
      </x:c>
      <x:c r="Q1833" s="15" t="n">
        <x:v>14</x:v>
      </x:c>
      <x:c r="R1833" s="13" t="n">
        <x:f>J1833+Q1833/1440</x:f>
        <x:v>46307.49375</x:v>
      </x:c>
      <x:c r="S1833" s="2" t="str">
        <x:f>VLOOKUP(C1833,'MES orders'!$A$8:$H$127,6,FALSE)</x:f>
        <x:v>Normal</x:v>
      </x:c>
      <x:c r="T1833" s="9" t="str"/>
    </x:row>
    <x:row r="1834" ht="22" customHeight="1">
      <x:c r="A1834" s="2" t="str">
        <x:v>L00299-040</x:v>
      </x:c>
      <x:c r="B1834" s="2" t="str">
        <x:v>L00299</x:v>
      </x:c>
      <x:c r="C1834" s="2" t="str">
        <x:v>SO-26060</x:v>
      </x:c>
      <x:c r="D1834" s="2" t="str">
        <x:v>S-L-SS</x:v>
      </x:c>
      <x:c r="E1834" s="14" t="n">
        <x:v>5</x:v>
      </x:c>
      <x:c r="F1834" s="2" t="str">
        <x:v>Mechanical preassembly</x:v>
      </x:c>
      <x:c r="G1834" s="9" t="str">
        <x:v>AS-01</x:v>
      </x:c>
      <x:c r="H1834" s="15" t="n">
        <x:v>148</x:v>
      </x:c>
      <x:c r="I1834" s="9" t="str">
        <x:v>P04</x:v>
      </x:c>
      <x:c r="J1834" s="11" t="n">
        <x:v>46307.48472222222</x:v>
      </x:c>
      <x:c r="K1834" s="15" t="n">
        <x:v>6</x:v>
      </x:c>
      <x:c r="L1834" s="15" t="n">
        <x:v>7</x:v>
      </x:c>
      <x:c r="M1834" s="13" t="n">
        <x:f>J1834+(K1834+L1834)/1440</x:f>
        <x:v>46307.49375</x:v>
      </x:c>
      <x:c r="N1834" s="13" t="n">
        <x:f>VLOOKUP(C1834,'MES orders'!$A$8:$H$127,5,FALSE)</x:f>
        <x:v>46307.666666666664</x:v>
      </x:c>
      <x:c r="O1834" s="16" t="n">
        <x:f>MAX(0,(M1834-N1834)*24)</x:f>
        <x:v>0</x:v>
      </x:c>
      <x:c r="P1834" s="9" t="str">
        <x:v>No</x:v>
      </x:c>
      <x:c r="Q1834" s="15" t="n">
        <x:v>13</x:v>
      </x:c>
      <x:c r="R1834" s="13" t="n">
        <x:f>J1834+Q1834/1440</x:f>
        <x:v>46307.49375</x:v>
      </x:c>
      <x:c r="S1834" s="2" t="str">
        <x:f>VLOOKUP(C1834,'MES orders'!$A$8:$H$127,6,FALSE)</x:f>
        <x:v>Normal</x:v>
      </x:c>
      <x:c r="T1834" s="9" t="str"/>
    </x:row>
    <x:row r="1835" ht="22" customHeight="1">
      <x:c r="A1835" s="2" t="str">
        <x:v>L00300-040</x:v>
      </x:c>
      <x:c r="B1835" s="2" t="str">
        <x:v>L00300</x:v>
      </x:c>
      <x:c r="C1835" s="2" t="str">
        <x:v>SO-26060</x:v>
      </x:c>
      <x:c r="D1835" s="2" t="str">
        <x:v>S-L-SS</x:v>
      </x:c>
      <x:c r="E1835" s="14" t="n">
        <x:v>5</x:v>
      </x:c>
      <x:c r="F1835" s="2" t="str">
        <x:v>Mechanical preassembly</x:v>
      </x:c>
      <x:c r="G1835" s="9" t="str">
        <x:v>AS-03</x:v>
      </x:c>
      <x:c r="H1835" s="15" t="n">
        <x:v>95</x:v>
      </x:c>
      <x:c r="I1835" s="9" t="str">
        <x:v>P06</x:v>
      </x:c>
      <x:c r="J1835" s="11" t="n">
        <x:v>46307.49097222222</x:v>
      </x:c>
      <x:c r="K1835" s="15" t="n">
        <x:v>6</x:v>
      </x:c>
      <x:c r="L1835" s="15" t="n">
        <x:v>7</x:v>
      </x:c>
      <x:c r="M1835" s="13" t="n">
        <x:f>J1835+(K1835+L1835)/1440</x:f>
        <x:v>46307.5</x:v>
      </x:c>
      <x:c r="N1835" s="13" t="n">
        <x:f>VLOOKUP(C1835,'MES orders'!$A$8:$H$127,5,FALSE)</x:f>
        <x:v>46307.666666666664</x:v>
      </x:c>
      <x:c r="O1835" s="16" t="n">
        <x:f>MAX(0,(M1835-N1835)*24)</x:f>
        <x:v>0</x:v>
      </x:c>
      <x:c r="P1835" s="9" t="str">
        <x:v>No</x:v>
      </x:c>
      <x:c r="Q1835" s="15" t="n">
        <x:v>13</x:v>
      </x:c>
      <x:c r="R1835" s="13" t="n">
        <x:f>J1835+Q1835/1440</x:f>
        <x:v>46307.5</x:v>
      </x:c>
      <x:c r="S1835" s="2" t="str">
        <x:f>VLOOKUP(C1835,'MES orders'!$A$8:$H$127,6,FALSE)</x:f>
        <x:v>Normal</x:v>
      </x:c>
      <x:c r="T1835" s="9" t="str"/>
    </x:row>
    <x:row r="1836" ht="22" customHeight="1">
      <x:c r="A1836" s="2" t="str">
        <x:v>L00380-010</x:v>
      </x:c>
      <x:c r="B1836" s="2" t="str">
        <x:v>L00380</x:v>
      </x:c>
      <x:c r="C1836" s="2" t="str">
        <x:v>SO-26076</x:v>
      </x:c>
      <x:c r="D1836" s="2" t="str">
        <x:v>D-S-SS</x:v>
      </x:c>
      <x:c r="E1836" s="14" t="n">
        <x:v>10</x:v>
      </x:c>
      <x:c r="F1836" s="2" t="str">
        <x:v>CNC machining</x:v>
      </x:c>
      <x:c r="G1836" s="9" t="str">
        <x:v>CNC-03</x:v>
      </x:c>
      <x:c r="H1836" s="15" t="n">
        <x:v>58</x:v>
      </x:c>
      <x:c r="I1836" s="9" t="str">
        <x:v>P03</x:v>
      </x:c>
      <x:c r="J1836" s="11" t="n">
        <x:v>46307.49097222222</x:v>
      </x:c>
      <x:c r="K1836" s="15" t="n">
        <x:v>18</x:v>
      </x:c>
      <x:c r="L1836" s="15" t="n">
        <x:v>30</x:v>
      </x:c>
      <x:c r="M1836" s="13" t="n">
        <x:f>J1836+(K1836+L1836)/1440</x:f>
        <x:v>46307.524305555555</x:v>
      </x:c>
      <x:c r="N1836" s="13" t="n">
        <x:f>VLOOKUP(C1836,'MES orders'!$A$8:$H$127,5,FALSE)</x:f>
        <x:v>46307.666666666664</x:v>
      </x:c>
      <x:c r="O1836" s="16" t="n">
        <x:f>MAX(0,(M1836-N1836)*24)</x:f>
        <x:v>0</x:v>
      </x:c>
      <x:c r="P1836" s="9" t="str">
        <x:v>No</x:v>
      </x:c>
      <x:c r="Q1836" s="15" t="n">
        <x:v>18</x:v>
      </x:c>
      <x:c r="R1836" s="13" t="n">
        <x:f>J1836+Q1836/1440</x:f>
        <x:v>46307.50347222222</x:v>
      </x:c>
      <x:c r="S1836" s="2" t="str">
        <x:f>VLOOKUP(C1836,'MES orders'!$A$8:$H$127,6,FALSE)</x:f>
        <x:v>Normal</x:v>
      </x:c>
      <x:c r="T1836" s="9" t="str"/>
    </x:row>
    <x:row r="1837" ht="22" customHeight="1">
      <x:c r="A1837" s="2" t="str">
        <x:v>L00260-050</x:v>
      </x:c>
      <x:c r="B1837" s="2" t="str">
        <x:v>L00260</x:v>
      </x:c>
      <x:c r="C1837" s="2" t="str">
        <x:v>SO-26052</x:v>
      </x:c>
      <x:c r="D1837" s="2" t="str">
        <x:v>S-S-SS</x:v>
      </x:c>
      <x:c r="E1837" s="14" t="n">
        <x:v>25</x:v>
      </x:c>
      <x:c r="F1837" s="2" t="str">
        <x:v>Sensor installation</x:v>
      </x:c>
      <x:c r="G1837" s="9" t="str">
        <x:v>EL-02</x:v>
      </x:c>
      <x:c r="H1837" s="15" t="n">
        <x:v>35</x:v>
      </x:c>
      <x:c r="I1837" s="9" t="str">
        <x:v>P08</x:v>
      </x:c>
      <x:c r="J1837" s="11" t="n">
        <x:v>46307.49097222222</x:v>
      </x:c>
      <x:c r="K1837" s="15" t="n">
        <x:v>8</x:v>
      </x:c>
      <x:c r="L1837" s="15" t="n">
        <x:v>30</x:v>
      </x:c>
      <x:c r="M1837" s="13" t="n">
        <x:f>J1837+(K1837+L1837)/1440</x:f>
        <x:v>46307.51736111111</x:v>
      </x:c>
      <x:c r="N1837" s="13" t="n">
        <x:f>VLOOKUP(C1837,'MES orders'!$A$8:$H$127,5,FALSE)</x:f>
        <x:v>46307.666666666664</x:v>
      </x:c>
      <x:c r="O1837" s="16" t="n">
        <x:f>MAX(0,(M1837-N1837)*24)</x:f>
        <x:v>0</x:v>
      </x:c>
      <x:c r="P1837" s="9" t="str">
        <x:v>No</x:v>
      </x:c>
      <x:c r="Q1837" s="15" t="n">
        <x:v>38</x:v>
      </x:c>
      <x:c r="R1837" s="13" t="n">
        <x:f>J1837+Q1837/1440</x:f>
        <x:v>46307.51736111111</x:v>
      </x:c>
      <x:c r="S1837" s="2" t="str">
        <x:f>VLOOKUP(C1837,'MES orders'!$A$8:$H$127,6,FALSE)</x:f>
        <x:v>Normal</x:v>
      </x:c>
      <x:c r="T1837" s="9" t="str"/>
    </x:row>
    <x:row r="1838" ht="22" customHeight="1">
      <x:c r="A1838" s="2" t="str">
        <x:v>L00298-040</x:v>
      </x:c>
      <x:c r="B1838" s="2" t="str">
        <x:v>L00298</x:v>
      </x:c>
      <x:c r="C1838" s="2" t="str">
        <x:v>SO-26060</x:v>
      </x:c>
      <x:c r="D1838" s="2" t="str">
        <x:v>S-L-SS</x:v>
      </x:c>
      <x:c r="E1838" s="14" t="n">
        <x:v>5</x:v>
      </x:c>
      <x:c r="F1838" s="2" t="str">
        <x:v>Mechanical preassembly</x:v>
      </x:c>
      <x:c r="G1838" s="9" t="str">
        <x:v>AS-02</x:v>
      </x:c>
      <x:c r="H1838" s="15" t="n">
        <x:v>119</x:v>
      </x:c>
      <x:c r="I1838" s="9" t="str">
        <x:v>P04</x:v>
      </x:c>
      <x:c r="J1838" s="11" t="n">
        <x:v>46307.49375</x:v>
      </x:c>
      <x:c r="K1838" s="15" t="n">
        <x:v>6</x:v>
      </x:c>
      <x:c r="L1838" s="15" t="n">
        <x:v>7</x:v>
      </x:c>
      <x:c r="M1838" s="13" t="n">
        <x:f>J1838+(K1838+L1838)/1440</x:f>
        <x:v>46307.50277777778</x:v>
      </x:c>
      <x:c r="N1838" s="13" t="n">
        <x:f>VLOOKUP(C1838,'MES orders'!$A$8:$H$127,5,FALSE)</x:f>
        <x:v>46307.666666666664</x:v>
      </x:c>
      <x:c r="O1838" s="16" t="n">
        <x:f>MAX(0,(M1838-N1838)*24)</x:f>
        <x:v>0</x:v>
      </x:c>
      <x:c r="P1838" s="9" t="str">
        <x:v>No</x:v>
      </x:c>
      <x:c r="Q1838" s="15" t="n">
        <x:v>13</x:v>
      </x:c>
      <x:c r="R1838" s="13" t="n">
        <x:f>J1838+Q1838/1440</x:f>
        <x:v>46307.50277777778</x:v>
      </x:c>
      <x:c r="S1838" s="2" t="str">
        <x:f>VLOOKUP(C1838,'MES orders'!$A$8:$H$127,6,FALSE)</x:f>
        <x:v>Normal</x:v>
      </x:c>
      <x:c r="T1838" s="9" t="str"/>
    </x:row>
    <x:row r="1839" ht="22" customHeight="1">
      <x:c r="A1839" s="2" t="str">
        <x:v>L00378-030</x:v>
      </x:c>
      <x:c r="B1839" s="2" t="str">
        <x:v>L00378</x:v>
      </x:c>
      <x:c r="C1839" s="2" t="str">
        <x:v>SO-26076</x:v>
      </x:c>
      <x:c r="D1839" s="2" t="str">
        <x:v>D-S-SS</x:v>
      </x:c>
      <x:c r="E1839" s="14" t="n">
        <x:v>10</x:v>
      </x:c>
      <x:c r="F1839" s="2" t="str">
        <x:v>Wash &amp; dry</x:v>
      </x:c>
      <x:c r="G1839" s="9" t="str">
        <x:v>WS-01</x:v>
      </x:c>
      <x:c r="H1839" s="15" t="n">
        <x:v>172</x:v>
      </x:c>
      <x:c r="I1839" s="9" t="str">
        <x:v>P02</x:v>
      </x:c>
      <x:c r="J1839" s="11" t="n">
        <x:v>46307.49375</x:v>
      </x:c>
      <x:c r="K1839" s="15" t="n">
        <x:v>12</x:v>
      </x:c>
      <x:c r="L1839" s="15" t="n">
        <x:v>4</x:v>
      </x:c>
      <x:c r="M1839" s="13" t="n">
        <x:f>J1839+(K1839+L1839)/1440</x:f>
        <x:v>46307.50486111111</x:v>
      </x:c>
      <x:c r="N1839" s="13" t="n">
        <x:f>VLOOKUP(C1839,'MES orders'!$A$8:$H$127,5,FALSE)</x:f>
        <x:v>46307.666666666664</x:v>
      </x:c>
      <x:c r="O1839" s="16" t="n">
        <x:f>MAX(0,(M1839-N1839)*24)</x:f>
        <x:v>0</x:v>
      </x:c>
      <x:c r="P1839" s="9" t="str">
        <x:v>No</x:v>
      </x:c>
      <x:c r="Q1839" s="15" t="n">
        <x:v>16</x:v>
      </x:c>
      <x:c r="R1839" s="13" t="n">
        <x:f>J1839+Q1839/1440</x:f>
        <x:v>46307.50486111111</x:v>
      </x:c>
      <x:c r="S1839" s="2" t="str">
        <x:f>VLOOKUP(C1839,'MES orders'!$A$8:$H$127,6,FALSE)</x:f>
        <x:v>Normal</x:v>
      </x:c>
      <x:c r="T1839" s="9" t="str"/>
    </x:row>
    <x:row r="1840" ht="22" customHeight="1">
      <x:c r="A1840" s="2" t="str">
        <x:v>L00340-040</x:v>
      </x:c>
      <x:c r="B1840" s="2" t="str">
        <x:v>L00340</x:v>
      </x:c>
      <x:c r="C1840" s="2" t="str">
        <x:v>SO-26068</x:v>
      </x:c>
      <x:c r="D1840" s="2" t="str">
        <x:v>D-C-SS</x:v>
      </x:c>
      <x:c r="E1840" s="14" t="n">
        <x:v>15</x:v>
      </x:c>
      <x:c r="F1840" s="2" t="str">
        <x:v>Mechanical assembly</x:v>
      </x:c>
      <x:c r="G1840" s="9" t="str">
        <x:v>AS-04</x:v>
      </x:c>
      <x:c r="H1840" s="15" t="n">
        <x:v>64</x:v>
      </x:c>
      <x:c r="I1840" s="9" t="str">
        <x:v>P01</x:v>
      </x:c>
      <x:c r="J1840" s="11" t="n">
        <x:v>46307.49444444444</x:v>
      </x:c>
      <x:c r="K1840" s="15" t="n">
        <x:v>8</x:v>
      </x:c>
      <x:c r="L1840" s="15" t="n">
        <x:v>22</x:v>
      </x:c>
      <x:c r="M1840" s="13" t="n">
        <x:f>J1840+(K1840+L1840)/1440</x:f>
        <x:v>46307.51527777778</x:v>
      </x:c>
      <x:c r="N1840" s="13" t="n">
        <x:f>VLOOKUP(C1840,'MES orders'!$A$8:$H$127,5,FALSE)</x:f>
        <x:v>46307.666666666664</x:v>
      </x:c>
      <x:c r="O1840" s="16" t="n">
        <x:f>MAX(0,(M1840-N1840)*24)</x:f>
        <x:v>0</x:v>
      </x:c>
      <x:c r="P1840" s="9" t="str">
        <x:v>No</x:v>
      </x:c>
      <x:c r="Q1840" s="15" t="n">
        <x:v>30</x:v>
      </x:c>
      <x:c r="R1840" s="13" t="n">
        <x:f>J1840+Q1840/1440</x:f>
        <x:v>46307.51527777778</x:v>
      </x:c>
      <x:c r="S1840" s="2" t="str">
        <x:f>VLOOKUP(C1840,'MES orders'!$A$8:$H$127,6,FALSE)</x:f>
        <x:v>Normal</x:v>
      </x:c>
      <x:c r="T1840" s="9" t="str"/>
    </x:row>
    <x:row r="1841" ht="22" customHeight="1">
      <x:c r="A1841" s="2" t="str">
        <x:v>L00257-070</x:v>
      </x:c>
      <x:c r="B1841" s="2" t="str">
        <x:v>L00257</x:v>
      </x:c>
      <x:c r="C1841" s="2" t="str">
        <x:v>SO-26052</x:v>
      </x:c>
      <x:c r="D1841" s="2" t="str">
        <x:v>S-S-SS</x:v>
      </x:c>
      <x:c r="E1841" s="14" t="n">
        <x:v>25</x:v>
      </x:c>
      <x:c r="F1841" s="2" t="str">
        <x:v>Final assembly</x:v>
      </x:c>
      <x:c r="G1841" s="9" t="str">
        <x:v>AS-01</x:v>
      </x:c>
      <x:c r="H1841" s="15" t="n">
        <x:v>149</x:v>
      </x:c>
      <x:c r="I1841" s="9" t="str">
        <x:v>P05</x:v>
      </x:c>
      <x:c r="J1841" s="11" t="n">
        <x:v>46307.495833333334</x:v>
      </x:c>
      <x:c r="K1841" s="15" t="n">
        <x:v>5</x:v>
      </x:c>
      <x:c r="L1841" s="15" t="n">
        <x:v>20</x:v>
      </x:c>
      <x:c r="M1841" s="13" t="n">
        <x:f>J1841+(K1841+L1841)/1440</x:f>
        <x:v>46307.513194444444</x:v>
      </x:c>
      <x:c r="N1841" s="13" t="n">
        <x:f>VLOOKUP(C1841,'MES orders'!$A$8:$H$127,5,FALSE)</x:f>
        <x:v>46307.666666666664</x:v>
      </x:c>
      <x:c r="O1841" s="16" t="n">
        <x:f>MAX(0,(M1841-N1841)*24)</x:f>
        <x:v>0</x:v>
      </x:c>
      <x:c r="P1841" s="9" t="str">
        <x:v>No</x:v>
      </x:c>
      <x:c r="Q1841" s="15" t="n">
        <x:v>25</x:v>
      </x:c>
      <x:c r="R1841" s="13" t="n">
        <x:f>J1841+Q1841/1440</x:f>
        <x:v>46307.513194444444</x:v>
      </x:c>
      <x:c r="S1841" s="2" t="str">
        <x:f>VLOOKUP(C1841,'MES orders'!$A$8:$H$127,6,FALSE)</x:f>
        <x:v>Normal</x:v>
      </x:c>
      <x:c r="T1841" s="9" t="str"/>
    </x:row>
    <x:row r="1842" ht="22" customHeight="1">
      <x:c r="A1842" s="2" t="str">
        <x:v>L00258-060</x:v>
      </x:c>
      <x:c r="B1842" s="2" t="str">
        <x:v>L00258</x:v>
      </x:c>
      <x:c r="C1842" s="2" t="str">
        <x:v>SO-26052</x:v>
      </x:c>
      <x:c r="D1842" s="2" t="str">
        <x:v>S-S-SS</x:v>
      </x:c>
      <x:c r="E1842" s="14" t="n">
        <x:v>25</x:v>
      </x:c>
      <x:c r="F1842" s="2" t="str">
        <x:v>Sensor calibration</x:v>
      </x:c>
      <x:c r="G1842" s="9" t="str">
        <x:v>CAL-01</x:v>
      </x:c>
      <x:c r="H1842" s="15" t="n">
        <x:v>93</x:v>
      </x:c>
      <x:c r="I1842" s="9" t="str">
        <x:v>P09</x:v>
      </x:c>
      <x:c r="J1842" s="11" t="n">
        <x:v>46307.495833333334</x:v>
      </x:c>
      <x:c r="K1842" s="15" t="n">
        <x:v>10</x:v>
      </x:c>
      <x:c r="L1842" s="15" t="n">
        <x:v>32</x:v>
      </x:c>
      <x:c r="M1842" s="13" t="n">
        <x:f>J1842+(K1842+L1842)/1440</x:f>
        <x:v>46307.525</x:v>
      </x:c>
      <x:c r="N1842" s="13" t="n">
        <x:f>VLOOKUP(C1842,'MES orders'!$A$8:$H$127,5,FALSE)</x:f>
        <x:v>46307.666666666664</x:v>
      </x:c>
      <x:c r="O1842" s="16" t="n">
        <x:f>MAX(0,(M1842-N1842)*24)</x:f>
        <x:v>0</x:v>
      </x:c>
      <x:c r="P1842" s="9" t="str">
        <x:v>No</x:v>
      </x:c>
      <x:c r="Q1842" s="15" t="n">
        <x:v>42</x:v>
      </x:c>
      <x:c r="R1842" s="13" t="n">
        <x:f>J1842+Q1842/1440</x:f>
        <x:v>46307.525</x:v>
      </x:c>
      <x:c r="S1842" s="2" t="str">
        <x:f>VLOOKUP(C1842,'MES orders'!$A$8:$H$127,6,FALSE)</x:f>
        <x:v>Normal</x:v>
      </x:c>
      <x:c r="T1842" s="9" t="str"/>
    </x:row>
    <x:row r="1843" ht="22" customHeight="1">
      <x:c r="A1843" s="2" t="str">
        <x:v>L00336-020</x:v>
      </x:c>
      <x:c r="B1843" s="2" t="str">
        <x:v>L00336</x:v>
      </x:c>
      <x:c r="C1843" s="2" t="str">
        <x:v>SO-26068</x:v>
      </x:c>
      <x:c r="D1843" s="2" t="str">
        <x:v>D-C-SS</x:v>
      </x:c>
      <x:c r="E1843" s="14" t="n">
        <x:v>15</x:v>
      </x:c>
      <x:c r="F1843" s="2" t="str">
        <x:v>Deburr &amp; inspect</x:v>
      </x:c>
      <x:c r="G1843" s="9" t="str">
        <x:v>DB-01</x:v>
      </x:c>
      <x:c r="H1843" s="15" t="n">
        <x:v>176</x:v>
      </x:c>
      <x:c r="I1843" s="9" t="str">
        <x:v>P06</x:v>
      </x:c>
      <x:c r="J1843" s="11" t="n">
        <x:v>46307.5</x:v>
      </x:c>
      <x:c r="K1843" s="15" t="n">
        <x:v>4</x:v>
      </x:c>
      <x:c r="L1843" s="15" t="n">
        <x:v>8</x:v>
      </x:c>
      <x:c r="M1843" s="13" t="n">
        <x:f>J1843+(K1843+L1843)/1440</x:f>
        <x:v>46307.50833333333</x:v>
      </x:c>
      <x:c r="N1843" s="13" t="n">
        <x:f>VLOOKUP(C1843,'MES orders'!$A$8:$H$127,5,FALSE)</x:f>
        <x:v>46307.666666666664</x:v>
      </x:c>
      <x:c r="O1843" s="16" t="n">
        <x:f>MAX(0,(M1843-N1843)*24)</x:f>
        <x:v>0</x:v>
      </x:c>
      <x:c r="P1843" s="9" t="str">
        <x:v>No</x:v>
      </x:c>
      <x:c r="Q1843" s="15" t="n">
        <x:v>12</x:v>
      </x:c>
      <x:c r="R1843" s="13" t="n">
        <x:f>J1843+Q1843/1440</x:f>
        <x:v>46307.50833333333</x:v>
      </x:c>
      <x:c r="S1843" s="2" t="str">
        <x:f>VLOOKUP(C1843,'MES orders'!$A$8:$H$127,6,FALSE)</x:f>
        <x:v>Normal</x:v>
      </x:c>
      <x:c r="T1843" s="9" t="str"/>
    </x:row>
    <x:row r="1844" ht="22" customHeight="1">
      <x:c r="A1844" s="2" t="str">
        <x:v>L00297-050</x:v>
      </x:c>
      <x:c r="B1844" s="2" t="str">
        <x:v>L00297</x:v>
      </x:c>
      <x:c r="C1844" s="2" t="str">
        <x:v>SO-26060</x:v>
      </x:c>
      <x:c r="D1844" s="2" t="str">
        <x:v>S-L-SS</x:v>
      </x:c>
      <x:c r="E1844" s="14" t="n">
        <x:v>5</x:v>
      </x:c>
      <x:c r="F1844" s="2" t="str">
        <x:v>Sensor installation</x:v>
      </x:c>
      <x:c r="G1844" s="9" t="str">
        <x:v>EL-01</x:v>
      </x:c>
      <x:c r="H1844" s="15" t="n">
        <x:v>65</x:v>
      </x:c>
      <x:c r="I1844" s="9" t="str">
        <x:v>P07</x:v>
      </x:c>
      <x:c r="J1844" s="11" t="n">
        <x:v>46307.50208333333</x:v>
      </x:c>
      <x:c r="K1844" s="15" t="n">
        <x:v>8</x:v>
      </x:c>
      <x:c r="L1844" s="15" t="n">
        <x:v>8</x:v>
      </x:c>
      <x:c r="M1844" s="13" t="n">
        <x:f>J1844+(K1844+L1844)/1440</x:f>
        <x:v>46307.513194444444</x:v>
      </x:c>
      <x:c r="N1844" s="13" t="n">
        <x:f>VLOOKUP(C1844,'MES orders'!$A$8:$H$127,5,FALSE)</x:f>
        <x:v>46307.666666666664</x:v>
      </x:c>
      <x:c r="O1844" s="16" t="n">
        <x:f>MAX(0,(M1844-N1844)*24)</x:f>
        <x:v>0</x:v>
      </x:c>
      <x:c r="P1844" s="9" t="str">
        <x:v>No</x:v>
      </x:c>
      <x:c r="Q1844" s="15" t="n">
        <x:v>16</x:v>
      </x:c>
      <x:c r="R1844" s="13" t="n">
        <x:f>J1844+Q1844/1440</x:f>
        <x:v>46307.513194444444</x:v>
      </x:c>
      <x:c r="S1844" s="2" t="str">
        <x:f>VLOOKUP(C1844,'MES orders'!$A$8:$H$127,6,FALSE)</x:f>
        <x:v>Normal</x:v>
      </x:c>
      <x:c r="T1844" s="9" t="str"/>
    </x:row>
    <x:row r="1845" ht="22" customHeight="1">
      <x:c r="A1845" s="2" t="str">
        <x:v>L00065-020</x:v>
      </x:c>
      <x:c r="B1845" s="2" t="str">
        <x:v>L00065</x:v>
      </x:c>
      <x:c r="C1845" s="2" t="str">
        <x:v>SO-26013</x:v>
      </x:c>
      <x:c r="D1845" s="2" t="str">
        <x:v>S-C-AL</x:v>
      </x:c>
      <x:c r="E1845" s="14" t="n">
        <x:v>5</x:v>
      </x:c>
      <x:c r="F1845" s="2" t="str">
        <x:v>Deburr &amp; inspect</x:v>
      </x:c>
      <x:c r="G1845" s="9" t="str">
        <x:v>DB-02</x:v>
      </x:c>
      <x:c r="H1845" s="15" t="n">
        <x:v>120</x:v>
      </x:c>
      <x:c r="I1845" s="9" t="str">
        <x:v>P04</x:v>
      </x:c>
      <x:c r="J1845" s="11" t="n">
        <x:v>46307.50277777778</x:v>
      </x:c>
      <x:c r="K1845" s="15" t="n">
        <x:v>4</x:v>
      </x:c>
      <x:c r="L1845" s="15" t="n">
        <x:v>3</x:v>
      </x:c>
      <x:c r="M1845" s="13" t="n">
        <x:f>J1845+(K1845+L1845)/1440</x:f>
        <x:v>46307.50763888889</x:v>
      </x:c>
      <x:c r="N1845" s="13" t="n">
        <x:f>VLOOKUP(C1845,'MES orders'!$A$8:$H$127,5,FALSE)</x:f>
        <x:v>46308.666666666664</x:v>
      </x:c>
      <x:c r="O1845" s="16" t="n">
        <x:f>MAX(0,(M1845-N1845)*24)</x:f>
        <x:v>0</x:v>
      </x:c>
      <x:c r="P1845" s="9" t="str">
        <x:v>No</x:v>
      </x:c>
      <x:c r="Q1845" s="15" t="n">
        <x:v>7</x:v>
      </x:c>
      <x:c r="R1845" s="13" t="n">
        <x:f>J1845+Q1845/1440</x:f>
        <x:v>46307.50763888889</x:v>
      </x:c>
      <x:c r="S1845" s="2" t="str">
        <x:f>VLOOKUP(C1845,'MES orders'!$A$8:$H$127,6,FALSE)</x:f>
        <x:v>Normal</x:v>
      </x:c>
      <x:c r="T1845" s="9" t="str"/>
    </x:row>
    <x:row r="1846" ht="22" customHeight="1">
      <x:c r="A1846" s="2" t="str">
        <x:v>L00416-010</x:v>
      </x:c>
      <x:c r="B1846" s="2" t="str">
        <x:v>L00416</x:v>
      </x:c>
      <x:c r="C1846" s="2" t="str">
        <x:v>SO-26084</x:v>
      </x:c>
      <x:c r="D1846" s="2" t="str">
        <x:v>D-L-SS</x:v>
      </x:c>
      <x:c r="E1846" s="14" t="n">
        <x:v>5</x:v>
      </x:c>
      <x:c r="F1846" s="2" t="str">
        <x:v>CNC machining</x:v>
      </x:c>
      <x:c r="G1846" s="9" t="str">
        <x:v>CNC-04</x:v>
      </x:c>
      <x:c r="H1846" s="15" t="n">
        <x:v>56</x:v>
      </x:c>
      <x:c r="I1846" s="9" t="str">
        <x:v>P03</x:v>
      </x:c>
      <x:c r="J1846" s="11" t="n">
        <x:v>46307.50347222222</x:v>
      </x:c>
      <x:c r="K1846" s="15" t="n">
        <x:v>18</x:v>
      </x:c>
      <x:c r="L1846" s="15" t="n">
        <x:v>20</x:v>
      </x:c>
      <x:c r="M1846" s="13" t="n">
        <x:f>J1846+(K1846+L1846)/1440</x:f>
        <x:v>46307.52986111111</x:v>
      </x:c>
      <x:c r="N1846" s="13" t="n">
        <x:f>VLOOKUP(C1846,'MES orders'!$A$8:$H$127,5,FALSE)</x:f>
        <x:v>46307.666666666664</x:v>
      </x:c>
      <x:c r="O1846" s="16" t="n">
        <x:f>MAX(0,(M1846-N1846)*24)</x:f>
        <x:v>0</x:v>
      </x:c>
      <x:c r="P1846" s="9" t="str">
        <x:v>No</x:v>
      </x:c>
      <x:c r="Q1846" s="15" t="n">
        <x:v>18</x:v>
      </x:c>
      <x:c r="R1846" s="13" t="n">
        <x:f>J1846+Q1846/1440</x:f>
        <x:v>46307.515972222216</x:v>
      </x:c>
      <x:c r="S1846" s="2" t="str">
        <x:f>VLOOKUP(C1846,'MES orders'!$A$8:$H$127,6,FALSE)</x:f>
        <x:v>Normal</x:v>
      </x:c>
      <x:c r="T1846" s="9" t="str"/>
    </x:row>
    <x:row r="1847" ht="22" customHeight="1">
      <x:c r="A1847" s="2" t="str">
        <x:v>L00378-040</x:v>
      </x:c>
      <x:c r="B1847" s="2" t="str">
        <x:v>L00378</x:v>
      </x:c>
      <x:c r="C1847" s="2" t="str">
        <x:v>SO-26076</x:v>
      </x:c>
      <x:c r="D1847" s="2" t="str">
        <x:v>D-S-SS</x:v>
      </x:c>
      <x:c r="E1847" s="14" t="n">
        <x:v>10</x:v>
      </x:c>
      <x:c r="F1847" s="2" t="str">
        <x:v>Mechanical assembly</x:v>
      </x:c>
      <x:c r="G1847" s="9" t="str">
        <x:v>AS-03</x:v>
      </x:c>
      <x:c r="H1847" s="15" t="n">
        <x:v>96</x:v>
      </x:c>
      <x:c r="I1847" s="9" t="str">
        <x:v>P02</x:v>
      </x:c>
      <x:c r="J1847" s="11" t="n">
        <x:v>46307.50486111111</x:v>
      </x:c>
      <x:c r="K1847" s="15" t="n">
        <x:v>8</x:v>
      </x:c>
      <x:c r="L1847" s="15" t="n">
        <x:v>18</x:v>
      </x:c>
      <x:c r="M1847" s="13" t="n">
        <x:f>J1847+(K1847+L1847)/1440</x:f>
        <x:v>46307.52291666667</x:v>
      </x:c>
      <x:c r="N1847" s="13" t="n">
        <x:f>VLOOKUP(C1847,'MES orders'!$A$8:$H$127,5,FALSE)</x:f>
        <x:v>46307.666666666664</x:v>
      </x:c>
      <x:c r="O1847" s="16" t="n">
        <x:f>MAX(0,(M1847-N1847)*24)</x:f>
        <x:v>0</x:v>
      </x:c>
      <x:c r="P1847" s="9" t="str">
        <x:v>No</x:v>
      </x:c>
      <x:c r="Q1847" s="15" t="n">
        <x:v>26</x:v>
      </x:c>
      <x:c r="R1847" s="13" t="n">
        <x:f>J1847+Q1847/1440</x:f>
        <x:v>46307.52291666667</x:v>
      </x:c>
      <x:c r="S1847" s="2" t="str">
        <x:f>VLOOKUP(C1847,'MES orders'!$A$8:$H$127,6,FALSE)</x:f>
        <x:v>Normal</x:v>
      </x:c>
      <x:c r="T1847" s="9" t="str"/>
    </x:row>
    <x:row r="1848" ht="22" customHeight="1">
      <x:c r="A1848" s="2" t="str">
        <x:v>L00337-020</x:v>
      </x:c>
      <x:c r="B1848" s="2" t="str">
        <x:v>L00337</x:v>
      </x:c>
      <x:c r="C1848" s="2" t="str">
        <x:v>SO-26068</x:v>
      </x:c>
      <x:c r="D1848" s="2" t="str">
        <x:v>D-C-SS</x:v>
      </x:c>
      <x:c r="E1848" s="14" t="n">
        <x:v>15</x:v>
      </x:c>
      <x:c r="F1848" s="2" t="str">
        <x:v>Deburr &amp; inspect</x:v>
      </x:c>
      <x:c r="G1848" s="9" t="str">
        <x:v>DB-01</x:v>
      </x:c>
      <x:c r="H1848" s="15" t="n">
        <x:v>177</x:v>
      </x:c>
      <x:c r="I1848" s="9" t="str">
        <x:v>P06</x:v>
      </x:c>
      <x:c r="J1848" s="11" t="n">
        <x:v>46307.50833333333</x:v>
      </x:c>
      <x:c r="K1848" s="15" t="n">
        <x:v>4</x:v>
      </x:c>
      <x:c r="L1848" s="15" t="n">
        <x:v>8</x:v>
      </x:c>
      <x:c r="M1848" s="13" t="n">
        <x:f>J1848+(K1848+L1848)/1440</x:f>
        <x:v>46307.51666666666</x:v>
      </x:c>
      <x:c r="N1848" s="13" t="n">
        <x:f>VLOOKUP(C1848,'MES orders'!$A$8:$H$127,5,FALSE)</x:f>
        <x:v>46307.666666666664</x:v>
      </x:c>
      <x:c r="O1848" s="16" t="n">
        <x:f>MAX(0,(M1848-N1848)*24)</x:f>
        <x:v>0</x:v>
      </x:c>
      <x:c r="P1848" s="9" t="str">
        <x:v>No</x:v>
      </x:c>
      <x:c r="Q1848" s="15" t="n">
        <x:v>12</x:v>
      </x:c>
      <x:c r="R1848" s="13" t="n">
        <x:f>J1848+Q1848/1440</x:f>
        <x:v>46307.51666666666</x:v>
      </x:c>
      <x:c r="S1848" s="2" t="str">
        <x:f>VLOOKUP(C1848,'MES orders'!$A$8:$H$127,6,FALSE)</x:f>
        <x:v>Normal</x:v>
      </x:c>
      <x:c r="T1848" s="9" t="str"/>
    </x:row>
    <x:row r="1849" ht="22" customHeight="1">
      <x:c r="A1849" s="2" t="str">
        <x:v>L00336-030</x:v>
      </x:c>
      <x:c r="B1849" s="2" t="str">
        <x:v>L00336</x:v>
      </x:c>
      <x:c r="C1849" s="2" t="str">
        <x:v>SO-26068</x:v>
      </x:c>
      <x:c r="D1849" s="2" t="str">
        <x:v>D-C-SS</x:v>
      </x:c>
      <x:c r="E1849" s="14" t="n">
        <x:v>15</x:v>
      </x:c>
      <x:c r="F1849" s="2" t="str">
        <x:v>Wash &amp; dry</x:v>
      </x:c>
      <x:c r="G1849" s="9" t="str">
        <x:v>WS-01</x:v>
      </x:c>
      <x:c r="H1849" s="15" t="n">
        <x:v>173</x:v>
      </x:c>
      <x:c r="I1849" s="9" t="str">
        <x:v>P04</x:v>
      </x:c>
      <x:c r="J1849" s="11" t="n">
        <x:v>46307.50833333333</x:v>
      </x:c>
      <x:c r="K1849" s="15" t="n">
        <x:v>12</x:v>
      </x:c>
      <x:c r="L1849" s="15" t="n">
        <x:v>4</x:v>
      </x:c>
      <x:c r="M1849" s="13" t="n">
        <x:f>J1849+(K1849+L1849)/1440</x:f>
        <x:v>46307.51944444444</x:v>
      </x:c>
      <x:c r="N1849" s="13" t="n">
        <x:f>VLOOKUP(C1849,'MES orders'!$A$8:$H$127,5,FALSE)</x:f>
        <x:v>46307.666666666664</x:v>
      </x:c>
      <x:c r="O1849" s="16" t="n">
        <x:f>MAX(0,(M1849-N1849)*24)</x:f>
        <x:v>0</x:v>
      </x:c>
      <x:c r="P1849" s="9" t="str">
        <x:v>No</x:v>
      </x:c>
      <x:c r="Q1849" s="15" t="n">
        <x:v>16</x:v>
      </x:c>
      <x:c r="R1849" s="13" t="n">
        <x:f>J1849+Q1849/1440</x:f>
        <x:v>46307.51944444444</x:v>
      </x:c>
      <x:c r="S1849" s="2" t="str">
        <x:f>VLOOKUP(C1849,'MES orders'!$A$8:$H$127,6,FALSE)</x:f>
        <x:v>Normal</x:v>
      </x:c>
      <x:c r="T1849" s="9" t="str"/>
    </x:row>
    <x:row r="1850" ht="22" customHeight="1">
      <x:c r="A1850" s="2" t="str">
        <x:v>L00338-020</x:v>
      </x:c>
      <x:c r="B1850" s="2" t="str">
        <x:v>L00338</x:v>
      </x:c>
      <x:c r="C1850" s="2" t="str">
        <x:v>SO-26068</x:v>
      </x:c>
      <x:c r="D1850" s="2" t="str">
        <x:v>D-C-SS</x:v>
      </x:c>
      <x:c r="E1850" s="14" t="n">
        <x:v>15</x:v>
      </x:c>
      <x:c r="F1850" s="2" t="str">
        <x:v>Deburr &amp; inspect</x:v>
      </x:c>
      <x:c r="G1850" s="9" t="str">
        <x:v>DB-02</x:v>
      </x:c>
      <x:c r="H1850" s="15" t="n">
        <x:v>121</x:v>
      </x:c>
      <x:c r="I1850" s="9" t="str">
        <x:v>P05</x:v>
      </x:c>
      <x:c r="J1850" s="11" t="n">
        <x:v>46307.513194444444</x:v>
      </x:c>
      <x:c r="K1850" s="15" t="n">
        <x:v>4</x:v>
      </x:c>
      <x:c r="L1850" s="15" t="n">
        <x:v>8</x:v>
      </x:c>
      <x:c r="M1850" s="13" t="n">
        <x:f>J1850+(K1850+L1850)/1440</x:f>
        <x:v>46307.521527777775</x:v>
      </x:c>
      <x:c r="N1850" s="13" t="n">
        <x:f>VLOOKUP(C1850,'MES orders'!$A$8:$H$127,5,FALSE)</x:f>
        <x:v>46307.666666666664</x:v>
      </x:c>
      <x:c r="O1850" s="16" t="n">
        <x:f>MAX(0,(M1850-N1850)*24)</x:f>
        <x:v>0</x:v>
      </x:c>
      <x:c r="P1850" s="9" t="str">
        <x:v>No</x:v>
      </x:c>
      <x:c r="Q1850" s="15" t="n">
        <x:v>12</x:v>
      </x:c>
      <x:c r="R1850" s="13" t="n">
        <x:f>J1850+Q1850/1440</x:f>
        <x:v>46307.521527777775</x:v>
      </x:c>
      <x:c r="S1850" s="2" t="str">
        <x:f>VLOOKUP(C1850,'MES orders'!$A$8:$H$127,6,FALSE)</x:f>
        <x:v>Normal</x:v>
      </x:c>
      <x:c r="T1850" s="9" t="str"/>
    </x:row>
    <x:row r="1851" ht="22" customHeight="1">
      <x:c r="A1851" s="2" t="str">
        <x:v>L00298-050</x:v>
      </x:c>
      <x:c r="B1851" s="2" t="str">
        <x:v>L00298</x:v>
      </x:c>
      <x:c r="C1851" s="2" t="str">
        <x:v>SO-26060</x:v>
      </x:c>
      <x:c r="D1851" s="2" t="str">
        <x:v>S-L-SS</x:v>
      </x:c>
      <x:c r="E1851" s="14" t="n">
        <x:v>5</x:v>
      </x:c>
      <x:c r="F1851" s="2" t="str">
        <x:v>Sensor installation</x:v>
      </x:c>
      <x:c r="G1851" s="9" t="str">
        <x:v>EL-01</x:v>
      </x:c>
      <x:c r="H1851" s="15" t="n">
        <x:v>66</x:v>
      </x:c>
      <x:c r="I1851" s="9" t="str">
        <x:v>P07</x:v>
      </x:c>
      <x:c r="J1851" s="11" t="n">
        <x:v>46307.513194444444</x:v>
      </x:c>
      <x:c r="K1851" s="15" t="n">
        <x:v>8</x:v>
      </x:c>
      <x:c r="L1851" s="15" t="n">
        <x:v>8</x:v>
      </x:c>
      <x:c r="M1851" s="13" t="n">
        <x:f>J1851+(K1851+L1851)/1440</x:f>
        <x:v>46307.524305555555</x:v>
      </x:c>
      <x:c r="N1851" s="13" t="n">
        <x:f>VLOOKUP(C1851,'MES orders'!$A$8:$H$127,5,FALSE)</x:f>
        <x:v>46307.666666666664</x:v>
      </x:c>
      <x:c r="O1851" s="16" t="n">
        <x:f>MAX(0,(M1851-N1851)*24)</x:f>
        <x:v>0</x:v>
      </x:c>
      <x:c r="P1851" s="9" t="str">
        <x:v>No</x:v>
      </x:c>
      <x:c r="Q1851" s="15" t="n">
        <x:v>16</x:v>
      </x:c>
      <x:c r="R1851" s="13" t="n">
        <x:f>J1851+Q1851/1440</x:f>
        <x:v>46307.524305555555</x:v>
      </x:c>
      <x:c r="S1851" s="2" t="str">
        <x:f>VLOOKUP(C1851,'MES orders'!$A$8:$H$127,6,FALSE)</x:f>
        <x:v>Normal</x:v>
      </x:c>
      <x:c r="T1851" s="9" t="str"/>
    </x:row>
    <x:row r="1852" ht="22" customHeight="1">
      <x:c r="A1852" s="2" t="str">
        <x:v>L00257-080</x:v>
      </x:c>
      <x:c r="B1852" s="2" t="str">
        <x:v>L00257</x:v>
      </x:c>
      <x:c r="C1852" s="2" t="str">
        <x:v>SO-26052</x:v>
      </x:c>
      <x:c r="D1852" s="2" t="str">
        <x:v>S-S-SS</x:v>
      </x:c>
      <x:c r="E1852" s="14" t="n">
        <x:v>25</x:v>
      </x:c>
      <x:c r="F1852" s="2" t="str">
        <x:v>Final leak / function test</x:v>
      </x:c>
      <x:c r="G1852" s="9" t="str">
        <x:v>QA-02</x:v>
      </x:c>
      <x:c r="H1852" s="15" t="n">
        <x:v>131</x:v>
      </x:c>
      <x:c r="I1852" s="9" t="str">
        <x:v>P11</x:v>
      </x:c>
      <x:c r="J1852" s="11" t="n">
        <x:v>46307.513194444444</x:v>
      </x:c>
      <x:c r="K1852" s="15" t="n">
        <x:v>10</x:v>
      </x:c>
      <x:c r="L1852" s="15" t="n">
        <x:v>22</x:v>
      </x:c>
      <x:c r="M1852" s="13" t="n">
        <x:f>J1852+(K1852+L1852)/1440</x:f>
        <x:v>46307.535416666666</x:v>
      </x:c>
      <x:c r="N1852" s="13" t="n">
        <x:f>VLOOKUP(C1852,'MES orders'!$A$8:$H$127,5,FALSE)</x:f>
        <x:v>46307.666666666664</x:v>
      </x:c>
      <x:c r="O1852" s="16" t="n">
        <x:f>MAX(0,(M1852-N1852)*24)</x:f>
        <x:v>0</x:v>
      </x:c>
      <x:c r="P1852" s="9" t="str">
        <x:v>No</x:v>
      </x:c>
      <x:c r="Q1852" s="15" t="n">
        <x:v>32</x:v>
      </x:c>
      <x:c r="R1852" s="13" t="n">
        <x:f>J1852+Q1852/1440</x:f>
        <x:v>46307.535416666666</x:v>
      </x:c>
      <x:c r="S1852" s="2" t="str">
        <x:f>VLOOKUP(C1852,'MES orders'!$A$8:$H$127,6,FALSE)</x:f>
        <x:v>Normal</x:v>
      </x:c>
      <x:c r="T1852" s="9" t="str"/>
    </x:row>
    <x:row r="1853" ht="22" customHeight="1">
      <x:c r="A1853" s="2" t="str">
        <x:v>L00417-010</x:v>
      </x:c>
      <x:c r="B1853" s="2" t="str">
        <x:v>L00417</x:v>
      </x:c>
      <x:c r="C1853" s="2" t="str">
        <x:v>SO-26084</x:v>
      </x:c>
      <x:c r="D1853" s="2" t="str">
        <x:v>D-L-SS</x:v>
      </x:c>
      <x:c r="E1853" s="14" t="n">
        <x:v>5</x:v>
      </x:c>
      <x:c r="F1853" s="2" t="str">
        <x:v>CNC machining</x:v>
      </x:c>
      <x:c r="G1853" s="9" t="str">
        <x:v>CNC-05</x:v>
      </x:c>
      <x:c r="H1853" s="15" t="n">
        <x:v>50</x:v>
      </x:c>
      <x:c r="I1853" s="9" t="str">
        <x:v>P01</x:v>
      </x:c>
      <x:c r="J1853" s="11" t="n">
        <x:v>46307.51527777778</x:v>
      </x:c>
      <x:c r="K1853" s="15" t="n">
        <x:v>18</x:v>
      </x:c>
      <x:c r="L1853" s="15" t="n">
        <x:v>20</x:v>
      </x:c>
      <x:c r="M1853" s="13" t="n">
        <x:f>J1853+(K1853+L1853)/1440</x:f>
        <x:v>46307.541666666664</x:v>
      </x:c>
      <x:c r="N1853" s="13" t="n">
        <x:f>VLOOKUP(C1853,'MES orders'!$A$8:$H$127,5,FALSE)</x:f>
        <x:v>46307.666666666664</x:v>
      </x:c>
      <x:c r="O1853" s="16" t="n">
        <x:f>MAX(0,(M1853-N1853)*24)</x:f>
        <x:v>0</x:v>
      </x:c>
      <x:c r="P1853" s="9" t="str">
        <x:v>No</x:v>
      </x:c>
      <x:c r="Q1853" s="15" t="n">
        <x:v>18</x:v>
      </x:c>
      <x:c r="R1853" s="13" t="n">
        <x:f>J1853+Q1853/1440</x:f>
        <x:v>46307.527777777774</x:v>
      </x:c>
      <x:c r="S1853" s="2" t="str">
        <x:f>VLOOKUP(C1853,'MES orders'!$A$8:$H$127,6,FALSE)</x:f>
        <x:v>Normal</x:v>
      </x:c>
      <x:c r="T1853" s="9" t="str"/>
    </x:row>
    <x:row r="1854" ht="22" customHeight="1">
      <x:c r="A1854" s="2" t="str">
        <x:v>L00340-050</x:v>
      </x:c>
      <x:c r="B1854" s="2" t="str">
        <x:v>L00340</x:v>
      </x:c>
      <x:c r="C1854" s="2" t="str">
        <x:v>SO-26068</x:v>
      </x:c>
      <x:c r="D1854" s="2" t="str">
        <x:v>D-C-SS</x:v>
      </x:c>
      <x:c r="E1854" s="14" t="n">
        <x:v>15</x:v>
      </x:c>
      <x:c r="F1854" s="2" t="str">
        <x:v>Final leak / function test</x:v>
      </x:c>
      <x:c r="G1854" s="9" t="str">
        <x:v>QA-01</x:v>
      </x:c>
      <x:c r="H1854" s="15" t="n">
        <x:v>67</x:v>
      </x:c>
      <x:c r="I1854" s="9" t="str">
        <x:v>P12</x:v>
      </x:c>
      <x:c r="J1854" s="11" t="n">
        <x:v>46307.51527777778</x:v>
      </x:c>
      <x:c r="K1854" s="15" t="n">
        <x:v>10</x:v>
      </x:c>
      <x:c r="L1854" s="15" t="n">
        <x:v>11</x:v>
      </x:c>
      <x:c r="M1854" s="13" t="n">
        <x:f>J1854+(K1854+L1854)/1440</x:f>
        <x:v>46307.52986111111</x:v>
      </x:c>
      <x:c r="N1854" s="13" t="n">
        <x:f>VLOOKUP(C1854,'MES orders'!$A$8:$H$127,5,FALSE)</x:f>
        <x:v>46307.666666666664</x:v>
      </x:c>
      <x:c r="O1854" s="16" t="n">
        <x:f>MAX(0,(M1854-N1854)*24)</x:f>
        <x:v>0</x:v>
      </x:c>
      <x:c r="P1854" s="9" t="str">
        <x:v>No</x:v>
      </x:c>
      <x:c r="Q1854" s="15" t="n">
        <x:v>21</x:v>
      </x:c>
      <x:c r="R1854" s="13" t="n">
        <x:f>J1854+Q1854/1440</x:f>
        <x:v>46307.52986111111</x:v>
      </x:c>
      <x:c r="S1854" s="2" t="str">
        <x:f>VLOOKUP(C1854,'MES orders'!$A$8:$H$127,6,FALSE)</x:f>
        <x:v>Normal</x:v>
      </x:c>
      <x:c r="T1854" s="9" t="str"/>
    </x:row>
    <x:row r="1855" ht="22" customHeight="1">
      <x:c r="A1855" s="2" t="str">
        <x:v>L00418-010</x:v>
      </x:c>
      <x:c r="B1855" s="2" t="str">
        <x:v>L00418</x:v>
      </x:c>
      <x:c r="C1855" s="2" t="str">
        <x:v>SO-26084</x:v>
      </x:c>
      <x:c r="D1855" s="2" t="str">
        <x:v>D-L-SS</x:v>
      </x:c>
      <x:c r="E1855" s="14" t="n">
        <x:v>5</x:v>
      </x:c>
      <x:c r="F1855" s="2" t="str">
        <x:v>CNC machining</x:v>
      </x:c>
      <x:c r="G1855" s="9" t="str">
        <x:v>CNC-06</x:v>
      </x:c>
      <x:c r="H1855" s="15" t="n">
        <x:v>47</x:v>
      </x:c>
      <x:c r="I1855" s="9" t="str">
        <x:v>P03</x:v>
      </x:c>
      <x:c r="J1855" s="11" t="n">
        <x:v>46307.51597222222</x:v>
      </x:c>
      <x:c r="K1855" s="15" t="n">
        <x:v>18</x:v>
      </x:c>
      <x:c r="L1855" s="15" t="n">
        <x:v>20</x:v>
      </x:c>
      <x:c r="M1855" s="13" t="n">
        <x:f>J1855+(K1855+L1855)/1440</x:f>
        <x:v>46307.54236111111</x:v>
      </x:c>
      <x:c r="N1855" s="13" t="n">
        <x:f>VLOOKUP(C1855,'MES orders'!$A$8:$H$127,5,FALSE)</x:f>
        <x:v>46307.666666666664</x:v>
      </x:c>
      <x:c r="O1855" s="16" t="n">
        <x:f>MAX(0,(M1855-N1855)*24)</x:f>
        <x:v>0</x:v>
      </x:c>
      <x:c r="P1855" s="9" t="str">
        <x:v>No</x:v>
      </x:c>
      <x:c r="Q1855" s="15" t="n">
        <x:v>18</x:v>
      </x:c>
      <x:c r="R1855" s="13" t="n">
        <x:f>J1855+Q1855/1440</x:f>
        <x:v>46307.52847222222</x:v>
      </x:c>
      <x:c r="S1855" s="2" t="str">
        <x:f>VLOOKUP(C1855,'MES orders'!$A$8:$H$127,6,FALSE)</x:f>
        <x:v>Normal</x:v>
      </x:c>
      <x:c r="T1855" s="9" t="str"/>
    </x:row>
    <x:row r="1856" ht="22" customHeight="1">
      <x:c r="A1856" s="2" t="str">
        <x:v>L00337-030</x:v>
      </x:c>
      <x:c r="B1856" s="2" t="str">
        <x:v>L00337</x:v>
      </x:c>
      <x:c r="C1856" s="2" t="str">
        <x:v>SO-26068</x:v>
      </x:c>
      <x:c r="D1856" s="2" t="str">
        <x:v>D-C-SS</x:v>
      </x:c>
      <x:c r="E1856" s="14" t="n">
        <x:v>15</x:v>
      </x:c>
      <x:c r="F1856" s="2" t="str">
        <x:v>Wash &amp; dry</x:v>
      </x:c>
      <x:c r="G1856" s="9" t="str">
        <x:v>WS-02</x:v>
      </x:c>
      <x:c r="H1856" s="15" t="n">
        <x:v>120</x:v>
      </x:c>
      <x:c r="I1856" s="9" t="str">
        <x:v>P06</x:v>
      </x:c>
      <x:c r="J1856" s="11" t="n">
        <x:v>46307.51666666667</x:v>
      </x:c>
      <x:c r="K1856" s="15" t="n">
        <x:v>12</x:v>
      </x:c>
      <x:c r="L1856" s="15" t="n">
        <x:v>4</x:v>
      </x:c>
      <x:c r="M1856" s="13" t="n">
        <x:f>J1856+(K1856+L1856)/1440</x:f>
        <x:v>46307.52777777778</x:v>
      </x:c>
      <x:c r="N1856" s="13" t="n">
        <x:f>VLOOKUP(C1856,'MES orders'!$A$8:$H$127,5,FALSE)</x:f>
        <x:v>46307.666666666664</x:v>
      </x:c>
      <x:c r="O1856" s="16" t="n">
        <x:f>MAX(0,(M1856-N1856)*24)</x:f>
        <x:v>0</x:v>
      </x:c>
      <x:c r="P1856" s="9" t="str">
        <x:v>No</x:v>
      </x:c>
      <x:c r="Q1856" s="15" t="n">
        <x:v>16</x:v>
      </x:c>
      <x:c r="R1856" s="13" t="n">
        <x:f>J1856+Q1856/1440</x:f>
        <x:v>46307.52777777778</x:v>
      </x:c>
      <x:c r="S1856" s="2" t="str">
        <x:f>VLOOKUP(C1856,'MES orders'!$A$8:$H$127,6,FALSE)</x:f>
        <x:v>Normal</x:v>
      </x:c>
      <x:c r="T1856" s="9" t="str"/>
    </x:row>
    <x:row r="1857" ht="22" customHeight="1">
      <x:c r="A1857" s="2" t="str">
        <x:v>L00299-050</x:v>
      </x:c>
      <x:c r="B1857" s="2" t="str">
        <x:v>L00299</x:v>
      </x:c>
      <x:c r="C1857" s="2" t="str">
        <x:v>SO-26060</x:v>
      </x:c>
      <x:c r="D1857" s="2" t="str">
        <x:v>S-L-SS</x:v>
      </x:c>
      <x:c r="E1857" s="14" t="n">
        <x:v>5</x:v>
      </x:c>
      <x:c r="F1857" s="2" t="str">
        <x:v>Sensor installation</x:v>
      </x:c>
      <x:c r="G1857" s="9" t="str">
        <x:v>EL-02</x:v>
      </x:c>
      <x:c r="H1857" s="15" t="n">
        <x:v>36</x:v>
      </x:c>
      <x:c r="I1857" s="9" t="str">
        <x:v>P08</x:v>
      </x:c>
      <x:c r="J1857" s="11" t="n">
        <x:v>46307.51736111111</x:v>
      </x:c>
      <x:c r="K1857" s="15" t="n">
        <x:v>8</x:v>
      </x:c>
      <x:c r="L1857" s="15" t="n">
        <x:v>8</x:v>
      </x:c>
      <x:c r="M1857" s="13" t="n">
        <x:f>J1857+(K1857+L1857)/1440</x:f>
        <x:v>46307.52847222222</x:v>
      </x:c>
      <x:c r="N1857" s="13" t="n">
        <x:f>VLOOKUP(C1857,'MES orders'!$A$8:$H$127,5,FALSE)</x:f>
        <x:v>46307.666666666664</x:v>
      </x:c>
      <x:c r="O1857" s="16" t="n">
        <x:f>MAX(0,(M1857-N1857)*24)</x:f>
        <x:v>0</x:v>
      </x:c>
      <x:c r="P1857" s="9" t="str">
        <x:v>No</x:v>
      </x:c>
      <x:c r="Q1857" s="15" t="n">
        <x:v>16</x:v>
      </x:c>
      <x:c r="R1857" s="13" t="n">
        <x:f>J1857+Q1857/1440</x:f>
        <x:v>46307.52847222222</x:v>
      </x:c>
      <x:c r="S1857" s="2" t="str">
        <x:f>VLOOKUP(C1857,'MES orders'!$A$8:$H$127,6,FALSE)</x:f>
        <x:v>Normal</x:v>
      </x:c>
      <x:c r="T1857" s="9" t="str"/>
    </x:row>
    <x:row r="1858" ht="22" customHeight="1">
      <x:c r="A1858" s="2" t="str">
        <x:v>L00336-040</x:v>
      </x:c>
      <x:c r="B1858" s="2" t="str">
        <x:v>L00336</x:v>
      </x:c>
      <x:c r="C1858" s="2" t="str">
        <x:v>SO-26068</x:v>
      </x:c>
      <x:c r="D1858" s="2" t="str">
        <x:v>D-C-SS</x:v>
      </x:c>
      <x:c r="E1858" s="14" t="n">
        <x:v>15</x:v>
      </x:c>
      <x:c r="F1858" s="2" t="str">
        <x:v>Mechanical assembly</x:v>
      </x:c>
      <x:c r="G1858" s="9" t="str">
        <x:v>AS-02</x:v>
      </x:c>
      <x:c r="H1858" s="15" t="n">
        <x:v>120</x:v>
      </x:c>
      <x:c r="I1858" s="9" t="str">
        <x:v>P04</x:v>
      </x:c>
      <x:c r="J1858" s="11" t="n">
        <x:v>46307.51944444444</x:v>
      </x:c>
      <x:c r="K1858" s="15" t="n">
        <x:v>8</x:v>
      </x:c>
      <x:c r="L1858" s="15" t="n">
        <x:v>22</x:v>
      </x:c>
      <x:c r="M1858" s="13" t="n">
        <x:f>J1858+(K1858+L1858)/1440</x:f>
        <x:v>46307.54027777778</x:v>
      </x:c>
      <x:c r="N1858" s="13" t="n">
        <x:f>VLOOKUP(C1858,'MES orders'!$A$8:$H$127,5,FALSE)</x:f>
        <x:v>46307.666666666664</x:v>
      </x:c>
      <x:c r="O1858" s="16" t="n">
        <x:f>MAX(0,(M1858-N1858)*24)</x:f>
        <x:v>0</x:v>
      </x:c>
      <x:c r="P1858" s="9" t="str">
        <x:v>No</x:v>
      </x:c>
      <x:c r="Q1858" s="15" t="n">
        <x:v>30</x:v>
      </x:c>
      <x:c r="R1858" s="13" t="n">
        <x:f>J1858+Q1858/1440</x:f>
        <x:v>46307.54027777778</x:v>
      </x:c>
      <x:c r="S1858" s="2" t="str">
        <x:f>VLOOKUP(C1858,'MES orders'!$A$8:$H$127,6,FALSE)</x:f>
        <x:v>Normal</x:v>
      </x:c>
      <x:c r="T1858" s="9" t="str"/>
    </x:row>
    <x:row r="1859" ht="22" customHeight="1">
      <x:c r="A1859" s="2" t="str">
        <x:v>L00419-010</x:v>
      </x:c>
      <x:c r="B1859" s="2" t="str">
        <x:v>L00419</x:v>
      </x:c>
      <x:c r="C1859" s="2" t="str">
        <x:v>SO-26084</x:v>
      </x:c>
      <x:c r="D1859" s="2" t="str">
        <x:v>D-L-SS</x:v>
      </x:c>
      <x:c r="E1859" s="14" t="n">
        <x:v>5</x:v>
      </x:c>
      <x:c r="F1859" s="2" t="str">
        <x:v>CNC machining</x:v>
      </x:c>
      <x:c r="G1859" s="9" t="str">
        <x:v>CNC-03</x:v>
      </x:c>
      <x:c r="H1859" s="15" t="n">
        <x:v>59</x:v>
      </x:c>
      <x:c r="I1859" s="9" t="str">
        <x:v>P02</x:v>
      </x:c>
      <x:c r="J1859" s="11" t="n">
        <x:v>46307.524305555555</x:v>
      </x:c>
      <x:c r="K1859" s="15" t="n">
        <x:v>18</x:v>
      </x:c>
      <x:c r="L1859" s="15" t="n">
        <x:v>20</x:v>
      </x:c>
      <x:c r="M1859" s="13" t="n">
        <x:f>J1859+(K1859+L1859)/1440</x:f>
        <x:v>46307.55069444444</x:v>
      </x:c>
      <x:c r="N1859" s="13" t="n">
        <x:f>VLOOKUP(C1859,'MES orders'!$A$8:$H$127,5,FALSE)</x:f>
        <x:v>46307.666666666664</x:v>
      </x:c>
      <x:c r="O1859" s="16" t="n">
        <x:f>MAX(0,(M1859-N1859)*24)</x:f>
        <x:v>0</x:v>
      </x:c>
      <x:c r="P1859" s="9" t="str">
        <x:v>No</x:v>
      </x:c>
      <x:c r="Q1859" s="15" t="n">
        <x:v>18</x:v>
      </x:c>
      <x:c r="R1859" s="13" t="n">
        <x:f>J1859+Q1859/1440</x:f>
        <x:v>46307.53680555555</x:v>
      </x:c>
      <x:c r="S1859" s="2" t="str">
        <x:f>VLOOKUP(C1859,'MES orders'!$A$8:$H$127,6,FALSE)</x:f>
        <x:v>Normal</x:v>
      </x:c>
      <x:c r="T1859" s="9" t="str"/>
    </x:row>
    <x:row r="1860" ht="22" customHeight="1">
      <x:c r="A1860" s="2" t="str">
        <x:v>L00300-050</x:v>
      </x:c>
      <x:c r="B1860" s="2" t="str">
        <x:v>L00300</x:v>
      </x:c>
      <x:c r="C1860" s="2" t="str">
        <x:v>SO-26060</x:v>
      </x:c>
      <x:c r="D1860" s="2" t="str">
        <x:v>S-L-SS</x:v>
      </x:c>
      <x:c r="E1860" s="14" t="n">
        <x:v>5</x:v>
      </x:c>
      <x:c r="F1860" s="2" t="str">
        <x:v>Sensor installation</x:v>
      </x:c>
      <x:c r="G1860" s="9" t="str">
        <x:v>EL-01</x:v>
      </x:c>
      <x:c r="H1860" s="15" t="n">
        <x:v>67</x:v>
      </x:c>
      <x:c r="I1860" s="9" t="str">
        <x:v>P07</x:v>
      </x:c>
      <x:c r="J1860" s="11" t="n">
        <x:v>46307.524305555555</x:v>
      </x:c>
      <x:c r="K1860" s="15" t="n">
        <x:v>8</x:v>
      </x:c>
      <x:c r="L1860" s="15" t="n">
        <x:v>8</x:v>
      </x:c>
      <x:c r="M1860" s="13" t="n">
        <x:f>J1860+(K1860+L1860)/1440</x:f>
        <x:v>46307.535416666666</x:v>
      </x:c>
      <x:c r="N1860" s="13" t="n">
        <x:f>VLOOKUP(C1860,'MES orders'!$A$8:$H$127,5,FALSE)</x:f>
        <x:v>46307.666666666664</x:v>
      </x:c>
      <x:c r="O1860" s="16" t="n">
        <x:f>MAX(0,(M1860-N1860)*24)</x:f>
        <x:v>0</x:v>
      </x:c>
      <x:c r="P1860" s="9" t="str">
        <x:v>No</x:v>
      </x:c>
      <x:c r="Q1860" s="15" t="n">
        <x:v>16</x:v>
      </x:c>
      <x:c r="R1860" s="13" t="n">
        <x:f>J1860+Q1860/1440</x:f>
        <x:v>46307.535416666666</x:v>
      </x:c>
      <x:c r="S1860" s="2" t="str">
        <x:f>VLOOKUP(C1860,'MES orders'!$A$8:$H$127,6,FALSE)</x:f>
        <x:v>Normal</x:v>
      </x:c>
      <x:c r="T1860" s="9" t="str"/>
    </x:row>
    <x:row r="1861" ht="22" customHeight="1">
      <x:c r="A1861" s="2" t="str">
        <x:v>L00258-070</x:v>
      </x:c>
      <x:c r="B1861" s="2" t="str">
        <x:v>L00258</x:v>
      </x:c>
      <x:c r="C1861" s="2" t="str">
        <x:v>SO-26052</x:v>
      </x:c>
      <x:c r="D1861" s="2" t="str">
        <x:v>S-S-SS</x:v>
      </x:c>
      <x:c r="E1861" s="14" t="n">
        <x:v>25</x:v>
      </x:c>
      <x:c r="F1861" s="2" t="str">
        <x:v>Final assembly</x:v>
      </x:c>
      <x:c r="G1861" s="9" t="str">
        <x:v>AS-01</x:v>
      </x:c>
      <x:c r="H1861" s="15" t="n">
        <x:v>150</x:v>
      </x:c>
      <x:c r="I1861" s="9" t="str">
        <x:v>P05</x:v>
      </x:c>
      <x:c r="J1861" s="11" t="n">
        <x:v>46307.525</x:v>
      </x:c>
      <x:c r="K1861" s="15" t="n">
        <x:v>5</x:v>
      </x:c>
      <x:c r="L1861" s="15" t="n">
        <x:v>20</x:v>
      </x:c>
      <x:c r="M1861" s="13" t="n">
        <x:f>J1861+(K1861+L1861)/1440</x:f>
        <x:v>46307.54236111111</x:v>
      </x:c>
      <x:c r="N1861" s="13" t="n">
        <x:f>VLOOKUP(C1861,'MES orders'!$A$8:$H$127,5,FALSE)</x:f>
        <x:v>46307.666666666664</x:v>
      </x:c>
      <x:c r="O1861" s="16" t="n">
        <x:f>MAX(0,(M1861-N1861)*24)</x:f>
        <x:v>0</x:v>
      </x:c>
      <x:c r="P1861" s="9" t="str">
        <x:v>No</x:v>
      </x:c>
      <x:c r="Q1861" s="15" t="n">
        <x:v>25</x:v>
      </x:c>
      <x:c r="R1861" s="13" t="n">
        <x:f>J1861+Q1861/1440</x:f>
        <x:v>46307.54236111111</x:v>
      </x:c>
      <x:c r="S1861" s="2" t="str">
        <x:f>VLOOKUP(C1861,'MES orders'!$A$8:$H$127,6,FALSE)</x:f>
        <x:v>Normal</x:v>
      </x:c>
      <x:c r="T1861" s="9" t="str"/>
    </x:row>
    <x:row r="1862" ht="22" customHeight="1">
      <x:c r="A1862" s="2" t="str">
        <x:v>L00259-060</x:v>
      </x:c>
      <x:c r="B1862" s="2" t="str">
        <x:v>L00259</x:v>
      </x:c>
      <x:c r="C1862" s="2" t="str">
        <x:v>SO-26052</x:v>
      </x:c>
      <x:c r="D1862" s="2" t="str">
        <x:v>S-S-SS</x:v>
      </x:c>
      <x:c r="E1862" s="14" t="n">
        <x:v>25</x:v>
      </x:c>
      <x:c r="F1862" s="2" t="str">
        <x:v>Sensor calibration</x:v>
      </x:c>
      <x:c r="G1862" s="9" t="str">
        <x:v>CAL-01</x:v>
      </x:c>
      <x:c r="H1862" s="15" t="n">
        <x:v>94</x:v>
      </x:c>
      <x:c r="I1862" s="9" t="str">
        <x:v>P09</x:v>
      </x:c>
      <x:c r="J1862" s="11" t="n">
        <x:v>46307.525</x:v>
      </x:c>
      <x:c r="K1862" s="15" t="n">
        <x:v>10</x:v>
      </x:c>
      <x:c r="L1862" s="15" t="n">
        <x:v>32</x:v>
      </x:c>
      <x:c r="M1862" s="13" t="n">
        <x:f>J1862+(K1862+L1862)/1440</x:f>
        <x:v>46307.55416666667</x:v>
      </x:c>
      <x:c r="N1862" s="13" t="n">
        <x:f>VLOOKUP(C1862,'MES orders'!$A$8:$H$127,5,FALSE)</x:f>
        <x:v>46307.666666666664</x:v>
      </x:c>
      <x:c r="O1862" s="16" t="n">
        <x:f>MAX(0,(M1862-N1862)*24)</x:f>
        <x:v>0</x:v>
      </x:c>
      <x:c r="P1862" s="9" t="str">
        <x:v>No</x:v>
      </x:c>
      <x:c r="Q1862" s="15" t="n">
        <x:v>42</x:v>
      </x:c>
      <x:c r="R1862" s="13" t="n">
        <x:f>J1862+Q1862/1440</x:f>
        <x:v>46307.55416666667</x:v>
      </x:c>
      <x:c r="S1862" s="2" t="str">
        <x:f>VLOOKUP(C1862,'MES orders'!$A$8:$H$127,6,FALSE)</x:f>
        <x:v>Normal</x:v>
      </x:c>
      <x:c r="T1862" s="9" t="str"/>
    </x:row>
    <x:row r="1863" ht="22" customHeight="1">
      <x:c r="A1863" s="2" t="str">
        <x:v>L00337-040</x:v>
      </x:c>
      <x:c r="B1863" s="2" t="str">
        <x:v>L00337</x:v>
      </x:c>
      <x:c r="C1863" s="2" t="str">
        <x:v>SO-26068</x:v>
      </x:c>
      <x:c r="D1863" s="2" t="str">
        <x:v>D-C-SS</x:v>
      </x:c>
      <x:c r="E1863" s="14" t="n">
        <x:v>15</x:v>
      </x:c>
      <x:c r="F1863" s="2" t="str">
        <x:v>Mechanical assembly</x:v>
      </x:c>
      <x:c r="G1863" s="9" t="str">
        <x:v>AS-03</x:v>
      </x:c>
      <x:c r="H1863" s="15" t="n">
        <x:v>97</x:v>
      </x:c>
      <x:c r="I1863" s="9" t="str">
        <x:v>P06</x:v>
      </x:c>
      <x:c r="J1863" s="11" t="n">
        <x:v>46307.52777777778</x:v>
      </x:c>
      <x:c r="K1863" s="15" t="n">
        <x:v>8</x:v>
      </x:c>
      <x:c r="L1863" s="15" t="n">
        <x:v>22</x:v>
      </x:c>
      <x:c r="M1863" s="13" t="n">
        <x:f>J1863+(K1863+L1863)/1440</x:f>
        <x:v>46307.54861111112</x:v>
      </x:c>
      <x:c r="N1863" s="13" t="n">
        <x:f>VLOOKUP(C1863,'MES orders'!$A$8:$H$127,5,FALSE)</x:f>
        <x:v>46307.666666666664</x:v>
      </x:c>
      <x:c r="O1863" s="16" t="n">
        <x:f>MAX(0,(M1863-N1863)*24)</x:f>
        <x:v>0</x:v>
      </x:c>
      <x:c r="P1863" s="9" t="str">
        <x:v>No</x:v>
      </x:c>
      <x:c r="Q1863" s="15" t="n">
        <x:v>30</x:v>
      </x:c>
      <x:c r="R1863" s="13" t="n">
        <x:f>J1863+Q1863/1440</x:f>
        <x:v>46307.54861111112</x:v>
      </x:c>
      <x:c r="S1863" s="2" t="str">
        <x:f>VLOOKUP(C1863,'MES orders'!$A$8:$H$127,6,FALSE)</x:f>
        <x:v>Normal</x:v>
      </x:c>
      <x:c r="T1863" s="9" t="str"/>
    </x:row>
    <x:row r="1864" ht="22" customHeight="1">
      <x:c r="A1864" s="2" t="str">
        <x:v>L00064-050</x:v>
      </x:c>
      <x:c r="B1864" s="2" t="str">
        <x:v>L00064</x:v>
      </x:c>
      <x:c r="C1864" s="2" t="str">
        <x:v>SO-26013</x:v>
      </x:c>
      <x:c r="D1864" s="2" t="str">
        <x:v>S-C-AL</x:v>
      </x:c>
      <x:c r="E1864" s="14" t="n">
        <x:v>5</x:v>
      </x:c>
      <x:c r="F1864" s="2" t="str">
        <x:v>Sensor installation</x:v>
      </x:c>
      <x:c r="G1864" s="9" t="str">
        <x:v>EL-02</x:v>
      </x:c>
      <x:c r="H1864" s="15" t="n">
        <x:v>37</x:v>
      </x:c>
      <x:c r="I1864" s="9" t="str">
        <x:v>P08</x:v>
      </x:c>
      <x:c r="J1864" s="11" t="n">
        <x:v>46307.52847222222</x:v>
      </x:c>
      <x:c r="K1864" s="15" t="n">
        <x:v>8</x:v>
      </x:c>
      <x:c r="L1864" s="15" t="n">
        <x:v>5</x:v>
      </x:c>
      <x:c r="M1864" s="13" t="n">
        <x:f>J1864+(K1864+L1864)/1440</x:f>
        <x:v>46307.5375</x:v>
      </x:c>
      <x:c r="N1864" s="13" t="n">
        <x:f>VLOOKUP(C1864,'MES orders'!$A$8:$H$127,5,FALSE)</x:f>
        <x:v>46308.666666666664</x:v>
      </x:c>
      <x:c r="O1864" s="16" t="n">
        <x:f>MAX(0,(M1864-N1864)*24)</x:f>
        <x:v>0</x:v>
      </x:c>
      <x:c r="P1864" s="9" t="str">
        <x:v>No</x:v>
      </x:c>
      <x:c r="Q1864" s="15" t="n">
        <x:v>13</x:v>
      </x:c>
      <x:c r="R1864" s="13" t="n">
        <x:f>J1864+Q1864/1440</x:f>
        <x:v>46307.5375</x:v>
      </x:c>
      <x:c r="S1864" s="2" t="str">
        <x:f>VLOOKUP(C1864,'MES orders'!$A$8:$H$127,6,FALSE)</x:f>
        <x:v>Normal</x:v>
      </x:c>
      <x:c r="T1864" s="9" t="str"/>
    </x:row>
    <x:row r="1865" ht="22" customHeight="1">
      <x:c r="A1865" s="2" t="str">
        <x:v>L00420-010</x:v>
      </x:c>
      <x:c r="B1865" s="2" t="str">
        <x:v>L00420</x:v>
      </x:c>
      <x:c r="C1865" s="2" t="str">
        <x:v>SO-26084</x:v>
      </x:c>
      <x:c r="D1865" s="2" t="str">
        <x:v>D-L-SS</x:v>
      </x:c>
      <x:c r="E1865" s="14" t="n">
        <x:v>5</x:v>
      </x:c>
      <x:c r="F1865" s="2" t="str">
        <x:v>CNC machining</x:v>
      </x:c>
      <x:c r="G1865" s="9" t="str">
        <x:v>CNC-04</x:v>
      </x:c>
      <x:c r="H1865" s="15" t="n">
        <x:v>57</x:v>
      </x:c>
      <x:c r="I1865" s="9" t="str">
        <x:v>P03</x:v>
      </x:c>
      <x:c r="J1865" s="11" t="n">
        <x:v>46307.529861111114</x:v>
      </x:c>
      <x:c r="K1865" s="15" t="n">
        <x:v>18</x:v>
      </x:c>
      <x:c r="L1865" s="15" t="n">
        <x:v>20</x:v>
      </x:c>
      <x:c r="M1865" s="13" t="n">
        <x:f>J1865+(K1865+L1865)/1440</x:f>
        <x:v>46307.55625</x:v>
      </x:c>
      <x:c r="N1865" s="13" t="n">
        <x:f>VLOOKUP(C1865,'MES orders'!$A$8:$H$127,5,FALSE)</x:f>
        <x:v>46307.666666666664</x:v>
      </x:c>
      <x:c r="O1865" s="16" t="n">
        <x:f>MAX(0,(M1865-N1865)*24)</x:f>
        <x:v>0</x:v>
      </x:c>
      <x:c r="P1865" s="9" t="str">
        <x:v>No</x:v>
      </x:c>
      <x:c r="Q1865" s="15" t="n">
        <x:v>18</x:v>
      </x:c>
      <x:c r="R1865" s="13" t="n">
        <x:f>J1865+Q1865/1440</x:f>
        <x:v>46307.54236111111</x:v>
      </x:c>
      <x:c r="S1865" s="2" t="str">
        <x:f>VLOOKUP(C1865,'MES orders'!$A$8:$H$127,6,FALSE)</x:f>
        <x:v>Normal</x:v>
      </x:c>
      <x:c r="T1865" s="9" t="str"/>
    </x:row>
    <x:row r="1866" ht="22" customHeight="1">
      <x:c r="A1866" s="2" t="str">
        <x:v>L00416-020</x:v>
      </x:c>
      <x:c r="B1866" s="2" t="str">
        <x:v>L00416</x:v>
      </x:c>
      <x:c r="C1866" s="2" t="str">
        <x:v>SO-26084</x:v>
      </x:c>
      <x:c r="D1866" s="2" t="str">
        <x:v>D-L-SS</x:v>
      </x:c>
      <x:c r="E1866" s="14" t="n">
        <x:v>5</x:v>
      </x:c>
      <x:c r="F1866" s="2" t="str">
        <x:v>Deburr &amp; inspect</x:v>
      </x:c>
      <x:c r="G1866" s="9" t="str">
        <x:v>DB-01</x:v>
      </x:c>
      <x:c r="H1866" s="15" t="n">
        <x:v>178</x:v>
      </x:c>
      <x:c r="I1866" s="9" t="str">
        <x:v>P01</x:v>
      </x:c>
      <x:c r="J1866" s="11" t="n">
        <x:v>46307.529861111114</x:v>
      </x:c>
      <x:c r="K1866" s="15" t="n">
        <x:v>4</x:v>
      </x:c>
      <x:c r="L1866" s="15" t="n">
        <x:v>5</x:v>
      </x:c>
      <x:c r="M1866" s="13" t="n">
        <x:f>J1866+(K1866+L1866)/1440</x:f>
        <x:v>46307.53611111111</x:v>
      </x:c>
      <x:c r="N1866" s="13" t="n">
        <x:f>VLOOKUP(C1866,'MES orders'!$A$8:$H$127,5,FALSE)</x:f>
        <x:v>46307.666666666664</x:v>
      </x:c>
      <x:c r="O1866" s="16" t="n">
        <x:f>MAX(0,(M1866-N1866)*24)</x:f>
        <x:v>0</x:v>
      </x:c>
      <x:c r="P1866" s="9" t="str">
        <x:v>No</x:v>
      </x:c>
      <x:c r="Q1866" s="15" t="n">
        <x:v>9</x:v>
      </x:c>
      <x:c r="R1866" s="13" t="n">
        <x:f>J1866+Q1866/1440</x:f>
        <x:v>46307.53611111111</x:v>
      </x:c>
      <x:c r="S1866" s="2" t="str">
        <x:f>VLOOKUP(C1866,'MES orders'!$A$8:$H$127,6,FALSE)</x:f>
        <x:v>Normal</x:v>
      </x:c>
      <x:c r="T1866" s="9" t="str"/>
    </x:row>
    <x:row r="1867" ht="22" customHeight="1">
      <x:c r="A1867" s="2" t="str">
        <x:v>L00065-030</x:v>
      </x:c>
      <x:c r="B1867" s="2" t="str">
        <x:v>L00065</x:v>
      </x:c>
      <x:c r="C1867" s="2" t="str">
        <x:v>SO-26013</x:v>
      </x:c>
      <x:c r="D1867" s="2" t="str">
        <x:v>S-C-AL</x:v>
      </x:c>
      <x:c r="E1867" s="14" t="n">
        <x:v>5</x:v>
      </x:c>
      <x:c r="F1867" s="2" t="str">
        <x:v>Wash &amp; dry</x:v>
      </x:c>
      <x:c r="G1867" s="9" t="str">
        <x:v>WS-01</x:v>
      </x:c>
      <x:c r="H1867" s="15" t="n">
        <x:v>174</x:v>
      </x:c>
      <x:c r="I1867" s="9" t="str">
        <x:v>P12</x:v>
      </x:c>
      <x:c r="J1867" s="11" t="n">
        <x:v>46307.529861111114</x:v>
      </x:c>
      <x:c r="K1867" s="15" t="n">
        <x:v>12</x:v>
      </x:c>
      <x:c r="L1867" s="15" t="n">
        <x:v>1</x:v>
      </x:c>
      <x:c r="M1867" s="13" t="n">
        <x:f>J1867+(K1867+L1867)/1440</x:f>
        <x:v>46307.53888888889</x:v>
      </x:c>
      <x:c r="N1867" s="13" t="n">
        <x:f>VLOOKUP(C1867,'MES orders'!$A$8:$H$127,5,FALSE)</x:f>
        <x:v>46308.666666666664</x:v>
      </x:c>
      <x:c r="O1867" s="16" t="n">
        <x:f>MAX(0,(M1867-N1867)*24)</x:f>
        <x:v>0</x:v>
      </x:c>
      <x:c r="P1867" s="9" t="str">
        <x:v>No</x:v>
      </x:c>
      <x:c r="Q1867" s="15" t="n">
        <x:v>13</x:v>
      </x:c>
      <x:c r="R1867" s="13" t="n">
        <x:f>J1867+Q1867/1440</x:f>
        <x:v>46307.53888888889</x:v>
      </x:c>
      <x:c r="S1867" s="2" t="str">
        <x:f>VLOOKUP(C1867,'MES orders'!$A$8:$H$127,6,FALSE)</x:f>
        <x:v>Normal</x:v>
      </x:c>
      <x:c r="T1867" s="9" t="str"/>
    </x:row>
    <x:row r="1868" ht="22" customHeight="1">
      <x:c r="A1868" s="2" t="str">
        <x:v>L00065-040</x:v>
      </x:c>
      <x:c r="B1868" s="2" t="str">
        <x:v>L00065</x:v>
      </x:c>
      <x:c r="C1868" s="2" t="str">
        <x:v>SO-26013</x:v>
      </x:c>
      <x:c r="D1868" s="2" t="str">
        <x:v>S-C-AL</x:v>
      </x:c>
      <x:c r="E1868" s="14" t="n">
        <x:v>5</x:v>
      </x:c>
      <x:c r="F1868" s="2" t="str">
        <x:v>Mechanical preassembly</x:v>
      </x:c>
      <x:c r="G1868" s="9" t="str">
        <x:v>AS-04</x:v>
      </x:c>
      <x:c r="H1868" s="15" t="n">
        <x:v>65</x:v>
      </x:c>
      <x:c r="I1868" s="9" t="str">
        <x:v>P07</x:v>
      </x:c>
      <x:c r="J1868" s="11" t="n">
        <x:v>46307.53888888889</x:v>
      </x:c>
      <x:c r="K1868" s="15" t="n">
        <x:v>6</x:v>
      </x:c>
      <x:c r="L1868" s="15" t="n">
        <x:v>4</x:v>
      </x:c>
      <x:c r="M1868" s="13" t="n">
        <x:f>J1868+(K1868+L1868)/1440</x:f>
        <x:v>46307.54583333334</x:v>
      </x:c>
      <x:c r="N1868" s="13" t="n">
        <x:f>VLOOKUP(C1868,'MES orders'!$A$8:$H$127,5,FALSE)</x:f>
        <x:v>46308.666666666664</x:v>
      </x:c>
      <x:c r="O1868" s="16" t="n">
        <x:f>MAX(0,(M1868-N1868)*24)</x:f>
        <x:v>0</x:v>
      </x:c>
      <x:c r="P1868" s="9" t="str">
        <x:v>No</x:v>
      </x:c>
      <x:c r="Q1868" s="15" t="n">
        <x:v>10</x:v>
      </x:c>
      <x:c r="R1868" s="13" t="n">
        <x:f>J1868+Q1868/1440</x:f>
        <x:v>46307.54583333334</x:v>
      </x:c>
      <x:c r="S1868" s="2" t="str">
        <x:f>VLOOKUP(C1868,'MES orders'!$A$8:$H$127,6,FALSE)</x:f>
        <x:v>Normal</x:v>
      </x:c>
      <x:c r="T1868" s="9" t="str"/>
    </x:row>
    <x:row r="1869" ht="22" customHeight="1">
      <x:c r="A1869" s="2" t="str">
        <x:v>L00336-050</x:v>
      </x:c>
      <x:c r="B1869" s="2" t="str">
        <x:v>L00336</x:v>
      </x:c>
      <x:c r="C1869" s="2" t="str">
        <x:v>SO-26068</x:v>
      </x:c>
      <x:c r="D1869" s="2" t="str">
        <x:v>D-C-SS</x:v>
      </x:c>
      <x:c r="E1869" s="14" t="n">
        <x:v>15</x:v>
      </x:c>
      <x:c r="F1869" s="2" t="str">
        <x:v>Final leak / function test</x:v>
      </x:c>
      <x:c r="G1869" s="9" t="str">
        <x:v>QA-01</x:v>
      </x:c>
      <x:c r="H1869" s="15" t="n">
        <x:v>68</x:v>
      </x:c>
      <x:c r="I1869" s="9" t="str">
        <x:v>P12</x:v>
      </x:c>
      <x:c r="J1869" s="11" t="n">
        <x:v>46307.54027777778</x:v>
      </x:c>
      <x:c r="K1869" s="15" t="n">
        <x:v>10</x:v>
      </x:c>
      <x:c r="L1869" s="15" t="n">
        <x:v>11</x:v>
      </x:c>
      <x:c r="M1869" s="13" t="n">
        <x:f>J1869+(K1869+L1869)/1440</x:f>
        <x:v>46307.55486111111</x:v>
      </x:c>
      <x:c r="N1869" s="13" t="n">
        <x:f>VLOOKUP(C1869,'MES orders'!$A$8:$H$127,5,FALSE)</x:f>
        <x:v>46307.666666666664</x:v>
      </x:c>
      <x:c r="O1869" s="16" t="n">
        <x:f>MAX(0,(M1869-N1869)*24)</x:f>
        <x:v>0</x:v>
      </x:c>
      <x:c r="P1869" s="9" t="str">
        <x:v>No</x:v>
      </x:c>
      <x:c r="Q1869" s="15" t="n">
        <x:v>21</x:v>
      </x:c>
      <x:c r="R1869" s="13" t="n">
        <x:f>J1869+Q1869/1440</x:f>
        <x:v>46307.55486111111</x:v>
      </x:c>
      <x:c r="S1869" s="2" t="str">
        <x:f>VLOOKUP(C1869,'MES orders'!$A$8:$H$127,6,FALSE)</x:f>
        <x:v>Normal</x:v>
      </x:c>
      <x:c r="T1869" s="9" t="str"/>
    </x:row>
    <x:row r="1870" ht="22" customHeight="1">
      <x:c r="A1870" s="2" t="str">
        <x:v>L00338-030</x:v>
      </x:c>
      <x:c r="B1870" s="2" t="str">
        <x:v>L00338</x:v>
      </x:c>
      <x:c r="C1870" s="2" t="str">
        <x:v>SO-26068</x:v>
      </x:c>
      <x:c r="D1870" s="2" t="str">
        <x:v>D-C-SS</x:v>
      </x:c>
      <x:c r="E1870" s="14" t="n">
        <x:v>15</x:v>
      </x:c>
      <x:c r="F1870" s="2" t="str">
        <x:v>Wash &amp; dry</x:v>
      </x:c>
      <x:c r="G1870" s="9" t="str">
        <x:v>WS-01</x:v>
      </x:c>
      <x:c r="H1870" s="15" t="n">
        <x:v>175</x:v>
      </x:c>
      <x:c r="I1870" s="9" t="str">
        <x:v>P04</x:v>
      </x:c>
      <x:c r="J1870" s="11" t="n">
        <x:v>46307.54027777778</x:v>
      </x:c>
      <x:c r="K1870" s="15" t="n">
        <x:v>12</x:v>
      </x:c>
      <x:c r="L1870" s="15" t="n">
        <x:v>4</x:v>
      </x:c>
      <x:c r="M1870" s="13" t="n">
        <x:f>J1870+(K1870+L1870)/1440</x:f>
        <x:v>46307.55138888889</x:v>
      </x:c>
      <x:c r="N1870" s="13" t="n">
        <x:f>VLOOKUP(C1870,'MES orders'!$A$8:$H$127,5,FALSE)</x:f>
        <x:v>46307.666666666664</x:v>
      </x:c>
      <x:c r="O1870" s="16" t="n">
        <x:f>MAX(0,(M1870-N1870)*24)</x:f>
        <x:v>0</x:v>
      </x:c>
      <x:c r="P1870" s="9" t="str">
        <x:v>No</x:v>
      </x:c>
      <x:c r="Q1870" s="15" t="n">
        <x:v>16</x:v>
      </x:c>
      <x:c r="R1870" s="13" t="n">
        <x:f>J1870+Q1870/1440</x:f>
        <x:v>46307.55138888889</x:v>
      </x:c>
      <x:c r="S1870" s="2" t="str">
        <x:f>VLOOKUP(C1870,'MES orders'!$A$8:$H$127,6,FALSE)</x:f>
        <x:v>Normal</x:v>
      </x:c>
      <x:c r="T1870" s="9" t="str"/>
    </x:row>
    <x:row r="1871" ht="22" customHeight="1">
      <x:c r="A1871" s="2" t="str">
        <x:v>L00496-010</x:v>
      </x:c>
      <x:c r="B1871" s="2" t="str">
        <x:v>L00496</x:v>
      </x:c>
      <x:c r="C1871" s="2" t="str">
        <x:v>SO-26100</x:v>
      </x:c>
      <x:c r="D1871" s="2" t="str">
        <x:v>R-S-SS</x:v>
      </x:c>
      <x:c r="E1871" s="14" t="n">
        <x:v>10</x:v>
      </x:c>
      <x:c r="F1871" s="2" t="str">
        <x:v>CNC machining</x:v>
      </x:c>
      <x:c r="G1871" s="9" t="str">
        <x:v>CNC-05</x:v>
      </x:c>
      <x:c r="H1871" s="15" t="n">
        <x:v>51</x:v>
      </x:c>
      <x:c r="I1871" s="9" t="str">
        <x:v>P02</x:v>
      </x:c>
      <x:c r="J1871" s="11" t="n">
        <x:v>46307.541666666664</x:v>
      </x:c>
      <x:c r="K1871" s="15" t="n">
        <x:v>18</x:v>
      </x:c>
      <x:c r="L1871" s="15" t="n">
        <x:v>30</x:v>
      </x:c>
      <x:c r="M1871" s="13" t="n">
        <x:f>J1871+(K1871+L1871)/1440</x:f>
        <x:v>46307.575</x:v>
      </x:c>
      <x:c r="N1871" s="13" t="n">
        <x:f>VLOOKUP(C1871,'MES orders'!$A$8:$H$127,5,FALSE)</x:f>
        <x:v>46307.666666666664</x:v>
      </x:c>
      <x:c r="O1871" s="16" t="n">
        <x:f>MAX(0,(M1871-N1871)*24)</x:f>
        <x:v>0</x:v>
      </x:c>
      <x:c r="P1871" s="9" t="str">
        <x:v>No</x:v>
      </x:c>
      <x:c r="Q1871" s="15" t="n">
        <x:v>18</x:v>
      </x:c>
      <x:c r="R1871" s="13" t="n">
        <x:f>J1871+Q1871/1440</x:f>
        <x:v>46307.55416666666</x:v>
      </x:c>
      <x:c r="S1871" s="2" t="str">
        <x:f>VLOOKUP(C1871,'MES orders'!$A$8:$H$127,6,FALSE)</x:f>
        <x:v>Normal</x:v>
      </x:c>
      <x:c r="T1871" s="9" t="str"/>
    </x:row>
    <x:row r="1872" ht="22" customHeight="1">
      <x:c r="A1872" s="2" t="str">
        <x:v>L00497-010</x:v>
      </x:c>
      <x:c r="B1872" s="2" t="str">
        <x:v>L00497</x:v>
      </x:c>
      <x:c r="C1872" s="2" t="str">
        <x:v>SO-26100</x:v>
      </x:c>
      <x:c r="D1872" s="2" t="str">
        <x:v>R-S-SS</x:v>
      </x:c>
      <x:c r="E1872" s="14" t="n">
        <x:v>10</x:v>
      </x:c>
      <x:c r="F1872" s="2" t="str">
        <x:v>CNC machining</x:v>
      </x:c>
      <x:c r="G1872" s="9" t="str">
        <x:v>CNC-06</x:v>
      </x:c>
      <x:c r="H1872" s="15" t="n">
        <x:v>48</x:v>
      </x:c>
      <x:c r="I1872" s="9" t="str">
        <x:v>P03</x:v>
      </x:c>
      <x:c r="J1872" s="11" t="n">
        <x:v>46307.54236111111</x:v>
      </x:c>
      <x:c r="K1872" s="15" t="n">
        <x:v>18</x:v>
      </x:c>
      <x:c r="L1872" s="15" t="n">
        <x:v>30</x:v>
      </x:c>
      <x:c r="M1872" s="13" t="n">
        <x:f>J1872+(K1872+L1872)/1440</x:f>
        <x:v>46307.575694444444</x:v>
      </x:c>
      <x:c r="N1872" s="13" t="n">
        <x:f>VLOOKUP(C1872,'MES orders'!$A$8:$H$127,5,FALSE)</x:f>
        <x:v>46307.666666666664</x:v>
      </x:c>
      <x:c r="O1872" s="16" t="n">
        <x:f>MAX(0,(M1872-N1872)*24)</x:f>
        <x:v>0</x:v>
      </x:c>
      <x:c r="P1872" s="9" t="str">
        <x:v>No</x:v>
      </x:c>
      <x:c r="Q1872" s="15" t="n">
        <x:v>18</x:v>
      </x:c>
      <x:c r="R1872" s="13" t="n">
        <x:f>J1872+Q1872/1440</x:f>
        <x:v>46307.55486111111</x:v>
      </x:c>
      <x:c r="S1872" s="2" t="str">
        <x:f>VLOOKUP(C1872,'MES orders'!$A$8:$H$127,6,FALSE)</x:f>
        <x:v>Normal</x:v>
      </x:c>
      <x:c r="T1872" s="9" t="str"/>
    </x:row>
    <x:row r="1873" ht="22" customHeight="1">
      <x:c r="A1873" s="2" t="str">
        <x:v>L00418-020</x:v>
      </x:c>
      <x:c r="B1873" s="2" t="str">
        <x:v>L00418</x:v>
      </x:c>
      <x:c r="C1873" s="2" t="str">
        <x:v>SO-26084</x:v>
      </x:c>
      <x:c r="D1873" s="2" t="str">
        <x:v>D-L-SS</x:v>
      </x:c>
      <x:c r="E1873" s="14" t="n">
        <x:v>5</x:v>
      </x:c>
      <x:c r="F1873" s="2" t="str">
        <x:v>Deburr &amp; inspect</x:v>
      </x:c>
      <x:c r="G1873" s="9" t="str">
        <x:v>DB-01</x:v>
      </x:c>
      <x:c r="H1873" s="15" t="n">
        <x:v>179</x:v>
      </x:c>
      <x:c r="I1873" s="9" t="str">
        <x:v>P01</x:v>
      </x:c>
      <x:c r="J1873" s="11" t="n">
        <x:v>46307.54236111111</x:v>
      </x:c>
      <x:c r="K1873" s="15" t="n">
        <x:v>4</x:v>
      </x:c>
      <x:c r="L1873" s="15" t="n">
        <x:v>5</x:v>
      </x:c>
      <x:c r="M1873" s="13" t="n">
        <x:f>J1873+(K1873+L1873)/1440</x:f>
        <x:v>46307.54861111111</x:v>
      </x:c>
      <x:c r="N1873" s="13" t="n">
        <x:f>VLOOKUP(C1873,'MES orders'!$A$8:$H$127,5,FALSE)</x:f>
        <x:v>46307.666666666664</x:v>
      </x:c>
      <x:c r="O1873" s="16" t="n">
        <x:f>MAX(0,(M1873-N1873)*24)</x:f>
        <x:v>0</x:v>
      </x:c>
      <x:c r="P1873" s="9" t="str">
        <x:v>No</x:v>
      </x:c>
      <x:c r="Q1873" s="15" t="n">
        <x:v>9</x:v>
      </x:c>
      <x:c r="R1873" s="13" t="n">
        <x:f>J1873+Q1873/1440</x:f>
        <x:v>46307.54861111111</x:v>
      </x:c>
      <x:c r="S1873" s="2" t="str">
        <x:f>VLOOKUP(C1873,'MES orders'!$A$8:$H$127,6,FALSE)</x:f>
        <x:v>Normal</x:v>
      </x:c>
      <x:c r="T1873" s="9" t="str"/>
    </x:row>
    <x:row r="1874" ht="22" customHeight="1">
      <x:c r="A1874" s="2" t="str">
        <x:v>L00258-080</x:v>
      </x:c>
      <x:c r="B1874" s="2" t="str">
        <x:v>L00258</x:v>
      </x:c>
      <x:c r="C1874" s="2" t="str">
        <x:v>SO-26052</x:v>
      </x:c>
      <x:c r="D1874" s="2" t="str">
        <x:v>S-S-SS</x:v>
      </x:c>
      <x:c r="E1874" s="14" t="n">
        <x:v>25</x:v>
      </x:c>
      <x:c r="F1874" s="2" t="str">
        <x:v>Final leak / function test</x:v>
      </x:c>
      <x:c r="G1874" s="9" t="str">
        <x:v>QA-02</x:v>
      </x:c>
      <x:c r="H1874" s="15" t="n">
        <x:v>132</x:v>
      </x:c>
      <x:c r="I1874" s="9" t="str">
        <x:v>P11</x:v>
      </x:c>
      <x:c r="J1874" s="11" t="n">
        <x:v>46307.54236111111</x:v>
      </x:c>
      <x:c r="K1874" s="15" t="n">
        <x:v>10</x:v>
      </x:c>
      <x:c r="L1874" s="15" t="n">
        <x:v>22</x:v>
      </x:c>
      <x:c r="M1874" s="13" t="n">
        <x:f>J1874+(K1874+L1874)/1440</x:f>
        <x:v>46307.56458333333</x:v>
      </x:c>
      <x:c r="N1874" s="13" t="n">
        <x:f>VLOOKUP(C1874,'MES orders'!$A$8:$H$127,5,FALSE)</x:f>
        <x:v>46307.666666666664</x:v>
      </x:c>
      <x:c r="O1874" s="16" t="n">
        <x:f>MAX(0,(M1874-N1874)*24)</x:f>
        <x:v>0</x:v>
      </x:c>
      <x:c r="P1874" s="9" t="str">
        <x:v>No</x:v>
      </x:c>
      <x:c r="Q1874" s="15" t="n">
        <x:v>32</x:v>
      </x:c>
      <x:c r="R1874" s="13" t="n">
        <x:f>J1874+Q1874/1440</x:f>
        <x:v>46307.56458333333</x:v>
      </x:c>
      <x:c r="S1874" s="2" t="str">
        <x:f>VLOOKUP(C1874,'MES orders'!$A$8:$H$127,6,FALSE)</x:f>
        <x:v>Normal</x:v>
      </x:c>
      <x:c r="T1874" s="9" t="str"/>
    </x:row>
    <x:row r="1875" ht="22" customHeight="1">
      <x:c r="A1875" s="2" t="str">
        <x:v>L00339-030</x:v>
      </x:c>
      <x:c r="B1875" s="2" t="str">
        <x:v>L00339</x:v>
      </x:c>
      <x:c r="C1875" s="2" t="str">
        <x:v>SO-26068</x:v>
      </x:c>
      <x:c r="D1875" s="2" t="str">
        <x:v>D-C-SS</x:v>
      </x:c>
      <x:c r="E1875" s="14" t="n">
        <x:v>15</x:v>
      </x:c>
      <x:c r="F1875" s="2" t="str">
        <x:v>Wash &amp; dry</x:v>
      </x:c>
      <x:c r="G1875" s="9" t="str">
        <x:v>WS-02</x:v>
      </x:c>
      <x:c r="H1875" s="15" t="n">
        <x:v>121</x:v>
      </x:c>
      <x:c r="I1875" s="9" t="str">
        <x:v>P05</x:v>
      </x:c>
      <x:c r="J1875" s="11" t="n">
        <x:v>46307.54236111111</x:v>
      </x:c>
      <x:c r="K1875" s="15" t="n">
        <x:v>12</x:v>
      </x:c>
      <x:c r="L1875" s="15" t="n">
        <x:v>4</x:v>
      </x:c>
      <x:c r="M1875" s="13" t="n">
        <x:f>J1875+(K1875+L1875)/1440</x:f>
        <x:v>46307.55347222222</x:v>
      </x:c>
      <x:c r="N1875" s="13" t="n">
        <x:f>VLOOKUP(C1875,'MES orders'!$A$8:$H$127,5,FALSE)</x:f>
        <x:v>46307.666666666664</x:v>
      </x:c>
      <x:c r="O1875" s="16" t="n">
        <x:f>MAX(0,(M1875-N1875)*24)</x:f>
        <x:v>0</x:v>
      </x:c>
      <x:c r="P1875" s="9" t="str">
        <x:v>No</x:v>
      </x:c>
      <x:c r="Q1875" s="15" t="n">
        <x:v>16</x:v>
      </x:c>
      <x:c r="R1875" s="13" t="n">
        <x:f>J1875+Q1875/1440</x:f>
        <x:v>46307.55347222222</x:v>
      </x:c>
      <x:c r="S1875" s="2" t="str">
        <x:f>VLOOKUP(C1875,'MES orders'!$A$8:$H$127,6,FALSE)</x:f>
        <x:v>Normal</x:v>
      </x:c>
      <x:c r="T1875" s="9" t="str"/>
    </x:row>
    <x:row r="1876" ht="22" customHeight="1">
      <x:c r="A1876" s="2" t="str">
        <x:v>L00065-050</x:v>
      </x:c>
      <x:c r="B1876" s="2" t="str">
        <x:v>L00065</x:v>
      </x:c>
      <x:c r="C1876" s="2" t="str">
        <x:v>SO-26013</x:v>
      </x:c>
      <x:c r="D1876" s="2" t="str">
        <x:v>S-C-AL</x:v>
      </x:c>
      <x:c r="E1876" s="14" t="n">
        <x:v>5</x:v>
      </x:c>
      <x:c r="F1876" s="2" t="str">
        <x:v>Sensor installation</x:v>
      </x:c>
      <x:c r="G1876" s="9" t="str">
        <x:v>EL-01</x:v>
      </x:c>
      <x:c r="H1876" s="15" t="n">
        <x:v>68</x:v>
      </x:c>
      <x:c r="I1876" s="9" t="str">
        <x:v>P07</x:v>
      </x:c>
      <x:c r="J1876" s="11" t="n">
        <x:v>46307.54583333333</x:v>
      </x:c>
      <x:c r="K1876" s="15" t="n">
        <x:v>8</x:v>
      </x:c>
      <x:c r="L1876" s="15" t="n">
        <x:v>5</x:v>
      </x:c>
      <x:c r="M1876" s="13" t="n">
        <x:f>J1876+(K1876+L1876)/1440</x:f>
        <x:v>46307.55486111111</x:v>
      </x:c>
      <x:c r="N1876" s="13" t="n">
        <x:f>VLOOKUP(C1876,'MES orders'!$A$8:$H$127,5,FALSE)</x:f>
        <x:v>46308.666666666664</x:v>
      </x:c>
      <x:c r="O1876" s="16" t="n">
        <x:f>MAX(0,(M1876-N1876)*24)</x:f>
        <x:v>0</x:v>
      </x:c>
      <x:c r="P1876" s="9" t="str">
        <x:v>No</x:v>
      </x:c>
      <x:c r="Q1876" s="15" t="n">
        <x:v>13</x:v>
      </x:c>
      <x:c r="R1876" s="13" t="n">
        <x:f>J1876+Q1876/1440</x:f>
        <x:v>46307.55486111111</x:v>
      </x:c>
      <x:c r="S1876" s="2" t="str">
        <x:f>VLOOKUP(C1876,'MES orders'!$A$8:$H$127,6,FALSE)</x:f>
        <x:v>Normal</x:v>
      </x:c>
      <x:c r="T1876" s="9" t="str"/>
    </x:row>
    <x:row r="1877" ht="22" customHeight="1">
      <x:c r="A1877" s="2" t="str">
        <x:v>L00338-040</x:v>
      </x:c>
      <x:c r="B1877" s="2" t="str">
        <x:v>L00338</x:v>
      </x:c>
      <x:c r="C1877" s="2" t="str">
        <x:v>SO-26068</x:v>
      </x:c>
      <x:c r="D1877" s="2" t="str">
        <x:v>D-C-SS</x:v>
      </x:c>
      <x:c r="E1877" s="14" t="n">
        <x:v>15</x:v>
      </x:c>
      <x:c r="F1877" s="2" t="str">
        <x:v>Mechanical assembly</x:v>
      </x:c>
      <x:c r="G1877" s="9" t="str">
        <x:v>AS-02</x:v>
      </x:c>
      <x:c r="H1877" s="15" t="n">
        <x:v>121</x:v>
      </x:c>
      <x:c r="I1877" s="9" t="str">
        <x:v>P04</x:v>
      </x:c>
      <x:c r="J1877" s="11" t="n">
        <x:v>46307.55138888889</x:v>
      </x:c>
      <x:c r="K1877" s="15" t="n">
        <x:v>8</x:v>
      </x:c>
      <x:c r="L1877" s="15" t="n">
        <x:v>22</x:v>
      </x:c>
      <x:c r="M1877" s="13" t="n">
        <x:f>J1877+(K1877+L1877)/1440</x:f>
        <x:v>46307.572222222225</x:v>
      </x:c>
      <x:c r="N1877" s="13" t="n">
        <x:f>VLOOKUP(C1877,'MES orders'!$A$8:$H$127,5,FALSE)</x:f>
        <x:v>46307.666666666664</x:v>
      </x:c>
      <x:c r="O1877" s="16" t="n">
        <x:f>MAX(0,(M1877-N1877)*24)</x:f>
        <x:v>0</x:v>
      </x:c>
      <x:c r="P1877" s="9" t="str">
        <x:v>No</x:v>
      </x:c>
      <x:c r="Q1877" s="15" t="n">
        <x:v>30</x:v>
      </x:c>
      <x:c r="R1877" s="13" t="n">
        <x:f>J1877+Q1877/1440</x:f>
        <x:v>46307.572222222225</x:v>
      </x:c>
      <x:c r="S1877" s="2" t="str">
        <x:f>VLOOKUP(C1877,'MES orders'!$A$8:$H$127,6,FALSE)</x:f>
        <x:v>Normal</x:v>
      </x:c>
      <x:c r="T1877" s="9" t="str"/>
    </x:row>
    <x:row r="1878" ht="22" customHeight="1">
      <x:c r="A1878" s="2" t="str">
        <x:v>L00418-030</x:v>
      </x:c>
      <x:c r="B1878" s="2" t="str">
        <x:v>L00418</x:v>
      </x:c>
      <x:c r="C1878" s="2" t="str">
        <x:v>SO-26084</x:v>
      </x:c>
      <x:c r="D1878" s="2" t="str">
        <x:v>D-L-SS</x:v>
      </x:c>
      <x:c r="E1878" s="14" t="n">
        <x:v>5</x:v>
      </x:c>
      <x:c r="F1878" s="2" t="str">
        <x:v>Wash &amp; dry</x:v>
      </x:c>
      <x:c r="G1878" s="9" t="str">
        <x:v>WS-01</x:v>
      </x:c>
      <x:c r="H1878" s="15" t="n">
        <x:v>176</x:v>
      </x:c>
      <x:c r="I1878" s="9" t="str">
        <x:v>P01</x:v>
      </x:c>
      <x:c r="J1878" s="11" t="n">
        <x:v>46307.55138888889</x:v>
      </x:c>
      <x:c r="K1878" s="15" t="n">
        <x:v>12</x:v>
      </x:c>
      <x:c r="L1878" s="15" t="n">
        <x:v>2</x:v>
      </x:c>
      <x:c r="M1878" s="13" t="n">
        <x:f>J1878+(K1878+L1878)/1440</x:f>
        <x:v>46307.561111111114</x:v>
      </x:c>
      <x:c r="N1878" s="13" t="n">
        <x:f>VLOOKUP(C1878,'MES orders'!$A$8:$H$127,5,FALSE)</x:f>
        <x:v>46307.666666666664</x:v>
      </x:c>
      <x:c r="O1878" s="16" t="n">
        <x:f>MAX(0,(M1878-N1878)*24)</x:f>
        <x:v>0</x:v>
      </x:c>
      <x:c r="P1878" s="9" t="str">
        <x:v>No</x:v>
      </x:c>
      <x:c r="Q1878" s="15" t="n">
        <x:v>14</x:v>
      </x:c>
      <x:c r="R1878" s="13" t="n">
        <x:f>J1878+Q1878/1440</x:f>
        <x:v>46307.561111111114</x:v>
      </x:c>
      <x:c r="S1878" s="2" t="str">
        <x:f>VLOOKUP(C1878,'MES orders'!$A$8:$H$127,6,FALSE)</x:f>
        <x:v>Normal</x:v>
      </x:c>
      <x:c r="T1878" s="9" t="str"/>
    </x:row>
    <x:row r="1879" ht="22" customHeight="1">
      <x:c r="A1879" s="2" t="str">
        <x:v>L00339-040</x:v>
      </x:c>
      <x:c r="B1879" s="2" t="str">
        <x:v>L00339</x:v>
      </x:c>
      <x:c r="C1879" s="2" t="str">
        <x:v>SO-26068</x:v>
      </x:c>
      <x:c r="D1879" s="2" t="str">
        <x:v>D-C-SS</x:v>
      </x:c>
      <x:c r="E1879" s="14" t="n">
        <x:v>15</x:v>
      </x:c>
      <x:c r="F1879" s="2" t="str">
        <x:v>Mechanical assembly</x:v>
      </x:c>
      <x:c r="G1879" s="9" t="str">
        <x:v>AS-03</x:v>
      </x:c>
      <x:c r="H1879" s="15" t="n">
        <x:v>98</x:v>
      </x:c>
      <x:c r="I1879" s="9" t="str">
        <x:v>P06</x:v>
      </x:c>
      <x:c r="J1879" s="11" t="n">
        <x:v>46307.55347222222</x:v>
      </x:c>
      <x:c r="K1879" s="15" t="n">
        <x:v>8</x:v>
      </x:c>
      <x:c r="L1879" s="15" t="n">
        <x:v>22</x:v>
      </x:c>
      <x:c r="M1879" s="13" t="n">
        <x:f>J1879+(K1879+L1879)/1440</x:f>
        <x:v>46307.57430555556</x:v>
      </x:c>
      <x:c r="N1879" s="13" t="n">
        <x:f>VLOOKUP(C1879,'MES orders'!$A$8:$H$127,5,FALSE)</x:f>
        <x:v>46307.666666666664</x:v>
      </x:c>
      <x:c r="O1879" s="16" t="n">
        <x:f>MAX(0,(M1879-N1879)*24)</x:f>
        <x:v>0</x:v>
      </x:c>
      <x:c r="P1879" s="9" t="str">
        <x:v>No</x:v>
      </x:c>
      <x:c r="Q1879" s="15" t="n">
        <x:v>30</x:v>
      </x:c>
      <x:c r="R1879" s="13" t="n">
        <x:f>J1879+Q1879/1440</x:f>
        <x:v>46307.57430555556</x:v>
      </x:c>
      <x:c r="S1879" s="2" t="str">
        <x:f>VLOOKUP(C1879,'MES orders'!$A$8:$H$127,6,FALSE)</x:f>
        <x:v>Normal</x:v>
      </x:c>
      <x:c r="T1879" s="9" t="str"/>
    </x:row>
    <x:row r="1880" ht="22" customHeight="1">
      <x:c r="A1880" s="2" t="str">
        <x:v>L00259-070</x:v>
      </x:c>
      <x:c r="B1880" s="2" t="str">
        <x:v>L00259</x:v>
      </x:c>
      <x:c r="C1880" s="2" t="str">
        <x:v>SO-26052</x:v>
      </x:c>
      <x:c r="D1880" s="2" t="str">
        <x:v>S-S-SS</x:v>
      </x:c>
      <x:c r="E1880" s="14" t="n">
        <x:v>25</x:v>
      </x:c>
      <x:c r="F1880" s="2" t="str">
        <x:v>Final assembly</x:v>
      </x:c>
      <x:c r="G1880" s="9" t="str">
        <x:v>AS-01</x:v>
      </x:c>
      <x:c r="H1880" s="15" t="n">
        <x:v>151</x:v>
      </x:c>
      <x:c r="I1880" s="9" t="str">
        <x:v>P05</x:v>
      </x:c>
      <x:c r="J1880" s="11" t="n">
        <x:v>46307.55416666667</x:v>
      </x:c>
      <x:c r="K1880" s="15" t="n">
        <x:v>5</x:v>
      </x:c>
      <x:c r="L1880" s="15" t="n">
        <x:v>20</x:v>
      </x:c>
      <x:c r="M1880" s="13" t="n">
        <x:f>J1880+(K1880+L1880)/1440</x:f>
        <x:v>46307.57152777778</x:v>
      </x:c>
      <x:c r="N1880" s="13" t="n">
        <x:f>VLOOKUP(C1880,'MES orders'!$A$8:$H$127,5,FALSE)</x:f>
        <x:v>46307.666666666664</x:v>
      </x:c>
      <x:c r="O1880" s="16" t="n">
        <x:f>MAX(0,(M1880-N1880)*24)</x:f>
        <x:v>0</x:v>
      </x:c>
      <x:c r="P1880" s="9" t="str">
        <x:v>No</x:v>
      </x:c>
      <x:c r="Q1880" s="15" t="n">
        <x:v>25</x:v>
      </x:c>
      <x:c r="R1880" s="13" t="n">
        <x:f>J1880+Q1880/1440</x:f>
        <x:v>46307.57152777778</x:v>
      </x:c>
      <x:c r="S1880" s="2" t="str">
        <x:f>VLOOKUP(C1880,'MES orders'!$A$8:$H$127,6,FALSE)</x:f>
        <x:v>Normal</x:v>
      </x:c>
      <x:c r="T1880" s="9" t="str"/>
    </x:row>
    <x:row r="1881" ht="22" customHeight="1">
      <x:c r="A1881" s="2" t="str">
        <x:v>L00260-060</x:v>
      </x:c>
      <x:c r="B1881" s="2" t="str">
        <x:v>L00260</x:v>
      </x:c>
      <x:c r="C1881" s="2" t="str">
        <x:v>SO-26052</x:v>
      </x:c>
      <x:c r="D1881" s="2" t="str">
        <x:v>S-S-SS</x:v>
      </x:c>
      <x:c r="E1881" s="14" t="n">
        <x:v>25</x:v>
      </x:c>
      <x:c r="F1881" s="2" t="str">
        <x:v>Sensor calibration</x:v>
      </x:c>
      <x:c r="G1881" s="9" t="str">
        <x:v>CAL-01</x:v>
      </x:c>
      <x:c r="H1881" s="15" t="n">
        <x:v>95</x:v>
      </x:c>
      <x:c r="I1881" s="9" t="str">
        <x:v>P09</x:v>
      </x:c>
      <x:c r="J1881" s="11" t="n">
        <x:v>46307.55416666667</x:v>
      </x:c>
      <x:c r="K1881" s="15" t="n">
        <x:v>10</x:v>
      </x:c>
      <x:c r="L1881" s="15" t="n">
        <x:v>32</x:v>
      </x:c>
      <x:c r="M1881" s="13" t="n">
        <x:f>J1881+(K1881+L1881)/1440</x:f>
        <x:v>46307.583333333336</x:v>
      </x:c>
      <x:c r="N1881" s="13" t="n">
        <x:f>VLOOKUP(C1881,'MES orders'!$A$8:$H$127,5,FALSE)</x:f>
        <x:v>46307.666666666664</x:v>
      </x:c>
      <x:c r="O1881" s="16" t="n">
        <x:f>MAX(0,(M1881-N1881)*24)</x:f>
        <x:v>0</x:v>
      </x:c>
      <x:c r="P1881" s="9" t="str">
        <x:v>No</x:v>
      </x:c>
      <x:c r="Q1881" s="15" t="n">
        <x:v>42</x:v>
      </x:c>
      <x:c r="R1881" s="13" t="n">
        <x:f>J1881+Q1881/1440</x:f>
        <x:v>46307.583333333336</x:v>
      </x:c>
      <x:c r="S1881" s="2" t="str">
        <x:f>VLOOKUP(C1881,'MES orders'!$A$8:$H$127,6,FALSE)</x:f>
        <x:v>Normal</x:v>
      </x:c>
      <x:c r="T1881" s="9" t="str"/>
    </x:row>
    <x:row r="1882" ht="22" customHeight="1">
      <x:c r="A1882" s="2" t="str">
        <x:v>L00498-010</x:v>
      </x:c>
      <x:c r="B1882" s="2" t="str">
        <x:v>L00498</x:v>
      </x:c>
      <x:c r="C1882" s="2" t="str">
        <x:v>SO-26100</x:v>
      </x:c>
      <x:c r="D1882" s="2" t="str">
        <x:v>R-S-SS</x:v>
      </x:c>
      <x:c r="E1882" s="14" t="n">
        <x:v>10</x:v>
      </x:c>
      <x:c r="F1882" s="2" t="str">
        <x:v>CNC machining</x:v>
      </x:c>
      <x:c r="G1882" s="9" t="str">
        <x:v>CNC-03</x:v>
      </x:c>
      <x:c r="H1882" s="15" t="n">
        <x:v>60</x:v>
      </x:c>
      <x:c r="I1882" s="9" t="str">
        <x:v>P03</x:v>
      </x:c>
      <x:c r="J1882" s="11" t="n">
        <x:v>46307.55486111111</x:v>
      </x:c>
      <x:c r="K1882" s="15" t="n">
        <x:v>18</x:v>
      </x:c>
      <x:c r="L1882" s="15" t="n">
        <x:v>30</x:v>
      </x:c>
      <x:c r="M1882" s="13" t="n">
        <x:f>J1882+(K1882+L1882)/1440</x:f>
        <x:v>46307.58819444444</x:v>
      </x:c>
      <x:c r="N1882" s="13" t="n">
        <x:f>VLOOKUP(C1882,'MES orders'!$A$8:$H$127,5,FALSE)</x:f>
        <x:v>46307.666666666664</x:v>
      </x:c>
      <x:c r="O1882" s="16" t="n">
        <x:f>MAX(0,(M1882-N1882)*24)</x:f>
        <x:v>0</x:v>
      </x:c>
      <x:c r="P1882" s="9" t="str">
        <x:v>No</x:v>
      </x:c>
      <x:c r="Q1882" s="15" t="n">
        <x:v>18</x:v>
      </x:c>
      <x:c r="R1882" s="13" t="n">
        <x:f>J1882+Q1882/1440</x:f>
        <x:v>46307.567361111105</x:v>
      </x:c>
      <x:c r="S1882" s="2" t="str">
        <x:f>VLOOKUP(C1882,'MES orders'!$A$8:$H$127,6,FALSE)</x:f>
        <x:v>Normal</x:v>
      </x:c>
      <x:c r="T1882" s="9" t="str"/>
    </x:row>
    <x:row r="1883" ht="22" customHeight="1">
      <x:c r="A1883" s="2" t="str">
        <x:v>L00337-050</x:v>
      </x:c>
      <x:c r="B1883" s="2" t="str">
        <x:v>L00337</x:v>
      </x:c>
      <x:c r="C1883" s="2" t="str">
        <x:v>SO-26068</x:v>
      </x:c>
      <x:c r="D1883" s="2" t="str">
        <x:v>D-C-SS</x:v>
      </x:c>
      <x:c r="E1883" s="14" t="n">
        <x:v>15</x:v>
      </x:c>
      <x:c r="F1883" s="2" t="str">
        <x:v>Final leak / function test</x:v>
      </x:c>
      <x:c r="G1883" s="9" t="str">
        <x:v>QA-01</x:v>
      </x:c>
      <x:c r="H1883" s="15" t="n">
        <x:v>69</x:v>
      </x:c>
      <x:c r="I1883" s="9" t="str">
        <x:v>P12</x:v>
      </x:c>
      <x:c r="J1883" s="11" t="n">
        <x:v>46307.55486111111</x:v>
      </x:c>
      <x:c r="K1883" s="15" t="n">
        <x:v>10</x:v>
      </x:c>
      <x:c r="L1883" s="15" t="n">
        <x:v>11</x:v>
      </x:c>
      <x:c r="M1883" s="13" t="n">
        <x:f>J1883+(K1883+L1883)/1440</x:f>
        <x:v>46307.56944444444</x:v>
      </x:c>
      <x:c r="N1883" s="13" t="n">
        <x:f>VLOOKUP(C1883,'MES orders'!$A$8:$H$127,5,FALSE)</x:f>
        <x:v>46307.666666666664</x:v>
      </x:c>
      <x:c r="O1883" s="16" t="n">
        <x:f>MAX(0,(M1883-N1883)*24)</x:f>
        <x:v>0</x:v>
      </x:c>
      <x:c r="P1883" s="9" t="str">
        <x:v>No</x:v>
      </x:c>
      <x:c r="Q1883" s="15" t="n">
        <x:v>21</x:v>
      </x:c>
      <x:c r="R1883" s="13" t="n">
        <x:f>J1883+Q1883/1440</x:f>
        <x:v>46307.56944444444</x:v>
      </x:c>
      <x:c r="S1883" s="2" t="str">
        <x:f>VLOOKUP(C1883,'MES orders'!$A$8:$H$127,6,FALSE)</x:f>
        <x:v>Normal</x:v>
      </x:c>
      <x:c r="T1883" s="9" t="str"/>
    </x:row>
    <x:row r="1884" ht="22" customHeight="1">
      <x:c r="A1884" s="2" t="str">
        <x:v>L00420-020</x:v>
      </x:c>
      <x:c r="B1884" s="2" t="str">
        <x:v>L00420</x:v>
      </x:c>
      <x:c r="C1884" s="2" t="str">
        <x:v>SO-26084</x:v>
      </x:c>
      <x:c r="D1884" s="2" t="str">
        <x:v>D-L-SS</x:v>
      </x:c>
      <x:c r="E1884" s="14" t="n">
        <x:v>5</x:v>
      </x:c>
      <x:c r="F1884" s="2" t="str">
        <x:v>Deburr &amp; inspect</x:v>
      </x:c>
      <x:c r="G1884" s="9" t="str">
        <x:v>DB-01</x:v>
      </x:c>
      <x:c r="H1884" s="15" t="n">
        <x:v>180</x:v>
      </x:c>
      <x:c r="I1884" s="9" t="str">
        <x:v>P02</x:v>
      </x:c>
      <x:c r="J1884" s="11" t="n">
        <x:v>46307.55625</x:v>
      </x:c>
      <x:c r="K1884" s="15" t="n">
        <x:v>4</x:v>
      </x:c>
      <x:c r="L1884" s="15" t="n">
        <x:v>5</x:v>
      </x:c>
      <x:c r="M1884" s="13" t="n">
        <x:f>J1884+(K1884+L1884)/1440</x:f>
        <x:v>46307.5625</x:v>
      </x:c>
      <x:c r="N1884" s="13" t="n">
        <x:f>VLOOKUP(C1884,'MES orders'!$A$8:$H$127,5,FALSE)</x:f>
        <x:v>46307.666666666664</x:v>
      </x:c>
      <x:c r="O1884" s="16" t="n">
        <x:f>MAX(0,(M1884-N1884)*24)</x:f>
        <x:v>0</x:v>
      </x:c>
      <x:c r="P1884" s="9" t="str">
        <x:v>No</x:v>
      </x:c>
      <x:c r="Q1884" s="15" t="n">
        <x:v>9</x:v>
      </x:c>
      <x:c r="R1884" s="13" t="n">
        <x:f>J1884+Q1884/1440</x:f>
        <x:v>46307.5625</x:v>
      </x:c>
      <x:c r="S1884" s="2" t="str">
        <x:f>VLOOKUP(C1884,'MES orders'!$A$8:$H$127,6,FALSE)</x:f>
        <x:v>Normal</x:v>
      </x:c>
      <x:c r="T1884" s="9" t="str"/>
    </x:row>
    <x:row r="1885" ht="22" customHeight="1">
      <x:c r="A1885" s="2" t="str">
        <x:v>L00418-040</x:v>
      </x:c>
      <x:c r="B1885" s="2" t="str">
        <x:v>L00418</x:v>
      </x:c>
      <x:c r="C1885" s="2" t="str">
        <x:v>SO-26084</x:v>
      </x:c>
      <x:c r="D1885" s="2" t="str">
        <x:v>D-L-SS</x:v>
      </x:c>
      <x:c r="E1885" s="14" t="n">
        <x:v>5</x:v>
      </x:c>
      <x:c r="F1885" s="2" t="str">
        <x:v>Mechanical assembly</x:v>
      </x:c>
      <x:c r="G1885" s="9" t="str">
        <x:v>AS-04</x:v>
      </x:c>
      <x:c r="H1885" s="15" t="n">
        <x:v>66</x:v>
      </x:c>
      <x:c r="I1885" s="9" t="str">
        <x:v>P01</x:v>
      </x:c>
      <x:c r="J1885" s="11" t="n">
        <x:v>46307.561111111114</x:v>
      </x:c>
      <x:c r="K1885" s="15" t="n">
        <x:v>8</x:v>
      </x:c>
      <x:c r="L1885" s="15" t="n">
        <x:v>12</x:v>
      </x:c>
      <x:c r="M1885" s="13" t="n">
        <x:f>J1885+(K1885+L1885)/1440</x:f>
        <x:v>46307.575000000004</x:v>
      </x:c>
      <x:c r="N1885" s="13" t="n">
        <x:f>VLOOKUP(C1885,'MES orders'!$A$8:$H$127,5,FALSE)</x:f>
        <x:v>46307.666666666664</x:v>
      </x:c>
      <x:c r="O1885" s="16" t="n">
        <x:f>MAX(0,(M1885-N1885)*24)</x:f>
        <x:v>0</x:v>
      </x:c>
      <x:c r="P1885" s="9" t="str">
        <x:v>No</x:v>
      </x:c>
      <x:c r="Q1885" s="15" t="n">
        <x:v>20</x:v>
      </x:c>
      <x:c r="R1885" s="13" t="n">
        <x:f>J1885+Q1885/1440</x:f>
        <x:v>46307.575000000004</x:v>
      </x:c>
      <x:c r="S1885" s="2" t="str">
        <x:f>VLOOKUP(C1885,'MES orders'!$A$8:$H$127,6,FALSE)</x:f>
        <x:v>Normal</x:v>
      </x:c>
      <x:c r="T1885" s="9" t="str"/>
    </x:row>
    <x:row r="1886" ht="22" customHeight="1">
      <x:c r="A1886" s="2" t="str">
        <x:v>L00420-030</x:v>
      </x:c>
      <x:c r="B1886" s="2" t="str">
        <x:v>L00420</x:v>
      </x:c>
      <x:c r="C1886" s="2" t="str">
        <x:v>SO-26084</x:v>
      </x:c>
      <x:c r="D1886" s="2" t="str">
        <x:v>D-L-SS</x:v>
      </x:c>
      <x:c r="E1886" s="14" t="n">
        <x:v>5</x:v>
      </x:c>
      <x:c r="F1886" s="2" t="str">
        <x:v>Wash &amp; dry</x:v>
      </x:c>
      <x:c r="G1886" s="9" t="str">
        <x:v>WS-02</x:v>
      </x:c>
      <x:c r="H1886" s="15" t="n">
        <x:v>122</x:v>
      </x:c>
      <x:c r="I1886" s="9" t="str">
        <x:v>P02</x:v>
      </x:c>
      <x:c r="J1886" s="11" t="n">
        <x:v>46307.5625</x:v>
      </x:c>
      <x:c r="K1886" s="15" t="n">
        <x:v>12</x:v>
      </x:c>
      <x:c r="L1886" s="15" t="n">
        <x:v>2</x:v>
      </x:c>
      <x:c r="M1886" s="13" t="n">
        <x:f>J1886+(K1886+L1886)/1440</x:f>
        <x:v>46307.572222222225</x:v>
      </x:c>
      <x:c r="N1886" s="13" t="n">
        <x:f>VLOOKUP(C1886,'MES orders'!$A$8:$H$127,5,FALSE)</x:f>
        <x:v>46307.666666666664</x:v>
      </x:c>
      <x:c r="O1886" s="16" t="n">
        <x:f>MAX(0,(M1886-N1886)*24)</x:f>
        <x:v>0</x:v>
      </x:c>
      <x:c r="P1886" s="9" t="str">
        <x:v>No</x:v>
      </x:c>
      <x:c r="Q1886" s="15" t="n">
        <x:v>14</x:v>
      </x:c>
      <x:c r="R1886" s="13" t="n">
        <x:f>J1886+Q1886/1440</x:f>
        <x:v>46307.572222222225</x:v>
      </x:c>
      <x:c r="S1886" s="2" t="str">
        <x:f>VLOOKUP(C1886,'MES orders'!$A$8:$H$127,6,FALSE)</x:f>
        <x:v>Normal</x:v>
      </x:c>
      <x:c r="T1886" s="9" t="str"/>
    </x:row>
    <x:row r="1887" ht="22" customHeight="1">
      <x:c r="A1887" s="2" t="str">
        <x:v>L00378-050</x:v>
      </x:c>
      <x:c r="B1887" s="2" t="str">
        <x:v>L00378</x:v>
      </x:c>
      <x:c r="C1887" s="2" t="str">
        <x:v>SO-26076</x:v>
      </x:c>
      <x:c r="D1887" s="2" t="str">
        <x:v>D-S-SS</x:v>
      </x:c>
      <x:c r="E1887" s="14" t="n">
        <x:v>10</x:v>
      </x:c>
      <x:c r="F1887" s="2" t="str">
        <x:v>Final leak / function test</x:v>
      </x:c>
      <x:c r="G1887" s="9" t="str">
        <x:v>QA-02</x:v>
      </x:c>
      <x:c r="H1887" s="15" t="n">
        <x:v>133</x:v>
      </x:c>
      <x:c r="I1887" s="9" t="str">
        <x:v>P11</x:v>
      </x:c>
      <x:c r="J1887" s="11" t="n">
        <x:v>46307.56458333333</x:v>
      </x:c>
      <x:c r="K1887" s="15" t="n">
        <x:v>10</x:v>
      </x:c>
      <x:c r="L1887" s="15" t="n">
        <x:v>9</x:v>
      </x:c>
      <x:c r="M1887" s="13" t="n">
        <x:f>J1887+(K1887+L1887)/1440</x:f>
        <x:v>46307.57777777778</x:v>
      </x:c>
      <x:c r="N1887" s="13" t="n">
        <x:f>VLOOKUP(C1887,'MES orders'!$A$8:$H$127,5,FALSE)</x:f>
        <x:v>46307.666666666664</x:v>
      </x:c>
      <x:c r="O1887" s="16" t="n">
        <x:f>MAX(0,(M1887-N1887)*24)</x:f>
        <x:v>0</x:v>
      </x:c>
      <x:c r="P1887" s="9" t="str">
        <x:v>No</x:v>
      </x:c>
      <x:c r="Q1887" s="15" t="n">
        <x:v>19</x:v>
      </x:c>
      <x:c r="R1887" s="13" t="n">
        <x:f>J1887+Q1887/1440</x:f>
        <x:v>46307.57777777778</x:v>
      </x:c>
      <x:c r="S1887" s="2" t="str">
        <x:f>VLOOKUP(C1887,'MES orders'!$A$8:$H$127,6,FALSE)</x:f>
        <x:v>Normal</x:v>
      </x:c>
      <x:c r="T1887" s="9" t="str"/>
    </x:row>
    <x:row r="1888" ht="22" customHeight="1">
      <x:c r="A1888" s="2" t="str">
        <x:v>L00499-010</x:v>
      </x:c>
      <x:c r="B1888" s="2" t="str">
        <x:v>L00499</x:v>
      </x:c>
      <x:c r="C1888" s="2" t="str">
        <x:v>SO-26100</x:v>
      </x:c>
      <x:c r="D1888" s="2" t="str">
        <x:v>R-S-SS</x:v>
      </x:c>
      <x:c r="E1888" s="14" t="n">
        <x:v>10</x:v>
      </x:c>
      <x:c r="F1888" s="2" t="str">
        <x:v>CNC machining</x:v>
      </x:c>
      <x:c r="G1888" s="9" t="str">
        <x:v>CNC-04</x:v>
      </x:c>
      <x:c r="H1888" s="15" t="n">
        <x:v>58</x:v>
      </x:c>
      <x:c r="I1888" s="9" t="str">
        <x:v>P03</x:v>
      </x:c>
      <x:c r="J1888" s="11" t="n">
        <x:v>46307.56736111111</x:v>
      </x:c>
      <x:c r="K1888" s="15" t="n">
        <x:v>18</x:v>
      </x:c>
      <x:c r="L1888" s="15" t="n">
        <x:v>30</x:v>
      </x:c>
      <x:c r="M1888" s="13" t="n">
        <x:f>J1888+(K1888+L1888)/1440</x:f>
        <x:v>46307.600694444445</x:v>
      </x:c>
      <x:c r="N1888" s="13" t="n">
        <x:f>VLOOKUP(C1888,'MES orders'!$A$8:$H$127,5,FALSE)</x:f>
        <x:v>46307.666666666664</x:v>
      </x:c>
      <x:c r="O1888" s="16" t="n">
        <x:f>MAX(0,(M1888-N1888)*24)</x:f>
        <x:v>0</x:v>
      </x:c>
      <x:c r="P1888" s="9" t="str">
        <x:v>No</x:v>
      </x:c>
      <x:c r="Q1888" s="15" t="n">
        <x:v>18</x:v>
      </x:c>
      <x:c r="R1888" s="13" t="n">
        <x:f>J1888+Q1888/1440</x:f>
        <x:v>46307.57986111111</x:v>
      </x:c>
      <x:c r="S1888" s="2" t="str">
        <x:f>VLOOKUP(C1888,'MES orders'!$A$8:$H$127,6,FALSE)</x:f>
        <x:v>Normal</x:v>
      </x:c>
      <x:c r="T1888" s="9" t="str"/>
    </x:row>
    <x:row r="1889" ht="22" customHeight="1">
      <x:c r="A1889" s="2" t="str">
        <x:v>L00376-030</x:v>
      </x:c>
      <x:c r="B1889" s="2" t="str">
        <x:v>L00376</x:v>
      </x:c>
      <x:c r="C1889" s="2" t="str">
        <x:v>SO-26076</x:v>
      </x:c>
      <x:c r="D1889" s="2" t="str">
        <x:v>D-S-SS</x:v>
      </x:c>
      <x:c r="E1889" s="14" t="n">
        <x:v>10</x:v>
      </x:c>
      <x:c r="F1889" s="2" t="str">
        <x:v>Wash &amp; dry</x:v>
      </x:c>
      <x:c r="G1889" s="9" t="str">
        <x:v>WS-01</x:v>
      </x:c>
      <x:c r="H1889" s="15" t="n">
        <x:v>177</x:v>
      </x:c>
      <x:c r="I1889" s="9" t="str">
        <x:v>P05</x:v>
      </x:c>
      <x:c r="J1889" s="11" t="n">
        <x:v>46307.57152777778</x:v>
      </x:c>
      <x:c r="K1889" s="15" t="n">
        <x:v>12</x:v>
      </x:c>
      <x:c r="L1889" s="15" t="n">
        <x:v>4</x:v>
      </x:c>
      <x:c r="M1889" s="13" t="n">
        <x:f>J1889+(K1889+L1889)/1440</x:f>
        <x:v>46307.58263888889</x:v>
      </x:c>
      <x:c r="N1889" s="13" t="n">
        <x:f>VLOOKUP(C1889,'MES orders'!$A$8:$H$127,5,FALSE)</x:f>
        <x:v>46307.666666666664</x:v>
      </x:c>
      <x:c r="O1889" s="16" t="n">
        <x:f>MAX(0,(M1889-N1889)*24)</x:f>
        <x:v>0</x:v>
      </x:c>
      <x:c r="P1889" s="9" t="str">
        <x:v>No</x:v>
      </x:c>
      <x:c r="Q1889" s="15" t="n">
        <x:v>16</x:v>
      </x:c>
      <x:c r="R1889" s="13" t="n">
        <x:f>J1889+Q1889/1440</x:f>
        <x:v>46307.58263888889</x:v>
      </x:c>
      <x:c r="S1889" s="2" t="str">
        <x:f>VLOOKUP(C1889,'MES orders'!$A$8:$H$127,6,FALSE)</x:f>
        <x:v>Normal</x:v>
      </x:c>
      <x:c r="T1889" s="9" t="str"/>
    </x:row>
    <x:row r="1890" ht="22" customHeight="1">
      <x:c r="A1890" s="2" t="str">
        <x:v>L00377-030</x:v>
      </x:c>
      <x:c r="B1890" s="2" t="str">
        <x:v>L00377</x:v>
      </x:c>
      <x:c r="C1890" s="2" t="str">
        <x:v>SO-26076</x:v>
      </x:c>
      <x:c r="D1890" s="2" t="str">
        <x:v>D-S-SS</x:v>
      </x:c>
      <x:c r="E1890" s="14" t="n">
        <x:v>10</x:v>
      </x:c>
      <x:c r="F1890" s="2" t="str">
        <x:v>Wash &amp; dry</x:v>
      </x:c>
      <x:c r="G1890" s="9" t="str">
        <x:v>WS-02</x:v>
      </x:c>
      <x:c r="H1890" s="15" t="n">
        <x:v>123</x:v>
      </x:c>
      <x:c r="I1890" s="9" t="str">
        <x:v>P04</x:v>
      </x:c>
      <x:c r="J1890" s="11" t="n">
        <x:v>46307.572222222225</x:v>
      </x:c>
      <x:c r="K1890" s="15" t="n">
        <x:v>12</x:v>
      </x:c>
      <x:c r="L1890" s="15" t="n">
        <x:v>4</x:v>
      </x:c>
      <x:c r="M1890" s="13" t="n">
        <x:f>J1890+(K1890+L1890)/1440</x:f>
        <x:v>46307.583333333336</x:v>
      </x:c>
      <x:c r="N1890" s="13" t="n">
        <x:f>VLOOKUP(C1890,'MES orders'!$A$8:$H$127,5,FALSE)</x:f>
        <x:v>46307.666666666664</x:v>
      </x:c>
      <x:c r="O1890" s="16" t="n">
        <x:f>MAX(0,(M1890-N1890)*24)</x:f>
        <x:v>0</x:v>
      </x:c>
      <x:c r="P1890" s="9" t="str">
        <x:v>No</x:v>
      </x:c>
      <x:c r="Q1890" s="15" t="n">
        <x:v>16</x:v>
      </x:c>
      <x:c r="R1890" s="13" t="n">
        <x:f>J1890+Q1890/1440</x:f>
        <x:v>46307.583333333336</x:v>
      </x:c>
      <x:c r="S1890" s="2" t="str">
        <x:f>VLOOKUP(C1890,'MES orders'!$A$8:$H$127,6,FALSE)</x:f>
        <x:v>Normal</x:v>
      </x:c>
      <x:c r="T1890" s="9" t="str"/>
    </x:row>
    <x:row r="1891" ht="22" customHeight="1">
      <x:c r="A1891" s="2" t="str">
        <x:v>L00379-020</x:v>
      </x:c>
      <x:c r="B1891" s="2" t="str">
        <x:v>L00379</x:v>
      </x:c>
      <x:c r="C1891" s="2" t="str">
        <x:v>SO-26076</x:v>
      </x:c>
      <x:c r="D1891" s="2" t="str">
        <x:v>D-S-SS</x:v>
      </x:c>
      <x:c r="E1891" s="14" t="n">
        <x:v>10</x:v>
      </x:c>
      <x:c r="F1891" s="2" t="str">
        <x:v>Deburr &amp; inspect</x:v>
      </x:c>
      <x:c r="G1891" s="9" t="str">
        <x:v>DB-01</x:v>
      </x:c>
      <x:c r="H1891" s="15" t="n">
        <x:v>181</x:v>
      </x:c>
      <x:c r="I1891" s="9" t="str">
        <x:v>P06</x:v>
      </x:c>
      <x:c r="J1891" s="11" t="n">
        <x:v>46307.57430555556</x:v>
      </x:c>
      <x:c r="K1891" s="15" t="n">
        <x:v>4</x:v>
      </x:c>
      <x:c r="L1891" s="15" t="n">
        <x:v>7</x:v>
      </x:c>
      <x:c r="M1891" s="13" t="n">
        <x:f>J1891+(K1891+L1891)/1440</x:f>
        <x:v>46307.58194444445</x:v>
      </x:c>
      <x:c r="N1891" s="13" t="n">
        <x:f>VLOOKUP(C1891,'MES orders'!$A$8:$H$127,5,FALSE)</x:f>
        <x:v>46307.666666666664</x:v>
      </x:c>
      <x:c r="O1891" s="16" t="n">
        <x:f>MAX(0,(M1891-N1891)*24)</x:f>
        <x:v>0</x:v>
      </x:c>
      <x:c r="P1891" s="9" t="str">
        <x:v>No</x:v>
      </x:c>
      <x:c r="Q1891" s="15" t="n">
        <x:v>11</x:v>
      </x:c>
      <x:c r="R1891" s="13" t="n">
        <x:f>J1891+Q1891/1440</x:f>
        <x:v>46307.58194444445</x:v>
      </x:c>
      <x:c r="S1891" s="2" t="str">
        <x:f>VLOOKUP(C1891,'MES orders'!$A$8:$H$127,6,FALSE)</x:f>
        <x:v>Normal</x:v>
      </x:c>
      <x:c r="T1891" s="9" t="str"/>
    </x:row>
    <x:row r="1892" ht="22" customHeight="1">
      <x:c r="A1892" s="2" t="str">
        <x:v>L00497-020</x:v>
      </x:c>
      <x:c r="B1892" s="2" t="str">
        <x:v>L00497</x:v>
      </x:c>
      <x:c r="C1892" s="2" t="str">
        <x:v>SO-26100</x:v>
      </x:c>
      <x:c r="D1892" s="2" t="str">
        <x:v>R-S-SS</x:v>
      </x:c>
      <x:c r="E1892" s="14" t="n">
        <x:v>10</x:v>
      </x:c>
      <x:c r="F1892" s="2" t="str">
        <x:v>Deburr &amp; inspect</x:v>
      </x:c>
      <x:c r="G1892" s="9" t="str">
        <x:v>DB-02</x:v>
      </x:c>
      <x:c r="H1892" s="15" t="n">
        <x:v>122</x:v>
      </x:c>
      <x:c r="I1892" s="9" t="str">
        <x:v>P01</x:v>
      </x:c>
      <x:c r="J1892" s="11" t="n">
        <x:v>46307.575694444444</x:v>
      </x:c>
      <x:c r="K1892" s="15" t="n">
        <x:v>4</x:v>
      </x:c>
      <x:c r="L1892" s="15" t="n">
        <x:v>7</x:v>
      </x:c>
      <x:c r="M1892" s="13" t="n">
        <x:f>J1892+(K1892+L1892)/1440</x:f>
        <x:v>46307.583333333336</x:v>
      </x:c>
      <x:c r="N1892" s="13" t="n">
        <x:f>VLOOKUP(C1892,'MES orders'!$A$8:$H$127,5,FALSE)</x:f>
        <x:v>46307.666666666664</x:v>
      </x:c>
      <x:c r="O1892" s="16" t="n">
        <x:f>MAX(0,(M1892-N1892)*24)</x:f>
        <x:v>0</x:v>
      </x:c>
      <x:c r="P1892" s="9" t="str">
        <x:v>No</x:v>
      </x:c>
      <x:c r="Q1892" s="15" t="n">
        <x:v>11</x:v>
      </x:c>
      <x:c r="R1892" s="13" t="n">
        <x:f>J1892+Q1892/1440</x:f>
        <x:v>46307.583333333336</x:v>
      </x:c>
      <x:c r="S1892" s="2" t="str">
        <x:f>VLOOKUP(C1892,'MES orders'!$A$8:$H$127,6,FALSE)</x:f>
        <x:v>Normal</x:v>
      </x:c>
      <x:c r="T1892" s="9" t="str"/>
    </x:row>
    <x:row r="1893" ht="22" customHeight="1">
      <x:c r="A1893" s="2" t="str">
        <x:v>L00260-070</x:v>
      </x:c>
      <x:c r="B1893" s="2" t="str">
        <x:v>L00260</x:v>
      </x:c>
      <x:c r="C1893" s="2" t="str">
        <x:v>SO-26052</x:v>
      </x:c>
      <x:c r="D1893" s="2" t="str">
        <x:v>S-S-SS</x:v>
      </x:c>
      <x:c r="E1893" s="14" t="n">
        <x:v>25</x:v>
      </x:c>
      <x:c r="F1893" s="2" t="str">
        <x:v>Final assembly</x:v>
      </x:c>
      <x:c r="G1893" s="9" t="str">
        <x:v>AS-01</x:v>
      </x:c>
      <x:c r="H1893" s="15" t="n">
        <x:v>152</x:v>
      </x:c>
      <x:c r="I1893" s="9" t="str">
        <x:v>P17</x:v>
      </x:c>
      <x:c r="J1893" s="11" t="n">
        <x:v>46307.583333333336</x:v>
      </x:c>
      <x:c r="K1893" s="15" t="n">
        <x:v>5</x:v>
      </x:c>
      <x:c r="L1893" s="15" t="n">
        <x:v>20</x:v>
      </x:c>
      <x:c r="M1893" s="13" t="n">
        <x:f>J1893+(K1893+L1893)/1440</x:f>
        <x:v>46307.600694444445</x:v>
      </x:c>
      <x:c r="N1893" s="13" t="n">
        <x:f>VLOOKUP(C1893,'MES orders'!$A$8:$H$127,5,FALSE)</x:f>
        <x:v>46307.666666666664</x:v>
      </x:c>
      <x:c r="O1893" s="16" t="n">
        <x:f>MAX(0,(M1893-N1893)*24)</x:f>
        <x:v>0</x:v>
      </x:c>
      <x:c r="P1893" s="9" t="str">
        <x:v>No</x:v>
      </x:c>
      <x:c r="Q1893" s="15" t="n">
        <x:v>25</x:v>
      </x:c>
      <x:c r="R1893" s="13" t="n">
        <x:f>J1893+Q1893/1440</x:f>
        <x:v>46307.600694444445</x:v>
      </x:c>
      <x:c r="S1893" s="2" t="str">
        <x:f>VLOOKUP(C1893,'MES orders'!$A$8:$H$127,6,FALSE)</x:f>
        <x:v>Normal</x:v>
      </x:c>
      <x:c r="T1893" s="9" t="str"/>
    </x:row>
    <x:row r="1894" ht="22" customHeight="1">
      <x:c r="A1894" s="2" t="str">
        <x:v>L00376-040</x:v>
      </x:c>
      <x:c r="B1894" s="2" t="str">
        <x:v>L00376</x:v>
      </x:c>
      <x:c r="C1894" s="2" t="str">
        <x:v>SO-26076</x:v>
      </x:c>
      <x:c r="D1894" s="2" t="str">
        <x:v>D-S-SS</x:v>
      </x:c>
      <x:c r="E1894" s="14" t="n">
        <x:v>10</x:v>
      </x:c>
      <x:c r="F1894" s="2" t="str">
        <x:v>Mechanical assembly</x:v>
      </x:c>
      <x:c r="G1894" s="9" t="str">
        <x:v>AS-03</x:v>
      </x:c>
      <x:c r="H1894" s="15" t="n">
        <x:v>99</x:v>
      </x:c>
      <x:c r="I1894" s="9" t="str">
        <x:v>P16</x:v>
      </x:c>
      <x:c r="J1894" s="11" t="n">
        <x:v>46307.583333333336</x:v>
      </x:c>
      <x:c r="K1894" s="15" t="n">
        <x:v>8</x:v>
      </x:c>
      <x:c r="L1894" s="15" t="n">
        <x:v>18</x:v>
      </x:c>
      <x:c r="M1894" s="13" t="n">
        <x:f>J1894+(K1894+L1894)/1440</x:f>
        <x:v>46307.60138888889</x:v>
      </x:c>
      <x:c r="N1894" s="13" t="n">
        <x:f>VLOOKUP(C1894,'MES orders'!$A$8:$H$127,5,FALSE)</x:f>
        <x:v>46307.666666666664</x:v>
      </x:c>
      <x:c r="O1894" s="16" t="n">
        <x:f>MAX(0,(M1894-N1894)*24)</x:f>
        <x:v>0</x:v>
      </x:c>
      <x:c r="P1894" s="9" t="str">
        <x:v>No</x:v>
      </x:c>
      <x:c r="Q1894" s="15" t="n">
        <x:v>26</x:v>
      </x:c>
      <x:c r="R1894" s="13" t="n">
        <x:f>J1894+Q1894/1440</x:f>
        <x:v>46307.60138888889</x:v>
      </x:c>
      <x:c r="S1894" s="2" t="str">
        <x:f>VLOOKUP(C1894,'MES orders'!$A$8:$H$127,6,FALSE)</x:f>
        <x:v>Normal</x:v>
      </x:c>
      <x:c r="T1894" s="9" t="str"/>
    </x:row>
    <x:row r="1895" ht="22" customHeight="1">
      <x:c r="A1895" s="2" t="str">
        <x:v>L00296-060</x:v>
      </x:c>
      <x:c r="B1895" s="2" t="str">
        <x:v>L00296</x:v>
      </x:c>
      <x:c r="C1895" s="2" t="str">
        <x:v>SO-26060</x:v>
      </x:c>
      <x:c r="D1895" s="2" t="str">
        <x:v>S-L-SS</x:v>
      </x:c>
      <x:c r="E1895" s="14" t="n">
        <x:v>5</x:v>
      </x:c>
      <x:c r="F1895" s="2" t="str">
        <x:v>Sensor calibration</x:v>
      </x:c>
      <x:c r="G1895" s="9" t="str">
        <x:v>CAL-01</x:v>
      </x:c>
      <x:c r="H1895" s="15" t="n">
        <x:v>96</x:v>
      </x:c>
      <x:c r="I1895" s="9" t="str">
        <x:v>P21</x:v>
      </x:c>
      <x:c r="J1895" s="11" t="n">
        <x:v>46307.583333333336</x:v>
      </x:c>
      <x:c r="K1895" s="15" t="n">
        <x:v>10</x:v>
      </x:c>
      <x:c r="L1895" s="15" t="n">
        <x:v>9</x:v>
      </x:c>
      <x:c r="M1895" s="13" t="n">
        <x:f>J1895+(K1895+L1895)/1440</x:f>
        <x:v>46307.59652777778</x:v>
      </x:c>
      <x:c r="N1895" s="13" t="n">
        <x:f>VLOOKUP(C1895,'MES orders'!$A$8:$H$127,5,FALSE)</x:f>
        <x:v>46307.666666666664</x:v>
      </x:c>
      <x:c r="O1895" s="16" t="n">
        <x:f>MAX(0,(M1895-N1895)*24)</x:f>
        <x:v>0</x:v>
      </x:c>
      <x:c r="P1895" s="9" t="str">
        <x:v>No</x:v>
      </x:c>
      <x:c r="Q1895" s="15" t="n">
        <x:v>19</x:v>
      </x:c>
      <x:c r="R1895" s="13" t="n">
        <x:f>J1895+Q1895/1440</x:f>
        <x:v>46307.59652777778</x:v>
      </x:c>
      <x:c r="S1895" s="2" t="str">
        <x:f>VLOOKUP(C1895,'MES orders'!$A$8:$H$127,6,FALSE)</x:f>
        <x:v>Normal</x:v>
      </x:c>
      <x:c r="T1895" s="9" t="str"/>
    </x:row>
    <x:row r="1896" ht="22" customHeight="1">
      <x:c r="A1896" s="2" t="str">
        <x:v>L00500-010</x:v>
      </x:c>
      <x:c r="B1896" s="2" t="str">
        <x:v>L00500</x:v>
      </x:c>
      <x:c r="C1896" s="2" t="str">
        <x:v>SO-26100</x:v>
      </x:c>
      <x:c r="D1896" s="2" t="str">
        <x:v>R-S-SS</x:v>
      </x:c>
      <x:c r="E1896" s="14" t="n">
        <x:v>10</x:v>
      </x:c>
      <x:c r="F1896" s="2" t="str">
        <x:v>CNC machining</x:v>
      </x:c>
      <x:c r="G1896" s="9" t="str">
        <x:v>CNC-05</x:v>
      </x:c>
      <x:c r="H1896" s="15" t="n">
        <x:v>52</x:v>
      </x:c>
      <x:c r="I1896" s="9" t="str">
        <x:v>P15</x:v>
      </x:c>
      <x:c r="J1896" s="11" t="n">
        <x:v>46307.583333333336</x:v>
      </x:c>
      <x:c r="K1896" s="15" t="n">
        <x:v>18</x:v>
      </x:c>
      <x:c r="L1896" s="15" t="n">
        <x:v>30</x:v>
      </x:c>
      <x:c r="M1896" s="13" t="n">
        <x:f>J1896+(K1896+L1896)/1440</x:f>
        <x:v>46307.61666666667</x:v>
      </x:c>
      <x:c r="N1896" s="13" t="n">
        <x:f>VLOOKUP(C1896,'MES orders'!$A$8:$H$127,5,FALSE)</x:f>
        <x:v>46307.666666666664</x:v>
      </x:c>
      <x:c r="O1896" s="16" t="n">
        <x:f>MAX(0,(M1896-N1896)*24)</x:f>
        <x:v>0</x:v>
      </x:c>
      <x:c r="P1896" s="9" t="str">
        <x:v>No</x:v>
      </x:c>
      <x:c r="Q1896" s="15" t="n">
        <x:v>18</x:v>
      </x:c>
      <x:c r="R1896" s="13" t="n">
        <x:f>J1896+Q1896/1440</x:f>
        <x:v>46307.59583333333</x:v>
      </x:c>
      <x:c r="S1896" s="2" t="str">
        <x:f>VLOOKUP(C1896,'MES orders'!$A$8:$H$127,6,FALSE)</x:f>
        <x:v>Normal</x:v>
      </x:c>
      <x:c r="T1896" s="9" t="str"/>
    </x:row>
    <x:row r="1897" ht="22" customHeight="1">
      <x:c r="A1897" s="2" t="str">
        <x:v>L00338-050</x:v>
      </x:c>
      <x:c r="B1897" s="2" t="str">
        <x:v>L00338</x:v>
      </x:c>
      <x:c r="C1897" s="2" t="str">
        <x:v>SO-26068</x:v>
      </x:c>
      <x:c r="D1897" s="2" t="str">
        <x:v>D-C-SS</x:v>
      </x:c>
      <x:c r="E1897" s="14" t="n">
        <x:v>15</x:v>
      </x:c>
      <x:c r="F1897" s="2" t="str">
        <x:v>Final leak / function test</x:v>
      </x:c>
      <x:c r="G1897" s="9" t="str">
        <x:v>QA-01</x:v>
      </x:c>
      <x:c r="H1897" s="15" t="n">
        <x:v>70</x:v>
      </x:c>
      <x:c r="I1897" s="9" t="str">
        <x:v>P24</x:v>
      </x:c>
      <x:c r="J1897" s="11" t="n">
        <x:v>46307.583333333336</x:v>
      </x:c>
      <x:c r="K1897" s="15" t="n">
        <x:v>10</x:v>
      </x:c>
      <x:c r="L1897" s="15" t="n">
        <x:v>11</x:v>
      </x:c>
      <x:c r="M1897" s="13" t="n">
        <x:f>J1897+(K1897+L1897)/1440</x:f>
        <x:v>46307.597916666666</x:v>
      </x:c>
      <x:c r="N1897" s="13" t="n">
        <x:f>VLOOKUP(C1897,'MES orders'!$A$8:$H$127,5,FALSE)</x:f>
        <x:v>46307.666666666664</x:v>
      </x:c>
      <x:c r="O1897" s="16" t="n">
        <x:f>MAX(0,(M1897-N1897)*24)</x:f>
        <x:v>0</x:v>
      </x:c>
      <x:c r="P1897" s="9" t="str">
        <x:v>No</x:v>
      </x:c>
      <x:c r="Q1897" s="15" t="n">
        <x:v>21</x:v>
      </x:c>
      <x:c r="R1897" s="13" t="n">
        <x:f>J1897+Q1897/1440</x:f>
        <x:v>46307.597916666666</x:v>
      </x:c>
      <x:c r="S1897" s="2" t="str">
        <x:f>VLOOKUP(C1897,'MES orders'!$A$8:$H$127,6,FALSE)</x:f>
        <x:v>Normal</x:v>
      </x:c>
      <x:c r="T1897" s="9" t="str"/>
    </x:row>
    <x:row r="1898" ht="22" customHeight="1">
      <x:c r="A1898" s="2" t="str">
        <x:v>L00259-080</x:v>
      </x:c>
      <x:c r="B1898" s="2" t="str">
        <x:v>L00259</x:v>
      </x:c>
      <x:c r="C1898" s="2" t="str">
        <x:v>SO-26052</x:v>
      </x:c>
      <x:c r="D1898" s="2" t="str">
        <x:v>S-S-SS</x:v>
      </x:c>
      <x:c r="E1898" s="14" t="n">
        <x:v>25</x:v>
      </x:c>
      <x:c r="F1898" s="2" t="str">
        <x:v>Final leak / function test</x:v>
      </x:c>
      <x:c r="G1898" s="9" t="str">
        <x:v>QA-02</x:v>
      </x:c>
      <x:c r="H1898" s="15" t="n">
        <x:v>134</x:v>
      </x:c>
      <x:c r="I1898" s="9" t="str">
        <x:v>P23</x:v>
      </x:c>
      <x:c r="J1898" s="11" t="n">
        <x:v>46307.583333333336</x:v>
      </x:c>
      <x:c r="K1898" s="15" t="n">
        <x:v>10</x:v>
      </x:c>
      <x:c r="L1898" s="15" t="n">
        <x:v>22</x:v>
      </x:c>
      <x:c r="M1898" s="13" t="n">
        <x:f>J1898+(K1898+L1898)/1440</x:f>
        <x:v>46307.60555555556</x:v>
      </x:c>
      <x:c r="N1898" s="13" t="n">
        <x:f>VLOOKUP(C1898,'MES orders'!$A$8:$H$127,5,FALSE)</x:f>
        <x:v>46307.666666666664</x:v>
      </x:c>
      <x:c r="O1898" s="16" t="n">
        <x:f>MAX(0,(M1898-N1898)*24)</x:f>
        <x:v>0</x:v>
      </x:c>
      <x:c r="P1898" s="9" t="str">
        <x:v>No</x:v>
      </x:c>
      <x:c r="Q1898" s="15" t="n">
        <x:v>32</x:v>
      </x:c>
      <x:c r="R1898" s="13" t="n">
        <x:f>J1898+Q1898/1440</x:f>
        <x:v>46307.60555555556</x:v>
      </x:c>
      <x:c r="S1898" s="2" t="str">
        <x:f>VLOOKUP(C1898,'MES orders'!$A$8:$H$127,6,FALSE)</x:f>
        <x:v>Normal</x:v>
      </x:c>
      <x:c r="T1898" s="9" t="str"/>
    </x:row>
    <x:row r="1899" ht="22" customHeight="1">
      <x:c r="A1899" s="2" t="str">
        <x:v>L00418-050</x:v>
      </x:c>
      <x:c r="B1899" s="2" t="str">
        <x:v>L00418</x:v>
      </x:c>
      <x:c r="C1899" s="2" t="str">
        <x:v>SO-26084</x:v>
      </x:c>
      <x:c r="D1899" s="2" t="str">
        <x:v>D-L-SS</x:v>
      </x:c>
      <x:c r="E1899" s="14" t="n">
        <x:v>5</x:v>
      </x:c>
      <x:c r="F1899" s="2" t="str">
        <x:v>Final leak / function test</x:v>
      </x:c>
      <x:c r="G1899" s="9" t="str">
        <x:v>QA-03</x:v>
      </x:c>
      <x:c r="H1899" s="15" t="n">
        <x:v>81</x:v>
      </x:c>
      <x:c r="I1899" s="9" t="str">
        <x:v>P22</x:v>
      </x:c>
      <x:c r="J1899" s="11" t="n">
        <x:v>46307.583333333336</x:v>
      </x:c>
      <x:c r="K1899" s="15" t="n">
        <x:v>10</x:v>
      </x:c>
      <x:c r="L1899" s="15" t="n">
        <x:v>6</x:v>
      </x:c>
      <x:c r="M1899" s="13" t="n">
        <x:f>J1899+(K1899+L1899)/1440</x:f>
        <x:v>46307.59444444445</x:v>
      </x:c>
      <x:c r="N1899" s="13" t="n">
        <x:f>VLOOKUP(C1899,'MES orders'!$A$8:$H$127,5,FALSE)</x:f>
        <x:v>46307.666666666664</x:v>
      </x:c>
      <x:c r="O1899" s="16" t="n">
        <x:f>MAX(0,(M1899-N1899)*24)</x:f>
        <x:v>0</x:v>
      </x:c>
      <x:c r="P1899" s="9" t="str">
        <x:v>No</x:v>
      </x:c>
      <x:c r="Q1899" s="15" t="n">
        <x:v>16</x:v>
      </x:c>
      <x:c r="R1899" s="13" t="n">
        <x:f>J1899+Q1899/1440</x:f>
        <x:v>46307.59444444445</x:v>
      </x:c>
      <x:c r="S1899" s="2" t="str">
        <x:f>VLOOKUP(C1899,'MES orders'!$A$8:$H$127,6,FALSE)</x:f>
        <x:v>Normal</x:v>
      </x:c>
      <x:c r="T1899" s="9" t="str"/>
    </x:row>
    <x:row r="1900" ht="22" customHeight="1">
      <x:c r="A1900" s="2" t="str">
        <x:v>L00379-030</x:v>
      </x:c>
      <x:c r="B1900" s="2" t="str">
        <x:v>L00379</x:v>
      </x:c>
      <x:c r="C1900" s="2" t="str">
        <x:v>SO-26076</x:v>
      </x:c>
      <x:c r="D1900" s="2" t="str">
        <x:v>D-S-SS</x:v>
      </x:c>
      <x:c r="E1900" s="14" t="n">
        <x:v>10</x:v>
      </x:c>
      <x:c r="F1900" s="2" t="str">
        <x:v>Wash &amp; dry</x:v>
      </x:c>
      <x:c r="G1900" s="9" t="str">
        <x:v>WS-01</x:v>
      </x:c>
      <x:c r="H1900" s="15" t="n">
        <x:v>178</x:v>
      </x:c>
      <x:c r="I1900" s="9" t="str">
        <x:v>P18</x:v>
      </x:c>
      <x:c r="J1900" s="11" t="n">
        <x:v>46307.583333333336</x:v>
      </x:c>
      <x:c r="K1900" s="15" t="n">
        <x:v>12</x:v>
      </x:c>
      <x:c r="L1900" s="15" t="n">
        <x:v>4</x:v>
      </x:c>
      <x:c r="M1900" s="13" t="n">
        <x:f>J1900+(K1900+L1900)/1440</x:f>
        <x:v>46307.59444444445</x:v>
      </x:c>
      <x:c r="N1900" s="13" t="n">
        <x:f>VLOOKUP(C1900,'MES orders'!$A$8:$H$127,5,FALSE)</x:f>
        <x:v>46307.666666666664</x:v>
      </x:c>
      <x:c r="O1900" s="16" t="n">
        <x:f>MAX(0,(M1900-N1900)*24)</x:f>
        <x:v>0</x:v>
      </x:c>
      <x:c r="P1900" s="9" t="str">
        <x:v>No</x:v>
      </x:c>
      <x:c r="Q1900" s="15" t="n">
        <x:v>16</x:v>
      </x:c>
      <x:c r="R1900" s="13" t="n">
        <x:f>J1900+Q1900/1440</x:f>
        <x:v>46307.59444444445</x:v>
      </x:c>
      <x:c r="S1900" s="2" t="str">
        <x:f>VLOOKUP(C1900,'MES orders'!$A$8:$H$127,6,FALSE)</x:f>
        <x:v>Normal</x:v>
      </x:c>
      <x:c r="T1900" s="9" t="str"/>
    </x:row>
    <x:row r="1901" ht="22" customHeight="1">
      <x:c r="A1901" s="2" t="str">
        <x:v>L00497-030</x:v>
      </x:c>
      <x:c r="B1901" s="2" t="str">
        <x:v>L00497</x:v>
      </x:c>
      <x:c r="C1901" s="2" t="str">
        <x:v>SO-26100</x:v>
      </x:c>
      <x:c r="D1901" s="2" t="str">
        <x:v>R-S-SS</x:v>
      </x:c>
      <x:c r="E1901" s="14" t="n">
        <x:v>10</x:v>
      </x:c>
      <x:c r="F1901" s="2" t="str">
        <x:v>Wash &amp; dry</x:v>
      </x:c>
      <x:c r="G1901" s="9" t="str">
        <x:v>WS-02</x:v>
      </x:c>
      <x:c r="H1901" s="15" t="n">
        <x:v>124</x:v>
      </x:c>
      <x:c r="I1901" s="9" t="str">
        <x:v>P13</x:v>
      </x:c>
      <x:c r="J1901" s="11" t="n">
        <x:v>46307.583333333336</x:v>
      </x:c>
      <x:c r="K1901" s="15" t="n">
        <x:v>12</x:v>
      </x:c>
      <x:c r="L1901" s="15" t="n">
        <x:v>4</x:v>
      </x:c>
      <x:c r="M1901" s="13" t="n">
        <x:f>J1901+(K1901+L1901)/1440</x:f>
        <x:v>46307.59444444445</x:v>
      </x:c>
      <x:c r="N1901" s="13" t="n">
        <x:f>VLOOKUP(C1901,'MES orders'!$A$8:$H$127,5,FALSE)</x:f>
        <x:v>46307.666666666664</x:v>
      </x:c>
      <x:c r="O1901" s="16" t="n">
        <x:f>MAX(0,(M1901-N1901)*24)</x:f>
        <x:v>0</x:v>
      </x:c>
      <x:c r="P1901" s="9" t="str">
        <x:v>No</x:v>
      </x:c>
      <x:c r="Q1901" s="15" t="n">
        <x:v>16</x:v>
      </x:c>
      <x:c r="R1901" s="13" t="n">
        <x:f>J1901+Q1901/1440</x:f>
        <x:v>46307.59444444445</x:v>
      </x:c>
      <x:c r="S1901" s="2" t="str">
        <x:f>VLOOKUP(C1901,'MES orders'!$A$8:$H$127,6,FALSE)</x:f>
        <x:v>Normal</x:v>
      </x:c>
      <x:c r="T1901" s="9" t="str"/>
    </x:row>
    <x:row r="1902" ht="22" customHeight="1">
      <x:c r="A1902" s="2" t="str">
        <x:v>L00498-020</x:v>
      </x:c>
      <x:c r="B1902" s="2" t="str">
        <x:v>L00498</x:v>
      </x:c>
      <x:c r="C1902" s="2" t="str">
        <x:v>SO-26100</x:v>
      </x:c>
      <x:c r="D1902" s="2" t="str">
        <x:v>R-S-SS</x:v>
      </x:c>
      <x:c r="E1902" s="14" t="n">
        <x:v>10</x:v>
      </x:c>
      <x:c r="F1902" s="2" t="str">
        <x:v>Deburr &amp; inspect</x:v>
      </x:c>
      <x:c r="G1902" s="9" t="str">
        <x:v>DB-01</x:v>
      </x:c>
      <x:c r="H1902" s="15" t="n">
        <x:v>182</x:v>
      </x:c>
      <x:c r="I1902" s="9" t="str">
        <x:v>P14</x:v>
      </x:c>
      <x:c r="J1902" s="11" t="n">
        <x:v>46307.58819444444</x:v>
      </x:c>
      <x:c r="K1902" s="15" t="n">
        <x:v>4</x:v>
      </x:c>
      <x:c r="L1902" s="15" t="n">
        <x:v>7</x:v>
      </x:c>
      <x:c r="M1902" s="13" t="n">
        <x:f>J1902+(K1902+L1902)/1440</x:f>
        <x:v>46307.59583333333</x:v>
      </x:c>
      <x:c r="N1902" s="13" t="n">
        <x:f>VLOOKUP(C1902,'MES orders'!$A$8:$H$127,5,FALSE)</x:f>
        <x:v>46307.666666666664</x:v>
      </x:c>
      <x:c r="O1902" s="16" t="n">
        <x:f>MAX(0,(M1902-N1902)*24)</x:f>
        <x:v>0</x:v>
      </x:c>
      <x:c r="P1902" s="9" t="str">
        <x:v>No</x:v>
      </x:c>
      <x:c r="Q1902" s="15" t="n">
        <x:v>11</x:v>
      </x:c>
      <x:c r="R1902" s="13" t="n">
        <x:f>J1902+Q1902/1440</x:f>
        <x:v>46307.59583333333</x:v>
      </x:c>
      <x:c r="S1902" s="2" t="str">
        <x:f>VLOOKUP(C1902,'MES orders'!$A$8:$H$127,6,FALSE)</x:f>
        <x:v>Normal</x:v>
      </x:c>
      <x:c r="T1902" s="9" t="str"/>
    </x:row>
    <x:row r="1903" ht="22" customHeight="1">
      <x:c r="A1903" s="2" t="str">
        <x:v>L00497-040</x:v>
      </x:c>
      <x:c r="B1903" s="2" t="str">
        <x:v>L00497</x:v>
      </x:c>
      <x:c r="C1903" s="2" t="str">
        <x:v>SO-26100</x:v>
      </x:c>
      <x:c r="D1903" s="2" t="str">
        <x:v>R-S-SS</x:v>
      </x:c>
      <x:c r="E1903" s="14" t="n">
        <x:v>10</x:v>
      </x:c>
      <x:c r="F1903" s="2" t="str">
        <x:v>Mechanical assembly</x:v>
      </x:c>
      <x:c r="G1903" s="9" t="str">
        <x:v>AS-04</x:v>
      </x:c>
      <x:c r="H1903" s="15" t="n">
        <x:v>67</x:v>
      </x:c>
      <x:c r="I1903" s="9" t="str">
        <x:v>P13</x:v>
      </x:c>
      <x:c r="J1903" s="11" t="n">
        <x:v>46307.59444444445</x:v>
      </x:c>
      <x:c r="K1903" s="15" t="n">
        <x:v>8</x:v>
      </x:c>
      <x:c r="L1903" s="15" t="n">
        <x:v>18</x:v>
      </x:c>
      <x:c r="M1903" s="13" t="n">
        <x:f>J1903+(K1903+L1903)/1440</x:f>
        <x:v>46307.6125</x:v>
      </x:c>
      <x:c r="N1903" s="13" t="n">
        <x:f>VLOOKUP(C1903,'MES orders'!$A$8:$H$127,5,FALSE)</x:f>
        <x:v>46307.666666666664</x:v>
      </x:c>
      <x:c r="O1903" s="16" t="n">
        <x:f>MAX(0,(M1903-N1903)*24)</x:f>
        <x:v>0</x:v>
      </x:c>
      <x:c r="P1903" s="9" t="str">
        <x:v>No</x:v>
      </x:c>
      <x:c r="Q1903" s="15" t="n">
        <x:v>26</x:v>
      </x:c>
      <x:c r="R1903" s="13" t="n">
        <x:f>J1903+Q1903/1440</x:f>
        <x:v>46307.6125</x:v>
      </x:c>
      <x:c r="S1903" s="2" t="str">
        <x:f>VLOOKUP(C1903,'MES orders'!$A$8:$H$127,6,FALSE)</x:f>
        <x:v>Normal</x:v>
      </x:c>
      <x:c r="T1903" s="9" t="str"/>
    </x:row>
    <x:row r="1904" ht="22" customHeight="1">
      <x:c r="A1904" s="2" t="str">
        <x:v>L00536-010</x:v>
      </x:c>
      <x:c r="B1904" s="2" t="str">
        <x:v>L00536</x:v>
      </x:c>
      <x:c r="C1904" s="2" t="str">
        <x:v>SO-26108</x:v>
      </x:c>
      <x:c r="D1904" s="2" t="str">
        <x:v>R-L-SS</x:v>
      </x:c>
      <x:c r="E1904" s="14" t="n">
        <x:v>20</x:v>
      </x:c>
      <x:c r="F1904" s="2" t="str">
        <x:v>CNC machining</x:v>
      </x:c>
      <x:c r="G1904" s="9" t="str">
        <x:v>CNC-03</x:v>
      </x:c>
      <x:c r="H1904" s="15" t="n">
        <x:v>61</x:v>
      </x:c>
      <x:c r="I1904" s="9" t="str">
        <x:v>P15</x:v>
      </x:c>
      <x:c r="J1904" s="11" t="n">
        <x:v>46307.59583333333</x:v>
      </x:c>
      <x:c r="K1904" s="15" t="n">
        <x:v>18</x:v>
      </x:c>
      <x:c r="L1904" s="15" t="n">
        <x:v>81</x:v>
      </x:c>
      <x:c r="M1904" s="13" t="n">
        <x:f>J1904+(K1904+L1904)/1440</x:f>
        <x:v>46307.66458333333</x:v>
      </x:c>
      <x:c r="N1904" s="13" t="n">
        <x:f>VLOOKUP(C1904,'MES orders'!$A$8:$H$127,5,FALSE)</x:f>
        <x:v>46307.666666666664</x:v>
      </x:c>
      <x:c r="O1904" s="16" t="n">
        <x:f>MAX(0,(M1904-N1904)*24)</x:f>
        <x:v>0</x:v>
      </x:c>
      <x:c r="P1904" s="9" t="str">
        <x:v>No</x:v>
      </x:c>
      <x:c r="Q1904" s="15" t="n">
        <x:v>18</x:v>
      </x:c>
      <x:c r="R1904" s="13" t="n">
        <x:f>J1904+Q1904/1440</x:f>
        <x:v>46307.60833333333</x:v>
      </x:c>
      <x:c r="S1904" s="2" t="str">
        <x:f>VLOOKUP(C1904,'MES orders'!$A$8:$H$127,6,FALSE)</x:f>
        <x:v>Normal</x:v>
      </x:c>
      <x:c r="T1904" s="9" t="str"/>
    </x:row>
    <x:row r="1905" ht="22" customHeight="1">
      <x:c r="A1905" s="2" t="str">
        <x:v>L00296-070</x:v>
      </x:c>
      <x:c r="B1905" s="2" t="str">
        <x:v>L00296</x:v>
      </x:c>
      <x:c r="C1905" s="2" t="str">
        <x:v>SO-26060</x:v>
      </x:c>
      <x:c r="D1905" s="2" t="str">
        <x:v>S-L-SS</x:v>
      </x:c>
      <x:c r="E1905" s="14" t="n">
        <x:v>5</x:v>
      </x:c>
      <x:c r="F1905" s="2" t="str">
        <x:v>Final assembly</x:v>
      </x:c>
      <x:c r="G1905" s="9" t="str">
        <x:v>AS-02</x:v>
      </x:c>
      <x:c r="H1905" s="15" t="n">
        <x:v>122</x:v>
      </x:c>
      <x:c r="I1905" s="9" t="str">
        <x:v>P18</x:v>
      </x:c>
      <x:c r="J1905" s="11" t="n">
        <x:v>46307.59652777778</x:v>
      </x:c>
      <x:c r="K1905" s="15" t="n">
        <x:v>5</x:v>
      </x:c>
      <x:c r="L1905" s="15" t="n">
        <x:v>5</x:v>
      </x:c>
      <x:c r="M1905" s="13" t="n">
        <x:f>J1905+(K1905+L1905)/1440</x:f>
        <x:v>46307.603472222225</x:v>
      </x:c>
      <x:c r="N1905" s="13" t="n">
        <x:f>VLOOKUP(C1905,'MES orders'!$A$8:$H$127,5,FALSE)</x:f>
        <x:v>46307.666666666664</x:v>
      </x:c>
      <x:c r="O1905" s="16" t="n">
        <x:f>MAX(0,(M1905-N1905)*24)</x:f>
        <x:v>0</x:v>
      </x:c>
      <x:c r="P1905" s="9" t="str">
        <x:v>No</x:v>
      </x:c>
      <x:c r="Q1905" s="15" t="n">
        <x:v>10</x:v>
      </x:c>
      <x:c r="R1905" s="13" t="n">
        <x:f>J1905+Q1905/1440</x:f>
        <x:v>46307.603472222225</x:v>
      </x:c>
      <x:c r="S1905" s="2" t="str">
        <x:f>VLOOKUP(C1905,'MES orders'!$A$8:$H$127,6,FALSE)</x:f>
        <x:v>Normal</x:v>
      </x:c>
      <x:c r="T1905" s="9" t="str"/>
    </x:row>
    <x:row r="1906" ht="22" customHeight="1">
      <x:c r="A1906" s="2" t="str">
        <x:v>L00297-060</x:v>
      </x:c>
      <x:c r="B1906" s="2" t="str">
        <x:v>L00297</x:v>
      </x:c>
      <x:c r="C1906" s="2" t="str">
        <x:v>SO-26060</x:v>
      </x:c>
      <x:c r="D1906" s="2" t="str">
        <x:v>S-L-SS</x:v>
      </x:c>
      <x:c r="E1906" s="14" t="n">
        <x:v>5</x:v>
      </x:c>
      <x:c r="F1906" s="2" t="str">
        <x:v>Sensor calibration</x:v>
      </x:c>
      <x:c r="G1906" s="9" t="str">
        <x:v>CAL-01</x:v>
      </x:c>
      <x:c r="H1906" s="15" t="n">
        <x:v>97</x:v>
      </x:c>
      <x:c r="I1906" s="9" t="str">
        <x:v>P21</x:v>
      </x:c>
      <x:c r="J1906" s="11" t="n">
        <x:v>46307.59652777778</x:v>
      </x:c>
      <x:c r="K1906" s="15" t="n">
        <x:v>10</x:v>
      </x:c>
      <x:c r="L1906" s="15" t="n">
        <x:v>9</x:v>
      </x:c>
      <x:c r="M1906" s="13" t="n">
        <x:f>J1906+(K1906+L1906)/1440</x:f>
        <x:v>46307.60972222222</x:v>
      </x:c>
      <x:c r="N1906" s="13" t="n">
        <x:f>VLOOKUP(C1906,'MES orders'!$A$8:$H$127,5,FALSE)</x:f>
        <x:v>46307.666666666664</x:v>
      </x:c>
      <x:c r="O1906" s="16" t="n">
        <x:f>MAX(0,(M1906-N1906)*24)</x:f>
        <x:v>0</x:v>
      </x:c>
      <x:c r="P1906" s="9" t="str">
        <x:v>No</x:v>
      </x:c>
      <x:c r="Q1906" s="15" t="n">
        <x:v>19</x:v>
      </x:c>
      <x:c r="R1906" s="13" t="n">
        <x:f>J1906+Q1906/1440</x:f>
        <x:v>46307.60972222222</x:v>
      </x:c>
      <x:c r="S1906" s="2" t="str">
        <x:f>VLOOKUP(C1906,'MES orders'!$A$8:$H$127,6,FALSE)</x:f>
        <x:v>Normal</x:v>
      </x:c>
      <x:c r="T1906" s="9" t="str"/>
    </x:row>
    <x:row r="1907" ht="22" customHeight="1">
      <x:c r="A1907" s="2" t="str">
        <x:v>L00380-020</x:v>
      </x:c>
      <x:c r="B1907" s="2" t="str">
        <x:v>L00380</x:v>
      </x:c>
      <x:c r="C1907" s="2" t="str">
        <x:v>SO-26076</x:v>
      </x:c>
      <x:c r="D1907" s="2" t="str">
        <x:v>D-S-SS</x:v>
      </x:c>
      <x:c r="E1907" s="14" t="n">
        <x:v>10</x:v>
      </x:c>
      <x:c r="F1907" s="2" t="str">
        <x:v>Deburr &amp; inspect</x:v>
      </x:c>
      <x:c r="G1907" s="9" t="str">
        <x:v>DB-01</x:v>
      </x:c>
      <x:c r="H1907" s="15" t="n">
        <x:v>183</x:v>
      </x:c>
      <x:c r="I1907" s="9" t="str">
        <x:v>P17</x:v>
      </x:c>
      <x:c r="J1907" s="11" t="n">
        <x:v>46307.600694444445</x:v>
      </x:c>
      <x:c r="K1907" s="15" t="n">
        <x:v>4</x:v>
      </x:c>
      <x:c r="L1907" s="15" t="n">
        <x:v>7</x:v>
      </x:c>
      <x:c r="M1907" s="13" t="n">
        <x:f>J1907+(K1907+L1907)/1440</x:f>
        <x:v>46307.60833333334</x:v>
      </x:c>
      <x:c r="N1907" s="13" t="n">
        <x:f>VLOOKUP(C1907,'MES orders'!$A$8:$H$127,5,FALSE)</x:f>
        <x:v>46307.666666666664</x:v>
      </x:c>
      <x:c r="O1907" s="16" t="n">
        <x:f>MAX(0,(M1907-N1907)*24)</x:f>
        <x:v>0</x:v>
      </x:c>
      <x:c r="P1907" s="9" t="str">
        <x:v>No</x:v>
      </x:c>
      <x:c r="Q1907" s="15" t="n">
        <x:v>11</x:v>
      </x:c>
      <x:c r="R1907" s="13" t="n">
        <x:f>J1907+Q1907/1440</x:f>
        <x:v>46307.60833333334</x:v>
      </x:c>
      <x:c r="S1907" s="2" t="str">
        <x:f>VLOOKUP(C1907,'MES orders'!$A$8:$H$127,6,FALSE)</x:f>
        <x:v>Normal</x:v>
      </x:c>
      <x:c r="T1907" s="9" t="str"/>
    </x:row>
    <x:row r="1908" ht="22" customHeight="1">
      <x:c r="A1908" s="2" t="str">
        <x:v>L00499-020</x:v>
      </x:c>
      <x:c r="B1908" s="2" t="str">
        <x:v>L00499</x:v>
      </x:c>
      <x:c r="C1908" s="2" t="str">
        <x:v>SO-26100</x:v>
      </x:c>
      <x:c r="D1908" s="2" t="str">
        <x:v>R-S-SS</x:v>
      </x:c>
      <x:c r="E1908" s="14" t="n">
        <x:v>10</x:v>
      </x:c>
      <x:c r="F1908" s="2" t="str">
        <x:v>Deburr &amp; inspect</x:v>
      </x:c>
      <x:c r="G1908" s="9" t="str">
        <x:v>DB-02</x:v>
      </x:c>
      <x:c r="H1908" s="15" t="n">
        <x:v>123</x:v>
      </x:c>
      <x:c r="I1908" s="9" t="str">
        <x:v>P14</x:v>
      </x:c>
      <x:c r="J1908" s="11" t="n">
        <x:v>46307.600694444445</x:v>
      </x:c>
      <x:c r="K1908" s="15" t="n">
        <x:v>4</x:v>
      </x:c>
      <x:c r="L1908" s="15" t="n">
        <x:v>7</x:v>
      </x:c>
      <x:c r="M1908" s="13" t="n">
        <x:f>J1908+(K1908+L1908)/1440</x:f>
        <x:v>46307.60833333334</x:v>
      </x:c>
      <x:c r="N1908" s="13" t="n">
        <x:f>VLOOKUP(C1908,'MES orders'!$A$8:$H$127,5,FALSE)</x:f>
        <x:v>46307.666666666664</x:v>
      </x:c>
      <x:c r="O1908" s="16" t="n">
        <x:f>MAX(0,(M1908-N1908)*24)</x:f>
        <x:v>0</x:v>
      </x:c>
      <x:c r="P1908" s="9" t="str">
        <x:v>No</x:v>
      </x:c>
      <x:c r="Q1908" s="15" t="n">
        <x:v>11</x:v>
      </x:c>
      <x:c r="R1908" s="13" t="n">
        <x:f>J1908+Q1908/1440</x:f>
        <x:v>46307.60833333334</x:v>
      </x:c>
      <x:c r="S1908" s="2" t="str">
        <x:f>VLOOKUP(C1908,'MES orders'!$A$8:$H$127,6,FALSE)</x:f>
        <x:v>Normal</x:v>
      </x:c>
      <x:c r="T1908" s="9" t="str"/>
    </x:row>
    <x:row r="1909" ht="22" customHeight="1">
      <x:c r="A1909" s="2" t="str">
        <x:v>L00260-080</x:v>
      </x:c>
      <x:c r="B1909" s="2" t="str">
        <x:v>L00260</x:v>
      </x:c>
      <x:c r="C1909" s="2" t="str">
        <x:v>SO-26052</x:v>
      </x:c>
      <x:c r="D1909" s="2" t="str">
        <x:v>S-S-SS</x:v>
      </x:c>
      <x:c r="E1909" s="14" t="n">
        <x:v>25</x:v>
      </x:c>
      <x:c r="F1909" s="2" t="str">
        <x:v>Final leak / function test</x:v>
      </x:c>
      <x:c r="G1909" s="9" t="str">
        <x:v>QA-03</x:v>
      </x:c>
      <x:c r="H1909" s="15" t="n">
        <x:v>82</x:v>
      </x:c>
      <x:c r="I1909" s="9" t="str">
        <x:v>P24</x:v>
      </x:c>
      <x:c r="J1909" s="11" t="n">
        <x:v>46307.600694444445</x:v>
      </x:c>
      <x:c r="K1909" s="15" t="n">
        <x:v>10</x:v>
      </x:c>
      <x:c r="L1909" s="15" t="n">
        <x:v>22</x:v>
      </x:c>
      <x:c r="M1909" s="13" t="n">
        <x:f>J1909+(K1909+L1909)/1440</x:f>
        <x:v>46307.62291666667</x:v>
      </x:c>
      <x:c r="N1909" s="13" t="n">
        <x:f>VLOOKUP(C1909,'MES orders'!$A$8:$H$127,5,FALSE)</x:f>
        <x:v>46307.666666666664</x:v>
      </x:c>
      <x:c r="O1909" s="16" t="n">
        <x:f>MAX(0,(M1909-N1909)*24)</x:f>
        <x:v>0</x:v>
      </x:c>
      <x:c r="P1909" s="9" t="str">
        <x:v>No</x:v>
      </x:c>
      <x:c r="Q1909" s="15" t="n">
        <x:v>32</x:v>
      </x:c>
      <x:c r="R1909" s="13" t="n">
        <x:f>J1909+Q1909/1440</x:f>
        <x:v>46307.62291666667</x:v>
      </x:c>
      <x:c r="S1909" s="2" t="str">
        <x:f>VLOOKUP(C1909,'MES orders'!$A$8:$H$127,6,FALSE)</x:f>
        <x:v>Normal</x:v>
      </x:c>
      <x:c r="T1909" s="9" t="str"/>
    </x:row>
    <x:row r="1910" ht="22" customHeight="1">
      <x:c r="A1910" s="2" t="str">
        <x:v>L00377-040</x:v>
      </x:c>
      <x:c r="B1910" s="2" t="str">
        <x:v>L00377</x:v>
      </x:c>
      <x:c r="C1910" s="2" t="str">
        <x:v>SO-26076</x:v>
      </x:c>
      <x:c r="D1910" s="2" t="str">
        <x:v>D-S-SS</x:v>
      </x:c>
      <x:c r="E1910" s="14" t="n">
        <x:v>10</x:v>
      </x:c>
      <x:c r="F1910" s="2" t="str">
        <x:v>Mechanical assembly</x:v>
      </x:c>
      <x:c r="G1910" s="9" t="str">
        <x:v>AS-03</x:v>
      </x:c>
      <x:c r="H1910" s="15" t="n">
        <x:v>100</x:v>
      </x:c>
      <x:c r="I1910" s="9" t="str">
        <x:v>P16</x:v>
      </x:c>
      <x:c r="J1910" s="11" t="n">
        <x:v>46307.60138888889</x:v>
      </x:c>
      <x:c r="K1910" s="15" t="n">
        <x:v>8</x:v>
      </x:c>
      <x:c r="L1910" s="15" t="n">
        <x:v>18</x:v>
      </x:c>
      <x:c r="M1910" s="13" t="n">
        <x:f>J1910+(K1910+L1910)/1440</x:f>
        <x:v>46307.61944444445</x:v>
      </x:c>
      <x:c r="N1910" s="13" t="n">
        <x:f>VLOOKUP(C1910,'MES orders'!$A$8:$H$127,5,FALSE)</x:f>
        <x:v>46307.666666666664</x:v>
      </x:c>
      <x:c r="O1910" s="16" t="n">
        <x:f>MAX(0,(M1910-N1910)*24)</x:f>
        <x:v>0</x:v>
      </x:c>
      <x:c r="P1910" s="9" t="str">
        <x:v>No</x:v>
      </x:c>
      <x:c r="Q1910" s="15" t="n">
        <x:v>26</x:v>
      </x:c>
      <x:c r="R1910" s="13" t="n">
        <x:f>J1910+Q1910/1440</x:f>
        <x:v>46307.61944444445</x:v>
      </x:c>
      <x:c r="S1910" s="2" t="str">
        <x:f>VLOOKUP(C1910,'MES orders'!$A$8:$H$127,6,FALSE)</x:f>
        <x:v>Normal</x:v>
      </x:c>
      <x:c r="T1910" s="9" t="str"/>
    </x:row>
    <x:row r="1911" ht="22" customHeight="1">
      <x:c r="A1911" s="2" t="str">
        <x:v>L00379-040</x:v>
      </x:c>
      <x:c r="B1911" s="2" t="str">
        <x:v>L00379</x:v>
      </x:c>
      <x:c r="C1911" s="2" t="str">
        <x:v>SO-26076</x:v>
      </x:c>
      <x:c r="D1911" s="2" t="str">
        <x:v>D-S-SS</x:v>
      </x:c>
      <x:c r="E1911" s="14" t="n">
        <x:v>10</x:v>
      </x:c>
      <x:c r="F1911" s="2" t="str">
        <x:v>Mechanical assembly</x:v>
      </x:c>
      <x:c r="G1911" s="9" t="str">
        <x:v>AS-02</x:v>
      </x:c>
      <x:c r="H1911" s="15" t="n">
        <x:v>123</x:v>
      </x:c>
      <x:c r="I1911" s="9" t="str">
        <x:v>P18</x:v>
      </x:c>
      <x:c r="J1911" s="11" t="n">
        <x:v>46307.603472222225</x:v>
      </x:c>
      <x:c r="K1911" s="15" t="n">
        <x:v>8</x:v>
      </x:c>
      <x:c r="L1911" s="15" t="n">
        <x:v>18</x:v>
      </x:c>
      <x:c r="M1911" s="13" t="n">
        <x:f>J1911+(K1911+L1911)/1440</x:f>
        <x:v>46307.62152777778</x:v>
      </x:c>
      <x:c r="N1911" s="13" t="n">
        <x:f>VLOOKUP(C1911,'MES orders'!$A$8:$H$127,5,FALSE)</x:f>
        <x:v>46307.666666666664</x:v>
      </x:c>
      <x:c r="O1911" s="16" t="n">
        <x:f>MAX(0,(M1911-N1911)*24)</x:f>
        <x:v>0</x:v>
      </x:c>
      <x:c r="P1911" s="9" t="str">
        <x:v>No</x:v>
      </x:c>
      <x:c r="Q1911" s="15" t="n">
        <x:v>26</x:v>
      </x:c>
      <x:c r="R1911" s="13" t="n">
        <x:f>J1911+Q1911/1440</x:f>
        <x:v>46307.62152777778</x:v>
      </x:c>
      <x:c r="S1911" s="2" t="str">
        <x:f>VLOOKUP(C1911,'MES orders'!$A$8:$H$127,6,FALSE)</x:f>
        <x:v>Normal</x:v>
      </x:c>
      <x:c r="T1911" s="9" t="str"/>
    </x:row>
    <x:row r="1912" ht="22" customHeight="1">
      <x:c r="A1912" s="2" t="str">
        <x:v>L00296-080</x:v>
      </x:c>
      <x:c r="B1912" s="2" t="str">
        <x:v>L00296</x:v>
      </x:c>
      <x:c r="C1912" s="2" t="str">
        <x:v>SO-26060</x:v>
      </x:c>
      <x:c r="D1912" s="2" t="str">
        <x:v>S-L-SS</x:v>
      </x:c>
      <x:c r="E1912" s="14" t="n">
        <x:v>5</x:v>
      </x:c>
      <x:c r="F1912" s="2" t="str">
        <x:v>Final leak / function test</x:v>
      </x:c>
      <x:c r="G1912" s="9" t="str">
        <x:v>QA-02</x:v>
      </x:c>
      <x:c r="H1912" s="15" t="n">
        <x:v>135</x:v>
      </x:c>
      <x:c r="I1912" s="9" t="str">
        <x:v>P23</x:v>
      </x:c>
      <x:c r="J1912" s="11" t="n">
        <x:v>46307.60555555556</x:v>
      </x:c>
      <x:c r="K1912" s="15" t="n">
        <x:v>10</x:v>
      </x:c>
      <x:c r="L1912" s="15" t="n">
        <x:v>6</x:v>
      </x:c>
      <x:c r="M1912" s="13" t="n">
        <x:f>J1912+(K1912+L1912)/1440</x:f>
        <x:v>46307.61666666667</x:v>
      </x:c>
      <x:c r="N1912" s="13" t="n">
        <x:f>VLOOKUP(C1912,'MES orders'!$A$8:$H$127,5,FALSE)</x:f>
        <x:v>46307.666666666664</x:v>
      </x:c>
      <x:c r="O1912" s="16" t="n">
        <x:f>MAX(0,(M1912-N1912)*24)</x:f>
        <x:v>0</x:v>
      </x:c>
      <x:c r="P1912" s="9" t="str">
        <x:v>No</x:v>
      </x:c>
      <x:c r="Q1912" s="15" t="n">
        <x:v>16</x:v>
      </x:c>
      <x:c r="R1912" s="13" t="n">
        <x:f>J1912+Q1912/1440</x:f>
        <x:v>46307.61666666667</x:v>
      </x:c>
      <x:c r="S1912" s="2" t="str">
        <x:f>VLOOKUP(C1912,'MES orders'!$A$8:$H$127,6,FALSE)</x:f>
        <x:v>Normal</x:v>
      </x:c>
      <x:c r="T1912" s="9" t="str"/>
    </x:row>
    <x:row r="1913" ht="22" customHeight="1">
      <x:c r="A1913" s="2" t="str">
        <x:v>L00537-010</x:v>
      </x:c>
      <x:c r="B1913" s="2" t="str">
        <x:v>L00537</x:v>
      </x:c>
      <x:c r="C1913" s="2" t="str">
        <x:v>SO-26108</x:v>
      </x:c>
      <x:c r="D1913" s="2" t="str">
        <x:v>R-L-SS</x:v>
      </x:c>
      <x:c r="E1913" s="14" t="n">
        <x:v>20</x:v>
      </x:c>
      <x:c r="F1913" s="2" t="str">
        <x:v>CNC machining</x:v>
      </x:c>
      <x:c r="G1913" s="9" t="str">
        <x:v>CNC-04</x:v>
      </x:c>
      <x:c r="H1913" s="15" t="n">
        <x:v>59</x:v>
      </x:c>
      <x:c r="I1913" s="9" t="str">
        <x:v>P15</x:v>
      </x:c>
      <x:c r="J1913" s="11" t="n">
        <x:v>46307.60833333333</x:v>
      </x:c>
      <x:c r="K1913" s="15" t="n">
        <x:v>18</x:v>
      </x:c>
      <x:c r="L1913" s="15" t="n">
        <x:v>81</x:v>
      </x:c>
      <x:c r="M1913" s="13" t="n">
        <x:f>J1913+(K1913+L1913)/1440</x:f>
        <x:v>46307.67708333333</x:v>
      </x:c>
      <x:c r="N1913" s="13" t="n">
        <x:f>VLOOKUP(C1913,'MES orders'!$A$8:$H$127,5,FALSE)</x:f>
        <x:v>46307.666666666664</x:v>
      </x:c>
      <x:c r="O1913" s="16" t="n">
        <x:f>MAX(0,(M1913-N1913)*24)</x:f>
        <x:v>0.24999999994179234</x:v>
      </x:c>
      <x:c r="P1913" s="9" t="str">
        <x:v>No</x:v>
      </x:c>
      <x:c r="Q1913" s="15" t="n">
        <x:v>18</x:v>
      </x:c>
      <x:c r="R1913" s="13" t="n">
        <x:f>J1913+Q1913/1440</x:f>
        <x:v>46307.62083333333</x:v>
      </x:c>
      <x:c r="S1913" s="2" t="str">
        <x:f>VLOOKUP(C1913,'MES orders'!$A$8:$H$127,6,FALSE)</x:f>
        <x:v>Normal</x:v>
      </x:c>
      <x:c r="T1913" s="9" t="str"/>
    </x:row>
    <x:row r="1914" ht="22" customHeight="1">
      <x:c r="A1914" s="2" t="str">
        <x:v>L00499-030</x:v>
      </x:c>
      <x:c r="B1914" s="2" t="str">
        <x:v>L00499</x:v>
      </x:c>
      <x:c r="C1914" s="2" t="str">
        <x:v>SO-26100</x:v>
      </x:c>
      <x:c r="D1914" s="2" t="str">
        <x:v>R-S-SS</x:v>
      </x:c>
      <x:c r="E1914" s="14" t="n">
        <x:v>10</x:v>
      </x:c>
      <x:c r="F1914" s="2" t="str">
        <x:v>Wash &amp; dry</x:v>
      </x:c>
      <x:c r="G1914" s="9" t="str">
        <x:v>WS-01</x:v>
      </x:c>
      <x:c r="H1914" s="15" t="n">
        <x:v>179</x:v>
      </x:c>
      <x:c r="I1914" s="9" t="str">
        <x:v>P14</x:v>
      </x:c>
      <x:c r="J1914" s="11" t="n">
        <x:v>46307.60833333333</x:v>
      </x:c>
      <x:c r="K1914" s="15" t="n">
        <x:v>12</x:v>
      </x:c>
      <x:c r="L1914" s="15" t="n">
        <x:v>4</x:v>
      </x:c>
      <x:c r="M1914" s="13" t="n">
        <x:f>J1914+(K1914+L1914)/1440</x:f>
        <x:v>46307.61944444444</x:v>
      </x:c>
      <x:c r="N1914" s="13" t="n">
        <x:f>VLOOKUP(C1914,'MES orders'!$A$8:$H$127,5,FALSE)</x:f>
        <x:v>46307.666666666664</x:v>
      </x:c>
      <x:c r="O1914" s="16" t="n">
        <x:f>MAX(0,(M1914-N1914)*24)</x:f>
        <x:v>0</x:v>
      </x:c>
      <x:c r="P1914" s="9" t="str">
        <x:v>No</x:v>
      </x:c>
      <x:c r="Q1914" s="15" t="n">
        <x:v>16</x:v>
      </x:c>
      <x:c r="R1914" s="13" t="n">
        <x:f>J1914+Q1914/1440</x:f>
        <x:v>46307.61944444444</x:v>
      </x:c>
      <x:c r="S1914" s="2" t="str">
        <x:f>VLOOKUP(C1914,'MES orders'!$A$8:$H$127,6,FALSE)</x:f>
        <x:v>Normal</x:v>
      </x:c>
      <x:c r="T1914" s="9" t="str"/>
    </x:row>
    <x:row r="1915" ht="22" customHeight="1">
      <x:c r="A1915" s="2" t="str">
        <x:v>L00297-070</x:v>
      </x:c>
      <x:c r="B1915" s="2" t="str">
        <x:v>L00297</x:v>
      </x:c>
      <x:c r="C1915" s="2" t="str">
        <x:v>SO-26060</x:v>
      </x:c>
      <x:c r="D1915" s="2" t="str">
        <x:v>S-L-SS</x:v>
      </x:c>
      <x:c r="E1915" s="14" t="n">
        <x:v>5</x:v>
      </x:c>
      <x:c r="F1915" s="2" t="str">
        <x:v>Final assembly</x:v>
      </x:c>
      <x:c r="G1915" s="9" t="str">
        <x:v>AS-01</x:v>
      </x:c>
      <x:c r="H1915" s="15" t="n">
        <x:v>153</x:v>
      </x:c>
      <x:c r="I1915" s="9" t="str">
        <x:v>P17</x:v>
      </x:c>
      <x:c r="J1915" s="11" t="n">
        <x:v>46307.60972222222</x:v>
      </x:c>
      <x:c r="K1915" s="15" t="n">
        <x:v>5</x:v>
      </x:c>
      <x:c r="L1915" s="15" t="n">
        <x:v>5</x:v>
      </x:c>
      <x:c r="M1915" s="13" t="n">
        <x:f>J1915+(K1915+L1915)/1440</x:f>
        <x:v>46307.61666666667</x:v>
      </x:c>
      <x:c r="N1915" s="13" t="n">
        <x:f>VLOOKUP(C1915,'MES orders'!$A$8:$H$127,5,FALSE)</x:f>
        <x:v>46307.666666666664</x:v>
      </x:c>
      <x:c r="O1915" s="16" t="n">
        <x:f>MAX(0,(M1915-N1915)*24)</x:f>
        <x:v>0</x:v>
      </x:c>
      <x:c r="P1915" s="9" t="str">
        <x:v>No</x:v>
      </x:c>
      <x:c r="Q1915" s="15" t="n">
        <x:v>10</x:v>
      </x:c>
      <x:c r="R1915" s="13" t="n">
        <x:f>J1915+Q1915/1440</x:f>
        <x:v>46307.61666666667</x:v>
      </x:c>
      <x:c r="S1915" s="2" t="str">
        <x:f>VLOOKUP(C1915,'MES orders'!$A$8:$H$127,6,FALSE)</x:f>
        <x:v>Normal</x:v>
      </x:c>
      <x:c r="T1915" s="9" t="str"/>
    </x:row>
    <x:row r="1916" ht="22" customHeight="1">
      <x:c r="A1916" s="2" t="str">
        <x:v>L00298-060</x:v>
      </x:c>
      <x:c r="B1916" s="2" t="str">
        <x:v>L00298</x:v>
      </x:c>
      <x:c r="C1916" s="2" t="str">
        <x:v>SO-26060</x:v>
      </x:c>
      <x:c r="D1916" s="2" t="str">
        <x:v>S-L-SS</x:v>
      </x:c>
      <x:c r="E1916" s="14" t="n">
        <x:v>5</x:v>
      </x:c>
      <x:c r="F1916" s="2" t="str">
        <x:v>Sensor calibration</x:v>
      </x:c>
      <x:c r="G1916" s="9" t="str">
        <x:v>CAL-01</x:v>
      </x:c>
      <x:c r="H1916" s="15" t="n">
        <x:v>98</x:v>
      </x:c>
      <x:c r="I1916" s="9" t="str">
        <x:v>P21</x:v>
      </x:c>
      <x:c r="J1916" s="11" t="n">
        <x:v>46307.60972222222</x:v>
      </x:c>
      <x:c r="K1916" s="15" t="n">
        <x:v>10</x:v>
      </x:c>
      <x:c r="L1916" s="15" t="n">
        <x:v>9</x:v>
      </x:c>
      <x:c r="M1916" s="13" t="n">
        <x:f>J1916+(K1916+L1916)/1440</x:f>
        <x:v>46307.62291666667</x:v>
      </x:c>
      <x:c r="N1916" s="13" t="n">
        <x:f>VLOOKUP(C1916,'MES orders'!$A$8:$H$127,5,FALSE)</x:f>
        <x:v>46307.666666666664</x:v>
      </x:c>
      <x:c r="O1916" s="16" t="n">
        <x:f>MAX(0,(M1916-N1916)*24)</x:f>
        <x:v>0</x:v>
      </x:c>
      <x:c r="P1916" s="9" t="str">
        <x:v>No</x:v>
      </x:c>
      <x:c r="Q1916" s="15" t="n">
        <x:v>19</x:v>
      </x:c>
      <x:c r="R1916" s="13" t="n">
        <x:f>J1916+Q1916/1440</x:f>
        <x:v>46307.62291666667</x:v>
      </x:c>
      <x:c r="S1916" s="2" t="str">
        <x:f>VLOOKUP(C1916,'MES orders'!$A$8:$H$127,6,FALSE)</x:f>
        <x:v>Normal</x:v>
      </x:c>
      <x:c r="T1916" s="9" t="str"/>
    </x:row>
    <x:row r="1917" ht="22" customHeight="1">
      <x:c r="A1917" s="2" t="str">
        <x:v>L00538-010</x:v>
      </x:c>
      <x:c r="B1917" s="2" t="str">
        <x:v>L00538</x:v>
      </x:c>
      <x:c r="C1917" s="2" t="str">
        <x:v>SO-26108</x:v>
      </x:c>
      <x:c r="D1917" s="2" t="str">
        <x:v>R-L-SS</x:v>
      </x:c>
      <x:c r="E1917" s="14" t="n">
        <x:v>20</x:v>
      </x:c>
      <x:c r="F1917" s="2" t="str">
        <x:v>CNC machining</x:v>
      </x:c>
      <x:c r="G1917" s="9" t="str">
        <x:v>CNC-06</x:v>
      </x:c>
      <x:c r="H1917" s="15" t="n">
        <x:v>49</x:v>
      </x:c>
      <x:c r="I1917" s="9" t="str">
        <x:v>P13</x:v>
      </x:c>
      <x:c r="J1917" s="11" t="n">
        <x:v>46307.6125</x:v>
      </x:c>
      <x:c r="K1917" s="15" t="n">
        <x:v>18</x:v>
      </x:c>
      <x:c r="L1917" s="15" t="n">
        <x:v>81</x:v>
      </x:c>
      <x:c r="M1917" s="13" t="n">
        <x:f>J1917+(K1917+L1917)/1440</x:f>
        <x:v>46307.68125</x:v>
      </x:c>
      <x:c r="N1917" s="13" t="n">
        <x:f>VLOOKUP(C1917,'MES orders'!$A$8:$H$127,5,FALSE)</x:f>
        <x:v>46307.666666666664</x:v>
      </x:c>
      <x:c r="O1917" s="16" t="n">
        <x:f>MAX(0,(M1917-N1917)*24)</x:f>
        <x:v>0.35000000009313226</x:v>
      </x:c>
      <x:c r="P1917" s="9" t="str">
        <x:v>No</x:v>
      </x:c>
      <x:c r="Q1917" s="15" t="n">
        <x:v>18</x:v>
      </x:c>
      <x:c r="R1917" s="13" t="n">
        <x:f>J1917+Q1917/1440</x:f>
        <x:v>46307.625</x:v>
      </x:c>
      <x:c r="S1917" s="2" t="str">
        <x:f>VLOOKUP(C1917,'MES orders'!$A$8:$H$127,6,FALSE)</x:f>
        <x:v>Normal</x:v>
      </x:c>
      <x:c r="T1917" s="9" t="str"/>
    </x:row>
    <x:row r="1918" ht="22" customHeight="1">
      <x:c r="A1918" s="2" t="str">
        <x:v>L00417-020</x:v>
      </x:c>
      <x:c r="B1918" s="2" t="str">
        <x:v>L00417</x:v>
      </x:c>
      <x:c r="C1918" s="2" t="str">
        <x:v>SO-26084</x:v>
      </x:c>
      <x:c r="D1918" s="2" t="str">
        <x:v>D-L-SS</x:v>
      </x:c>
      <x:c r="E1918" s="14" t="n">
        <x:v>5</x:v>
      </x:c>
      <x:c r="F1918" s="2" t="str">
        <x:v>Deburr &amp; inspect</x:v>
      </x:c>
      <x:c r="G1918" s="9" t="str">
        <x:v>DB-01</x:v>
      </x:c>
      <x:c r="H1918" s="15" t="n">
        <x:v>184</x:v>
      </x:c>
      <x:c r="I1918" s="9" t="str">
        <x:v>P17</x:v>
      </x:c>
      <x:c r="J1918" s="11" t="n">
        <x:v>46307.61666666667</x:v>
      </x:c>
      <x:c r="K1918" s="15" t="n">
        <x:v>4</x:v>
      </x:c>
      <x:c r="L1918" s="15" t="n">
        <x:v>5</x:v>
      </x:c>
      <x:c r="M1918" s="13" t="n">
        <x:f>J1918+(K1918+L1918)/1440</x:f>
        <x:v>46307.62291666667</x:v>
      </x:c>
      <x:c r="N1918" s="13" t="n">
        <x:f>VLOOKUP(C1918,'MES orders'!$A$8:$H$127,5,FALSE)</x:f>
        <x:v>46307.666666666664</x:v>
      </x:c>
      <x:c r="O1918" s="16" t="n">
        <x:f>MAX(0,(M1918-N1918)*24)</x:f>
        <x:v>0</x:v>
      </x:c>
      <x:c r="P1918" s="9" t="str">
        <x:v>No</x:v>
      </x:c>
      <x:c r="Q1918" s="15" t="n">
        <x:v>9</x:v>
      </x:c>
      <x:c r="R1918" s="13" t="n">
        <x:f>J1918+Q1918/1440</x:f>
        <x:v>46307.62291666667</x:v>
      </x:c>
      <x:c r="S1918" s="2" t="str">
        <x:f>VLOOKUP(C1918,'MES orders'!$A$8:$H$127,6,FALSE)</x:f>
        <x:v>Normal</x:v>
      </x:c>
      <x:c r="T1918" s="9" t="str"/>
    </x:row>
    <x:row r="1919" ht="22" customHeight="1">
      <x:c r="A1919" s="2" t="str">
        <x:v>L00297-080</x:v>
      </x:c>
      <x:c r="B1919" s="2" t="str">
        <x:v>L00297</x:v>
      </x:c>
      <x:c r="C1919" s="2" t="str">
        <x:v>SO-26060</x:v>
      </x:c>
      <x:c r="D1919" s="2" t="str">
        <x:v>S-L-SS</x:v>
      </x:c>
      <x:c r="E1919" s="14" t="n">
        <x:v>5</x:v>
      </x:c>
      <x:c r="F1919" s="2" t="str">
        <x:v>Final leak / function test</x:v>
      </x:c>
      <x:c r="G1919" s="9" t="str">
        <x:v>QA-02</x:v>
      </x:c>
      <x:c r="H1919" s="15" t="n">
        <x:v>136</x:v>
      </x:c>
      <x:c r="I1919" s="9" t="str">
        <x:v>P23</x:v>
      </x:c>
      <x:c r="J1919" s="11" t="n">
        <x:v>46307.61666666667</x:v>
      </x:c>
      <x:c r="K1919" s="15" t="n">
        <x:v>10</x:v>
      </x:c>
      <x:c r="L1919" s="15" t="n">
        <x:v>6</x:v>
      </x:c>
      <x:c r="M1919" s="13" t="n">
        <x:f>J1919+(K1919+L1919)/1440</x:f>
        <x:v>46307.62777777778</x:v>
      </x:c>
      <x:c r="N1919" s="13" t="n">
        <x:f>VLOOKUP(C1919,'MES orders'!$A$8:$H$127,5,FALSE)</x:f>
        <x:v>46307.666666666664</x:v>
      </x:c>
      <x:c r="O1919" s="16" t="n">
        <x:f>MAX(0,(M1919-N1919)*24)</x:f>
        <x:v>0</x:v>
      </x:c>
      <x:c r="P1919" s="9" t="str">
        <x:v>No</x:v>
      </x:c>
      <x:c r="Q1919" s="15" t="n">
        <x:v>16</x:v>
      </x:c>
      <x:c r="R1919" s="13" t="n">
        <x:f>J1919+Q1919/1440</x:f>
        <x:v>46307.62777777778</x:v>
      </x:c>
      <x:c r="S1919" s="2" t="str">
        <x:f>VLOOKUP(C1919,'MES orders'!$A$8:$H$127,6,FALSE)</x:f>
        <x:v>Normal</x:v>
      </x:c>
      <x:c r="T1919" s="9" t="str"/>
    </x:row>
    <x:row r="1920" ht="22" customHeight="1">
      <x:c r="A1920" s="2" t="str">
        <x:v>L00539-010</x:v>
      </x:c>
      <x:c r="B1920" s="2" t="str">
        <x:v>L00539</x:v>
      </x:c>
      <x:c r="C1920" s="2" t="str">
        <x:v>SO-26108</x:v>
      </x:c>
      <x:c r="D1920" s="2" t="str">
        <x:v>R-L-SS</x:v>
      </x:c>
      <x:c r="E1920" s="14" t="n">
        <x:v>20</x:v>
      </x:c>
      <x:c r="F1920" s="2" t="str">
        <x:v>CNC machining</x:v>
      </x:c>
      <x:c r="G1920" s="9" t="str">
        <x:v>CNC-05</x:v>
      </x:c>
      <x:c r="H1920" s="15" t="n">
        <x:v>53</x:v>
      </x:c>
      <x:c r="I1920" s="9" t="str">
        <x:v>P14</x:v>
      </x:c>
      <x:c r="J1920" s="11" t="n">
        <x:v>46307.61944444444</x:v>
      </x:c>
      <x:c r="K1920" s="15" t="n">
        <x:v>18</x:v>
      </x:c>
      <x:c r="L1920" s="15" t="n">
        <x:v>81</x:v>
      </x:c>
      <x:c r="M1920" s="13" t="n">
        <x:f>J1920+(K1920+L1920)/1440</x:f>
        <x:v>46307.68819444444</x:v>
      </x:c>
      <x:c r="N1920" s="13" t="n">
        <x:f>VLOOKUP(C1920,'MES orders'!$A$8:$H$127,5,FALSE)</x:f>
        <x:v>46307.666666666664</x:v>
      </x:c>
      <x:c r="O1920" s="16" t="n">
        <x:f>MAX(0,(M1920-N1920)*24)</x:f>
        <x:v>0.5166666666045785</x:v>
      </x:c>
      <x:c r="P1920" s="9" t="str">
        <x:v>No</x:v>
      </x:c>
      <x:c r="Q1920" s="15" t="n">
        <x:v>18</x:v>
      </x:c>
      <x:c r="R1920" s="13" t="n">
        <x:f>J1920+Q1920/1440</x:f>
        <x:v>46307.63194444444</x:v>
      </x:c>
      <x:c r="S1920" s="2" t="str">
        <x:f>VLOOKUP(C1920,'MES orders'!$A$8:$H$127,6,FALSE)</x:f>
        <x:v>Normal</x:v>
      </x:c>
      <x:c r="T1920" s="9" t="str"/>
    </x:row>
    <x:row r="1921" ht="22" customHeight="1">
      <x:c r="A1921" s="2" t="str">
        <x:v>L00380-030</x:v>
      </x:c>
      <x:c r="B1921" s="2" t="str">
        <x:v>L00380</x:v>
      </x:c>
      <x:c r="C1921" s="2" t="str">
        <x:v>SO-26076</x:v>
      </x:c>
      <x:c r="D1921" s="2" t="str">
        <x:v>D-S-SS</x:v>
      </x:c>
      <x:c r="E1921" s="14" t="n">
        <x:v>10</x:v>
      </x:c>
      <x:c r="F1921" s="2" t="str">
        <x:v>Wash &amp; dry</x:v>
      </x:c>
      <x:c r="G1921" s="9" t="str">
        <x:v>WS-01</x:v>
      </x:c>
      <x:c r="H1921" s="15" t="n">
        <x:v>180</x:v>
      </x:c>
      <x:c r="I1921" s="9" t="str">
        <x:v>P16</x:v>
      </x:c>
      <x:c r="J1921" s="11" t="n">
        <x:v>46307.61944444444</x:v>
      </x:c>
      <x:c r="K1921" s="15" t="n">
        <x:v>12</x:v>
      </x:c>
      <x:c r="L1921" s="15" t="n">
        <x:v>4</x:v>
      </x:c>
      <x:c r="M1921" s="13" t="n">
        <x:f>J1921+(K1921+L1921)/1440</x:f>
        <x:v>46307.63055555555</x:v>
      </x:c>
      <x:c r="N1921" s="13" t="n">
        <x:f>VLOOKUP(C1921,'MES orders'!$A$8:$H$127,5,FALSE)</x:f>
        <x:v>46307.666666666664</x:v>
      </x:c>
      <x:c r="O1921" s="16" t="n">
        <x:f>MAX(0,(M1921-N1921)*24)</x:f>
        <x:v>0</x:v>
      </x:c>
      <x:c r="P1921" s="9" t="str">
        <x:v>No</x:v>
      </x:c>
      <x:c r="Q1921" s="15" t="n">
        <x:v>16</x:v>
      </x:c>
      <x:c r="R1921" s="13" t="n">
        <x:f>J1921+Q1921/1440</x:f>
        <x:v>46307.63055555555</x:v>
      </x:c>
      <x:c r="S1921" s="2" t="str">
        <x:f>VLOOKUP(C1921,'MES orders'!$A$8:$H$127,6,FALSE)</x:f>
        <x:v>Normal</x:v>
      </x:c>
      <x:c r="T1921" s="9" t="str"/>
    </x:row>
    <x:row r="1922" ht="22" customHeight="1">
      <x:c r="A1922" s="2" t="str">
        <x:v>L00101-010</x:v>
      </x:c>
      <x:c r="B1922" s="2" t="str">
        <x:v>L00101</x:v>
      </x:c>
      <x:c r="C1922" s="2" t="str">
        <x:v>SO-26021</x:v>
      </x:c>
      <x:c r="D1922" s="2" t="str">
        <x:v>S-S-AL</x:v>
      </x:c>
      <x:c r="E1922" s="14" t="n">
        <x:v>10</x:v>
      </x:c>
      <x:c r="F1922" s="2" t="str">
        <x:v>CNC machining</x:v>
      </x:c>
      <x:c r="G1922" s="9" t="str">
        <x:v>CNC-01</x:v>
      </x:c>
      <x:c r="H1922" s="15" t="n">
        <x:v>56</x:v>
      </x:c>
      <x:c r="I1922" s="9" t="str">
        <x:v>P15</x:v>
      </x:c>
      <x:c r="J1922" s="11" t="n">
        <x:v>46307.620833333334</x:v>
      </x:c>
      <x:c r="K1922" s="15" t="n">
        <x:v>18</x:v>
      </x:c>
      <x:c r="L1922" s="15" t="n">
        <x:v>24</x:v>
      </x:c>
      <x:c r="M1922" s="13" t="n">
        <x:f>J1922+(K1922+L1922)/1440</x:f>
        <x:v>46307.65</x:v>
      </x:c>
      <x:c r="N1922" s="13" t="n">
        <x:f>VLOOKUP(C1922,'MES orders'!$A$8:$H$127,5,FALSE)</x:f>
        <x:v>46308.666666666664</x:v>
      </x:c>
      <x:c r="O1922" s="16" t="n">
        <x:f>MAX(0,(M1922-N1922)*24)</x:f>
        <x:v>0</x:v>
      </x:c>
      <x:c r="P1922" s="9" t="str">
        <x:v>No</x:v>
      </x:c>
      <x:c r="Q1922" s="15" t="n">
        <x:v>18</x:v>
      </x:c>
      <x:c r="R1922" s="13" t="n">
        <x:f>J1922+Q1922/1440</x:f>
        <x:v>46307.63333333333</x:v>
      </x:c>
      <x:c r="S1922" s="2" t="str">
        <x:f>VLOOKUP(C1922,'MES orders'!$A$8:$H$127,6,FALSE)</x:f>
        <x:v>Normal</x:v>
      </x:c>
      <x:c r="T1922" s="9" t="str"/>
    </x:row>
    <x:row r="1923" ht="22" customHeight="1">
      <x:c r="A1923" s="2" t="str">
        <x:v>L00416-030</x:v>
      </x:c>
      <x:c r="B1923" s="2" t="str">
        <x:v>L00416</x:v>
      </x:c>
      <x:c r="C1923" s="2" t="str">
        <x:v>SO-26084</x:v>
      </x:c>
      <x:c r="D1923" s="2" t="str">
        <x:v>D-L-SS</x:v>
      </x:c>
      <x:c r="E1923" s="14" t="n">
        <x:v>5</x:v>
      </x:c>
      <x:c r="F1923" s="2" t="str">
        <x:v>Wash &amp; dry</x:v>
      </x:c>
      <x:c r="G1923" s="9" t="str">
        <x:v>WS-02</x:v>
      </x:c>
      <x:c r="H1923" s="15" t="n">
        <x:v>125</x:v>
      </x:c>
      <x:c r="I1923" s="9" t="str">
        <x:v>P18</x:v>
      </x:c>
      <x:c r="J1923" s="11" t="n">
        <x:v>46307.62152777778</x:v>
      </x:c>
      <x:c r="K1923" s="15" t="n">
        <x:v>12</x:v>
      </x:c>
      <x:c r="L1923" s="15" t="n">
        <x:v>2</x:v>
      </x:c>
      <x:c r="M1923" s="13" t="n">
        <x:f>J1923+(K1923+L1923)/1440</x:f>
        <x:v>46307.631250000006</x:v>
      </x:c>
      <x:c r="N1923" s="13" t="n">
        <x:f>VLOOKUP(C1923,'MES orders'!$A$8:$H$127,5,FALSE)</x:f>
        <x:v>46307.666666666664</x:v>
      </x:c>
      <x:c r="O1923" s="16" t="n">
        <x:f>MAX(0,(M1923-N1923)*24)</x:f>
        <x:v>0</x:v>
      </x:c>
      <x:c r="P1923" s="9" t="str">
        <x:v>No</x:v>
      </x:c>
      <x:c r="Q1923" s="15" t="n">
        <x:v>14</x:v>
      </x:c>
      <x:c r="R1923" s="13" t="n">
        <x:f>J1923+Q1923/1440</x:f>
        <x:v>46307.631250000006</x:v>
      </x:c>
      <x:c r="S1923" s="2" t="str">
        <x:f>VLOOKUP(C1923,'MES orders'!$A$8:$H$127,6,FALSE)</x:f>
        <x:v>Normal</x:v>
      </x:c>
      <x:c r="T1923" s="9" t="str"/>
    </x:row>
    <x:row r="1924" ht="22" customHeight="1">
      <x:c r="A1924" s="2" t="str">
        <x:v>L00298-070</x:v>
      </x:c>
      <x:c r="B1924" s="2" t="str">
        <x:v>L00298</x:v>
      </x:c>
      <x:c r="C1924" s="2" t="str">
        <x:v>SO-26060</x:v>
      </x:c>
      <x:c r="D1924" s="2" t="str">
        <x:v>S-L-SS</x:v>
      </x:c>
      <x:c r="E1924" s="14" t="n">
        <x:v>5</x:v>
      </x:c>
      <x:c r="F1924" s="2" t="str">
        <x:v>Final assembly</x:v>
      </x:c>
      <x:c r="G1924" s="9" t="str">
        <x:v>AS-01</x:v>
      </x:c>
      <x:c r="H1924" s="15" t="n">
        <x:v>154</x:v>
      </x:c>
      <x:c r="I1924" s="9" t="str">
        <x:v>P17</x:v>
      </x:c>
      <x:c r="J1924" s="11" t="n">
        <x:v>46307.62291666667</x:v>
      </x:c>
      <x:c r="K1924" s="15" t="n">
        <x:v>5</x:v>
      </x:c>
      <x:c r="L1924" s="15" t="n">
        <x:v>5</x:v>
      </x:c>
      <x:c r="M1924" s="13" t="n">
        <x:f>J1924+(K1924+L1924)/1440</x:f>
        <x:v>46307.62986111111</x:v>
      </x:c>
      <x:c r="N1924" s="13" t="n">
        <x:f>VLOOKUP(C1924,'MES orders'!$A$8:$H$127,5,FALSE)</x:f>
        <x:v>46307.666666666664</x:v>
      </x:c>
      <x:c r="O1924" s="16" t="n">
        <x:f>MAX(0,(M1924-N1924)*24)</x:f>
        <x:v>0</x:v>
      </x:c>
      <x:c r="P1924" s="9" t="str">
        <x:v>No</x:v>
      </x:c>
      <x:c r="Q1924" s="15" t="n">
        <x:v>10</x:v>
      </x:c>
      <x:c r="R1924" s="13" t="n">
        <x:f>J1924+Q1924/1440</x:f>
        <x:v>46307.62986111111</x:v>
      </x:c>
      <x:c r="S1924" s="2" t="str">
        <x:f>VLOOKUP(C1924,'MES orders'!$A$8:$H$127,6,FALSE)</x:f>
        <x:v>Normal</x:v>
      </x:c>
      <x:c r="T1924" s="9" t="str"/>
    </x:row>
    <x:row r="1925" ht="22" customHeight="1">
      <x:c r="A1925" s="2" t="str">
        <x:v>L00299-060</x:v>
      </x:c>
      <x:c r="B1925" s="2" t="str">
        <x:v>L00299</x:v>
      </x:c>
      <x:c r="C1925" s="2" t="str">
        <x:v>SO-26060</x:v>
      </x:c>
      <x:c r="D1925" s="2" t="str">
        <x:v>S-L-SS</x:v>
      </x:c>
      <x:c r="E1925" s="14" t="n">
        <x:v>5</x:v>
      </x:c>
      <x:c r="F1925" s="2" t="str">
        <x:v>Sensor calibration</x:v>
      </x:c>
      <x:c r="G1925" s="9" t="str">
        <x:v>CAL-01</x:v>
      </x:c>
      <x:c r="H1925" s="15" t="n">
        <x:v>99</x:v>
      </x:c>
      <x:c r="I1925" s="9" t="str">
        <x:v>P21</x:v>
      </x:c>
      <x:c r="J1925" s="11" t="n">
        <x:v>46307.62291666667</x:v>
      </x:c>
      <x:c r="K1925" s="15" t="n">
        <x:v>10</x:v>
      </x:c>
      <x:c r="L1925" s="15" t="n">
        <x:v>9</x:v>
      </x:c>
      <x:c r="M1925" s="13" t="n">
        <x:f>J1925+(K1925+L1925)/1440</x:f>
        <x:v>46307.63611111111</x:v>
      </x:c>
      <x:c r="N1925" s="13" t="n">
        <x:f>VLOOKUP(C1925,'MES orders'!$A$8:$H$127,5,FALSE)</x:f>
        <x:v>46307.666666666664</x:v>
      </x:c>
      <x:c r="O1925" s="16" t="n">
        <x:f>MAX(0,(M1925-N1925)*24)</x:f>
        <x:v>0</x:v>
      </x:c>
      <x:c r="P1925" s="9" t="str">
        <x:v>No</x:v>
      </x:c>
      <x:c r="Q1925" s="15" t="n">
        <x:v>19</x:v>
      </x:c>
      <x:c r="R1925" s="13" t="n">
        <x:f>J1925+Q1925/1440</x:f>
        <x:v>46307.63611111111</x:v>
      </x:c>
      <x:c r="S1925" s="2" t="str">
        <x:f>VLOOKUP(C1925,'MES orders'!$A$8:$H$127,6,FALSE)</x:f>
        <x:v>Normal</x:v>
      </x:c>
      <x:c r="T1925" s="9" t="str"/>
    </x:row>
    <x:row r="1926" ht="22" customHeight="1">
      <x:c r="A1926" s="2" t="str">
        <x:v>L00339-050</x:v>
      </x:c>
      <x:c r="B1926" s="2" t="str">
        <x:v>L00339</x:v>
      </x:c>
      <x:c r="C1926" s="2" t="str">
        <x:v>SO-26068</x:v>
      </x:c>
      <x:c r="D1926" s="2" t="str">
        <x:v>D-C-SS</x:v>
      </x:c>
      <x:c r="E1926" s="14" t="n">
        <x:v>15</x:v>
      </x:c>
      <x:c r="F1926" s="2" t="str">
        <x:v>Final leak / function test</x:v>
      </x:c>
      <x:c r="G1926" s="9" t="str">
        <x:v>QA-01</x:v>
      </x:c>
      <x:c r="H1926" s="15" t="n">
        <x:v>71</x:v>
      </x:c>
      <x:c r="I1926" s="9" t="str">
        <x:v>P24</x:v>
      </x:c>
      <x:c r="J1926" s="11" t="n">
        <x:v>46307.62291666667</x:v>
      </x:c>
      <x:c r="K1926" s="15" t="n">
        <x:v>10</x:v>
      </x:c>
      <x:c r="L1926" s="15" t="n">
        <x:v>11</x:v>
      </x:c>
      <x:c r="M1926" s="13" t="n">
        <x:f>J1926+(K1926+L1926)/1440</x:f>
        <x:v>46307.6375</x:v>
      </x:c>
      <x:c r="N1926" s="13" t="n">
        <x:f>VLOOKUP(C1926,'MES orders'!$A$8:$H$127,5,FALSE)</x:f>
        <x:v>46307.666666666664</x:v>
      </x:c>
      <x:c r="O1926" s="16" t="n">
        <x:f>MAX(0,(M1926-N1926)*24)</x:f>
        <x:v>0</x:v>
      </x:c>
      <x:c r="P1926" s="9" t="str">
        <x:v>No</x:v>
      </x:c>
      <x:c r="Q1926" s="15" t="n">
        <x:v>21</x:v>
      </x:c>
      <x:c r="R1926" s="13" t="n">
        <x:f>J1926+Q1926/1440</x:f>
        <x:v>46307.6375</x:v>
      </x:c>
      <x:c r="S1926" s="2" t="str">
        <x:f>VLOOKUP(C1926,'MES orders'!$A$8:$H$127,6,FALSE)</x:f>
        <x:v>Normal</x:v>
      </x:c>
      <x:c r="T1926" s="9" t="str"/>
    </x:row>
    <x:row r="1927" ht="22" customHeight="1">
      <x:c r="A1927" s="2" t="str">
        <x:v>L00102-010</x:v>
      </x:c>
      <x:c r="B1927" s="2" t="str">
        <x:v>L00102</x:v>
      </x:c>
      <x:c r="C1927" s="2" t="str">
        <x:v>SO-26021</x:v>
      </x:c>
      <x:c r="D1927" s="2" t="str">
        <x:v>S-S-AL</x:v>
      </x:c>
      <x:c r="E1927" s="14" t="n">
        <x:v>10</x:v>
      </x:c>
      <x:c r="F1927" s="2" t="str">
        <x:v>CNC machining</x:v>
      </x:c>
      <x:c r="G1927" s="9" t="str">
        <x:v>CNC-02</x:v>
      </x:c>
      <x:c r="H1927" s="15" t="n">
        <x:v>38</x:v>
      </x:c>
      <x:c r="I1927" s="9" t="str">
        <x:v>P13</x:v>
      </x:c>
      <x:c r="J1927" s="11" t="n">
        <x:v>46307.625</x:v>
      </x:c>
      <x:c r="K1927" s="15" t="n">
        <x:v>18</x:v>
      </x:c>
      <x:c r="L1927" s="15" t="n">
        <x:v>24</x:v>
      </x:c>
      <x:c r="M1927" s="13" t="n">
        <x:f>J1927+(K1927+L1927)/1440</x:f>
        <x:v>46307.65416666667</x:v>
      </x:c>
      <x:c r="N1927" s="13" t="n">
        <x:f>VLOOKUP(C1927,'MES orders'!$A$8:$H$127,5,FALSE)</x:f>
        <x:v>46308.666666666664</x:v>
      </x:c>
      <x:c r="O1927" s="16" t="n">
        <x:f>MAX(0,(M1927-N1927)*24)</x:f>
        <x:v>0</x:v>
      </x:c>
      <x:c r="P1927" s="9" t="str">
        <x:v>No</x:v>
      </x:c>
      <x:c r="Q1927" s="15" t="n">
        <x:v>18</x:v>
      </x:c>
      <x:c r="R1927" s="13" t="n">
        <x:f>J1927+Q1927/1440</x:f>
        <x:v>46307.6375</x:v>
      </x:c>
      <x:c r="S1927" s="2" t="str">
        <x:f>VLOOKUP(C1927,'MES orders'!$A$8:$H$127,6,FALSE)</x:f>
        <x:v>Normal</x:v>
      </x:c>
      <x:c r="T1927" s="9" t="str"/>
    </x:row>
    <x:row r="1928" ht="22" customHeight="1">
      <x:c r="A1928" s="2" t="str">
        <x:v>L00419-020</x:v>
      </x:c>
      <x:c r="B1928" s="2" t="str">
        <x:v>L00419</x:v>
      </x:c>
      <x:c r="C1928" s="2" t="str">
        <x:v>SO-26084</x:v>
      </x:c>
      <x:c r="D1928" s="2" t="str">
        <x:v>D-L-SS</x:v>
      </x:c>
      <x:c r="E1928" s="14" t="n">
        <x:v>5</x:v>
      </x:c>
      <x:c r="F1928" s="2" t="str">
        <x:v>Deburr &amp; inspect</x:v>
      </x:c>
      <x:c r="G1928" s="9" t="str">
        <x:v>DB-01</x:v>
      </x:c>
      <x:c r="H1928" s="15" t="n">
        <x:v>185</x:v>
      </x:c>
      <x:c r="I1928" s="9" t="str">
        <x:v>P17</x:v>
      </x:c>
      <x:c r="J1928" s="11" t="n">
        <x:v>46307.62986111111</x:v>
      </x:c>
      <x:c r="K1928" s="15" t="n">
        <x:v>4</x:v>
      </x:c>
      <x:c r="L1928" s="15" t="n">
        <x:v>5</x:v>
      </x:c>
      <x:c r="M1928" s="13" t="n">
        <x:f>J1928+(K1928+L1928)/1440</x:f>
        <x:v>46307.63611111111</x:v>
      </x:c>
      <x:c r="N1928" s="13" t="n">
        <x:f>VLOOKUP(C1928,'MES orders'!$A$8:$H$127,5,FALSE)</x:f>
        <x:v>46307.666666666664</x:v>
      </x:c>
      <x:c r="O1928" s="16" t="n">
        <x:f>MAX(0,(M1928-N1928)*24)</x:f>
        <x:v>0</x:v>
      </x:c>
      <x:c r="P1928" s="9" t="str">
        <x:v>No</x:v>
      </x:c>
      <x:c r="Q1928" s="15" t="n">
        <x:v>9</x:v>
      </x:c>
      <x:c r="R1928" s="13" t="n">
        <x:f>J1928+Q1928/1440</x:f>
        <x:v>46307.63611111111</x:v>
      </x:c>
      <x:c r="S1928" s="2" t="str">
        <x:f>VLOOKUP(C1928,'MES orders'!$A$8:$H$127,6,FALSE)</x:f>
        <x:v>Normal</x:v>
      </x:c>
      <x:c r="T1928" s="9" t="str"/>
    </x:row>
    <x:row r="1929" ht="22" customHeight="1">
      <x:c r="A1929" s="2" t="str">
        <x:v>L00298-080</x:v>
      </x:c>
      <x:c r="B1929" s="2" t="str">
        <x:v>L00298</x:v>
      </x:c>
      <x:c r="C1929" s="2" t="str">
        <x:v>SO-26060</x:v>
      </x:c>
      <x:c r="D1929" s="2" t="str">
        <x:v>S-L-SS</x:v>
      </x:c>
      <x:c r="E1929" s="14" t="n">
        <x:v>5</x:v>
      </x:c>
      <x:c r="F1929" s="2" t="str">
        <x:v>Final leak / function test</x:v>
      </x:c>
      <x:c r="G1929" s="9" t="str">
        <x:v>QA-02</x:v>
      </x:c>
      <x:c r="H1929" s="15" t="n">
        <x:v>137</x:v>
      </x:c>
      <x:c r="I1929" s="9" t="str">
        <x:v>P23</x:v>
      </x:c>
      <x:c r="J1929" s="11" t="n">
        <x:v>46307.62986111111</x:v>
      </x:c>
      <x:c r="K1929" s="15" t="n">
        <x:v>10</x:v>
      </x:c>
      <x:c r="L1929" s="15" t="n">
        <x:v>6</x:v>
      </x:c>
      <x:c r="M1929" s="13" t="n">
        <x:f>J1929+(K1929+L1929)/1440</x:f>
        <x:v>46307.64097222222</x:v>
      </x:c>
      <x:c r="N1929" s="13" t="n">
        <x:f>VLOOKUP(C1929,'MES orders'!$A$8:$H$127,5,FALSE)</x:f>
        <x:v>46307.666666666664</x:v>
      </x:c>
      <x:c r="O1929" s="16" t="n">
        <x:f>MAX(0,(M1929-N1929)*24)</x:f>
        <x:v>0</x:v>
      </x:c>
      <x:c r="P1929" s="9" t="str">
        <x:v>No</x:v>
      </x:c>
      <x:c r="Q1929" s="15" t="n">
        <x:v>16</x:v>
      </x:c>
      <x:c r="R1929" s="13" t="n">
        <x:f>J1929+Q1929/1440</x:f>
        <x:v>46307.64097222222</x:v>
      </x:c>
      <x:c r="S1929" s="2" t="str">
        <x:f>VLOOKUP(C1929,'MES orders'!$A$8:$H$127,6,FALSE)</x:f>
        <x:v>Normal</x:v>
      </x:c>
      <x:c r="T1929" s="9" t="str"/>
    </x:row>
    <x:row r="1930" ht="22" customHeight="1">
      <x:c r="A1930" s="2" t="str">
        <x:v>L00380-040</x:v>
      </x:c>
      <x:c r="B1930" s="2" t="str">
        <x:v>L00380</x:v>
      </x:c>
      <x:c r="C1930" s="2" t="str">
        <x:v>SO-26076</x:v>
      </x:c>
      <x:c r="D1930" s="2" t="str">
        <x:v>D-S-SS</x:v>
      </x:c>
      <x:c r="E1930" s="14" t="n">
        <x:v>10</x:v>
      </x:c>
      <x:c r="F1930" s="2" t="str">
        <x:v>Mechanical assembly</x:v>
      </x:c>
      <x:c r="G1930" s="9" t="str">
        <x:v>AS-02</x:v>
      </x:c>
      <x:c r="H1930" s="15" t="n">
        <x:v>124</x:v>
      </x:c>
      <x:c r="I1930" s="9" t="str">
        <x:v>P16</x:v>
      </x:c>
      <x:c r="J1930" s="11" t="n">
        <x:v>46307.63055555556</x:v>
      </x:c>
      <x:c r="K1930" s="15" t="n">
        <x:v>8</x:v>
      </x:c>
      <x:c r="L1930" s="15" t="n">
        <x:v>18</x:v>
      </x:c>
      <x:c r="M1930" s="13" t="n">
        <x:f>J1930+(K1930+L1930)/1440</x:f>
        <x:v>46307.648611111115</x:v>
      </x:c>
      <x:c r="N1930" s="13" t="n">
        <x:f>VLOOKUP(C1930,'MES orders'!$A$8:$H$127,5,FALSE)</x:f>
        <x:v>46307.666666666664</x:v>
      </x:c>
      <x:c r="O1930" s="16" t="n">
        <x:f>MAX(0,(M1930-N1930)*24)</x:f>
        <x:v>0</x:v>
      </x:c>
      <x:c r="P1930" s="9" t="str">
        <x:v>No</x:v>
      </x:c>
      <x:c r="Q1930" s="15" t="n">
        <x:v>26</x:v>
      </x:c>
      <x:c r="R1930" s="13" t="n">
        <x:f>J1930+Q1930/1440</x:f>
        <x:v>46307.648611111115</x:v>
      </x:c>
      <x:c r="S1930" s="2" t="str">
        <x:f>VLOOKUP(C1930,'MES orders'!$A$8:$H$127,6,FALSE)</x:f>
        <x:v>Normal</x:v>
      </x:c>
      <x:c r="T1930" s="9" t="str"/>
    </x:row>
    <x:row r="1931" ht="22" customHeight="1">
      <x:c r="A1931" s="2" t="str">
        <x:v>L00416-040</x:v>
      </x:c>
      <x:c r="B1931" s="2" t="str">
        <x:v>L00416</x:v>
      </x:c>
      <x:c r="C1931" s="2" t="str">
        <x:v>SO-26084</x:v>
      </x:c>
      <x:c r="D1931" s="2" t="str">
        <x:v>D-L-SS</x:v>
      </x:c>
      <x:c r="E1931" s="14" t="n">
        <x:v>5</x:v>
      </x:c>
      <x:c r="F1931" s="2" t="str">
        <x:v>Mechanical assembly</x:v>
      </x:c>
      <x:c r="G1931" s="9" t="str">
        <x:v>AS-03</x:v>
      </x:c>
      <x:c r="H1931" s="15" t="n">
        <x:v>101</x:v>
      </x:c>
      <x:c r="I1931" s="9" t="str">
        <x:v>P18</x:v>
      </x:c>
      <x:c r="J1931" s="11" t="n">
        <x:v>46307.63125</x:v>
      </x:c>
      <x:c r="K1931" s="15" t="n">
        <x:v>8</x:v>
      </x:c>
      <x:c r="L1931" s="15" t="n">
        <x:v>12</x:v>
      </x:c>
      <x:c r="M1931" s="13" t="n">
        <x:f>J1931+(K1931+L1931)/1440</x:f>
        <x:v>46307.64513888889</x:v>
      </x:c>
      <x:c r="N1931" s="13" t="n">
        <x:f>VLOOKUP(C1931,'MES orders'!$A$8:$H$127,5,FALSE)</x:f>
        <x:v>46307.666666666664</x:v>
      </x:c>
      <x:c r="O1931" s="16" t="n">
        <x:f>MAX(0,(M1931-N1931)*24)</x:f>
        <x:v>0</x:v>
      </x:c>
      <x:c r="P1931" s="9" t="str">
        <x:v>No</x:v>
      </x:c>
      <x:c r="Q1931" s="15" t="n">
        <x:v>20</x:v>
      </x:c>
      <x:c r="R1931" s="13" t="n">
        <x:f>J1931+Q1931/1440</x:f>
        <x:v>46307.64513888889</x:v>
      </x:c>
      <x:c r="S1931" s="2" t="str">
        <x:f>VLOOKUP(C1931,'MES orders'!$A$8:$H$127,6,FALSE)</x:f>
        <x:v>Normal</x:v>
      </x:c>
      <x:c r="T1931" s="9" t="str"/>
    </x:row>
    <x:row r="1932" ht="22" customHeight="1">
      <x:c r="A1932" s="2" t="str">
        <x:v>L00299-070</x:v>
      </x:c>
      <x:c r="B1932" s="2" t="str">
        <x:v>L00299</x:v>
      </x:c>
      <x:c r="C1932" s="2" t="str">
        <x:v>SO-26060</x:v>
      </x:c>
      <x:c r="D1932" s="2" t="str">
        <x:v>S-L-SS</x:v>
      </x:c>
      <x:c r="E1932" s="14" t="n">
        <x:v>5</x:v>
      </x:c>
      <x:c r="F1932" s="2" t="str">
        <x:v>Final assembly</x:v>
      </x:c>
      <x:c r="G1932" s="9" t="str">
        <x:v>AS-01</x:v>
      </x:c>
      <x:c r="H1932" s="15" t="n">
        <x:v>155</x:v>
      </x:c>
      <x:c r="I1932" s="9" t="str">
        <x:v>P17</x:v>
      </x:c>
      <x:c r="J1932" s="11" t="n">
        <x:v>46307.63611111111</x:v>
      </x:c>
      <x:c r="K1932" s="15" t="n">
        <x:v>5</x:v>
      </x:c>
      <x:c r="L1932" s="15" t="n">
        <x:v>5</x:v>
      </x:c>
      <x:c r="M1932" s="13" t="n">
        <x:f>J1932+(K1932+L1932)/1440</x:f>
        <x:v>46307.643055555556</x:v>
      </x:c>
      <x:c r="N1932" s="13" t="n">
        <x:f>VLOOKUP(C1932,'MES orders'!$A$8:$H$127,5,FALSE)</x:f>
        <x:v>46307.666666666664</x:v>
      </x:c>
      <x:c r="O1932" s="16" t="n">
        <x:f>MAX(0,(M1932-N1932)*24)</x:f>
        <x:v>0</x:v>
      </x:c>
      <x:c r="P1932" s="9" t="str">
        <x:v>No</x:v>
      </x:c>
      <x:c r="Q1932" s="15" t="n">
        <x:v>10</x:v>
      </x:c>
      <x:c r="R1932" s="13" t="n">
        <x:f>J1932+Q1932/1440</x:f>
        <x:v>46307.643055555556</x:v>
      </x:c>
      <x:c r="S1932" s="2" t="str">
        <x:f>VLOOKUP(C1932,'MES orders'!$A$8:$H$127,6,FALSE)</x:f>
        <x:v>Normal</x:v>
      </x:c>
      <x:c r="T1932" s="9" t="str"/>
    </x:row>
    <x:row r="1933" ht="22" customHeight="1">
      <x:c r="A1933" s="2" t="str">
        <x:v>L00300-060</x:v>
      </x:c>
      <x:c r="B1933" s="2" t="str">
        <x:v>L00300</x:v>
      </x:c>
      <x:c r="C1933" s="2" t="str">
        <x:v>SO-26060</x:v>
      </x:c>
      <x:c r="D1933" s="2" t="str">
        <x:v>S-L-SS</x:v>
      </x:c>
      <x:c r="E1933" s="14" t="n">
        <x:v>5</x:v>
      </x:c>
      <x:c r="F1933" s="2" t="str">
        <x:v>Sensor calibration</x:v>
      </x:c>
      <x:c r="G1933" s="9" t="str">
        <x:v>CAL-01</x:v>
      </x:c>
      <x:c r="H1933" s="15" t="n">
        <x:v>100</x:v>
      </x:c>
      <x:c r="I1933" s="9" t="str">
        <x:v>P21</x:v>
      </x:c>
      <x:c r="J1933" s="11" t="n">
        <x:v>46307.63611111111</x:v>
      </x:c>
      <x:c r="K1933" s="15" t="n">
        <x:v>10</x:v>
      </x:c>
      <x:c r="L1933" s="15" t="n">
        <x:v>9</x:v>
      </x:c>
      <x:c r="M1933" s="13" t="n">
        <x:f>J1933+(K1933+L1933)/1440</x:f>
        <x:v>46307.649305555555</x:v>
      </x:c>
      <x:c r="N1933" s="13" t="n">
        <x:f>VLOOKUP(C1933,'MES orders'!$A$8:$H$127,5,FALSE)</x:f>
        <x:v>46307.666666666664</x:v>
      </x:c>
      <x:c r="O1933" s="16" t="n">
        <x:f>MAX(0,(M1933-N1933)*24)</x:f>
        <x:v>0</x:v>
      </x:c>
      <x:c r="P1933" s="9" t="str">
        <x:v>No</x:v>
      </x:c>
      <x:c r="Q1933" s="15" t="n">
        <x:v>19</x:v>
      </x:c>
      <x:c r="R1933" s="13" t="n">
        <x:f>J1933+Q1933/1440</x:f>
        <x:v>46307.649305555555</x:v>
      </x:c>
      <x:c r="S1933" s="2" t="str">
        <x:f>VLOOKUP(C1933,'MES orders'!$A$8:$H$127,6,FALSE)</x:f>
        <x:v>Normal</x:v>
      </x:c>
      <x:c r="T1933" s="9" t="str"/>
    </x:row>
    <x:row r="1934" ht="22" customHeight="1">
      <x:c r="A1934" s="2" t="str">
        <x:v>L00376-050</x:v>
      </x:c>
      <x:c r="B1934" s="2" t="str">
        <x:v>L00376</x:v>
      </x:c>
      <x:c r="C1934" s="2" t="str">
        <x:v>SO-26076</x:v>
      </x:c>
      <x:c r="D1934" s="2" t="str">
        <x:v>D-S-SS</x:v>
      </x:c>
      <x:c r="E1934" s="14" t="n">
        <x:v>10</x:v>
      </x:c>
      <x:c r="F1934" s="2" t="str">
        <x:v>Final leak / function test</x:v>
      </x:c>
      <x:c r="G1934" s="9" t="str">
        <x:v>QA-01</x:v>
      </x:c>
      <x:c r="H1934" s="15" t="n">
        <x:v>72</x:v>
      </x:c>
      <x:c r="I1934" s="9" t="str">
        <x:v>P24</x:v>
      </x:c>
      <x:c r="J1934" s="11" t="n">
        <x:v>46307.6375</x:v>
      </x:c>
      <x:c r="K1934" s="15" t="n">
        <x:v>10</x:v>
      </x:c>
      <x:c r="L1934" s="15" t="n">
        <x:v>9</x:v>
      </x:c>
      <x:c r="M1934" s="13" t="n">
        <x:f>J1934+(K1934+L1934)/1440</x:f>
        <x:v>46307.65069444444</x:v>
      </x:c>
      <x:c r="N1934" s="13" t="n">
        <x:f>VLOOKUP(C1934,'MES orders'!$A$8:$H$127,5,FALSE)</x:f>
        <x:v>46307.666666666664</x:v>
      </x:c>
      <x:c r="O1934" s="16" t="n">
        <x:f>MAX(0,(M1934-N1934)*24)</x:f>
        <x:v>0</x:v>
      </x:c>
      <x:c r="P1934" s="9" t="str">
        <x:v>No</x:v>
      </x:c>
      <x:c r="Q1934" s="15" t="n">
        <x:v>19</x:v>
      </x:c>
      <x:c r="R1934" s="13" t="n">
        <x:f>J1934+Q1934/1440</x:f>
        <x:v>46307.65069444444</x:v>
      </x:c>
      <x:c r="S1934" s="2" t="str">
        <x:f>VLOOKUP(C1934,'MES orders'!$A$8:$H$127,6,FALSE)</x:f>
        <x:v>Normal</x:v>
      </x:c>
      <x:c r="T1934" s="9" t="str"/>
    </x:row>
    <x:row r="1935" ht="22" customHeight="1">
      <x:c r="A1935" s="2" t="str">
        <x:v>L00299-080</x:v>
      </x:c>
      <x:c r="B1935" s="2" t="str">
        <x:v>L00299</x:v>
      </x:c>
      <x:c r="C1935" s="2" t="str">
        <x:v>SO-26060</x:v>
      </x:c>
      <x:c r="D1935" s="2" t="str">
        <x:v>S-L-SS</x:v>
      </x:c>
      <x:c r="E1935" s="14" t="n">
        <x:v>5</x:v>
      </x:c>
      <x:c r="F1935" s="2" t="str">
        <x:v>Final leak / function test</x:v>
      </x:c>
      <x:c r="G1935" s="9" t="str">
        <x:v>QA-02</x:v>
      </x:c>
      <x:c r="H1935" s="15" t="n">
        <x:v>138</x:v>
      </x:c>
      <x:c r="I1935" s="9" t="str">
        <x:v>P23</x:v>
      </x:c>
      <x:c r="J1935" s="11" t="n">
        <x:v>46307.643055555556</x:v>
      </x:c>
      <x:c r="K1935" s="15" t="n">
        <x:v>10</x:v>
      </x:c>
      <x:c r="L1935" s="15" t="n">
        <x:v>6</x:v>
      </x:c>
      <x:c r="M1935" s="13" t="n">
        <x:f>J1935+(K1935+L1935)/1440</x:f>
        <x:v>46307.65416666667</x:v>
      </x:c>
      <x:c r="N1935" s="13" t="n">
        <x:f>VLOOKUP(C1935,'MES orders'!$A$8:$H$127,5,FALSE)</x:f>
        <x:v>46307.666666666664</x:v>
      </x:c>
      <x:c r="O1935" s="16" t="n">
        <x:f>MAX(0,(M1935-N1935)*24)</x:f>
        <x:v>0</x:v>
      </x:c>
      <x:c r="P1935" s="9" t="str">
        <x:v>No</x:v>
      </x:c>
      <x:c r="Q1935" s="15" t="n">
        <x:v>16</x:v>
      </x:c>
      <x:c r="R1935" s="13" t="n">
        <x:f>J1935+Q1935/1440</x:f>
        <x:v>46307.65416666667</x:v>
      </x:c>
      <x:c r="S1935" s="2" t="str">
        <x:f>VLOOKUP(C1935,'MES orders'!$A$8:$H$127,6,FALSE)</x:f>
        <x:v>Normal</x:v>
      </x:c>
      <x:c r="T1935" s="9" t="str"/>
    </x:row>
    <x:row r="1936" ht="22" customHeight="1">
      <x:c r="A1936" s="2" t="str">
        <x:v>L00417-030</x:v>
      </x:c>
      <x:c r="B1936" s="2" t="str">
        <x:v>L00417</x:v>
      </x:c>
      <x:c r="C1936" s="2" t="str">
        <x:v>SO-26084</x:v>
      </x:c>
      <x:c r="D1936" s="2" t="str">
        <x:v>D-L-SS</x:v>
      </x:c>
      <x:c r="E1936" s="14" t="n">
        <x:v>5</x:v>
      </x:c>
      <x:c r="F1936" s="2" t="str">
        <x:v>Wash &amp; dry</x:v>
      </x:c>
      <x:c r="G1936" s="9" t="str">
        <x:v>WS-01</x:v>
      </x:c>
      <x:c r="H1936" s="15" t="n">
        <x:v>181</x:v>
      </x:c>
      <x:c r="I1936" s="9" t="str">
        <x:v>P18</x:v>
      </x:c>
      <x:c r="J1936" s="11" t="n">
        <x:v>46307.64513888889</x:v>
      </x:c>
      <x:c r="K1936" s="15" t="n">
        <x:v>12</x:v>
      </x:c>
      <x:c r="L1936" s="15" t="n">
        <x:v>2</x:v>
      </x:c>
      <x:c r="M1936" s="13" t="n">
        <x:f>J1936+(K1936+L1936)/1440</x:f>
        <x:v>46307.654861111114</x:v>
      </x:c>
      <x:c r="N1936" s="13" t="n">
        <x:f>VLOOKUP(C1936,'MES orders'!$A$8:$H$127,5,FALSE)</x:f>
        <x:v>46307.666666666664</x:v>
      </x:c>
      <x:c r="O1936" s="16" t="n">
        <x:f>MAX(0,(M1936-N1936)*24)</x:f>
        <x:v>0</x:v>
      </x:c>
      <x:c r="P1936" s="9" t="str">
        <x:v>No</x:v>
      </x:c>
      <x:c r="Q1936" s="15" t="n">
        <x:v>14</x:v>
      </x:c>
      <x:c r="R1936" s="13" t="n">
        <x:f>J1936+Q1936/1440</x:f>
        <x:v>46307.654861111114</x:v>
      </x:c>
      <x:c r="S1936" s="2" t="str">
        <x:f>VLOOKUP(C1936,'MES orders'!$A$8:$H$127,6,FALSE)</x:f>
        <x:v>Normal</x:v>
      </x:c>
      <x:c r="T1936" s="9" t="str"/>
    </x:row>
    <x:row r="1937" ht="22" customHeight="1">
      <x:c r="A1937" s="2" t="str">
        <x:v>L00300-070</x:v>
      </x:c>
      <x:c r="B1937" s="2" t="str">
        <x:v>L00300</x:v>
      </x:c>
      <x:c r="C1937" s="2" t="str">
        <x:v>SO-26060</x:v>
      </x:c>
      <x:c r="D1937" s="2" t="str">
        <x:v>S-L-SS</x:v>
      </x:c>
      <x:c r="E1937" s="14" t="n">
        <x:v>5</x:v>
      </x:c>
      <x:c r="F1937" s="2" t="str">
        <x:v>Final assembly</x:v>
      </x:c>
      <x:c r="G1937" s="9" t="str">
        <x:v>AS-01</x:v>
      </x:c>
      <x:c r="H1937" s="15" t="n">
        <x:v>156</x:v>
      </x:c>
      <x:c r="I1937" s="9" t="str">
        <x:v>P17</x:v>
      </x:c>
      <x:c r="J1937" s="11" t="n">
        <x:v>46307.649305555555</x:v>
      </x:c>
      <x:c r="K1937" s="15" t="n">
        <x:v>5</x:v>
      </x:c>
      <x:c r="L1937" s="15" t="n">
        <x:v>5</x:v>
      </x:c>
      <x:c r="M1937" s="13" t="n">
        <x:f>J1937+(K1937+L1937)/1440</x:f>
        <x:v>46307.65625</x:v>
      </x:c>
      <x:c r="N1937" s="13" t="n">
        <x:f>VLOOKUP(C1937,'MES orders'!$A$8:$H$127,5,FALSE)</x:f>
        <x:v>46307.666666666664</x:v>
      </x:c>
      <x:c r="O1937" s="16" t="n">
        <x:f>MAX(0,(M1937-N1937)*24)</x:f>
        <x:v>0</x:v>
      </x:c>
      <x:c r="P1937" s="9" t="str">
        <x:v>No</x:v>
      </x:c>
      <x:c r="Q1937" s="15" t="n">
        <x:v>10</x:v>
      </x:c>
      <x:c r="R1937" s="13" t="n">
        <x:f>J1937+Q1937/1440</x:f>
        <x:v>46307.65625</x:v>
      </x:c>
      <x:c r="S1937" s="2" t="str">
        <x:f>VLOOKUP(C1937,'MES orders'!$A$8:$H$127,6,FALSE)</x:f>
        <x:v>Normal</x:v>
      </x:c>
      <x:c r="T1937" s="9" t="str"/>
    </x:row>
    <x:row r="1938" ht="22" customHeight="1">
      <x:c r="A1938" s="2" t="str">
        <x:v>L00061-060</x:v>
      </x:c>
      <x:c r="B1938" s="2" t="str">
        <x:v>L00061</x:v>
      </x:c>
      <x:c r="C1938" s="2" t="str">
        <x:v>SO-26013</x:v>
      </x:c>
      <x:c r="D1938" s="2" t="str">
        <x:v>S-C-AL</x:v>
      </x:c>
      <x:c r="E1938" s="14" t="n">
        <x:v>5</x:v>
      </x:c>
      <x:c r="F1938" s="2" t="str">
        <x:v>Sensor calibration</x:v>
      </x:c>
      <x:c r="G1938" s="9" t="str">
        <x:v>CAL-01</x:v>
      </x:c>
      <x:c r="H1938" s="15" t="n">
        <x:v>101</x:v>
      </x:c>
      <x:c r="I1938" s="9" t="str">
        <x:v>P21</x:v>
      </x:c>
      <x:c r="J1938" s="11" t="n">
        <x:v>46307.649305555555</x:v>
      </x:c>
      <x:c r="K1938" s="15" t="n">
        <x:v>10</x:v>
      </x:c>
      <x:c r="L1938" s="15" t="n">
        <x:v>5</x:v>
      </x:c>
      <x:c r="M1938" s="13" t="n">
        <x:f>J1938+(K1938+L1938)/1440</x:f>
        <x:v>46307.65972222222</x:v>
      </x:c>
      <x:c r="N1938" s="13" t="n">
        <x:f>VLOOKUP(C1938,'MES orders'!$A$8:$H$127,5,FALSE)</x:f>
        <x:v>46308.666666666664</x:v>
      </x:c>
      <x:c r="O1938" s="16" t="n">
        <x:f>MAX(0,(M1938-N1938)*24)</x:f>
        <x:v>0</x:v>
      </x:c>
      <x:c r="P1938" s="9" t="str">
        <x:v>No</x:v>
      </x:c>
      <x:c r="Q1938" s="15" t="n">
        <x:v>15</x:v>
      </x:c>
      <x:c r="R1938" s="13" t="n">
        <x:f>J1938+Q1938/1440</x:f>
        <x:v>46307.65972222222</x:v>
      </x:c>
      <x:c r="S1938" s="2" t="str">
        <x:f>VLOOKUP(C1938,'MES orders'!$A$8:$H$127,6,FALSE)</x:f>
        <x:v>Normal</x:v>
      </x:c>
      <x:c r="T1938" s="9" t="str"/>
    </x:row>
    <x:row r="1939" ht="22" customHeight="1">
      <x:c r="A1939" s="2" t="str">
        <x:v>L00101-020</x:v>
      </x:c>
      <x:c r="B1939" s="2" t="str">
        <x:v>L00101</x:v>
      </x:c>
      <x:c r="C1939" s="2" t="str">
        <x:v>SO-26021</x:v>
      </x:c>
      <x:c r="D1939" s="2" t="str">
        <x:v>S-S-AL</x:v>
      </x:c>
      <x:c r="E1939" s="14" t="n">
        <x:v>10</x:v>
      </x:c>
      <x:c r="F1939" s="2" t="str">
        <x:v>Deburr &amp; inspect</x:v>
      </x:c>
      <x:c r="G1939" s="9" t="str">
        <x:v>DB-02</x:v>
      </x:c>
      <x:c r="H1939" s="15" t="n">
        <x:v>124</x:v>
      </x:c>
      <x:c r="I1939" s="9" t="str">
        <x:v>P13</x:v>
      </x:c>
      <x:c r="J1939" s="11" t="n">
        <x:v>46307.65</x:v>
      </x:c>
      <x:c r="K1939" s="15" t="n">
        <x:v>4</x:v>
      </x:c>
      <x:c r="L1939" s="15" t="n">
        <x:v>7</x:v>
      </x:c>
      <x:c r="M1939" s="13" t="n">
        <x:f>J1939+(K1939+L1939)/1440</x:f>
        <x:v>46307.65763888889</x:v>
      </x:c>
      <x:c r="N1939" s="13" t="n">
        <x:f>VLOOKUP(C1939,'MES orders'!$A$8:$H$127,5,FALSE)</x:f>
        <x:v>46308.666666666664</x:v>
      </x:c>
      <x:c r="O1939" s="16" t="n">
        <x:f>MAX(0,(M1939-N1939)*24)</x:f>
        <x:v>0</x:v>
      </x:c>
      <x:c r="P1939" s="9" t="str">
        <x:v>No</x:v>
      </x:c>
      <x:c r="Q1939" s="15" t="n">
        <x:v>11</x:v>
      </x:c>
      <x:c r="R1939" s="13" t="n">
        <x:f>J1939+Q1939/1440</x:f>
        <x:v>46307.65763888889</x:v>
      </x:c>
      <x:c r="S1939" s="2" t="str">
        <x:f>VLOOKUP(C1939,'MES orders'!$A$8:$H$127,6,FALSE)</x:f>
        <x:v>Normal</x:v>
      </x:c>
      <x:c r="T1939" s="9" t="str"/>
    </x:row>
    <x:row r="1940" ht="22" customHeight="1">
      <x:c r="A1940" s="2" t="str">
        <x:v>L00377-050</x:v>
      </x:c>
      <x:c r="B1940" s="2" t="str">
        <x:v>L00377</x:v>
      </x:c>
      <x:c r="C1940" s="2" t="str">
        <x:v>SO-26076</x:v>
      </x:c>
      <x:c r="D1940" s="2" t="str">
        <x:v>D-S-SS</x:v>
      </x:c>
      <x:c r="E1940" s="14" t="n">
        <x:v>10</x:v>
      </x:c>
      <x:c r="F1940" s="2" t="str">
        <x:v>Final leak / function test</x:v>
      </x:c>
      <x:c r="G1940" s="9" t="str">
        <x:v>QA-01</x:v>
      </x:c>
      <x:c r="H1940" s="15" t="n">
        <x:v>73</x:v>
      </x:c>
      <x:c r="I1940" s="9" t="str">
        <x:v>P24</x:v>
      </x:c>
      <x:c r="J1940" s="11" t="n">
        <x:v>46307.65069444444</x:v>
      </x:c>
      <x:c r="K1940" s="15" t="n">
        <x:v>10</x:v>
      </x:c>
      <x:c r="L1940" s="15" t="n">
        <x:v>9</x:v>
      </x:c>
      <x:c r="M1940" s="13" t="n">
        <x:f>J1940+(K1940+L1940)/1440</x:f>
        <x:v>46307.663888888885</x:v>
      </x:c>
      <x:c r="N1940" s="13" t="n">
        <x:f>VLOOKUP(C1940,'MES orders'!$A$8:$H$127,5,FALSE)</x:f>
        <x:v>46307.666666666664</x:v>
      </x:c>
      <x:c r="O1940" s="16" t="n">
        <x:f>MAX(0,(M1940-N1940)*24)</x:f>
        <x:v>0</x:v>
      </x:c>
      <x:c r="P1940" s="9" t="str">
        <x:v>No</x:v>
      </x:c>
      <x:c r="Q1940" s="15" t="n">
        <x:v>19</x:v>
      </x:c>
      <x:c r="R1940" s="13" t="n">
        <x:f>J1940+Q1940/1440</x:f>
        <x:v>46307.663888888885</x:v>
      </x:c>
      <x:c r="S1940" s="2" t="str">
        <x:f>VLOOKUP(C1940,'MES orders'!$A$8:$H$127,6,FALSE)</x:f>
        <x:v>Normal</x:v>
      </x:c>
      <x:c r="T1940" s="9" t="str"/>
    </x:row>
    <x:row r="1941" ht="22" customHeight="1">
      <x:c r="A1941" s="2" t="str">
        <x:v>L00417-040</x:v>
      </x:c>
      <x:c r="B1941" s="2" t="str">
        <x:v>L00417</x:v>
      </x:c>
      <x:c r="C1941" s="2" t="str">
        <x:v>SO-26084</x:v>
      </x:c>
      <x:c r="D1941" s="2" t="str">
        <x:v>D-L-SS</x:v>
      </x:c>
      <x:c r="E1941" s="14" t="n">
        <x:v>5</x:v>
      </x:c>
      <x:c r="F1941" s="2" t="str">
        <x:v>Mechanical assembly</x:v>
      </x:c>
      <x:c r="G1941" s="9" t="str">
        <x:v>AS-02</x:v>
      </x:c>
      <x:c r="H1941" s="15" t="n">
        <x:v>125</x:v>
      </x:c>
      <x:c r="I1941" s="9" t="str">
        <x:v>P16</x:v>
      </x:c>
      <x:c r="J1941" s="11" t="n">
        <x:v>46307.654861111114</x:v>
      </x:c>
      <x:c r="K1941" s="15" t="n">
        <x:v>8</x:v>
      </x:c>
      <x:c r="L1941" s="15" t="n">
        <x:v>12</x:v>
      </x:c>
      <x:c r="M1941" s="13" t="n">
        <x:f>J1941+(K1941+L1941)/1440</x:f>
        <x:v>46307.668750000004</x:v>
      </x:c>
      <x:c r="N1941" s="13" t="n">
        <x:f>VLOOKUP(C1941,'MES orders'!$A$8:$H$127,5,FALSE)</x:f>
        <x:v>46307.666666666664</x:v>
      </x:c>
      <x:c r="O1941" s="16" t="n">
        <x:f>MAX(0,(M1941-N1941)*24)</x:f>
        <x:v>0.05000000016298145</x:v>
      </x:c>
      <x:c r="P1941" s="9" t="str">
        <x:v>No</x:v>
      </x:c>
      <x:c r="Q1941" s="15" t="n">
        <x:v>20</x:v>
      </x:c>
      <x:c r="R1941" s="13" t="n">
        <x:f>J1941+Q1941/1440</x:f>
        <x:v>46307.668750000004</x:v>
      </x:c>
      <x:c r="S1941" s="2" t="str">
        <x:f>VLOOKUP(C1941,'MES orders'!$A$8:$H$127,6,FALSE)</x:f>
        <x:v>Normal</x:v>
      </x:c>
      <x:c r="T1941" s="9" t="str"/>
    </x:row>
    <x:row r="1942" ht="22" customHeight="1">
      <x:c r="A1942" s="2" t="str">
        <x:v>L00419-030</x:v>
      </x:c>
      <x:c r="B1942" s="2" t="str">
        <x:v>L00419</x:v>
      </x:c>
      <x:c r="C1942" s="2" t="str">
        <x:v>SO-26084</x:v>
      </x:c>
      <x:c r="D1942" s="2" t="str">
        <x:v>D-L-SS</x:v>
      </x:c>
      <x:c r="E1942" s="14" t="n">
        <x:v>5</x:v>
      </x:c>
      <x:c r="F1942" s="2" t="str">
        <x:v>Wash &amp; dry</x:v>
      </x:c>
      <x:c r="G1942" s="9" t="str">
        <x:v>WS-01</x:v>
      </x:c>
      <x:c r="H1942" s="15" t="n">
        <x:v>182</x:v>
      </x:c>
      <x:c r="I1942" s="9" t="str">
        <x:v>P18</x:v>
      </x:c>
      <x:c r="J1942" s="11" t="n">
        <x:v>46307.654861111114</x:v>
      </x:c>
      <x:c r="K1942" s="15" t="n">
        <x:v>12</x:v>
      </x:c>
      <x:c r="L1942" s="15" t="n">
        <x:v>2</x:v>
      </x:c>
      <x:c r="M1942" s="13" t="n">
        <x:f>J1942+(K1942+L1942)/1440</x:f>
        <x:v>46307.66458333334</x:v>
      </x:c>
      <x:c r="N1942" s="13" t="n">
        <x:f>VLOOKUP(C1942,'MES orders'!$A$8:$H$127,5,FALSE)</x:f>
        <x:v>46307.666666666664</x:v>
      </x:c>
      <x:c r="O1942" s="16" t="n">
        <x:f>MAX(0,(M1942-N1942)*24)</x:f>
        <x:v>0</x:v>
      </x:c>
      <x:c r="P1942" s="9" t="str">
        <x:v>No</x:v>
      </x:c>
      <x:c r="Q1942" s="15" t="n">
        <x:v>14</x:v>
      </x:c>
      <x:c r="R1942" s="13" t="n">
        <x:f>J1942+Q1942/1440</x:f>
        <x:v>46307.66458333334</x:v>
      </x:c>
      <x:c r="S1942" s="2" t="str">
        <x:f>VLOOKUP(C1942,'MES orders'!$A$8:$H$127,6,FALSE)</x:f>
        <x:v>Normal</x:v>
      </x:c>
      <x:c r="T1942" s="9" t="str"/>
    </x:row>
    <x:row r="1943" ht="22" customHeight="1">
      <x:c r="A1943" s="2" t="str">
        <x:v>L00496-020</x:v>
      </x:c>
      <x:c r="B1943" s="2" t="str">
        <x:v>L00496</x:v>
      </x:c>
      <x:c r="C1943" s="2" t="str">
        <x:v>SO-26100</x:v>
      </x:c>
      <x:c r="D1943" s="2" t="str">
        <x:v>R-S-SS</x:v>
      </x:c>
      <x:c r="E1943" s="14" t="n">
        <x:v>10</x:v>
      </x:c>
      <x:c r="F1943" s="2" t="str">
        <x:v>Deburr &amp; inspect</x:v>
      </x:c>
      <x:c r="G1943" s="9" t="str">
        <x:v>DB-01</x:v>
      </x:c>
      <x:c r="H1943" s="15" t="n">
        <x:v>186</x:v>
      </x:c>
      <x:c r="I1943" s="9" t="str">
        <x:v>P17</x:v>
      </x:c>
      <x:c r="J1943" s="11" t="n">
        <x:v>46307.65625</x:v>
      </x:c>
      <x:c r="K1943" s="15" t="n">
        <x:v>4</x:v>
      </x:c>
      <x:c r="L1943" s="15" t="n">
        <x:v>7</x:v>
      </x:c>
      <x:c r="M1943" s="13" t="n">
        <x:f>J1943+(K1943+L1943)/1440</x:f>
        <x:v>46307.66388888889</x:v>
      </x:c>
      <x:c r="N1943" s="13" t="n">
        <x:f>VLOOKUP(C1943,'MES orders'!$A$8:$H$127,5,FALSE)</x:f>
        <x:v>46307.666666666664</x:v>
      </x:c>
      <x:c r="O1943" s="16" t="n">
        <x:f>MAX(0,(M1943-N1943)*24)</x:f>
        <x:v>0</x:v>
      </x:c>
      <x:c r="P1943" s="9" t="str">
        <x:v>No</x:v>
      </x:c>
      <x:c r="Q1943" s="15" t="n">
        <x:v>11</x:v>
      </x:c>
      <x:c r="R1943" s="13" t="n">
        <x:f>J1943+Q1943/1440</x:f>
        <x:v>46307.66388888889</x:v>
      </x:c>
      <x:c r="S1943" s="2" t="str">
        <x:f>VLOOKUP(C1943,'MES orders'!$A$8:$H$127,6,FALSE)</x:f>
        <x:v>Normal</x:v>
      </x:c>
      <x:c r="T1943" s="9" t="str"/>
    </x:row>
    <x:row r="1944" ht="22" customHeight="1">
      <x:c r="A1944" s="2" t="str">
        <x:v>L00300-080</x:v>
      </x:c>
      <x:c r="B1944" s="2" t="str">
        <x:v>L00300</x:v>
      </x:c>
      <x:c r="C1944" s="2" t="str">
        <x:v>SO-26060</x:v>
      </x:c>
      <x:c r="D1944" s="2" t="str">
        <x:v>S-L-SS</x:v>
      </x:c>
      <x:c r="E1944" s="14" t="n">
        <x:v>5</x:v>
      </x:c>
      <x:c r="F1944" s="2" t="str">
        <x:v>Final leak / function test</x:v>
      </x:c>
      <x:c r="G1944" s="9" t="str">
        <x:v>QA-02</x:v>
      </x:c>
      <x:c r="H1944" s="15" t="n">
        <x:v>139</x:v>
      </x:c>
      <x:c r="I1944" s="9" t="str">
        <x:v>P23</x:v>
      </x:c>
      <x:c r="J1944" s="11" t="n">
        <x:v>46307.65625</x:v>
      </x:c>
      <x:c r="K1944" s="15" t="n">
        <x:v>10</x:v>
      </x:c>
      <x:c r="L1944" s="15" t="n">
        <x:v>6</x:v>
      </x:c>
      <x:c r="M1944" s="13" t="n">
        <x:f>J1944+(K1944+L1944)/1440</x:f>
        <x:v>46307.66736111111</x:v>
      </x:c>
      <x:c r="N1944" s="13" t="n">
        <x:f>VLOOKUP(C1944,'MES orders'!$A$8:$H$127,5,FALSE)</x:f>
        <x:v>46307.666666666664</x:v>
      </x:c>
      <x:c r="O1944" s="16" t="n">
        <x:f>MAX(0,(M1944-N1944)*24)</x:f>
        <x:v>0.016666666720993817</x:v>
      </x:c>
      <x:c r="P1944" s="9" t="str">
        <x:v>No</x:v>
      </x:c>
      <x:c r="Q1944" s="15" t="n">
        <x:v>16</x:v>
      </x:c>
      <x:c r="R1944" s="13" t="n">
        <x:f>J1944+Q1944/1440</x:f>
        <x:v>46307.66736111111</x:v>
      </x:c>
      <x:c r="S1944" s="2" t="str">
        <x:f>VLOOKUP(C1944,'MES orders'!$A$8:$H$127,6,FALSE)</x:f>
        <x:v>Normal</x:v>
      </x:c>
      <x:c r="T1944" s="9" t="str"/>
    </x:row>
    <x:row r="1945" ht="22" customHeight="1">
      <x:c r="A1945" s="2" t="str">
        <x:v>L00102-020</x:v>
      </x:c>
      <x:c r="B1945" s="2" t="str">
        <x:v>L00102</x:v>
      </x:c>
      <x:c r="C1945" s="2" t="str">
        <x:v>SO-26021</x:v>
      </x:c>
      <x:c r="D1945" s="2" t="str">
        <x:v>S-S-AL</x:v>
      </x:c>
      <x:c r="E1945" s="14" t="n">
        <x:v>10</x:v>
      </x:c>
      <x:c r="F1945" s="2" t="str">
        <x:v>Deburr &amp; inspect</x:v>
      </x:c>
      <x:c r="G1945" s="9" t="str">
        <x:v>DB-02</x:v>
      </x:c>
      <x:c r="H1945" s="15" t="n">
        <x:v>125</x:v>
      </x:c>
      <x:c r="I1945" s="9" t="str">
        <x:v>P15</x:v>
      </x:c>
      <x:c r="J1945" s="11" t="n">
        <x:v>46307.657638888886</x:v>
      </x:c>
      <x:c r="K1945" s="15" t="n">
        <x:v>4</x:v>
      </x:c>
      <x:c r="L1945" s="15" t="n">
        <x:v>7</x:v>
      </x:c>
      <x:c r="M1945" s="13" t="n">
        <x:f>J1945+(K1945+L1945)/1440</x:f>
        <x:v>46307.66527777778</x:v>
      </x:c>
      <x:c r="N1945" s="13" t="n">
        <x:f>VLOOKUP(C1945,'MES orders'!$A$8:$H$127,5,FALSE)</x:f>
        <x:v>46308.666666666664</x:v>
      </x:c>
      <x:c r="O1945" s="16" t="n">
        <x:f>MAX(0,(M1945-N1945)*24)</x:f>
        <x:v>0</x:v>
      </x:c>
      <x:c r="P1945" s="9" t="str">
        <x:v>No</x:v>
      </x:c>
      <x:c r="Q1945" s="15" t="n">
        <x:v>11</x:v>
      </x:c>
      <x:c r="R1945" s="13" t="n">
        <x:f>J1945+Q1945/1440</x:f>
        <x:v>46307.66527777778</x:v>
      </x:c>
      <x:c r="S1945" s="2" t="str">
        <x:f>VLOOKUP(C1945,'MES orders'!$A$8:$H$127,6,FALSE)</x:f>
        <x:v>Normal</x:v>
      </x:c>
      <x:c r="T1945" s="9" t="str"/>
    </x:row>
    <x:row r="1946" ht="22" customHeight="1">
      <x:c r="A1946" s="2" t="str">
        <x:v>L00101-030</x:v>
      </x:c>
      <x:c r="B1946" s="2" t="str">
        <x:v>L00101</x:v>
      </x:c>
      <x:c r="C1946" s="2" t="str">
        <x:v>SO-26021</x:v>
      </x:c>
      <x:c r="D1946" s="2" t="str">
        <x:v>S-S-AL</x:v>
      </x:c>
      <x:c r="E1946" s="14" t="n">
        <x:v>10</x:v>
      </x:c>
      <x:c r="F1946" s="2" t="str">
        <x:v>Wash &amp; dry</x:v>
      </x:c>
      <x:c r="G1946" s="9" t="str">
        <x:v>WS-02</x:v>
      </x:c>
      <x:c r="H1946" s="15" t="n">
        <x:v>126</x:v>
      </x:c>
      <x:c r="I1946" s="9" t="str">
        <x:v>P14</x:v>
      </x:c>
      <x:c r="J1946" s="11" t="n">
        <x:v>46307.657638888886</x:v>
      </x:c>
      <x:c r="K1946" s="15" t="n">
        <x:v>12</x:v>
      </x:c>
      <x:c r="L1946" s="15" t="n">
        <x:v>4</x:v>
      </x:c>
      <x:c r="M1946" s="13" t="n">
        <x:f>J1946+(K1946+L1946)/1440</x:f>
        <x:v>46307.66875</x:v>
      </x:c>
      <x:c r="N1946" s="13" t="n">
        <x:f>VLOOKUP(C1946,'MES orders'!$A$8:$H$127,5,FALSE)</x:f>
        <x:v>46308.666666666664</x:v>
      </x:c>
      <x:c r="O1946" s="16" t="n">
        <x:f>MAX(0,(M1946-N1946)*24)</x:f>
        <x:v>0</x:v>
      </x:c>
      <x:c r="P1946" s="9" t="str">
        <x:v>No</x:v>
      </x:c>
      <x:c r="Q1946" s="15" t="n">
        <x:v>16</x:v>
      </x:c>
      <x:c r="R1946" s="13" t="n">
        <x:f>J1946+Q1946/1440</x:f>
        <x:v>46307.66875</x:v>
      </x:c>
      <x:c r="S1946" s="2" t="str">
        <x:f>VLOOKUP(C1946,'MES orders'!$A$8:$H$127,6,FALSE)</x:f>
        <x:v>Normal</x:v>
      </x:c>
      <x:c r="T1946" s="9" t="str"/>
    </x:row>
    <x:row r="1947" ht="22" customHeight="1">
      <x:c r="A1947" s="2" t="str">
        <x:v>L00062-060</x:v>
      </x:c>
      <x:c r="B1947" s="2" t="str">
        <x:v>L00062</x:v>
      </x:c>
      <x:c r="C1947" s="2" t="str">
        <x:v>SO-26013</x:v>
      </x:c>
      <x:c r="D1947" s="2" t="str">
        <x:v>S-C-AL</x:v>
      </x:c>
      <x:c r="E1947" s="14" t="n">
        <x:v>5</x:v>
      </x:c>
      <x:c r="F1947" s="2" t="str">
        <x:v>Sensor calibration</x:v>
      </x:c>
      <x:c r="G1947" s="9" t="str">
        <x:v>CAL-01</x:v>
      </x:c>
      <x:c r="H1947" s="15" t="n">
        <x:v>102</x:v>
      </x:c>
      <x:c r="I1947" s="9" t="str">
        <x:v>P21</x:v>
      </x:c>
      <x:c r="J1947" s="11" t="n">
        <x:v>46307.65972222222</x:v>
      </x:c>
      <x:c r="K1947" s="15" t="n">
        <x:v>10</x:v>
      </x:c>
      <x:c r="L1947" s="15" t="n">
        <x:v>5</x:v>
      </x:c>
      <x:c r="M1947" s="13" t="n">
        <x:f>J1947+(K1947+L1947)/1440</x:f>
        <x:v>46307.67013888888</x:v>
      </x:c>
      <x:c r="N1947" s="13" t="n">
        <x:f>VLOOKUP(C1947,'MES orders'!$A$8:$H$127,5,FALSE)</x:f>
        <x:v>46308.666666666664</x:v>
      </x:c>
      <x:c r="O1947" s="16" t="n">
        <x:f>MAX(0,(M1947-N1947)*24)</x:f>
        <x:v>0</x:v>
      </x:c>
      <x:c r="P1947" s="9" t="str">
        <x:v>No</x:v>
      </x:c>
      <x:c r="Q1947" s="15" t="n">
        <x:v>15</x:v>
      </x:c>
      <x:c r="R1947" s="13" t="n">
        <x:f>J1947+Q1947/1440</x:f>
        <x:v>46307.67013888888</x:v>
      </x:c>
      <x:c r="S1947" s="2" t="str">
        <x:f>VLOOKUP(C1947,'MES orders'!$A$8:$H$127,6,FALSE)</x:f>
        <x:v>Normal</x:v>
      </x:c>
      <x:c r="T1947" s="9" t="str"/>
    </x:row>
    <x:row r="1948" ht="22" customHeight="1">
      <x:c r="A1948" s="2" t="str">
        <x:v>L00379-050</x:v>
      </x:c>
      <x:c r="B1948" s="2" t="str">
        <x:v>L00379</x:v>
      </x:c>
      <x:c r="C1948" s="2" t="str">
        <x:v>SO-26076</x:v>
      </x:c>
      <x:c r="D1948" s="2" t="str">
        <x:v>D-S-SS</x:v>
      </x:c>
      <x:c r="E1948" s="14" t="n">
        <x:v>10</x:v>
      </x:c>
      <x:c r="F1948" s="2" t="str">
        <x:v>Final leak / function test</x:v>
      </x:c>
      <x:c r="G1948" s="9" t="str">
        <x:v>QA-01</x:v>
      </x:c>
      <x:c r="H1948" s="15" t="n">
        <x:v>74</x:v>
      </x:c>
      <x:c r="I1948" s="9" t="str">
        <x:v>P24</x:v>
      </x:c>
      <x:c r="J1948" s="11" t="n">
        <x:v>46307.66388888889</x:v>
      </x:c>
      <x:c r="K1948" s="15" t="n">
        <x:v>10</x:v>
      </x:c>
      <x:c r="L1948" s="15" t="n">
        <x:v>9</x:v>
      </x:c>
      <x:c r="M1948" s="13" t="n">
        <x:f>J1948+(K1948+L1948)/1440</x:f>
        <x:v>46307.677083333336</x:v>
      </x:c>
      <x:c r="N1948" s="13" t="n">
        <x:f>VLOOKUP(C1948,'MES orders'!$A$8:$H$127,5,FALSE)</x:f>
        <x:v>46307.666666666664</x:v>
      </x:c>
      <x:c r="O1948" s="16" t="n">
        <x:f>MAX(0,(M1948-N1948)*24)</x:f>
        <x:v>0.2500000001164153</x:v>
      </x:c>
      <x:c r="P1948" s="9" t="str">
        <x:v>No</x:v>
      </x:c>
      <x:c r="Q1948" s="15" t="n">
        <x:v>19</x:v>
      </x:c>
      <x:c r="R1948" s="13" t="n">
        <x:f>J1948+Q1948/1440</x:f>
        <x:v>46307.677083333336</x:v>
      </x:c>
      <x:c r="S1948" s="2" t="str">
        <x:f>VLOOKUP(C1948,'MES orders'!$A$8:$H$127,6,FALSE)</x:f>
        <x:v>Normal</x:v>
      </x:c>
      <x:c r="T1948" s="9" t="str"/>
    </x:row>
    <x:row r="1949" ht="22" customHeight="1">
      <x:c r="A1949" s="2" t="str">
        <x:v>L00419-040</x:v>
      </x:c>
      <x:c r="B1949" s="2" t="str">
        <x:v>L00419</x:v>
      </x:c>
      <x:c r="C1949" s="2" t="str">
        <x:v>SO-26084</x:v>
      </x:c>
      <x:c r="D1949" s="2" t="str">
        <x:v>D-L-SS</x:v>
      </x:c>
      <x:c r="E1949" s="14" t="n">
        <x:v>5</x:v>
      </x:c>
      <x:c r="F1949" s="2" t="str">
        <x:v>Mechanical assembly</x:v>
      </x:c>
      <x:c r="G1949" s="9" t="str">
        <x:v>AS-01</x:v>
      </x:c>
      <x:c r="H1949" s="15" t="n">
        <x:v>157</x:v>
      </x:c>
      <x:c r="I1949" s="9" t="str">
        <x:v>P17</x:v>
      </x:c>
      <x:c r="J1949" s="11" t="n">
        <x:v>46307.66458333333</x:v>
      </x:c>
      <x:c r="K1949" s="15" t="n">
        <x:v>8</x:v>
      </x:c>
      <x:c r="L1949" s="15" t="n">
        <x:v>12</x:v>
      </x:c>
      <x:c r="M1949" s="13" t="n">
        <x:f>J1949+(K1949+L1949)/1440</x:f>
        <x:v>46307.67847222222</x:v>
      </x:c>
      <x:c r="N1949" s="13" t="n">
        <x:f>VLOOKUP(C1949,'MES orders'!$A$8:$H$127,5,FALSE)</x:f>
        <x:v>46307.666666666664</x:v>
      </x:c>
      <x:c r="O1949" s="16" t="n">
        <x:f>MAX(0,(M1949-N1949)*24)</x:f>
        <x:v>0.28333333338378</x:v>
      </x:c>
      <x:c r="P1949" s="9" t="str">
        <x:v>No</x:v>
      </x:c>
      <x:c r="Q1949" s="15" t="n">
        <x:v>20</x:v>
      </x:c>
      <x:c r="R1949" s="13" t="n">
        <x:f>J1949+Q1949/1440</x:f>
        <x:v>46307.67847222222</x:v>
      </x:c>
      <x:c r="S1949" s="2" t="str">
        <x:f>VLOOKUP(C1949,'MES orders'!$A$8:$H$127,6,FALSE)</x:f>
        <x:v>Normal</x:v>
      </x:c>
      <x:c r="T1949" s="9" t="str"/>
    </x:row>
    <x:row r="1950" ht="22" customHeight="1">
      <x:c r="A1950" s="2" t="str">
        <x:v>L00420-040</x:v>
      </x:c>
      <x:c r="B1950" s="2" t="str">
        <x:v>L00420</x:v>
      </x:c>
      <x:c r="C1950" s="2" t="str">
        <x:v>SO-26084</x:v>
      </x:c>
      <x:c r="D1950" s="2" t="str">
        <x:v>D-L-SS</x:v>
      </x:c>
      <x:c r="E1950" s="14" t="n">
        <x:v>5</x:v>
      </x:c>
      <x:c r="F1950" s="2" t="str">
        <x:v>Mechanical assembly</x:v>
      </x:c>
      <x:c r="G1950" s="9" t="str">
        <x:v>AS-03</x:v>
      </x:c>
      <x:c r="H1950" s="15" t="n">
        <x:v>102</x:v>
      </x:c>
      <x:c r="I1950" s="9" t="str">
        <x:v>P18</x:v>
      </x:c>
      <x:c r="J1950" s="11" t="n">
        <x:v>46307.66458333333</x:v>
      </x:c>
      <x:c r="K1950" s="15" t="n">
        <x:v>8</x:v>
      </x:c>
      <x:c r="L1950" s="15" t="n">
        <x:v>12</x:v>
      </x:c>
      <x:c r="M1950" s="13" t="n">
        <x:f>J1950+(K1950+L1950)/1440</x:f>
        <x:v>46307.67847222222</x:v>
      </x:c>
      <x:c r="N1950" s="13" t="n">
        <x:f>VLOOKUP(C1950,'MES orders'!$A$8:$H$127,5,FALSE)</x:f>
        <x:v>46307.666666666664</x:v>
      </x:c>
      <x:c r="O1950" s="16" t="n">
        <x:f>MAX(0,(M1950-N1950)*24)</x:f>
        <x:v>0.28333333338378</x:v>
      </x:c>
      <x:c r="P1950" s="9" t="str">
        <x:v>No</x:v>
      </x:c>
      <x:c r="Q1950" s="15" t="n">
        <x:v>20</x:v>
      </x:c>
      <x:c r="R1950" s="13" t="n">
        <x:f>J1950+Q1950/1440</x:f>
        <x:v>46307.67847222222</x:v>
      </x:c>
      <x:c r="S1950" s="2" t="str">
        <x:f>VLOOKUP(C1950,'MES orders'!$A$8:$H$127,6,FALSE)</x:f>
        <x:v>Normal</x:v>
      </x:c>
      <x:c r="T1950" s="9" t="str"/>
    </x:row>
    <x:row r="1951" ht="22" customHeight="1">
      <x:c r="A1951" s="2" t="str">
        <x:v>L00540-010</x:v>
      </x:c>
      <x:c r="B1951" s="2" t="str">
        <x:v>L00540</x:v>
      </x:c>
      <x:c r="C1951" s="2" t="str">
        <x:v>SO-26108</x:v>
      </x:c>
      <x:c r="D1951" s="2" t="str">
        <x:v>R-L-SS</x:v>
      </x:c>
      <x:c r="E1951" s="14" t="n">
        <x:v>20</x:v>
      </x:c>
      <x:c r="F1951" s="2" t="str">
        <x:v>CNC machining</x:v>
      </x:c>
      <x:c r="G1951" s="9" t="str">
        <x:v>CNC-03</x:v>
      </x:c>
      <x:c r="H1951" s="15" t="n">
        <x:v>62</x:v>
      </x:c>
      <x:c r="I1951" s="9" t="str">
        <x:v>P13</x:v>
      </x:c>
      <x:c r="J1951" s="11" t="n">
        <x:v>46307.66458333333</x:v>
      </x:c>
      <x:c r="K1951" s="15" t="n">
        <x:v>18</x:v>
      </x:c>
      <x:c r="L1951" s="15" t="n">
        <x:v>81</x:v>
      </x:c>
      <x:c r="M1951" s="13" t="n">
        <x:f>J1951+(K1951+L1951)/1440</x:f>
        <x:v>46307.73333333333</x:v>
      </x:c>
      <x:c r="N1951" s="13" t="n">
        <x:f>VLOOKUP(C1951,'MES orders'!$A$8:$H$127,5,FALSE)</x:f>
        <x:v>46307.666666666664</x:v>
      </x:c>
      <x:c r="O1951" s="16" t="n">
        <x:f>MAX(0,(M1951-N1951)*24)</x:f>
        <x:v>1.599999999976717</x:v>
      </x:c>
      <x:c r="P1951" s="9" t="str">
        <x:v>No</x:v>
      </x:c>
      <x:c r="Q1951" s="15" t="n">
        <x:v>18</x:v>
      </x:c>
      <x:c r="R1951" s="13" t="n">
        <x:f>J1951+Q1951/1440</x:f>
        <x:v>46307.67708333333</x:v>
      </x:c>
      <x:c r="S1951" s="2" t="str">
        <x:f>VLOOKUP(C1951,'MES orders'!$A$8:$H$127,6,FALSE)</x:f>
        <x:v>Normal</x:v>
      </x:c>
      <x:c r="T1951" s="9" t="str"/>
    </x:row>
    <x:row r="1952" ht="22" customHeight="1">
      <x:c r="A1952" s="2" t="str">
        <x:v>L00380-050</x:v>
      </x:c>
      <x:c r="B1952" s="2" t="str">
        <x:v>L00380</x:v>
      </x:c>
      <x:c r="C1952" s="2" t="str">
        <x:v>SO-26076</x:v>
      </x:c>
      <x:c r="D1952" s="2" t="str">
        <x:v>D-S-SS</x:v>
      </x:c>
      <x:c r="E1952" s="14" t="n">
        <x:v>10</x:v>
      </x:c>
      <x:c r="F1952" s="2" t="str">
        <x:v>Final leak / function test</x:v>
      </x:c>
      <x:c r="G1952" s="9" t="str">
        <x:v>QA-02</x:v>
      </x:c>
      <x:c r="H1952" s="15" t="n">
        <x:v>140</x:v>
      </x:c>
      <x:c r="I1952" s="9" t="str">
        <x:v>P23</x:v>
      </x:c>
      <x:c r="J1952" s="11" t="n">
        <x:v>46307.66736111111</x:v>
      </x:c>
      <x:c r="K1952" s="15" t="n">
        <x:v>10</x:v>
      </x:c>
      <x:c r="L1952" s="15" t="n">
        <x:v>9</x:v>
      </x:c>
      <x:c r="M1952" s="13" t="n">
        <x:f>J1952+(K1952+L1952)/1440</x:f>
        <x:v>46307.680555555555</x:v>
      </x:c>
      <x:c r="N1952" s="13" t="n">
        <x:f>VLOOKUP(C1952,'MES orders'!$A$8:$H$127,5,FALSE)</x:f>
        <x:v>46307.666666666664</x:v>
      </x:c>
      <x:c r="O1952" s="16" t="n">
        <x:f>MAX(0,(M1952-N1952)*24)</x:f>
        <x:v>0.33333333337213844</x:v>
      </x:c>
      <x:c r="P1952" s="9" t="str">
        <x:v>No</x:v>
      </x:c>
      <x:c r="Q1952" s="15" t="n">
        <x:v>19</x:v>
      </x:c>
      <x:c r="R1952" s="13" t="n">
        <x:f>J1952+Q1952/1440</x:f>
        <x:v>46307.680555555555</x:v>
      </x:c>
      <x:c r="S1952" s="2" t="str">
        <x:f>VLOOKUP(C1952,'MES orders'!$A$8:$H$127,6,FALSE)</x:f>
        <x:v>Normal</x:v>
      </x:c>
      <x:c r="T1952" s="9" t="str"/>
    </x:row>
    <x:row r="1953" ht="22" customHeight="1">
      <x:c r="A1953" s="2" t="str">
        <x:v>L00101-040</x:v>
      </x:c>
      <x:c r="B1953" s="2" t="str">
        <x:v>L00101</x:v>
      </x:c>
      <x:c r="C1953" s="2" t="str">
        <x:v>SO-26021</x:v>
      </x:c>
      <x:c r="D1953" s="2" t="str">
        <x:v>S-S-AL</x:v>
      </x:c>
      <x:c r="E1953" s="14" t="n">
        <x:v>10</x:v>
      </x:c>
      <x:c r="F1953" s="2" t="str">
        <x:v>Mechanical preassembly</x:v>
      </x:c>
      <x:c r="G1953" s="9" t="str">
        <x:v>AS-04</x:v>
      </x:c>
      <x:c r="H1953" s="15" t="n">
        <x:v>68</x:v>
      </x:c>
      <x:c r="I1953" s="9" t="str">
        <x:v>P15</x:v>
      </x:c>
      <x:c r="J1953" s="11" t="n">
        <x:v>46307.66875</x:v>
      </x:c>
      <x:c r="K1953" s="15" t="n">
        <x:v>6</x:v>
      </x:c>
      <x:c r="L1953" s="15" t="n">
        <x:v>11</x:v>
      </x:c>
      <x:c r="M1953" s="13" t="n">
        <x:f>J1953+(K1953+L1953)/1440</x:f>
        <x:v>46307.680555555555</x:v>
      </x:c>
      <x:c r="N1953" s="13" t="n">
        <x:f>VLOOKUP(C1953,'MES orders'!$A$8:$H$127,5,FALSE)</x:f>
        <x:v>46308.666666666664</x:v>
      </x:c>
      <x:c r="O1953" s="16" t="n">
        <x:f>MAX(0,(M1953-N1953)*24)</x:f>
        <x:v>0</x:v>
      </x:c>
      <x:c r="P1953" s="9" t="str">
        <x:v>No</x:v>
      </x:c>
      <x:c r="Q1953" s="15" t="n">
        <x:v>17</x:v>
      </x:c>
      <x:c r="R1953" s="13" t="n">
        <x:f>J1953+Q1953/1440</x:f>
        <x:v>46307.680555555555</x:v>
      </x:c>
      <x:c r="S1953" s="2" t="str">
        <x:f>VLOOKUP(C1953,'MES orders'!$A$8:$H$127,6,FALSE)</x:f>
        <x:v>Normal</x:v>
      </x:c>
      <x:c r="T1953" s="9" t="str"/>
    </x:row>
    <x:row r="1954" ht="22" customHeight="1">
      <x:c r="A1954" s="2" t="str">
        <x:v>L00496-030</x:v>
      </x:c>
      <x:c r="B1954" s="2" t="str">
        <x:v>L00496</x:v>
      </x:c>
      <x:c r="C1954" s="2" t="str">
        <x:v>SO-26100</x:v>
      </x:c>
      <x:c r="D1954" s="2" t="str">
        <x:v>R-S-SS</x:v>
      </x:c>
      <x:c r="E1954" s="14" t="n">
        <x:v>10</x:v>
      </x:c>
      <x:c r="F1954" s="2" t="str">
        <x:v>Wash &amp; dry</x:v>
      </x:c>
      <x:c r="G1954" s="9" t="str">
        <x:v>WS-01</x:v>
      </x:c>
      <x:c r="H1954" s="15" t="n">
        <x:v>183</x:v>
      </x:c>
      <x:c r="I1954" s="9" t="str">
        <x:v>P16</x:v>
      </x:c>
      <x:c r="J1954" s="11" t="n">
        <x:v>46307.66875</x:v>
      </x:c>
      <x:c r="K1954" s="15" t="n">
        <x:v>12</x:v>
      </x:c>
      <x:c r="L1954" s="15" t="n">
        <x:v>4</x:v>
      </x:c>
      <x:c r="M1954" s="13" t="n">
        <x:f>J1954+(K1954+L1954)/1440</x:f>
        <x:v>46307.67986111111</x:v>
      </x:c>
      <x:c r="N1954" s="13" t="n">
        <x:f>VLOOKUP(C1954,'MES orders'!$A$8:$H$127,5,FALSE)</x:f>
        <x:v>46307.666666666664</x:v>
      </x:c>
      <x:c r="O1954" s="16" t="n">
        <x:f>MAX(0,(M1954-N1954)*24)</x:f>
        <x:v>0.3166666666511446</x:v>
      </x:c>
      <x:c r="P1954" s="9" t="str">
        <x:v>No</x:v>
      </x:c>
      <x:c r="Q1954" s="15" t="n">
        <x:v>16</x:v>
      </x:c>
      <x:c r="R1954" s="13" t="n">
        <x:f>J1954+Q1954/1440</x:f>
        <x:v>46307.67986111111</x:v>
      </x:c>
      <x:c r="S1954" s="2" t="str">
        <x:f>VLOOKUP(C1954,'MES orders'!$A$8:$H$127,6,FALSE)</x:f>
        <x:v>Normal</x:v>
      </x:c>
      <x:c r="T1954" s="9" t="str"/>
    </x:row>
    <x:row r="1955" ht="22" customHeight="1">
      <x:c r="A1955" s="2" t="str">
        <x:v>L00063-060</x:v>
      </x:c>
      <x:c r="B1955" s="2" t="str">
        <x:v>L00063</x:v>
      </x:c>
      <x:c r="C1955" s="2" t="str">
        <x:v>SO-26013</x:v>
      </x:c>
      <x:c r="D1955" s="2" t="str">
        <x:v>S-C-AL</x:v>
      </x:c>
      <x:c r="E1955" s="14" t="n">
        <x:v>5</x:v>
      </x:c>
      <x:c r="F1955" s="2" t="str">
        <x:v>Sensor calibration</x:v>
      </x:c>
      <x:c r="G1955" s="9" t="str">
        <x:v>CAL-01</x:v>
      </x:c>
      <x:c r="H1955" s="15" t="n">
        <x:v>103</x:v>
      </x:c>
      <x:c r="I1955" s="9" t="str">
        <x:v>P21</x:v>
      </x:c>
      <x:c r="J1955" s="11" t="n">
        <x:v>46307.67013888889</x:v>
      </x:c>
      <x:c r="K1955" s="15" t="n">
        <x:v>10</x:v>
      </x:c>
      <x:c r="L1955" s="15" t="n">
        <x:v>5</x:v>
      </x:c>
      <x:c r="M1955" s="13" t="n">
        <x:f>J1955+(K1955+L1955)/1440</x:f>
        <x:v>46307.680555555555</x:v>
      </x:c>
      <x:c r="N1955" s="13" t="n">
        <x:f>VLOOKUP(C1955,'MES orders'!$A$8:$H$127,5,FALSE)</x:f>
        <x:v>46308.666666666664</x:v>
      </x:c>
      <x:c r="O1955" s="16" t="n">
        <x:f>MAX(0,(M1955-N1955)*24)</x:f>
        <x:v>0</x:v>
      </x:c>
      <x:c r="P1955" s="9" t="str">
        <x:v>No</x:v>
      </x:c>
      <x:c r="Q1955" s="15" t="n">
        <x:v>15</x:v>
      </x:c>
      <x:c r="R1955" s="13" t="n">
        <x:f>J1955+Q1955/1440</x:f>
        <x:v>46307.680555555555</x:v>
      </x:c>
      <x:c r="S1955" s="2" t="str">
        <x:f>VLOOKUP(C1955,'MES orders'!$A$8:$H$127,6,FALSE)</x:f>
        <x:v>Normal</x:v>
      </x:c>
      <x:c r="T1955" s="9" t="str"/>
    </x:row>
    <x:row r="1956" ht="22" customHeight="1">
      <x:c r="A1956" s="2" t="str">
        <x:v>L00141-010</x:v>
      </x:c>
      <x:c r="B1956" s="2" t="str">
        <x:v>L00141</x:v>
      </x:c>
      <x:c r="C1956" s="2" t="str">
        <x:v>SO-26029</x:v>
      </x:c>
      <x:c r="D1956" s="2" t="str">
        <x:v>S-L-AL</x:v>
      </x:c>
      <x:c r="E1956" s="14" t="n">
        <x:v>10</x:v>
      </x:c>
      <x:c r="F1956" s="2" t="str">
        <x:v>CNC machining</x:v>
      </x:c>
      <x:c r="G1956" s="9" t="str">
        <x:v>CNC-04</x:v>
      </x:c>
      <x:c r="H1956" s="15" t="n">
        <x:v>60</x:v>
      </x:c>
      <x:c r="I1956" s="9" t="str">
        <x:v>P14</x:v>
      </x:c>
      <x:c r="J1956" s="11" t="n">
        <x:v>46307.677083333336</x:v>
      </x:c>
      <x:c r="K1956" s="15" t="n">
        <x:v>18</x:v>
      </x:c>
      <x:c r="L1956" s="15" t="n">
        <x:v>32</x:v>
      </x:c>
      <x:c r="M1956" s="13" t="n">
        <x:f>J1956+(K1956+L1956)/1440</x:f>
        <x:v>46307.711805555555</x:v>
      </x:c>
      <x:c r="N1956" s="13" t="n">
        <x:f>VLOOKUP(C1956,'MES orders'!$A$8:$H$127,5,FALSE)</x:f>
        <x:v>46308.666666666664</x:v>
      </x:c>
      <x:c r="O1956" s="16" t="n">
        <x:f>MAX(0,(M1956-N1956)*24)</x:f>
        <x:v>0</x:v>
      </x:c>
      <x:c r="P1956" s="9" t="str">
        <x:v>No</x:v>
      </x:c>
      <x:c r="Q1956" s="15" t="n">
        <x:v>18</x:v>
      </x:c>
      <x:c r="R1956" s="13" t="n">
        <x:f>J1956+Q1956/1440</x:f>
        <x:v>46307.68958333333</x:v>
      </x:c>
      <x:c r="S1956" s="2" t="str">
        <x:f>VLOOKUP(C1956,'MES orders'!$A$8:$H$127,6,FALSE)</x:f>
        <x:v>High</x:v>
      </x:c>
      <x:c r="T1956" s="9" t="str"/>
    </x:row>
    <x:row r="1957" ht="22" customHeight="1">
      <x:c r="A1957" s="2" t="str">
        <x:v>L00537-020</x:v>
      </x:c>
      <x:c r="B1957" s="2" t="str">
        <x:v>L00537</x:v>
      </x:c>
      <x:c r="C1957" s="2" t="str">
        <x:v>SO-26108</x:v>
      </x:c>
      <x:c r="D1957" s="2" t="str">
        <x:v>R-L-SS</x:v>
      </x:c>
      <x:c r="E1957" s="14" t="n">
        <x:v>20</x:v>
      </x:c>
      <x:c r="F1957" s="2" t="str">
        <x:v>Deburr &amp; inspect</x:v>
      </x:c>
      <x:c r="G1957" s="9" t="str">
        <x:v>DB-02</x:v>
      </x:c>
      <x:c r="H1957" s="15" t="n">
        <x:v>126</x:v>
      </x:c>
      <x:c r="I1957" s="9" t="str">
        <x:v>P13</x:v>
      </x:c>
      <x:c r="J1957" s="11" t="n">
        <x:v>46307.677083333336</x:v>
      </x:c>
      <x:c r="K1957" s="15" t="n">
        <x:v>4</x:v>
      </x:c>
      <x:c r="L1957" s="15" t="n">
        <x:v>19</x:v>
      </x:c>
      <x:c r="M1957" s="13" t="n">
        <x:f>J1957+(K1957+L1957)/1440</x:f>
        <x:v>46307.69305555556</x:v>
      </x:c>
      <x:c r="N1957" s="13" t="n">
        <x:f>VLOOKUP(C1957,'MES orders'!$A$8:$H$127,5,FALSE)</x:f>
        <x:v>46307.666666666664</x:v>
      </x:c>
      <x:c r="O1957" s="16" t="n">
        <x:f>MAX(0,(M1957-N1957)*24)</x:f>
        <x:v>0.6333333334769122</x:v>
      </x:c>
      <x:c r="P1957" s="9" t="str">
        <x:v>No</x:v>
      </x:c>
      <x:c r="Q1957" s="15" t="n">
        <x:v>23</x:v>
      </x:c>
      <x:c r="R1957" s="13" t="n">
        <x:f>J1957+Q1957/1440</x:f>
        <x:v>46307.69305555556</x:v>
      </x:c>
      <x:c r="S1957" s="2" t="str">
        <x:f>VLOOKUP(C1957,'MES orders'!$A$8:$H$127,6,FALSE)</x:f>
        <x:v>Normal</x:v>
      </x:c>
      <x:c r="T1957" s="9" t="str"/>
    </x:row>
    <x:row r="1958" ht="22" customHeight="1">
      <x:c r="A1958" s="2" t="str">
        <x:v>L00416-050</x:v>
      </x:c>
      <x:c r="B1958" s="2" t="str">
        <x:v>L00416</x:v>
      </x:c>
      <x:c r="C1958" s="2" t="str">
        <x:v>SO-26084</x:v>
      </x:c>
      <x:c r="D1958" s="2" t="str">
        <x:v>D-L-SS</x:v>
      </x:c>
      <x:c r="E1958" s="14" t="n">
        <x:v>5</x:v>
      </x:c>
      <x:c r="F1958" s="2" t="str">
        <x:v>Final leak / function test</x:v>
      </x:c>
      <x:c r="G1958" s="9" t="str">
        <x:v>QA-01</x:v>
      </x:c>
      <x:c r="H1958" s="15" t="n">
        <x:v>75</x:v>
      </x:c>
      <x:c r="I1958" s="9" t="str">
        <x:v>P24</x:v>
      </x:c>
      <x:c r="J1958" s="11" t="n">
        <x:v>46307.677083333336</x:v>
      </x:c>
      <x:c r="K1958" s="15" t="n">
        <x:v>10</x:v>
      </x:c>
      <x:c r="L1958" s="15" t="n">
        <x:v>6</x:v>
      </x:c>
      <x:c r="M1958" s="13" t="n">
        <x:f>J1958+(K1958+L1958)/1440</x:f>
        <x:v>46307.68819444445</x:v>
      </x:c>
      <x:c r="N1958" s="13" t="n">
        <x:f>VLOOKUP(C1958,'MES orders'!$A$8:$H$127,5,FALSE)</x:f>
        <x:v>46307.666666666664</x:v>
      </x:c>
      <x:c r="O1958" s="16" t="n">
        <x:f>MAX(0,(M1958-N1958)*24)</x:f>
        <x:v>0.5166666667792015</x:v>
      </x:c>
      <x:c r="P1958" s="9" t="str">
        <x:v>No</x:v>
      </x:c>
      <x:c r="Q1958" s="15" t="n">
        <x:v>16</x:v>
      </x:c>
      <x:c r="R1958" s="13" t="n">
        <x:f>J1958+Q1958/1440</x:f>
        <x:v>46307.68819444445</x:v>
      </x:c>
      <x:c r="S1958" s="2" t="str">
        <x:f>VLOOKUP(C1958,'MES orders'!$A$8:$H$127,6,FALSE)</x:f>
        <x:v>Normal</x:v>
      </x:c>
      <x:c r="T1958" s="9" t="str"/>
    </x:row>
    <x:row r="1959" ht="22" customHeight="1">
      <x:c r="A1959" s="2" t="str">
        <x:v>L00497-050</x:v>
      </x:c>
      <x:c r="B1959" s="2" t="str">
        <x:v>L00497</x:v>
      </x:c>
      <x:c r="C1959" s="2" t="str">
        <x:v>SO-26100</x:v>
      </x:c>
      <x:c r="D1959" s="2" t="str">
        <x:v>R-S-SS</x:v>
      </x:c>
      <x:c r="E1959" s="14" t="n">
        <x:v>10</x:v>
      </x:c>
      <x:c r="F1959" s="2" t="str">
        <x:v>Valve adjustment</x:v>
      </x:c>
      <x:c r="G1959" s="9" t="str">
        <x:v>AS-02</x:v>
      </x:c>
      <x:c r="H1959" s="15" t="n">
        <x:v>126</x:v>
      </x:c>
      <x:c r="I1959" s="9" t="str">
        <x:v>P17</x:v>
      </x:c>
      <x:c r="J1959" s="11" t="n">
        <x:v>46307.67847222222</x:v>
      </x:c>
      <x:c r="K1959" s="15" t="n">
        <x:v>6</x:v>
      </x:c>
      <x:c r="L1959" s="15" t="n">
        <x:v>11</x:v>
      </x:c>
      <x:c r="M1959" s="13" t="n">
        <x:f>J1959+(K1959+L1959)/1440</x:f>
        <x:v>46307.69027777778</x:v>
      </x:c>
      <x:c r="N1959" s="13" t="n">
        <x:f>VLOOKUP(C1959,'MES orders'!$A$8:$H$127,5,FALSE)</x:f>
        <x:v>46307.666666666664</x:v>
      </x:c>
      <x:c r="O1959" s="16" t="n">
        <x:f>MAX(0,(M1959-N1959)*24)</x:f>
        <x:v>0.56666666676756</x:v>
      </x:c>
      <x:c r="P1959" s="9" t="str">
        <x:v>No</x:v>
      </x:c>
      <x:c r="Q1959" s="15" t="n">
        <x:v>17</x:v>
      </x:c>
      <x:c r="R1959" s="13" t="n">
        <x:f>J1959+Q1959/1440</x:f>
        <x:v>46307.69027777778</x:v>
      </x:c>
      <x:c r="S1959" s="2" t="str">
        <x:f>VLOOKUP(C1959,'MES orders'!$A$8:$H$127,6,FALSE)</x:f>
        <x:v>Normal</x:v>
      </x:c>
      <x:c r="T1959" s="9" t="str"/>
    </x:row>
    <x:row r="1960" ht="22" customHeight="1">
      <x:c r="A1960" s="2" t="str">
        <x:v>L00498-030</x:v>
      </x:c>
      <x:c r="B1960" s="2" t="str">
        <x:v>L00498</x:v>
      </x:c>
      <x:c r="C1960" s="2" t="str">
        <x:v>SO-26100</x:v>
      </x:c>
      <x:c r="D1960" s="2" t="str">
        <x:v>R-S-SS</x:v>
      </x:c>
      <x:c r="E1960" s="14" t="n">
        <x:v>10</x:v>
      </x:c>
      <x:c r="F1960" s="2" t="str">
        <x:v>Wash &amp; dry</x:v>
      </x:c>
      <x:c r="G1960" s="9" t="str">
        <x:v>WS-02</x:v>
      </x:c>
      <x:c r="H1960" s="15" t="n">
        <x:v>127</x:v>
      </x:c>
      <x:c r="I1960" s="9" t="str">
        <x:v>P18</x:v>
      </x:c>
      <x:c r="J1960" s="11" t="n">
        <x:v>46307.67847222222</x:v>
      </x:c>
      <x:c r="K1960" s="15" t="n">
        <x:v>12</x:v>
      </x:c>
      <x:c r="L1960" s="15" t="n">
        <x:v>4</x:v>
      </x:c>
      <x:c r="M1960" s="13" t="n">
        <x:f>J1960+(K1960+L1960)/1440</x:f>
        <x:v>46307.68958333333</x:v>
      </x:c>
      <x:c r="N1960" s="13" t="n">
        <x:f>VLOOKUP(C1960,'MES orders'!$A$8:$H$127,5,FALSE)</x:f>
        <x:v>46307.666666666664</x:v>
      </x:c>
      <x:c r="O1960" s="16" t="n">
        <x:f>MAX(0,(M1960-N1960)*24)</x:f>
        <x:v>0.5500000000465661</x:v>
      </x:c>
      <x:c r="P1960" s="9" t="str">
        <x:v>No</x:v>
      </x:c>
      <x:c r="Q1960" s="15" t="n">
        <x:v>16</x:v>
      </x:c>
      <x:c r="R1960" s="13" t="n">
        <x:f>J1960+Q1960/1440</x:f>
        <x:v>46307.68958333333</x:v>
      </x:c>
      <x:c r="S1960" s="2" t="str">
        <x:f>VLOOKUP(C1960,'MES orders'!$A$8:$H$127,6,FALSE)</x:f>
        <x:v>Normal</x:v>
      </x:c>
      <x:c r="T1960" s="9" t="str"/>
    </x:row>
    <x:row r="1961" ht="22" customHeight="1">
      <x:c r="A1961" s="2" t="str">
        <x:v>L00496-040</x:v>
      </x:c>
      <x:c r="B1961" s="2" t="str">
        <x:v>L00496</x:v>
      </x:c>
      <x:c r="C1961" s="2" t="str">
        <x:v>SO-26100</x:v>
      </x:c>
      <x:c r="D1961" s="2" t="str">
        <x:v>R-S-SS</x:v>
      </x:c>
      <x:c r="E1961" s="14" t="n">
        <x:v>10</x:v>
      </x:c>
      <x:c r="F1961" s="2" t="str">
        <x:v>Mechanical assembly</x:v>
      </x:c>
      <x:c r="G1961" s="9" t="str">
        <x:v>AS-01</x:v>
      </x:c>
      <x:c r="H1961" s="15" t="n">
        <x:v>158</x:v>
      </x:c>
      <x:c r="I1961" s="9" t="str">
        <x:v>P16</x:v>
      </x:c>
      <x:c r="J1961" s="11" t="n">
        <x:v>46307.67986111111</x:v>
      </x:c>
      <x:c r="K1961" s="15" t="n">
        <x:v>8</x:v>
      </x:c>
      <x:c r="L1961" s="15" t="n">
        <x:v>18</x:v>
      </x:c>
      <x:c r="M1961" s="13" t="n">
        <x:f>J1961+(K1961+L1961)/1440</x:f>
        <x:v>46307.697916666664</x:v>
      </x:c>
      <x:c r="N1961" s="13" t="n">
        <x:f>VLOOKUP(C1961,'MES orders'!$A$8:$H$127,5,FALSE)</x:f>
        <x:v>46307.666666666664</x:v>
      </x:c>
      <x:c r="O1961" s="16" t="n">
        <x:f>MAX(0,(M1961-N1961)*24)</x:f>
        <x:v>0.75</x:v>
      </x:c>
      <x:c r="P1961" s="9" t="str">
        <x:v>No</x:v>
      </x:c>
      <x:c r="Q1961" s="15" t="n">
        <x:v>26</x:v>
      </x:c>
      <x:c r="R1961" s="13" t="n">
        <x:f>J1961+Q1961/1440</x:f>
        <x:v>46307.697916666664</x:v>
      </x:c>
      <x:c r="S1961" s="2" t="str">
        <x:f>VLOOKUP(C1961,'MES orders'!$A$8:$H$127,6,FALSE)</x:f>
        <x:v>Normal</x:v>
      </x:c>
      <x:c r="T1961" s="9" t="str"/>
    </x:row>
    <x:row r="1962" ht="22" customHeight="1">
      <x:c r="A1962" s="2" t="str">
        <x:v>L00063-070</x:v>
      </x:c>
      <x:c r="B1962" s="2" t="str">
        <x:v>L00063</x:v>
      </x:c>
      <x:c r="C1962" s="2" t="str">
        <x:v>SO-26013</x:v>
      </x:c>
      <x:c r="D1962" s="2" t="str">
        <x:v>S-C-AL</x:v>
      </x:c>
      <x:c r="E1962" s="14" t="n">
        <x:v>5</x:v>
      </x:c>
      <x:c r="F1962" s="2" t="str">
        <x:v>Final assembly</x:v>
      </x:c>
      <x:c r="G1962" s="9" t="str">
        <x:v>AS-03</x:v>
      </x:c>
      <x:c r="H1962" s="15" t="n">
        <x:v>103</x:v>
      </x:c>
      <x:c r="I1962" s="9" t="str">
        <x:v>P20</x:v>
      </x:c>
      <x:c r="J1962" s="11" t="n">
        <x:v>46307.680555555555</x:v>
      </x:c>
      <x:c r="K1962" s="15" t="n">
        <x:v>5</x:v>
      </x:c>
      <x:c r="L1962" s="15" t="n">
        <x:v>3</x:v>
      </x:c>
      <x:c r="M1962" s="13" t="n">
        <x:f>J1962+(K1962+L1962)/1440</x:f>
        <x:v>46307.686111111114</x:v>
      </x:c>
      <x:c r="N1962" s="13" t="n">
        <x:f>VLOOKUP(C1962,'MES orders'!$A$8:$H$127,5,FALSE)</x:f>
        <x:v>46308.666666666664</x:v>
      </x:c>
      <x:c r="O1962" s="16" t="n">
        <x:f>MAX(0,(M1962-N1962)*24)</x:f>
        <x:v>0</x:v>
      </x:c>
      <x:c r="P1962" s="9" t="str">
        <x:v>No</x:v>
      </x:c>
      <x:c r="Q1962" s="15" t="n">
        <x:v>8</x:v>
      </x:c>
      <x:c r="R1962" s="13" t="n">
        <x:f>J1962+Q1962/1440</x:f>
        <x:v>46307.686111111114</x:v>
      </x:c>
      <x:c r="S1962" s="2" t="str">
        <x:f>VLOOKUP(C1962,'MES orders'!$A$8:$H$127,6,FALSE)</x:f>
        <x:v>Normal</x:v>
      </x:c>
      <x:c r="T1962" s="9" t="str"/>
    </x:row>
    <x:row r="1963" ht="22" customHeight="1">
      <x:c r="A1963" s="2" t="str">
        <x:v>L00064-060</x:v>
      </x:c>
      <x:c r="B1963" s="2" t="str">
        <x:v>L00064</x:v>
      </x:c>
      <x:c r="C1963" s="2" t="str">
        <x:v>SO-26013</x:v>
      </x:c>
      <x:c r="D1963" s="2" t="str">
        <x:v>S-C-AL</x:v>
      </x:c>
      <x:c r="E1963" s="14" t="n">
        <x:v>5</x:v>
      </x:c>
      <x:c r="F1963" s="2" t="str">
        <x:v>Sensor calibration</x:v>
      </x:c>
      <x:c r="G1963" s="9" t="str">
        <x:v>CAL-01</x:v>
      </x:c>
      <x:c r="H1963" s="15" t="n">
        <x:v>104</x:v>
      </x:c>
      <x:c r="I1963" s="9" t="str">
        <x:v>P21</x:v>
      </x:c>
      <x:c r="J1963" s="11" t="n">
        <x:v>46307.680555555555</x:v>
      </x:c>
      <x:c r="K1963" s="15" t="n">
        <x:v>10</x:v>
      </x:c>
      <x:c r="L1963" s="15" t="n">
        <x:v>5</x:v>
      </x:c>
      <x:c r="M1963" s="13" t="n">
        <x:f>J1963+(K1963+L1963)/1440</x:f>
        <x:v>46307.69097222222</x:v>
      </x:c>
      <x:c r="N1963" s="13" t="n">
        <x:f>VLOOKUP(C1963,'MES orders'!$A$8:$H$127,5,FALSE)</x:f>
        <x:v>46308.666666666664</x:v>
      </x:c>
      <x:c r="O1963" s="16" t="n">
        <x:f>MAX(0,(M1963-N1963)*24)</x:f>
        <x:v>0</x:v>
      </x:c>
      <x:c r="P1963" s="9" t="str">
        <x:v>No</x:v>
      </x:c>
      <x:c r="Q1963" s="15" t="n">
        <x:v>15</x:v>
      </x:c>
      <x:c r="R1963" s="13" t="n">
        <x:f>J1963+Q1963/1440</x:f>
        <x:v>46307.69097222222</x:v>
      </x:c>
      <x:c r="S1963" s="2" t="str">
        <x:f>VLOOKUP(C1963,'MES orders'!$A$8:$H$127,6,FALSE)</x:f>
        <x:v>Normal</x:v>
      </x:c>
      <x:c r="T1963" s="9" t="str"/>
    </x:row>
    <x:row r="1964" ht="22" customHeight="1">
      <x:c r="A1964" s="2" t="str">
        <x:v>L00101-050</x:v>
      </x:c>
      <x:c r="B1964" s="2" t="str">
        <x:v>L00101</x:v>
      </x:c>
      <x:c r="C1964" s="2" t="str">
        <x:v>SO-26021</x:v>
      </x:c>
      <x:c r="D1964" s="2" t="str">
        <x:v>S-S-AL</x:v>
      </x:c>
      <x:c r="E1964" s="14" t="n">
        <x:v>10</x:v>
      </x:c>
      <x:c r="F1964" s="2" t="str">
        <x:v>Sensor installation</x:v>
      </x:c>
      <x:c r="G1964" s="9" t="str">
        <x:v>EL-01</x:v>
      </x:c>
      <x:c r="H1964" s="15" t="n">
        <x:v>69</x:v>
      </x:c>
      <x:c r="I1964" s="9" t="str">
        <x:v>P19</x:v>
      </x:c>
      <x:c r="J1964" s="11" t="n">
        <x:v>46307.680555555555</x:v>
      </x:c>
      <x:c r="K1964" s="15" t="n">
        <x:v>8</x:v>
      </x:c>
      <x:c r="L1964" s="15" t="n">
        <x:v>12</x:v>
      </x:c>
      <x:c r="M1964" s="13" t="n">
        <x:f>J1964+(K1964+L1964)/1440</x:f>
        <x:v>46307.694444444445</x:v>
      </x:c>
      <x:c r="N1964" s="13" t="n">
        <x:f>VLOOKUP(C1964,'MES orders'!$A$8:$H$127,5,FALSE)</x:f>
        <x:v>46308.666666666664</x:v>
      </x:c>
      <x:c r="O1964" s="16" t="n">
        <x:f>MAX(0,(M1964-N1964)*24)</x:f>
        <x:v>0</x:v>
      </x:c>
      <x:c r="P1964" s="9" t="str">
        <x:v>No</x:v>
      </x:c>
      <x:c r="Q1964" s="15" t="n">
        <x:v>20</x:v>
      </x:c>
      <x:c r="R1964" s="13" t="n">
        <x:f>J1964+Q1964/1440</x:f>
        <x:v>46307.694444444445</x:v>
      </x:c>
      <x:c r="S1964" s="2" t="str">
        <x:f>VLOOKUP(C1964,'MES orders'!$A$8:$H$127,6,FALSE)</x:f>
        <x:v>Normal</x:v>
      </x:c>
      <x:c r="T1964" s="9" t="str"/>
    </x:row>
    <x:row r="1965" ht="22" customHeight="1">
      <x:c r="A1965" s="2" t="str">
        <x:v>L00417-050</x:v>
      </x:c>
      <x:c r="B1965" s="2" t="str">
        <x:v>L00417</x:v>
      </x:c>
      <x:c r="C1965" s="2" t="str">
        <x:v>SO-26084</x:v>
      </x:c>
      <x:c r="D1965" s="2" t="str">
        <x:v>D-L-SS</x:v>
      </x:c>
      <x:c r="E1965" s="14" t="n">
        <x:v>5</x:v>
      </x:c>
      <x:c r="F1965" s="2" t="str">
        <x:v>Final leak / function test</x:v>
      </x:c>
      <x:c r="G1965" s="9" t="str">
        <x:v>QA-02</x:v>
      </x:c>
      <x:c r="H1965" s="15" t="n">
        <x:v>141</x:v>
      </x:c>
      <x:c r="I1965" s="9" t="str">
        <x:v>P23</x:v>
      </x:c>
      <x:c r="J1965" s="11" t="n">
        <x:v>46307.680555555555</x:v>
      </x:c>
      <x:c r="K1965" s="15" t="n">
        <x:v>10</x:v>
      </x:c>
      <x:c r="L1965" s="15" t="n">
        <x:v>6</x:v>
      </x:c>
      <x:c r="M1965" s="13" t="n">
        <x:f>J1965+(K1965+L1965)/1440</x:f>
        <x:v>46307.691666666666</x:v>
      </x:c>
      <x:c r="N1965" s="13" t="n">
        <x:f>VLOOKUP(C1965,'MES orders'!$A$8:$H$127,5,FALSE)</x:f>
        <x:v>46307.666666666664</x:v>
      </x:c>
      <x:c r="O1965" s="16" t="n">
        <x:f>MAX(0,(M1965-N1965)*24)</x:f>
        <x:v>0.6000000000349246</x:v>
      </x:c>
      <x:c r="P1965" s="9" t="str">
        <x:v>No</x:v>
      </x:c>
      <x:c r="Q1965" s="15" t="n">
        <x:v>16</x:v>
      </x:c>
      <x:c r="R1965" s="13" t="n">
        <x:f>J1965+Q1965/1440</x:f>
        <x:v>46307.691666666666</x:v>
      </x:c>
      <x:c r="S1965" s="2" t="str">
        <x:f>VLOOKUP(C1965,'MES orders'!$A$8:$H$127,6,FALSE)</x:f>
        <x:v>Normal</x:v>
      </x:c>
      <x:c r="T1965" s="9" t="str"/>
    </x:row>
    <x:row r="1966" ht="22" customHeight="1">
      <x:c r="A1966" s="2" t="str">
        <x:v>L00142-010</x:v>
      </x:c>
      <x:c r="B1966" s="2" t="str">
        <x:v>L00142</x:v>
      </x:c>
      <x:c r="C1966" s="2" t="str">
        <x:v>SO-26029</x:v>
      </x:c>
      <x:c r="D1966" s="2" t="str">
        <x:v>S-L-AL</x:v>
      </x:c>
      <x:c r="E1966" s="14" t="n">
        <x:v>10</x:v>
      </x:c>
      <x:c r="F1966" s="2" t="str">
        <x:v>CNC machining</x:v>
      </x:c>
      <x:c r="G1966" s="9" t="str">
        <x:v>CNC-06</x:v>
      </x:c>
      <x:c r="H1966" s="15" t="n">
        <x:v>50</x:v>
      </x:c>
      <x:c r="I1966" s="9" t="str">
        <x:v>P15</x:v>
      </x:c>
      <x:c r="J1966" s="11" t="n">
        <x:v>46307.68125</x:v>
      </x:c>
      <x:c r="K1966" s="15" t="n">
        <x:v>18</x:v>
      </x:c>
      <x:c r="L1966" s="15" t="n">
        <x:v>32</x:v>
      </x:c>
      <x:c r="M1966" s="13" t="n">
        <x:f>J1966+(K1966+L1966)/1440</x:f>
        <x:v>46307.71597222222</x:v>
      </x:c>
      <x:c r="N1966" s="13" t="n">
        <x:f>VLOOKUP(C1966,'MES orders'!$A$8:$H$127,5,FALSE)</x:f>
        <x:v>46308.666666666664</x:v>
      </x:c>
      <x:c r="O1966" s="16" t="n">
        <x:f>MAX(0,(M1966-N1966)*24)</x:f>
        <x:v>0</x:v>
      </x:c>
      <x:c r="P1966" s="9" t="str">
        <x:v>No</x:v>
      </x:c>
      <x:c r="Q1966" s="15" t="n">
        <x:v>18</x:v>
      </x:c>
      <x:c r="R1966" s="13" t="n">
        <x:f>J1966+Q1966/1440</x:f>
        <x:v>46307.69375</x:v>
      </x:c>
      <x:c r="S1966" s="2" t="str">
        <x:f>VLOOKUP(C1966,'MES orders'!$A$8:$H$127,6,FALSE)</x:f>
        <x:v>High</x:v>
      </x:c>
      <x:c r="T1966" s="9" t="str"/>
    </x:row>
    <x:row r="1967" ht="22" customHeight="1">
      <x:c r="A1967" s="2" t="str">
        <x:v>L00063-080</x:v>
      </x:c>
      <x:c r="B1967" s="2" t="str">
        <x:v>L00063</x:v>
      </x:c>
      <x:c r="C1967" s="2" t="str">
        <x:v>SO-26013</x:v>
      </x:c>
      <x:c r="D1967" s="2" t="str">
        <x:v>S-C-AL</x:v>
      </x:c>
      <x:c r="E1967" s="14" t="n">
        <x:v>5</x:v>
      </x:c>
      <x:c r="F1967" s="2" t="str">
        <x:v>Final leak / function test</x:v>
      </x:c>
      <x:c r="G1967" s="9" t="str">
        <x:v>QA-03</x:v>
      </x:c>
      <x:c r="H1967" s="15" t="n">
        <x:v>83</x:v>
      </x:c>
      <x:c r="I1967" s="9" t="str">
        <x:v>P22</x:v>
      </x:c>
      <x:c r="J1967" s="11" t="n">
        <x:v>46307.686111111114</x:v>
      </x:c>
      <x:c r="K1967" s="15" t="n">
        <x:v>10</x:v>
      </x:c>
      <x:c r="L1967" s="15" t="n">
        <x:v>4</x:v>
      </x:c>
      <x:c r="M1967" s="13" t="n">
        <x:f>J1967+(K1967+L1967)/1440</x:f>
        <x:v>46307.69583333334</x:v>
      </x:c>
      <x:c r="N1967" s="13" t="n">
        <x:f>VLOOKUP(C1967,'MES orders'!$A$8:$H$127,5,FALSE)</x:f>
        <x:v>46308.666666666664</x:v>
      </x:c>
      <x:c r="O1967" s="16" t="n">
        <x:f>MAX(0,(M1967-N1967)*24)</x:f>
        <x:v>0</x:v>
      </x:c>
      <x:c r="P1967" s="9" t="str">
        <x:v>No</x:v>
      </x:c>
      <x:c r="Q1967" s="15" t="n">
        <x:v>14</x:v>
      </x:c>
      <x:c r="R1967" s="13" t="n">
        <x:f>J1967+Q1967/1440</x:f>
        <x:v>46307.69583333334</x:v>
      </x:c>
      <x:c r="S1967" s="2" t="str">
        <x:f>VLOOKUP(C1967,'MES orders'!$A$8:$H$127,6,FALSE)</x:f>
        <x:v>Normal</x:v>
      </x:c>
      <x:c r="T1967" s="9" t="str"/>
    </x:row>
    <x:row r="1968" ht="22" customHeight="1">
      <x:c r="A1968" s="2" t="str">
        <x:v>L00419-050</x:v>
      </x:c>
      <x:c r="B1968" s="2" t="str">
        <x:v>L00419</x:v>
      </x:c>
      <x:c r="C1968" s="2" t="str">
        <x:v>SO-26084</x:v>
      </x:c>
      <x:c r="D1968" s="2" t="str">
        <x:v>D-L-SS</x:v>
      </x:c>
      <x:c r="E1968" s="14" t="n">
        <x:v>5</x:v>
      </x:c>
      <x:c r="F1968" s="2" t="str">
        <x:v>Final leak / function test</x:v>
      </x:c>
      <x:c r="G1968" s="9" t="str">
        <x:v>QA-01</x:v>
      </x:c>
      <x:c r="H1968" s="15" t="n">
        <x:v>76</x:v>
      </x:c>
      <x:c r="I1968" s="9" t="str">
        <x:v>P24</x:v>
      </x:c>
      <x:c r="J1968" s="11" t="n">
        <x:v>46307.68819444445</x:v>
      </x:c>
      <x:c r="K1968" s="15" t="n">
        <x:v>10</x:v>
      </x:c>
      <x:c r="L1968" s="15" t="n">
        <x:v>6</x:v>
      </x:c>
      <x:c r="M1968" s="13" t="n">
        <x:f>J1968+(K1968+L1968)/1440</x:f>
        <x:v>46307.69930555556</x:v>
      </x:c>
      <x:c r="N1968" s="13" t="n">
        <x:f>VLOOKUP(C1968,'MES orders'!$A$8:$H$127,5,FALSE)</x:f>
        <x:v>46307.666666666664</x:v>
      </x:c>
      <x:c r="O1968" s="16" t="n">
        <x:f>MAX(0,(M1968-N1968)*24)</x:f>
        <x:v>0.7833333334419876</x:v>
      </x:c>
      <x:c r="P1968" s="9" t="str">
        <x:v>No</x:v>
      </x:c>
      <x:c r="Q1968" s="15" t="n">
        <x:v>16</x:v>
      </x:c>
      <x:c r="R1968" s="13" t="n">
        <x:f>J1968+Q1968/1440</x:f>
        <x:v>46307.69930555556</x:v>
      </x:c>
      <x:c r="S1968" s="2" t="str">
        <x:f>VLOOKUP(C1968,'MES orders'!$A$8:$H$127,6,FALSE)</x:f>
        <x:v>Normal</x:v>
      </x:c>
      <x:c r="T1968" s="9" t="str"/>
    </x:row>
    <x:row r="1969" ht="22" customHeight="1">
      <x:c r="A1969" s="2" t="str">
        <x:v>L00498-040</x:v>
      </x:c>
      <x:c r="B1969" s="2" t="str">
        <x:v>L00498</x:v>
      </x:c>
      <x:c r="C1969" s="2" t="str">
        <x:v>SO-26100</x:v>
      </x:c>
      <x:c r="D1969" s="2" t="str">
        <x:v>R-S-SS</x:v>
      </x:c>
      <x:c r="E1969" s="14" t="n">
        <x:v>10</x:v>
      </x:c>
      <x:c r="F1969" s="2" t="str">
        <x:v>Mechanical assembly</x:v>
      </x:c>
      <x:c r="G1969" s="9" t="str">
        <x:v>AS-03</x:v>
      </x:c>
      <x:c r="H1969" s="15" t="n">
        <x:v>104</x:v>
      </x:c>
      <x:c r="I1969" s="9" t="str">
        <x:v>P18</x:v>
      </x:c>
      <x:c r="J1969" s="11" t="n">
        <x:v>46307.68958333333</x:v>
      </x:c>
      <x:c r="K1969" s="15" t="n">
        <x:v>8</x:v>
      </x:c>
      <x:c r="L1969" s="15" t="n">
        <x:v>18</x:v>
      </x:c>
      <x:c r="M1969" s="13" t="n">
        <x:f>J1969+(K1969+L1969)/1440</x:f>
        <x:v>46307.70763888889</x:v>
      </x:c>
      <x:c r="N1969" s="13" t="n">
        <x:f>VLOOKUP(C1969,'MES orders'!$A$8:$H$127,5,FALSE)</x:f>
        <x:v>46307.666666666664</x:v>
      </x:c>
      <x:c r="O1969" s="16" t="n">
        <x:f>MAX(0,(M1969-N1969)*24)</x:f>
        <x:v>0.9833333333954215</x:v>
      </x:c>
      <x:c r="P1969" s="9" t="str">
        <x:v>No</x:v>
      </x:c>
      <x:c r="Q1969" s="15" t="n">
        <x:v>26</x:v>
      </x:c>
      <x:c r="R1969" s="13" t="n">
        <x:f>J1969+Q1969/1440</x:f>
        <x:v>46307.70763888889</x:v>
      </x:c>
      <x:c r="S1969" s="2" t="str">
        <x:f>VLOOKUP(C1969,'MES orders'!$A$8:$H$127,6,FALSE)</x:f>
        <x:v>Normal</x:v>
      </x:c>
      <x:c r="T1969" s="9" t="str"/>
    </x:row>
    <x:row r="1970" ht="22" customHeight="1">
      <x:c r="A1970" s="2" t="str">
        <x:v>L00500-020</x:v>
      </x:c>
      <x:c r="B1970" s="2" t="str">
        <x:v>L00500</x:v>
      </x:c>
      <x:c r="C1970" s="2" t="str">
        <x:v>SO-26100</x:v>
      </x:c>
      <x:c r="D1970" s="2" t="str">
        <x:v>R-S-SS</x:v>
      </x:c>
      <x:c r="E1970" s="14" t="n">
        <x:v>10</x:v>
      </x:c>
      <x:c r="F1970" s="2" t="str">
        <x:v>Deburr &amp; inspect</x:v>
      </x:c>
      <x:c r="G1970" s="9" t="str">
        <x:v>DB-01</x:v>
      </x:c>
      <x:c r="H1970" s="15" t="n">
        <x:v>187</x:v>
      </x:c>
      <x:c r="I1970" s="9" t="str">
        <x:v>P17</x:v>
      </x:c>
      <x:c r="J1970" s="11" t="n">
        <x:v>46307.69027777778</x:v>
      </x:c>
      <x:c r="K1970" s="15" t="n">
        <x:v>4</x:v>
      </x:c>
      <x:c r="L1970" s="15" t="n">
        <x:v>7</x:v>
      </x:c>
      <x:c r="M1970" s="13" t="n">
        <x:f>J1970+(K1970+L1970)/1440</x:f>
        <x:v>46307.69791666667</x:v>
      </x:c>
      <x:c r="N1970" s="13" t="n">
        <x:f>VLOOKUP(C1970,'MES orders'!$A$8:$H$127,5,FALSE)</x:f>
        <x:v>46307.666666666664</x:v>
      </x:c>
      <x:c r="O1970" s="16" t="n">
        <x:f>MAX(0,(M1970-N1970)*24)</x:f>
        <x:v>0.750000000174623</x:v>
      </x:c>
      <x:c r="P1970" s="9" t="str">
        <x:v>No</x:v>
      </x:c>
      <x:c r="Q1970" s="15" t="n">
        <x:v>11</x:v>
      </x:c>
      <x:c r="R1970" s="13" t="n">
        <x:f>J1970+Q1970/1440</x:f>
        <x:v>46307.69791666667</x:v>
      </x:c>
      <x:c r="S1970" s="2" t="str">
        <x:f>VLOOKUP(C1970,'MES orders'!$A$8:$H$127,6,FALSE)</x:f>
        <x:v>Normal</x:v>
      </x:c>
      <x:c r="T1970" s="9" t="str"/>
    </x:row>
    <x:row r="1971" ht="22" customHeight="1">
      <x:c r="A1971" s="2" t="str">
        <x:v>L00064-070</x:v>
      </x:c>
      <x:c r="B1971" s="2" t="str">
        <x:v>L00064</x:v>
      </x:c>
      <x:c r="C1971" s="2" t="str">
        <x:v>SO-26013</x:v>
      </x:c>
      <x:c r="D1971" s="2" t="str">
        <x:v>S-C-AL</x:v>
      </x:c>
      <x:c r="E1971" s="14" t="n">
        <x:v>5</x:v>
      </x:c>
      <x:c r="F1971" s="2" t="str">
        <x:v>Final assembly</x:v>
      </x:c>
      <x:c r="G1971" s="9" t="str">
        <x:v>AS-02</x:v>
      </x:c>
      <x:c r="H1971" s="15" t="n">
        <x:v>127</x:v>
      </x:c>
      <x:c r="I1971" s="9" t="str">
        <x:v>P20</x:v>
      </x:c>
      <x:c r="J1971" s="11" t="n">
        <x:v>46307.69097222222</x:v>
      </x:c>
      <x:c r="K1971" s="15" t="n">
        <x:v>5</x:v>
      </x:c>
      <x:c r="L1971" s="15" t="n">
        <x:v>3</x:v>
      </x:c>
      <x:c r="M1971" s="13" t="n">
        <x:f>J1971+(K1971+L1971)/1440</x:f>
        <x:v>46307.69652777778</x:v>
      </x:c>
      <x:c r="N1971" s="13" t="n">
        <x:f>VLOOKUP(C1971,'MES orders'!$A$8:$H$127,5,FALSE)</x:f>
        <x:v>46308.666666666664</x:v>
      </x:c>
      <x:c r="O1971" s="16" t="n">
        <x:f>MAX(0,(M1971-N1971)*24)</x:f>
        <x:v>0</x:v>
      </x:c>
      <x:c r="P1971" s="9" t="str">
        <x:v>No</x:v>
      </x:c>
      <x:c r="Q1971" s="15" t="n">
        <x:v>8</x:v>
      </x:c>
      <x:c r="R1971" s="13" t="n">
        <x:f>J1971+Q1971/1440</x:f>
        <x:v>46307.69652777778</x:v>
      </x:c>
      <x:c r="S1971" s="2" t="str">
        <x:f>VLOOKUP(C1971,'MES orders'!$A$8:$H$127,6,FALSE)</x:f>
        <x:v>Normal</x:v>
      </x:c>
      <x:c r="T1971" s="9" t="str"/>
    </x:row>
    <x:row r="1972" ht="22" customHeight="1">
      <x:c r="A1972" s="2" t="str">
        <x:v>L00065-060</x:v>
      </x:c>
      <x:c r="B1972" s="2" t="str">
        <x:v>L00065</x:v>
      </x:c>
      <x:c r="C1972" s="2" t="str">
        <x:v>SO-26013</x:v>
      </x:c>
      <x:c r="D1972" s="2" t="str">
        <x:v>S-C-AL</x:v>
      </x:c>
      <x:c r="E1972" s="14" t="n">
        <x:v>5</x:v>
      </x:c>
      <x:c r="F1972" s="2" t="str">
        <x:v>Sensor calibration</x:v>
      </x:c>
      <x:c r="G1972" s="9" t="str">
        <x:v>CAL-01</x:v>
      </x:c>
      <x:c r="H1972" s="15" t="n">
        <x:v>105</x:v>
      </x:c>
      <x:c r="I1972" s="9" t="str">
        <x:v>P21</x:v>
      </x:c>
      <x:c r="J1972" s="11" t="n">
        <x:v>46307.69097222222</x:v>
      </x:c>
      <x:c r="K1972" s="15" t="n">
        <x:v>10</x:v>
      </x:c>
      <x:c r="L1972" s="15" t="n">
        <x:v>5</x:v>
      </x:c>
      <x:c r="M1972" s="13" t="n">
        <x:f>J1972+(K1972+L1972)/1440</x:f>
        <x:v>46307.70138888888</x:v>
      </x:c>
      <x:c r="N1972" s="13" t="n">
        <x:f>VLOOKUP(C1972,'MES orders'!$A$8:$H$127,5,FALSE)</x:f>
        <x:v>46308.666666666664</x:v>
      </x:c>
      <x:c r="O1972" s="16" t="n">
        <x:f>MAX(0,(M1972-N1972)*24)</x:f>
        <x:v>0</x:v>
      </x:c>
      <x:c r="P1972" s="9" t="str">
        <x:v>No</x:v>
      </x:c>
      <x:c r="Q1972" s="15" t="n">
        <x:v>15</x:v>
      </x:c>
      <x:c r="R1972" s="13" t="n">
        <x:f>J1972+Q1972/1440</x:f>
        <x:v>46307.70138888888</x:v>
      </x:c>
      <x:c r="S1972" s="2" t="str">
        <x:f>VLOOKUP(C1972,'MES orders'!$A$8:$H$127,6,FALSE)</x:f>
        <x:v>Normal</x:v>
      </x:c>
      <x:c r="T1972" s="9" t="str"/>
    </x:row>
    <x:row r="1973" ht="22" customHeight="1">
      <x:c r="A1973" s="2" t="str">
        <x:v>L00420-050</x:v>
      </x:c>
      <x:c r="B1973" s="2" t="str">
        <x:v>L00420</x:v>
      </x:c>
      <x:c r="C1973" s="2" t="str">
        <x:v>SO-26084</x:v>
      </x:c>
      <x:c r="D1973" s="2" t="str">
        <x:v>D-L-SS</x:v>
      </x:c>
      <x:c r="E1973" s="14" t="n">
        <x:v>5</x:v>
      </x:c>
      <x:c r="F1973" s="2" t="str">
        <x:v>Final leak / function test</x:v>
      </x:c>
      <x:c r="G1973" s="9" t="str">
        <x:v>QA-02</x:v>
      </x:c>
      <x:c r="H1973" s="15" t="n">
        <x:v>142</x:v>
      </x:c>
      <x:c r="I1973" s="9" t="str">
        <x:v>P23</x:v>
      </x:c>
      <x:c r="J1973" s="11" t="n">
        <x:v>46307.691666666666</x:v>
      </x:c>
      <x:c r="K1973" s="15" t="n">
        <x:v>10</x:v>
      </x:c>
      <x:c r="L1973" s="15" t="n">
        <x:v>6</x:v>
      </x:c>
      <x:c r="M1973" s="13" t="n">
        <x:f>J1973+(K1973+L1973)/1440</x:f>
        <x:v>46307.70277777778</x:v>
      </x:c>
      <x:c r="N1973" s="13" t="n">
        <x:f>VLOOKUP(C1973,'MES orders'!$A$8:$H$127,5,FALSE)</x:f>
        <x:v>46307.666666666664</x:v>
      </x:c>
      <x:c r="O1973" s="16" t="n">
        <x:f>MAX(0,(M1973-N1973)*24)</x:f>
        <x:v>0.8666666666977108</x:v>
      </x:c>
      <x:c r="P1973" s="9" t="str">
        <x:v>No</x:v>
      </x:c>
      <x:c r="Q1973" s="15" t="n">
        <x:v>16</x:v>
      </x:c>
      <x:c r="R1973" s="13" t="n">
        <x:f>J1973+Q1973/1440</x:f>
        <x:v>46307.70277777778</x:v>
      </x:c>
      <x:c r="S1973" s="2" t="str">
        <x:f>VLOOKUP(C1973,'MES orders'!$A$8:$H$127,6,FALSE)</x:f>
        <x:v>Normal</x:v>
      </x:c>
      <x:c r="T1973" s="9" t="str"/>
    </x:row>
    <x:row r="1974" ht="22" customHeight="1">
      <x:c r="A1974" s="2" t="str">
        <x:v>L00538-020</x:v>
      </x:c>
      <x:c r="B1974" s="2" t="str">
        <x:v>L00538</x:v>
      </x:c>
      <x:c r="C1974" s="2" t="str">
        <x:v>SO-26108</x:v>
      </x:c>
      <x:c r="D1974" s="2" t="str">
        <x:v>R-L-SS</x:v>
      </x:c>
      <x:c r="E1974" s="14" t="n">
        <x:v>20</x:v>
      </x:c>
      <x:c r="F1974" s="2" t="str">
        <x:v>Deburr &amp; inspect</x:v>
      </x:c>
      <x:c r="G1974" s="9" t="str">
        <x:v>DB-02</x:v>
      </x:c>
      <x:c r="H1974" s="15" t="n">
        <x:v>127</x:v>
      </x:c>
      <x:c r="I1974" s="9" t="str">
        <x:v>P13</x:v>
      </x:c>
      <x:c r="J1974" s="11" t="n">
        <x:v>46307.69305555556</x:v>
      </x:c>
      <x:c r="K1974" s="15" t="n">
        <x:v>4</x:v>
      </x:c>
      <x:c r="L1974" s="15" t="n">
        <x:v>19</x:v>
      </x:c>
      <x:c r="M1974" s="13" t="n">
        <x:f>J1974+(K1974+L1974)/1440</x:f>
        <x:v>46307.70902777778</x:v>
      </x:c>
      <x:c r="N1974" s="13" t="n">
        <x:f>VLOOKUP(C1974,'MES orders'!$A$8:$H$127,5,FALSE)</x:f>
        <x:v>46307.666666666664</x:v>
      </x:c>
      <x:c r="O1974" s="16" t="n">
        <x:f>MAX(0,(M1974-N1974)*24)</x:f>
        <x:v>1.0166666668374091</x:v>
      </x:c>
      <x:c r="P1974" s="9" t="str">
        <x:v>No</x:v>
      </x:c>
      <x:c r="Q1974" s="15" t="n">
        <x:v>23</x:v>
      </x:c>
      <x:c r="R1974" s="13" t="n">
        <x:f>J1974+Q1974/1440</x:f>
        <x:v>46307.70902777778</x:v>
      </x:c>
      <x:c r="S1974" s="2" t="str">
        <x:f>VLOOKUP(C1974,'MES orders'!$A$8:$H$127,6,FALSE)</x:f>
        <x:v>Normal</x:v>
      </x:c>
      <x:c r="T1974" s="9" t="str"/>
    </x:row>
    <x:row r="1975" ht="22" customHeight="1">
      <x:c r="A1975" s="2" t="str">
        <x:v>L00143-010</x:v>
      </x:c>
      <x:c r="B1975" s="2" t="str">
        <x:v>L00143</x:v>
      </x:c>
      <x:c r="C1975" s="2" t="str">
        <x:v>SO-26029</x:v>
      </x:c>
      <x:c r="D1975" s="2" t="str">
        <x:v>S-L-AL</x:v>
      </x:c>
      <x:c r="E1975" s="14" t="n">
        <x:v>10</x:v>
      </x:c>
      <x:c r="F1975" s="2" t="str">
        <x:v>CNC machining</x:v>
      </x:c>
      <x:c r="G1975" s="9" t="str">
        <x:v>CNC-05</x:v>
      </x:c>
      <x:c r="H1975" s="15" t="n">
        <x:v>54</x:v>
      </x:c>
      <x:c r="I1975" s="9" t="str">
        <x:v>P15</x:v>
      </x:c>
      <x:c r="J1975" s="11" t="n">
        <x:v>46307.69375</x:v>
      </x:c>
      <x:c r="K1975" s="15" t="n">
        <x:v>18</x:v>
      </x:c>
      <x:c r="L1975" s="15" t="n">
        <x:v>32</x:v>
      </x:c>
      <x:c r="M1975" s="13" t="n">
        <x:f>J1975+(K1975+L1975)/1440</x:f>
        <x:v>46307.72847222222</x:v>
      </x:c>
      <x:c r="N1975" s="13" t="n">
        <x:f>VLOOKUP(C1975,'MES orders'!$A$8:$H$127,5,FALSE)</x:f>
        <x:v>46308.666666666664</x:v>
      </x:c>
      <x:c r="O1975" s="16" t="n">
        <x:f>MAX(0,(M1975-N1975)*24)</x:f>
        <x:v>0</x:v>
      </x:c>
      <x:c r="P1975" s="9" t="str">
        <x:v>No</x:v>
      </x:c>
      <x:c r="Q1975" s="15" t="n">
        <x:v>18</x:v>
      </x:c>
      <x:c r="R1975" s="13" t="n">
        <x:f>J1975+Q1975/1440</x:f>
        <x:v>46307.706249999996</x:v>
      </x:c>
      <x:c r="S1975" s="2" t="str">
        <x:f>VLOOKUP(C1975,'MES orders'!$A$8:$H$127,6,FALSE)</x:f>
        <x:v>High</x:v>
      </x:c>
      <x:c r="T1975" s="9" t="str"/>
    </x:row>
    <x:row r="1976" ht="22" customHeight="1">
      <x:c r="A1976" s="2" t="str">
        <x:v>L00102-030</x:v>
      </x:c>
      <x:c r="B1976" s="2" t="str">
        <x:v>L00102</x:v>
      </x:c>
      <x:c r="C1976" s="2" t="str">
        <x:v>SO-26021</x:v>
      </x:c>
      <x:c r="D1976" s="2" t="str">
        <x:v>S-S-AL</x:v>
      </x:c>
      <x:c r="E1976" s="14" t="n">
        <x:v>10</x:v>
      </x:c>
      <x:c r="F1976" s="2" t="str">
        <x:v>Wash &amp; dry</x:v>
      </x:c>
      <x:c r="G1976" s="9" t="str">
        <x:v>WS-01</x:v>
      </x:c>
      <x:c r="H1976" s="15" t="n">
        <x:v>184</x:v>
      </x:c>
      <x:c r="I1976" s="9" t="str">
        <x:v>P19</x:v>
      </x:c>
      <x:c r="J1976" s="11" t="n">
        <x:v>46307.694444444445</x:v>
      </x:c>
      <x:c r="K1976" s="15" t="n">
        <x:v>12</x:v>
      </x:c>
      <x:c r="L1976" s="15" t="n">
        <x:v>4</x:v>
      </x:c>
      <x:c r="M1976" s="13" t="n">
        <x:f>J1976+(K1976+L1976)/1440</x:f>
        <x:v>46307.705555555556</x:v>
      </x:c>
      <x:c r="N1976" s="13" t="n">
        <x:f>VLOOKUP(C1976,'MES orders'!$A$8:$H$127,5,FALSE)</x:f>
        <x:v>46308.666666666664</x:v>
      </x:c>
      <x:c r="O1976" s="16" t="n">
        <x:f>MAX(0,(M1976-N1976)*24)</x:f>
        <x:v>0</x:v>
      </x:c>
      <x:c r="P1976" s="9" t="str">
        <x:v>No</x:v>
      </x:c>
      <x:c r="Q1976" s="15" t="n">
        <x:v>16</x:v>
      </x:c>
      <x:c r="R1976" s="13" t="n">
        <x:f>J1976+Q1976/1440</x:f>
        <x:v>46307.705555555556</x:v>
      </x:c>
      <x:c r="S1976" s="2" t="str">
        <x:f>VLOOKUP(C1976,'MES orders'!$A$8:$H$127,6,FALSE)</x:f>
        <x:v>Normal</x:v>
      </x:c>
      <x:c r="T1976" s="9" t="str"/>
    </x:row>
    <x:row r="1977" ht="22" customHeight="1">
      <x:c r="A1977" s="2" t="str">
        <x:v>L00496-050</x:v>
      </x:c>
      <x:c r="B1977" s="2" t="str">
        <x:v>L00496</x:v>
      </x:c>
      <x:c r="C1977" s="2" t="str">
        <x:v>SO-26100</x:v>
      </x:c>
      <x:c r="D1977" s="2" t="str">
        <x:v>R-S-SS</x:v>
      </x:c>
      <x:c r="E1977" s="14" t="n">
        <x:v>10</x:v>
      </x:c>
      <x:c r="F1977" s="2" t="str">
        <x:v>Valve adjustment</x:v>
      </x:c>
      <x:c r="G1977" s="9" t="str">
        <x:v>AS-01</x:v>
      </x:c>
      <x:c r="H1977" s="15" t="n">
        <x:v>159</x:v>
      </x:c>
      <x:c r="I1977" s="9" t="str">
        <x:v>P17</x:v>
      </x:c>
      <x:c r="J1977" s="11" t="n">
        <x:v>46307.697916666664</x:v>
      </x:c>
      <x:c r="K1977" s="15" t="n">
        <x:v>6</x:v>
      </x:c>
      <x:c r="L1977" s="15" t="n">
        <x:v>11</x:v>
      </x:c>
      <x:c r="M1977" s="13" t="n">
        <x:f>J1977+(K1977+L1977)/1440</x:f>
        <x:v>46307.70972222222</x:v>
      </x:c>
      <x:c r="N1977" s="13" t="n">
        <x:f>VLOOKUP(C1977,'MES orders'!$A$8:$H$127,5,FALSE)</x:f>
        <x:v>46307.666666666664</x:v>
      </x:c>
      <x:c r="O1977" s="16" t="n">
        <x:f>MAX(0,(M1977-N1977)*24)</x:f>
        <x:v>1.03333333338378</x:v>
      </x:c>
      <x:c r="P1977" s="9" t="str">
        <x:v>No</x:v>
      </x:c>
      <x:c r="Q1977" s="15" t="n">
        <x:v>17</x:v>
      </x:c>
      <x:c r="R1977" s="13" t="n">
        <x:f>J1977+Q1977/1440</x:f>
        <x:v>46307.70972222222</x:v>
      </x:c>
      <x:c r="S1977" s="2" t="str">
        <x:f>VLOOKUP(C1977,'MES orders'!$A$8:$H$127,6,FALSE)</x:f>
        <x:v>Normal</x:v>
      </x:c>
      <x:c r="T1977" s="9" t="str"/>
    </x:row>
    <x:row r="1978" ht="22" customHeight="1">
      <x:c r="A1978" s="2" t="str">
        <x:v>L00499-040</x:v>
      </x:c>
      <x:c r="B1978" s="2" t="str">
        <x:v>L00499</x:v>
      </x:c>
      <x:c r="C1978" s="2" t="str">
        <x:v>SO-26100</x:v>
      </x:c>
      <x:c r="D1978" s="2" t="str">
        <x:v>R-S-SS</x:v>
      </x:c>
      <x:c r="E1978" s="14" t="n">
        <x:v>10</x:v>
      </x:c>
      <x:c r="F1978" s="2" t="str">
        <x:v>Mechanical assembly</x:v>
      </x:c>
      <x:c r="G1978" s="9" t="str">
        <x:v>AS-04</x:v>
      </x:c>
      <x:c r="H1978" s="15" t="n">
        <x:v>69</x:v>
      </x:c>
      <x:c r="I1978" s="9" t="str">
        <x:v>P16</x:v>
      </x:c>
      <x:c r="J1978" s="11" t="n">
        <x:v>46307.697916666664</x:v>
      </x:c>
      <x:c r="K1978" s="15" t="n">
        <x:v>8</x:v>
      </x:c>
      <x:c r="L1978" s="15" t="n">
        <x:v>18</x:v>
      </x:c>
      <x:c r="M1978" s="13" t="n">
        <x:f>J1978+(K1978+L1978)/1440</x:f>
        <x:v>46307.71597222222</x:v>
      </x:c>
      <x:c r="N1978" s="13" t="n">
        <x:f>VLOOKUP(C1978,'MES orders'!$A$8:$H$127,5,FALSE)</x:f>
        <x:v>46307.666666666664</x:v>
      </x:c>
      <x:c r="O1978" s="16" t="n">
        <x:f>MAX(0,(M1978-N1978)*24)</x:f>
        <x:v>1.1833333333488554</x:v>
      </x:c>
      <x:c r="P1978" s="9" t="str">
        <x:v>No</x:v>
      </x:c>
      <x:c r="Q1978" s="15" t="n">
        <x:v>26</x:v>
      </x:c>
      <x:c r="R1978" s="13" t="n">
        <x:f>J1978+Q1978/1440</x:f>
        <x:v>46307.71597222222</x:v>
      </x:c>
      <x:c r="S1978" s="2" t="str">
        <x:f>VLOOKUP(C1978,'MES orders'!$A$8:$H$127,6,FALSE)</x:f>
        <x:v>Normal</x:v>
      </x:c>
      <x:c r="T1978" s="9" t="str"/>
    </x:row>
    <x:row r="1979" ht="22" customHeight="1">
      <x:c r="A1979" s="2" t="str">
        <x:v>L00539-020</x:v>
      </x:c>
      <x:c r="B1979" s="2" t="str">
        <x:v>L00539</x:v>
      </x:c>
      <x:c r="C1979" s="2" t="str">
        <x:v>SO-26108</x:v>
      </x:c>
      <x:c r="D1979" s="2" t="str">
        <x:v>R-L-SS</x:v>
      </x:c>
      <x:c r="E1979" s="14" t="n">
        <x:v>20</x:v>
      </x:c>
      <x:c r="F1979" s="2" t="str">
        <x:v>Deburr &amp; inspect</x:v>
      </x:c>
      <x:c r="G1979" s="9" t="str">
        <x:v>DB-01</x:v>
      </x:c>
      <x:c r="H1979" s="15" t="n">
        <x:v>188</x:v>
      </x:c>
      <x:c r="I1979" s="9" t="str">
        <x:v>P14</x:v>
      </x:c>
      <x:c r="J1979" s="11" t="n">
        <x:v>46307.697916666664</x:v>
      </x:c>
      <x:c r="K1979" s="15" t="n">
        <x:v>4</x:v>
      </x:c>
      <x:c r="L1979" s="15" t="n">
        <x:v>19</x:v>
      </x:c>
      <x:c r="M1979" s="13" t="n">
        <x:f>J1979+(K1979+L1979)/1440</x:f>
        <x:v>46307.71388888889</x:v>
      </x:c>
      <x:c r="N1979" s="13" t="n">
        <x:f>VLOOKUP(C1979,'MES orders'!$A$8:$H$127,5,FALSE)</x:f>
        <x:v>46307.666666666664</x:v>
      </x:c>
      <x:c r="O1979" s="16" t="n">
        <x:f>MAX(0,(M1979-N1979)*24)</x:f>
        <x:v>1.133333333360497</x:v>
      </x:c>
      <x:c r="P1979" s="9" t="str">
        <x:v>No</x:v>
      </x:c>
      <x:c r="Q1979" s="15" t="n">
        <x:v>23</x:v>
      </x:c>
      <x:c r="R1979" s="13" t="n">
        <x:f>J1979+Q1979/1440</x:f>
        <x:v>46307.71388888889</x:v>
      </x:c>
      <x:c r="S1979" s="2" t="str">
        <x:f>VLOOKUP(C1979,'MES orders'!$A$8:$H$127,6,FALSE)</x:f>
        <x:v>Normal</x:v>
      </x:c>
      <x:c r="T1979" s="9" t="str"/>
    </x:row>
    <x:row r="1980" ht="22" customHeight="1">
      <x:c r="A1980" s="2" t="str">
        <x:v>L00497-060</x:v>
      </x:c>
      <x:c r="B1980" s="2" t="str">
        <x:v>L00497</x:v>
      </x:c>
      <x:c r="C1980" s="2" t="str">
        <x:v>SO-26100</x:v>
      </x:c>
      <x:c r="D1980" s="2" t="str">
        <x:v>R-S-SS</x:v>
      </x:c>
      <x:c r="E1980" s="14" t="n">
        <x:v>10</x:v>
      </x:c>
      <x:c r="F1980" s="2" t="str">
        <x:v>Final leak / function test</x:v>
      </x:c>
      <x:c r="G1980" s="9" t="str">
        <x:v>QA-03</x:v>
      </x:c>
      <x:c r="H1980" s="15" t="n">
        <x:v>84</x:v>
      </x:c>
      <x:c r="I1980" s="9" t="str">
        <x:v>P24</x:v>
      </x:c>
      <x:c r="J1980" s="11" t="n">
        <x:v>46307.69930555556</x:v>
      </x:c>
      <x:c r="K1980" s="15" t="n">
        <x:v>10</x:v>
      </x:c>
      <x:c r="L1980" s="15" t="n">
        <x:v>9</x:v>
      </x:c>
      <x:c r="M1980" s="13" t="n">
        <x:f>J1980+(K1980+L1980)/1440</x:f>
        <x:v>46307.7125</x:v>
      </x:c>
      <x:c r="N1980" s="13" t="n">
        <x:f>VLOOKUP(C1980,'MES orders'!$A$8:$H$127,5,FALSE)</x:f>
        <x:v>46307.666666666664</x:v>
      </x:c>
      <x:c r="O1980" s="16" t="n">
        <x:f>MAX(0,(M1980-N1980)*24)</x:f>
        <x:v>1.1000000000931323</x:v>
      </x:c>
      <x:c r="P1980" s="9" t="str">
        <x:v>No</x:v>
      </x:c>
      <x:c r="Q1980" s="15" t="n">
        <x:v>19</x:v>
      </x:c>
      <x:c r="R1980" s="13" t="n">
        <x:f>J1980+Q1980/1440</x:f>
        <x:v>46307.7125</x:v>
      </x:c>
      <x:c r="S1980" s="2" t="str">
        <x:f>VLOOKUP(C1980,'MES orders'!$A$8:$H$127,6,FALSE)</x:f>
        <x:v>Normal</x:v>
      </x:c>
      <x:c r="T1980" s="9" t="str"/>
    </x:row>
    <x:row r="1981" ht="22" customHeight="1">
      <x:c r="A1981" s="2" t="str">
        <x:v>L00065-070</x:v>
      </x:c>
      <x:c r="B1981" s="2" t="str">
        <x:v>L00065</x:v>
      </x:c>
      <x:c r="C1981" s="2" t="str">
        <x:v>SO-26013</x:v>
      </x:c>
      <x:c r="D1981" s="2" t="str">
        <x:v>S-C-AL</x:v>
      </x:c>
      <x:c r="E1981" s="14" t="n">
        <x:v>5</x:v>
      </x:c>
      <x:c r="F1981" s="2" t="str">
        <x:v>Final assembly</x:v>
      </x:c>
      <x:c r="G1981" s="9" t="str">
        <x:v>AS-02</x:v>
      </x:c>
      <x:c r="H1981" s="15" t="n">
        <x:v>128</x:v>
      </x:c>
      <x:c r="I1981" s="9" t="str">
        <x:v>P20</x:v>
      </x:c>
      <x:c r="J1981" s="11" t="n">
        <x:v>46307.70138888889</x:v>
      </x:c>
      <x:c r="K1981" s="15" t="n">
        <x:v>5</x:v>
      </x:c>
      <x:c r="L1981" s="15" t="n">
        <x:v>3</x:v>
      </x:c>
      <x:c r="M1981" s="13" t="n">
        <x:f>J1981+(K1981+L1981)/1440</x:f>
        <x:v>46307.70694444445</x:v>
      </x:c>
      <x:c r="N1981" s="13" t="n">
        <x:f>VLOOKUP(C1981,'MES orders'!$A$8:$H$127,5,FALSE)</x:f>
        <x:v>46308.666666666664</x:v>
      </x:c>
      <x:c r="O1981" s="16" t="n">
        <x:f>MAX(0,(M1981-N1981)*24)</x:f>
        <x:v>0</x:v>
      </x:c>
      <x:c r="P1981" s="9" t="str">
        <x:v>No</x:v>
      </x:c>
      <x:c r="Q1981" s="15" t="n">
        <x:v>8</x:v>
      </x:c>
      <x:c r="R1981" s="13" t="n">
        <x:f>J1981+Q1981/1440</x:f>
        <x:v>46307.70694444445</x:v>
      </x:c>
      <x:c r="S1981" s="2" t="str">
        <x:f>VLOOKUP(C1981,'MES orders'!$A$8:$H$127,6,FALSE)</x:f>
        <x:v>Normal</x:v>
      </x:c>
      <x:c r="T1981" s="9" t="str"/>
    </x:row>
    <x:row r="1982" ht="22" customHeight="1">
      <x:c r="A1982" s="2" t="str">
        <x:v>L00101-060</x:v>
      </x:c>
      <x:c r="B1982" s="2" t="str">
        <x:v>L00101</x:v>
      </x:c>
      <x:c r="C1982" s="2" t="str">
        <x:v>SO-26021</x:v>
      </x:c>
      <x:c r="D1982" s="2" t="str">
        <x:v>S-S-AL</x:v>
      </x:c>
      <x:c r="E1982" s="14" t="n">
        <x:v>10</x:v>
      </x:c>
      <x:c r="F1982" s="2" t="str">
        <x:v>Sensor calibration</x:v>
      </x:c>
      <x:c r="G1982" s="9" t="str">
        <x:v>CAL-01</x:v>
      </x:c>
      <x:c r="H1982" s="15" t="n">
        <x:v>106</x:v>
      </x:c>
      <x:c r="I1982" s="9" t="str">
        <x:v>P21</x:v>
      </x:c>
      <x:c r="J1982" s="11" t="n">
        <x:v>46307.70138888889</x:v>
      </x:c>
      <x:c r="K1982" s="15" t="n">
        <x:v>10</x:v>
      </x:c>
      <x:c r="L1982" s="15" t="n">
        <x:v>13</x:v>
      </x:c>
      <x:c r="M1982" s="13" t="n">
        <x:f>J1982+(K1982+L1982)/1440</x:f>
        <x:v>46307.717361111114</x:v>
      </x:c>
      <x:c r="N1982" s="13" t="n">
        <x:f>VLOOKUP(C1982,'MES orders'!$A$8:$H$127,5,FALSE)</x:f>
        <x:v>46308.666666666664</x:v>
      </x:c>
      <x:c r="O1982" s="16" t="n">
        <x:f>MAX(0,(M1982-N1982)*24)</x:f>
        <x:v>0</x:v>
      </x:c>
      <x:c r="P1982" s="9" t="str">
        <x:v>No</x:v>
      </x:c>
      <x:c r="Q1982" s="15" t="n">
        <x:v>23</x:v>
      </x:c>
      <x:c r="R1982" s="13" t="n">
        <x:f>J1982+Q1982/1440</x:f>
        <x:v>46307.717361111114</x:v>
      </x:c>
      <x:c r="S1982" s="2" t="str">
        <x:f>VLOOKUP(C1982,'MES orders'!$A$8:$H$127,6,FALSE)</x:f>
        <x:v>Normal</x:v>
      </x:c>
      <x:c r="T1982" s="9" t="str"/>
    </x:row>
    <x:row r="1983" ht="22" customHeight="1">
      <x:c r="A1983" s="2" t="str">
        <x:v>L00102-040</x:v>
      </x:c>
      <x:c r="B1983" s="2" t="str">
        <x:v>L00102</x:v>
      </x:c>
      <x:c r="C1983" s="2" t="str">
        <x:v>SO-26021</x:v>
      </x:c>
      <x:c r="D1983" s="2" t="str">
        <x:v>S-S-AL</x:v>
      </x:c>
      <x:c r="E1983" s="14" t="n">
        <x:v>10</x:v>
      </x:c>
      <x:c r="F1983" s="2" t="str">
        <x:v>Mechanical preassembly</x:v>
      </x:c>
      <x:c r="G1983" s="9" t="str">
        <x:v>AS-05</x:v>
      </x:c>
      <x:c r="H1983" s="15" t="n">
        <x:v>40</x:v>
      </x:c>
      <x:c r="I1983" s="9" t="str">
        <x:v>P19</x:v>
      </x:c>
      <x:c r="J1983" s="11" t="n">
        <x:v>46307.705555555556</x:v>
      </x:c>
      <x:c r="K1983" s="15" t="n">
        <x:v>6</x:v>
      </x:c>
      <x:c r="L1983" s="15" t="n">
        <x:v>11</x:v>
      </x:c>
      <x:c r="M1983" s="13" t="n">
        <x:f>J1983+(K1983+L1983)/1440</x:f>
        <x:v>46307.717361111114</x:v>
      </x:c>
      <x:c r="N1983" s="13" t="n">
        <x:f>VLOOKUP(C1983,'MES orders'!$A$8:$H$127,5,FALSE)</x:f>
        <x:v>46308.666666666664</x:v>
      </x:c>
      <x:c r="O1983" s="16" t="n">
        <x:f>MAX(0,(M1983-N1983)*24)</x:f>
        <x:v>0</x:v>
      </x:c>
      <x:c r="P1983" s="9" t="str">
        <x:v>No</x:v>
      </x:c>
      <x:c r="Q1983" s="15" t="n">
        <x:v>17</x:v>
      </x:c>
      <x:c r="R1983" s="13" t="n">
        <x:f>J1983+Q1983/1440</x:f>
        <x:v>46307.717361111114</x:v>
      </x:c>
      <x:c r="S1983" s="2" t="str">
        <x:f>VLOOKUP(C1983,'MES orders'!$A$8:$H$127,6,FALSE)</x:f>
        <x:v>Normal</x:v>
      </x:c>
      <x:c r="T1983" s="9" t="str"/>
    </x:row>
    <x:row r="1984" ht="22" customHeight="1">
      <x:c r="A1984" s="2" t="str">
        <x:v>L00498-050</x:v>
      </x:c>
      <x:c r="B1984" s="2" t="str">
        <x:v>L00498</x:v>
      </x:c>
      <x:c r="C1984" s="2" t="str">
        <x:v>SO-26100</x:v>
      </x:c>
      <x:c r="D1984" s="2" t="str">
        <x:v>R-S-SS</x:v>
      </x:c>
      <x:c r="E1984" s="14" t="n">
        <x:v>10</x:v>
      </x:c>
      <x:c r="F1984" s="2" t="str">
        <x:v>Valve adjustment</x:v>
      </x:c>
      <x:c r="G1984" s="9" t="str">
        <x:v>AS-02</x:v>
      </x:c>
      <x:c r="H1984" s="15" t="n">
        <x:v>129</x:v>
      </x:c>
      <x:c r="I1984" s="9" t="str">
        <x:v>P18</x:v>
      </x:c>
      <x:c r="J1984" s="11" t="n">
        <x:v>46307.70763888889</x:v>
      </x:c>
      <x:c r="K1984" s="15" t="n">
        <x:v>6</x:v>
      </x:c>
      <x:c r="L1984" s="15" t="n">
        <x:v>11</x:v>
      </x:c>
      <x:c r="M1984" s="13" t="n">
        <x:f>J1984+(K1984+L1984)/1440</x:f>
        <x:v>46307.71944444445</x:v>
      </x:c>
      <x:c r="N1984" s="13" t="n">
        <x:f>VLOOKUP(C1984,'MES orders'!$A$8:$H$127,5,FALSE)</x:f>
        <x:v>46307.666666666664</x:v>
      </x:c>
      <x:c r="O1984" s="16" t="n">
        <x:f>MAX(0,(M1984-N1984)*24)</x:f>
        <x:v>1.2666666667792015</x:v>
      </x:c>
      <x:c r="P1984" s="9" t="str">
        <x:v>No</x:v>
      </x:c>
      <x:c r="Q1984" s="15" t="n">
        <x:v>17</x:v>
      </x:c>
      <x:c r="R1984" s="13" t="n">
        <x:f>J1984+Q1984/1440</x:f>
        <x:v>46307.71944444445</x:v>
      </x:c>
      <x:c r="S1984" s="2" t="str">
        <x:f>VLOOKUP(C1984,'MES orders'!$A$8:$H$127,6,FALSE)</x:f>
        <x:v>Normal</x:v>
      </x:c>
      <x:c r="T1984" s="9" t="str"/>
    </x:row>
    <x:row r="1985" ht="22" customHeight="1">
      <x:c r="A1985" s="2" t="str">
        <x:v>L00061-070</x:v>
      </x:c>
      <x:c r="B1985" s="2" t="str">
        <x:v>L00061</x:v>
      </x:c>
      <x:c r="C1985" s="2" t="str">
        <x:v>SO-26013</x:v>
      </x:c>
      <x:c r="D1985" s="2" t="str">
        <x:v>S-C-AL</x:v>
      </x:c>
      <x:c r="E1985" s="14" t="n">
        <x:v>5</x:v>
      </x:c>
      <x:c r="F1985" s="2" t="str">
        <x:v>Final assembly</x:v>
      </x:c>
      <x:c r="G1985" s="9" t="str">
        <x:v>AS-01</x:v>
      </x:c>
      <x:c r="H1985" s="15" t="n">
        <x:v>160</x:v>
      </x:c>
      <x:c r="I1985" s="9" t="str">
        <x:v>P17</x:v>
      </x:c>
      <x:c r="J1985" s="11" t="n">
        <x:v>46307.70972222222</x:v>
      </x:c>
      <x:c r="K1985" s="15" t="n">
        <x:v>5</x:v>
      </x:c>
      <x:c r="L1985" s="15" t="n">
        <x:v>3</x:v>
      </x:c>
      <x:c r="M1985" s="13" t="n">
        <x:f>J1985+(K1985+L1985)/1440</x:f>
        <x:v>46307.71527777778</x:v>
      </x:c>
      <x:c r="N1985" s="13" t="n">
        <x:f>VLOOKUP(C1985,'MES orders'!$A$8:$H$127,5,FALSE)</x:f>
        <x:v>46308.666666666664</x:v>
      </x:c>
      <x:c r="O1985" s="16" t="n">
        <x:f>MAX(0,(M1985-N1985)*24)</x:f>
        <x:v>0</x:v>
      </x:c>
      <x:c r="P1985" s="9" t="str">
        <x:v>No</x:v>
      </x:c>
      <x:c r="Q1985" s="15" t="n">
        <x:v>8</x:v>
      </x:c>
      <x:c r="R1985" s="13" t="n">
        <x:f>J1985+Q1985/1440</x:f>
        <x:v>46307.71527777778</x:v>
      </x:c>
      <x:c r="S1985" s="2" t="str">
        <x:f>VLOOKUP(C1985,'MES orders'!$A$8:$H$127,6,FALSE)</x:f>
        <x:v>Normal</x:v>
      </x:c>
      <x:c r="T1985" s="9" t="str"/>
    </x:row>
    <x:row r="1986" ht="22" customHeight="1">
      <x:c r="A1986" s="2" t="str">
        <x:v>L00496-060</x:v>
      </x:c>
      <x:c r="B1986" s="2" t="str">
        <x:v>L00496</x:v>
      </x:c>
      <x:c r="C1986" s="2" t="str">
        <x:v>SO-26100</x:v>
      </x:c>
      <x:c r="D1986" s="2" t="str">
        <x:v>R-S-SS</x:v>
      </x:c>
      <x:c r="E1986" s="14" t="n">
        <x:v>10</x:v>
      </x:c>
      <x:c r="F1986" s="2" t="str">
        <x:v>Final leak / function test</x:v>
      </x:c>
      <x:c r="G1986" s="9" t="str">
        <x:v>QA-02</x:v>
      </x:c>
      <x:c r="H1986" s="15" t="n">
        <x:v>143</x:v>
      </x:c>
      <x:c r="I1986" s="9" t="str">
        <x:v>P23</x:v>
      </x:c>
      <x:c r="J1986" s="11" t="n">
        <x:v>46307.70972222222</x:v>
      </x:c>
      <x:c r="K1986" s="15" t="n">
        <x:v>10</x:v>
      </x:c>
      <x:c r="L1986" s="15" t="n">
        <x:v>9</x:v>
      </x:c>
      <x:c r="M1986" s="13" t="n">
        <x:f>J1986+(K1986+L1986)/1440</x:f>
        <x:v>46307.722916666666</x:v>
      </x:c>
      <x:c r="N1986" s="13" t="n">
        <x:f>VLOOKUP(C1986,'MES orders'!$A$8:$H$127,5,FALSE)</x:f>
        <x:v>46307.666666666664</x:v>
      </x:c>
      <x:c r="O1986" s="16" t="n">
        <x:f>MAX(0,(M1986-N1986)*24)</x:f>
        <x:v>1.3500000000349246</x:v>
      </x:c>
      <x:c r="P1986" s="9" t="str">
        <x:v>No</x:v>
      </x:c>
      <x:c r="Q1986" s="15" t="n">
        <x:v>19</x:v>
      </x:c>
      <x:c r="R1986" s="13" t="n">
        <x:f>J1986+Q1986/1440</x:f>
        <x:v>46307.722916666666</x:v>
      </x:c>
      <x:c r="S1986" s="2" t="str">
        <x:f>VLOOKUP(C1986,'MES orders'!$A$8:$H$127,6,FALSE)</x:f>
        <x:v>Normal</x:v>
      </x:c>
      <x:c r="T1986" s="9" t="str"/>
    </x:row>
    <x:row r="1987" ht="22" customHeight="1">
      <x:c r="A1987" s="2" t="str">
        <x:v>L00141-020</x:v>
      </x:c>
      <x:c r="B1987" s="2" t="str">
        <x:v>L00141</x:v>
      </x:c>
      <x:c r="C1987" s="2" t="str">
        <x:v>SO-26029</x:v>
      </x:c>
      <x:c r="D1987" s="2" t="str">
        <x:v>S-L-AL</x:v>
      </x:c>
      <x:c r="E1987" s="14" t="n">
        <x:v>10</x:v>
      </x:c>
      <x:c r="F1987" s="2" t="str">
        <x:v>Deburr &amp; inspect</x:v>
      </x:c>
      <x:c r="G1987" s="9" t="str">
        <x:v>DB-02</x:v>
      </x:c>
      <x:c r="H1987" s="15" t="n">
        <x:v>128</x:v>
      </x:c>
      <x:c r="I1987" s="9" t="str">
        <x:v>P15</x:v>
      </x:c>
      <x:c r="J1987" s="11" t="n">
        <x:v>46307.711805555555</x:v>
      </x:c>
      <x:c r="K1987" s="15" t="n">
        <x:v>4</x:v>
      </x:c>
      <x:c r="L1987" s="15" t="n">
        <x:v>9</x:v>
      </x:c>
      <x:c r="M1987" s="13" t="n">
        <x:f>J1987+(K1987+L1987)/1440</x:f>
        <x:v>46307.72083333333</x:v>
      </x:c>
      <x:c r="N1987" s="13" t="n">
        <x:f>VLOOKUP(C1987,'MES orders'!$A$8:$H$127,5,FALSE)</x:f>
        <x:v>46308.666666666664</x:v>
      </x:c>
      <x:c r="O1987" s="16" t="n">
        <x:f>MAX(0,(M1987-N1987)*24)</x:f>
        <x:v>0</x:v>
      </x:c>
      <x:c r="P1987" s="9" t="str">
        <x:v>No</x:v>
      </x:c>
      <x:c r="Q1987" s="15" t="n">
        <x:v>13</x:v>
      </x:c>
      <x:c r="R1987" s="13" t="n">
        <x:f>J1987+Q1987/1440</x:f>
        <x:v>46307.72083333333</x:v>
      </x:c>
      <x:c r="S1987" s="2" t="str">
        <x:f>VLOOKUP(C1987,'MES orders'!$A$8:$H$127,6,FALSE)</x:f>
        <x:v>High</x:v>
      </x:c>
      <x:c r="T1987" s="9" t="str"/>
    </x:row>
    <x:row r="1988" ht="22" customHeight="1">
      <x:c r="A1988" s="2" t="str">
        <x:v>L00539-030</x:v>
      </x:c>
      <x:c r="B1988" s="2" t="str">
        <x:v>L00539</x:v>
      </x:c>
      <x:c r="C1988" s="2" t="str">
        <x:v>SO-26108</x:v>
      </x:c>
      <x:c r="D1988" s="2" t="str">
        <x:v>R-L-SS</x:v>
      </x:c>
      <x:c r="E1988" s="14" t="n">
        <x:v>20</x:v>
      </x:c>
      <x:c r="F1988" s="2" t="str">
        <x:v>Wash &amp; dry</x:v>
      </x:c>
      <x:c r="G1988" s="9" t="str">
        <x:v>WS-02</x:v>
      </x:c>
      <x:c r="H1988" s="15" t="n">
        <x:v>128</x:v>
      </x:c>
      <x:c r="I1988" s="9" t="str">
        <x:v>P13</x:v>
      </x:c>
      <x:c r="J1988" s="11" t="n">
        <x:v>46307.71388888889</x:v>
      </x:c>
      <x:c r="K1988" s="15" t="n">
        <x:v>12</x:v>
      </x:c>
      <x:c r="L1988" s="15" t="n">
        <x:v>9</x:v>
      </x:c>
      <x:c r="M1988" s="13" t="n">
        <x:f>J1988+(K1988+L1988)/1440</x:f>
        <x:v>46307.72847222222</x:v>
      </x:c>
      <x:c r="N1988" s="13" t="n">
        <x:f>VLOOKUP(C1988,'MES orders'!$A$8:$H$127,5,FALSE)</x:f>
        <x:v>46307.666666666664</x:v>
      </x:c>
      <x:c r="O1988" s="16" t="n">
        <x:f>MAX(0,(M1988-N1988)*24)</x:f>
        <x:v>1.4833333332790062</x:v>
      </x:c>
      <x:c r="P1988" s="9" t="str">
        <x:v>No</x:v>
      </x:c>
      <x:c r="Q1988" s="15" t="n">
        <x:v>21</x:v>
      </x:c>
      <x:c r="R1988" s="13" t="n">
        <x:f>J1988+Q1988/1440</x:f>
        <x:v>46307.72847222222</x:v>
      </x:c>
      <x:c r="S1988" s="2" t="str">
        <x:f>VLOOKUP(C1988,'MES orders'!$A$8:$H$127,6,FALSE)</x:f>
        <x:v>Normal</x:v>
      </x:c>
      <x:c r="T1988" s="9" t="str"/>
    </x:row>
    <x:row r="1989" ht="22" customHeight="1">
      <x:c r="A1989" s="2" t="str">
        <x:v>L00499-050</x:v>
      </x:c>
      <x:c r="B1989" s="2" t="str">
        <x:v>L00499</x:v>
      </x:c>
      <x:c r="C1989" s="2" t="str">
        <x:v>SO-26100</x:v>
      </x:c>
      <x:c r="D1989" s="2" t="str">
        <x:v>R-S-SS</x:v>
      </x:c>
      <x:c r="E1989" s="14" t="n">
        <x:v>10</x:v>
      </x:c>
      <x:c r="F1989" s="2" t="str">
        <x:v>Valve adjustment</x:v>
      </x:c>
      <x:c r="G1989" s="9" t="str">
        <x:v>AS-01</x:v>
      </x:c>
      <x:c r="H1989" s="15" t="n">
        <x:v>161</x:v>
      </x:c>
      <x:c r="I1989" s="9" t="str">
        <x:v>P17</x:v>
      </x:c>
      <x:c r="J1989" s="11" t="n">
        <x:v>46307.71597222222</x:v>
      </x:c>
      <x:c r="K1989" s="15" t="n">
        <x:v>6</x:v>
      </x:c>
      <x:c r="L1989" s="15" t="n">
        <x:v>11</x:v>
      </x:c>
      <x:c r="M1989" s="13" t="n">
        <x:f>J1989+(K1989+L1989)/1440</x:f>
        <x:v>46307.72777777778</x:v>
      </x:c>
      <x:c r="N1989" s="13" t="n">
        <x:f>VLOOKUP(C1989,'MES orders'!$A$8:$H$127,5,FALSE)</x:f>
        <x:v>46307.666666666664</x:v>
      </x:c>
      <x:c r="O1989" s="16" t="n">
        <x:f>MAX(0,(M1989-N1989)*24)</x:f>
        <x:v>1.4666666667326353</x:v>
      </x:c>
      <x:c r="P1989" s="9" t="str">
        <x:v>No</x:v>
      </x:c>
      <x:c r="Q1989" s="15" t="n">
        <x:v>17</x:v>
      </x:c>
      <x:c r="R1989" s="13" t="n">
        <x:f>J1989+Q1989/1440</x:f>
        <x:v>46307.72777777778</x:v>
      </x:c>
      <x:c r="S1989" s="2" t="str">
        <x:f>VLOOKUP(C1989,'MES orders'!$A$8:$H$127,6,FALSE)</x:f>
        <x:v>Normal</x:v>
      </x:c>
      <x:c r="T1989" s="9" t="str"/>
    </x:row>
    <x:row r="1990" ht="22" customHeight="1">
      <x:c r="A1990" s="2" t="str">
        <x:v>L00500-030</x:v>
      </x:c>
      <x:c r="B1990" s="2" t="str">
        <x:v>L00500</x:v>
      </x:c>
      <x:c r="C1990" s="2" t="str">
        <x:v>SO-26100</x:v>
      </x:c>
      <x:c r="D1990" s="2" t="str">
        <x:v>R-S-SS</x:v>
      </x:c>
      <x:c r="E1990" s="14" t="n">
        <x:v>10</x:v>
      </x:c>
      <x:c r="F1990" s="2" t="str">
        <x:v>Wash &amp; dry</x:v>
      </x:c>
      <x:c r="G1990" s="9" t="str">
        <x:v>WS-01</x:v>
      </x:c>
      <x:c r="H1990" s="15" t="n">
        <x:v>185</x:v>
      </x:c>
      <x:c r="I1990" s="9" t="str">
        <x:v>P16</x:v>
      </x:c>
      <x:c r="J1990" s="11" t="n">
        <x:v>46307.71597222222</x:v>
      </x:c>
      <x:c r="K1990" s="15" t="n">
        <x:v>12</x:v>
      </x:c>
      <x:c r="L1990" s="15" t="n">
        <x:v>4</x:v>
      </x:c>
      <x:c r="M1990" s="13" t="n">
        <x:f>J1990+(K1990+L1990)/1440</x:f>
        <x:v>46307.72708333333</x:v>
      </x:c>
      <x:c r="N1990" s="13" t="n">
        <x:f>VLOOKUP(C1990,'MES orders'!$A$8:$H$127,5,FALSE)</x:f>
        <x:v>46307.666666666664</x:v>
      </x:c>
      <x:c r="O1990" s="16" t="n">
        <x:f>MAX(0,(M1990-N1990)*24)</x:f>
        <x:v>1.4500000000116415</x:v>
      </x:c>
      <x:c r="P1990" s="9" t="str">
        <x:v>No</x:v>
      </x:c>
      <x:c r="Q1990" s="15" t="n">
        <x:v>16</x:v>
      </x:c>
      <x:c r="R1990" s="13" t="n">
        <x:f>J1990+Q1990/1440</x:f>
        <x:v>46307.72708333333</x:v>
      </x:c>
      <x:c r="S1990" s="2" t="str">
        <x:f>VLOOKUP(C1990,'MES orders'!$A$8:$H$127,6,FALSE)</x:f>
        <x:v>Normal</x:v>
      </x:c>
      <x:c r="T1990" s="9" t="str"/>
    </x:row>
    <x:row r="1991" ht="22" customHeight="1">
      <x:c r="A1991" s="2" t="str">
        <x:v>L00101-070</x:v>
      </x:c>
      <x:c r="B1991" s="2" t="str">
        <x:v>L00101</x:v>
      </x:c>
      <x:c r="C1991" s="2" t="str">
        <x:v>SO-26021</x:v>
      </x:c>
      <x:c r="D1991" s="2" t="str">
        <x:v>S-S-AL</x:v>
      </x:c>
      <x:c r="E1991" s="14" t="n">
        <x:v>10</x:v>
      </x:c>
      <x:c r="F1991" s="2" t="str">
        <x:v>Final assembly</x:v>
      </x:c>
      <x:c r="G1991" s="9" t="str">
        <x:v>AS-03</x:v>
      </x:c>
      <x:c r="H1991" s="15" t="n">
        <x:v>105</x:v>
      </x:c>
      <x:c r="I1991" s="9" t="str">
        <x:v>P20</x:v>
      </x:c>
      <x:c r="J1991" s="11" t="n">
        <x:v>46307.717361111114</x:v>
      </x:c>
      <x:c r="K1991" s="15" t="n">
        <x:v>5</x:v>
      </x:c>
      <x:c r="L1991" s="15" t="n">
        <x:v>8</x:v>
      </x:c>
      <x:c r="M1991" s="13" t="n">
        <x:f>J1991+(K1991+L1991)/1440</x:f>
        <x:v>46307.72638888889</x:v>
      </x:c>
      <x:c r="N1991" s="13" t="n">
        <x:f>VLOOKUP(C1991,'MES orders'!$A$8:$H$127,5,FALSE)</x:f>
        <x:v>46308.666666666664</x:v>
      </x:c>
      <x:c r="O1991" s="16" t="n">
        <x:f>MAX(0,(M1991-N1991)*24)</x:f>
        <x:v>0</x:v>
      </x:c>
      <x:c r="P1991" s="9" t="str">
        <x:v>No</x:v>
      </x:c>
      <x:c r="Q1991" s="15" t="n">
        <x:v>13</x:v>
      </x:c>
      <x:c r="R1991" s="13" t="n">
        <x:f>J1991+Q1991/1440</x:f>
        <x:v>46307.72638888889</x:v>
      </x:c>
      <x:c r="S1991" s="2" t="str">
        <x:f>VLOOKUP(C1991,'MES orders'!$A$8:$H$127,6,FALSE)</x:f>
        <x:v>Normal</x:v>
      </x:c>
      <x:c r="T1991" s="9" t="str"/>
    </x:row>
    <x:row r="1992" ht="22" customHeight="1">
      <x:c r="A1992" s="2" t="str">
        <x:v>L00102-050</x:v>
      </x:c>
      <x:c r="B1992" s="2" t="str">
        <x:v>L00102</x:v>
      </x:c>
      <x:c r="C1992" s="2" t="str">
        <x:v>SO-26021</x:v>
      </x:c>
      <x:c r="D1992" s="2" t="str">
        <x:v>S-S-AL</x:v>
      </x:c>
      <x:c r="E1992" s="14" t="n">
        <x:v>10</x:v>
      </x:c>
      <x:c r="F1992" s="2" t="str">
        <x:v>Sensor installation</x:v>
      </x:c>
      <x:c r="G1992" s="9" t="str">
        <x:v>EL-01</x:v>
      </x:c>
      <x:c r="H1992" s="15" t="n">
        <x:v>70</x:v>
      </x:c>
      <x:c r="I1992" s="9" t="str">
        <x:v>P19</x:v>
      </x:c>
      <x:c r="J1992" s="11" t="n">
        <x:v>46307.717361111114</x:v>
      </x:c>
      <x:c r="K1992" s="15" t="n">
        <x:v>8</x:v>
      </x:c>
      <x:c r="L1992" s="15" t="n">
        <x:v>12</x:v>
      </x:c>
      <x:c r="M1992" s="13" t="n">
        <x:f>J1992+(K1992+L1992)/1440</x:f>
        <x:v>46307.731250000004</x:v>
      </x:c>
      <x:c r="N1992" s="13" t="n">
        <x:f>VLOOKUP(C1992,'MES orders'!$A$8:$H$127,5,FALSE)</x:f>
        <x:v>46308.666666666664</x:v>
      </x:c>
      <x:c r="O1992" s="16" t="n">
        <x:f>MAX(0,(M1992-N1992)*24)</x:f>
        <x:v>0</x:v>
      </x:c>
      <x:c r="P1992" s="9" t="str">
        <x:v>No</x:v>
      </x:c>
      <x:c r="Q1992" s="15" t="n">
        <x:v>20</x:v>
      </x:c>
      <x:c r="R1992" s="13" t="n">
        <x:f>J1992+Q1992/1440</x:f>
        <x:v>46307.731250000004</x:v>
      </x:c>
      <x:c r="S1992" s="2" t="str">
        <x:f>VLOOKUP(C1992,'MES orders'!$A$8:$H$127,6,FALSE)</x:f>
        <x:v>Normal</x:v>
      </x:c>
      <x:c r="T1992" s="9" t="str"/>
    </x:row>
    <x:row r="1993" ht="22" customHeight="1">
      <x:c r="A1993" s="2" t="str">
        <x:v>L00536-020</x:v>
      </x:c>
      <x:c r="B1993" s="2" t="str">
        <x:v>L00536</x:v>
      </x:c>
      <x:c r="C1993" s="2" t="str">
        <x:v>SO-26108</x:v>
      </x:c>
      <x:c r="D1993" s="2" t="str">
        <x:v>R-L-SS</x:v>
      </x:c>
      <x:c r="E1993" s="14" t="n">
        <x:v>20</x:v>
      </x:c>
      <x:c r="F1993" s="2" t="str">
        <x:v>Deburr &amp; inspect</x:v>
      </x:c>
      <x:c r="G1993" s="9" t="str">
        <x:v>DB-01</x:v>
      </x:c>
      <x:c r="H1993" s="15" t="n">
        <x:v>189</x:v>
      </x:c>
      <x:c r="I1993" s="9" t="str">
        <x:v>P18</x:v>
      </x:c>
      <x:c r="J1993" s="11" t="n">
        <x:v>46307.71944444445</x:v>
      </x:c>
      <x:c r="K1993" s="15" t="n">
        <x:v>4</x:v>
      </x:c>
      <x:c r="L1993" s="15" t="n">
        <x:v>19</x:v>
      </x:c>
      <x:c r="M1993" s="13" t="n">
        <x:f>J1993+(K1993+L1993)/1440</x:f>
        <x:v>46307.73541666667</x:v>
      </x:c>
      <x:c r="N1993" s="13" t="n">
        <x:f>VLOOKUP(C1993,'MES orders'!$A$8:$H$127,5,FALSE)</x:f>
        <x:v>46307.666666666664</x:v>
      </x:c>
      <x:c r="O1993" s="16" t="n">
        <x:f>MAX(0,(M1993-N1993)*24)</x:f>
        <x:v>1.6500000001396984</x:v>
      </x:c>
      <x:c r="P1993" s="9" t="str">
        <x:v>No</x:v>
      </x:c>
      <x:c r="Q1993" s="15" t="n">
        <x:v>23</x:v>
      </x:c>
      <x:c r="R1993" s="13" t="n">
        <x:f>J1993+Q1993/1440</x:f>
        <x:v>46307.73541666667</x:v>
      </x:c>
      <x:c r="S1993" s="2" t="str">
        <x:f>VLOOKUP(C1993,'MES orders'!$A$8:$H$127,6,FALSE)</x:f>
        <x:v>Normal</x:v>
      </x:c>
      <x:c r="T1993" s="9" t="str"/>
    </x:row>
    <x:row r="1994" ht="22" customHeight="1">
      <x:c r="A1994" s="2" t="str">
        <x:v>L00498-060</x:v>
      </x:c>
      <x:c r="B1994" s="2" t="str">
        <x:v>L00498</x:v>
      </x:c>
      <x:c r="C1994" s="2" t="str">
        <x:v>SO-26100</x:v>
      </x:c>
      <x:c r="D1994" s="2" t="str">
        <x:v>R-S-SS</x:v>
      </x:c>
      <x:c r="E1994" s="14" t="n">
        <x:v>10</x:v>
      </x:c>
      <x:c r="F1994" s="2" t="str">
        <x:v>Final leak / function test</x:v>
      </x:c>
      <x:c r="G1994" s="9" t="str">
        <x:v>QA-03</x:v>
      </x:c>
      <x:c r="H1994" s="15" t="n">
        <x:v>85</x:v>
      </x:c>
      <x:c r="I1994" s="9" t="str">
        <x:v>P24</x:v>
      </x:c>
      <x:c r="J1994" s="11" t="n">
        <x:v>46307.71944444445</x:v>
      </x:c>
      <x:c r="K1994" s="15" t="n">
        <x:v>10</x:v>
      </x:c>
      <x:c r="L1994" s="15" t="n">
        <x:v>9</x:v>
      </x:c>
      <x:c r="M1994" s="13" t="n">
        <x:f>J1994+(K1994+L1994)/1440</x:f>
        <x:v>46307.73263888889</x:v>
      </x:c>
      <x:c r="N1994" s="13" t="n">
        <x:f>VLOOKUP(C1994,'MES orders'!$A$8:$H$127,5,FALSE)</x:f>
        <x:v>46307.666666666664</x:v>
      </x:c>
      <x:c r="O1994" s="16" t="n">
        <x:f>MAX(0,(M1994-N1994)*24)</x:f>
        <x:v>1.583333333430346</x:v>
      </x:c>
      <x:c r="P1994" s="9" t="str">
        <x:v>No</x:v>
      </x:c>
      <x:c r="Q1994" s="15" t="n">
        <x:v>19</x:v>
      </x:c>
      <x:c r="R1994" s="13" t="n">
        <x:f>J1994+Q1994/1440</x:f>
        <x:v>46307.73263888889</x:v>
      </x:c>
      <x:c r="S1994" s="2" t="str">
        <x:f>VLOOKUP(C1994,'MES orders'!$A$8:$H$127,6,FALSE)</x:f>
        <x:v>Normal</x:v>
      </x:c>
      <x:c r="T1994" s="9" t="str"/>
    </x:row>
    <x:row r="1995" ht="22" customHeight="1">
      <x:c r="A1995" s="2" t="str">
        <x:v>L00144-010</x:v>
      </x:c>
      <x:c r="B1995" s="2" t="str">
        <x:v>L00144</x:v>
      </x:c>
      <x:c r="C1995" s="2" t="str">
        <x:v>SO-26029</x:v>
      </x:c>
      <x:c r="D1995" s="2" t="str">
        <x:v>S-L-AL</x:v>
      </x:c>
      <x:c r="E1995" s="14" t="n">
        <x:v>10</x:v>
      </x:c>
      <x:c r="F1995" s="2" t="str">
        <x:v>CNC machining</x:v>
      </x:c>
      <x:c r="G1995" s="9" t="str">
        <x:v>CNC-04</x:v>
      </x:c>
      <x:c r="H1995" s="15" t="n">
        <x:v>61</x:v>
      </x:c>
      <x:c r="I1995" s="9" t="str">
        <x:v>P15</x:v>
      </x:c>
      <x:c r="J1995" s="11" t="n">
        <x:v>46307.72083333333</x:v>
      </x:c>
      <x:c r="K1995" s="15" t="n">
        <x:v>18</x:v>
      </x:c>
      <x:c r="L1995" s="15" t="n">
        <x:v>32</x:v>
      </x:c>
      <x:c r="M1995" s="13" t="n">
        <x:f>J1995+(K1995+L1995)/1440</x:f>
        <x:v>46307.75555555555</x:v>
      </x:c>
      <x:c r="N1995" s="13" t="n">
        <x:f>VLOOKUP(C1995,'MES orders'!$A$8:$H$127,5,FALSE)</x:f>
        <x:v>46308.666666666664</x:v>
      </x:c>
      <x:c r="O1995" s="16" t="n">
        <x:f>MAX(0,(M1995-N1995)*24)</x:f>
        <x:v>0</x:v>
      </x:c>
      <x:c r="P1995" s="9" t="str">
        <x:v>No</x:v>
      </x:c>
      <x:c r="Q1995" s="15" t="n">
        <x:v>18</x:v>
      </x:c>
      <x:c r="R1995" s="13" t="n">
        <x:f>J1995+Q1995/1440</x:f>
        <x:v>46307.73333333333</x:v>
      </x:c>
      <x:c r="S1995" s="2" t="str">
        <x:f>VLOOKUP(C1995,'MES orders'!$A$8:$H$127,6,FALSE)</x:f>
        <x:v>High</x:v>
      </x:c>
      <x:c r="T1995" s="9" t="str"/>
    </x:row>
    <x:row r="1996" ht="22" customHeight="1">
      <x:c r="A1996" s="2" t="str">
        <x:v>L00142-020</x:v>
      </x:c>
      <x:c r="B1996" s="2" t="str">
        <x:v>L00142</x:v>
      </x:c>
      <x:c r="C1996" s="2" t="str">
        <x:v>SO-26029</x:v>
      </x:c>
      <x:c r="D1996" s="2" t="str">
        <x:v>S-L-AL</x:v>
      </x:c>
      <x:c r="E1996" s="14" t="n">
        <x:v>10</x:v>
      </x:c>
      <x:c r="F1996" s="2" t="str">
        <x:v>Deburr &amp; inspect</x:v>
      </x:c>
      <x:c r="G1996" s="9" t="str">
        <x:v>DB-02</x:v>
      </x:c>
      <x:c r="H1996" s="15" t="n">
        <x:v>129</x:v>
      </x:c>
      <x:c r="I1996" s="9" t="str">
        <x:v>P14</x:v>
      </x:c>
      <x:c r="J1996" s="11" t="n">
        <x:v>46307.72083333333</x:v>
      </x:c>
      <x:c r="K1996" s="15" t="n">
        <x:v>4</x:v>
      </x:c>
      <x:c r="L1996" s="15" t="n">
        <x:v>9</x:v>
      </x:c>
      <x:c r="M1996" s="13" t="n">
        <x:f>J1996+(K1996+L1996)/1440</x:f>
        <x:v>46307.72986111111</x:v>
      </x:c>
      <x:c r="N1996" s="13" t="n">
        <x:f>VLOOKUP(C1996,'MES orders'!$A$8:$H$127,5,FALSE)</x:f>
        <x:v>46308.666666666664</x:v>
      </x:c>
      <x:c r="O1996" s="16" t="n">
        <x:f>MAX(0,(M1996-N1996)*24)</x:f>
        <x:v>0</x:v>
      </x:c>
      <x:c r="P1996" s="9" t="str">
        <x:v>No</x:v>
      </x:c>
      <x:c r="Q1996" s="15" t="n">
        <x:v>13</x:v>
      </x:c>
      <x:c r="R1996" s="13" t="n">
        <x:f>J1996+Q1996/1440</x:f>
        <x:v>46307.72986111111</x:v>
      </x:c>
      <x:c r="S1996" s="2" t="str">
        <x:f>VLOOKUP(C1996,'MES orders'!$A$8:$H$127,6,FALSE)</x:f>
        <x:v>High</x:v>
      </x:c>
      <x:c r="T1996" s="9" t="str"/>
    </x:row>
    <x:row r="1997" ht="22" customHeight="1">
      <x:c r="A1997" s="2" t="str">
        <x:v>L00500-040</x:v>
      </x:c>
      <x:c r="B1997" s="2" t="str">
        <x:v>L00500</x:v>
      </x:c>
      <x:c r="C1997" s="2" t="str">
        <x:v>SO-26100</x:v>
      </x:c>
      <x:c r="D1997" s="2" t="str">
        <x:v>R-S-SS</x:v>
      </x:c>
      <x:c r="E1997" s="14" t="n">
        <x:v>10</x:v>
      </x:c>
      <x:c r="F1997" s="2" t="str">
        <x:v>Mechanical assembly</x:v>
      </x:c>
      <x:c r="G1997" s="9" t="str">
        <x:v>AS-02</x:v>
      </x:c>
      <x:c r="H1997" s="15" t="n">
        <x:v>130</x:v>
      </x:c>
      <x:c r="I1997" s="9" t="str">
        <x:v>P16</x:v>
      </x:c>
      <x:c r="J1997" s="11" t="n">
        <x:v>46307.72708333333</x:v>
      </x:c>
      <x:c r="K1997" s="15" t="n">
        <x:v>8</x:v>
      </x:c>
      <x:c r="L1997" s="15" t="n">
        <x:v>18</x:v>
      </x:c>
      <x:c r="M1997" s="13" t="n">
        <x:f>J1997+(K1997+L1997)/1440</x:f>
        <x:v>46307.74513888889</x:v>
      </x:c>
      <x:c r="N1997" s="13" t="n">
        <x:f>VLOOKUP(C1997,'MES orders'!$A$8:$H$127,5,FALSE)</x:f>
        <x:v>46307.666666666664</x:v>
      </x:c>
      <x:c r="O1997" s="16" t="n">
        <x:f>MAX(0,(M1997-N1997)*24)</x:f>
        <x:v>1.883333333360497</x:v>
      </x:c>
      <x:c r="P1997" s="9" t="str">
        <x:v>No</x:v>
      </x:c>
      <x:c r="Q1997" s="15" t="n">
        <x:v>26</x:v>
      </x:c>
      <x:c r="R1997" s="13" t="n">
        <x:f>J1997+Q1997/1440</x:f>
        <x:v>46307.74513888889</x:v>
      </x:c>
      <x:c r="S1997" s="2" t="str">
        <x:f>VLOOKUP(C1997,'MES orders'!$A$8:$H$127,6,FALSE)</x:f>
        <x:v>Normal</x:v>
      </x:c>
      <x:c r="T1997" s="9" t="str"/>
    </x:row>
    <x:row r="1998" ht="22" customHeight="1">
      <x:c r="A1998" s="2" t="str">
        <x:v>L00062-070</x:v>
      </x:c>
      <x:c r="B1998" s="2" t="str">
        <x:v>L00062</x:v>
      </x:c>
      <x:c r="C1998" s="2" t="str">
        <x:v>SO-26013</x:v>
      </x:c>
      <x:c r="D1998" s="2" t="str">
        <x:v>S-C-AL</x:v>
      </x:c>
      <x:c r="E1998" s="14" t="n">
        <x:v>5</x:v>
      </x:c>
      <x:c r="F1998" s="2" t="str">
        <x:v>Final assembly</x:v>
      </x:c>
      <x:c r="G1998" s="9" t="str">
        <x:v>AS-01</x:v>
      </x:c>
      <x:c r="H1998" s="15" t="n">
        <x:v>162</x:v>
      </x:c>
      <x:c r="I1998" s="9" t="str">
        <x:v>P17</x:v>
      </x:c>
      <x:c r="J1998" s="11" t="n">
        <x:v>46307.72777777778</x:v>
      </x:c>
      <x:c r="K1998" s="15" t="n">
        <x:v>5</x:v>
      </x:c>
      <x:c r="L1998" s="15" t="n">
        <x:v>3</x:v>
      </x:c>
      <x:c r="M1998" s="13" t="n">
        <x:f>J1998+(K1998+L1998)/1440</x:f>
        <x:v>46307.73333333334</x:v>
      </x:c>
      <x:c r="N1998" s="13" t="n">
        <x:f>VLOOKUP(C1998,'MES orders'!$A$8:$H$127,5,FALSE)</x:f>
        <x:v>46308.666666666664</x:v>
      </x:c>
      <x:c r="O1998" s="16" t="n">
        <x:f>MAX(0,(M1998-N1998)*24)</x:f>
        <x:v>0</x:v>
      </x:c>
      <x:c r="P1998" s="9" t="str">
        <x:v>No</x:v>
      </x:c>
      <x:c r="Q1998" s="15" t="n">
        <x:v>8</x:v>
      </x:c>
      <x:c r="R1998" s="13" t="n">
        <x:f>J1998+Q1998/1440</x:f>
        <x:v>46307.73333333334</x:v>
      </x:c>
      <x:c r="S1998" s="2" t="str">
        <x:f>VLOOKUP(C1998,'MES orders'!$A$8:$H$127,6,FALSE)</x:f>
        <x:v>Normal</x:v>
      </x:c>
      <x:c r="T1998" s="9" t="str"/>
    </x:row>
    <x:row r="1999" ht="22" customHeight="1">
      <x:c r="A1999" s="2" t="str">
        <x:v>L00499-060</x:v>
      </x:c>
      <x:c r="B1999" s="2" t="str">
        <x:v>L00499</x:v>
      </x:c>
      <x:c r="C1999" s="2" t="str">
        <x:v>SO-26100</x:v>
      </x:c>
      <x:c r="D1999" s="2" t="str">
        <x:v>R-S-SS</x:v>
      </x:c>
      <x:c r="E1999" s="14" t="n">
        <x:v>10</x:v>
      </x:c>
      <x:c r="F1999" s="2" t="str">
        <x:v>Final leak / function test</x:v>
      </x:c>
      <x:c r="G1999" s="9" t="str">
        <x:v>QA-02</x:v>
      </x:c>
      <x:c r="H1999" s="15" t="n">
        <x:v>144</x:v>
      </x:c>
      <x:c r="I1999" s="9" t="str">
        <x:v>P23</x:v>
      </x:c>
      <x:c r="J1999" s="11" t="n">
        <x:v>46307.72777777778</x:v>
      </x:c>
      <x:c r="K1999" s="15" t="n">
        <x:v>10</x:v>
      </x:c>
      <x:c r="L1999" s="15" t="n">
        <x:v>9</x:v>
      </x:c>
      <x:c r="M1999" s="13" t="n">
        <x:f>J1999+(K1999+L1999)/1440</x:f>
        <x:v>46307.74097222222</x:v>
      </x:c>
      <x:c r="N1999" s="13" t="n">
        <x:f>VLOOKUP(C1999,'MES orders'!$A$8:$H$127,5,FALSE)</x:f>
        <x:v>46307.666666666664</x:v>
      </x:c>
      <x:c r="O1999" s="16" t="n">
        <x:f>MAX(0,(M1999-N1999)*24)</x:f>
        <x:v>1.78333333338378</x:v>
      </x:c>
      <x:c r="P1999" s="9" t="str">
        <x:v>No</x:v>
      </x:c>
      <x:c r="Q1999" s="15" t="n">
        <x:v>19</x:v>
      </x:c>
      <x:c r="R1999" s="13" t="n">
        <x:f>J1999+Q1999/1440</x:f>
        <x:v>46307.74097222222</x:v>
      </x:c>
      <x:c r="S1999" s="2" t="str">
        <x:f>VLOOKUP(C1999,'MES orders'!$A$8:$H$127,6,FALSE)</x:f>
        <x:v>Normal</x:v>
      </x:c>
      <x:c r="T1999" s="9" t="str"/>
    </x:row>
    <x:row r="2000" ht="22" customHeight="1">
      <x:c r="A2000" s="2" t="str">
        <x:v>L00102-060</x:v>
      </x:c>
      <x:c r="B2000" s="2" t="str">
        <x:v>L00102</x:v>
      </x:c>
      <x:c r="C2000" s="2" t="str">
        <x:v>SO-26021</x:v>
      </x:c>
      <x:c r="D2000" s="2" t="str">
        <x:v>S-S-AL</x:v>
      </x:c>
      <x:c r="E2000" s="14" t="n">
        <x:v>10</x:v>
      </x:c>
      <x:c r="F2000" s="2" t="str">
        <x:v>Sensor calibration</x:v>
      </x:c>
      <x:c r="G2000" s="9" t="str">
        <x:v>CAL-01</x:v>
      </x:c>
      <x:c r="H2000" s="15" t="n">
        <x:v>107</x:v>
      </x:c>
      <x:c r="I2000" s="9" t="str">
        <x:v>P21</x:v>
      </x:c>
      <x:c r="J2000" s="11" t="n">
        <x:v>46307.73125</x:v>
      </x:c>
      <x:c r="K2000" s="15" t="n">
        <x:v>10</x:v>
      </x:c>
      <x:c r="L2000" s="15" t="n">
        <x:v>13</x:v>
      </x:c>
      <x:c r="M2000" s="13" t="n">
        <x:f>J2000+(K2000+L2000)/1440</x:f>
        <x:v>46307.74722222222</x:v>
      </x:c>
      <x:c r="N2000" s="13" t="n">
        <x:f>VLOOKUP(C2000,'MES orders'!$A$8:$H$127,5,FALSE)</x:f>
        <x:v>46308.666666666664</x:v>
      </x:c>
      <x:c r="O2000" s="16" t="n">
        <x:f>MAX(0,(M2000-N2000)*24)</x:f>
        <x:v>0</x:v>
      </x:c>
      <x:c r="P2000" s="9" t="str">
        <x:v>No</x:v>
      </x:c>
      <x:c r="Q2000" s="15" t="n">
        <x:v>23</x:v>
      </x:c>
      <x:c r="R2000" s="13" t="n">
        <x:f>J2000+Q2000/1440</x:f>
        <x:v>46307.74722222222</x:v>
      </x:c>
      <x:c r="S2000" s="2" t="str">
        <x:f>VLOOKUP(C2000,'MES orders'!$A$8:$H$127,6,FALSE)</x:f>
        <x:v>Normal</x:v>
      </x:c>
      <x:c r="T2000" s="9" t="str"/>
    </x:row>
    <x:row r="2001" ht="22" customHeight="1">
      <x:c r="A2001" s="2" t="str">
        <x:v>L00061-080</x:v>
      </x:c>
      <x:c r="B2001" s="2" t="str">
        <x:v>L00061</x:v>
      </x:c>
      <x:c r="C2001" s="2" t="str">
        <x:v>SO-26013</x:v>
      </x:c>
      <x:c r="D2001" s="2" t="str">
        <x:v>S-C-AL</x:v>
      </x:c>
      <x:c r="E2001" s="14" t="n">
        <x:v>5</x:v>
      </x:c>
      <x:c r="F2001" s="2" t="str">
        <x:v>Final leak / function test</x:v>
      </x:c>
      <x:c r="G2001" s="9" t="str">
        <x:v>QA-03</x:v>
      </x:c>
      <x:c r="H2001" s="15" t="n">
        <x:v>86</x:v>
      </x:c>
      <x:c r="I2001" s="9" t="str">
        <x:v>P24</x:v>
      </x:c>
      <x:c r="J2001" s="11" t="n">
        <x:v>46307.73263888889</x:v>
      </x:c>
      <x:c r="K2001" s="15" t="n">
        <x:v>10</x:v>
      </x:c>
      <x:c r="L2001" s="15" t="n">
        <x:v>4</x:v>
      </x:c>
      <x:c r="M2001" s="13" t="n">
        <x:f>J2001+(K2001+L2001)/1440</x:f>
        <x:v>46307.742361111115</x:v>
      </x:c>
      <x:c r="N2001" s="13" t="n">
        <x:f>VLOOKUP(C2001,'MES orders'!$A$8:$H$127,5,FALSE)</x:f>
        <x:v>46308.666666666664</x:v>
      </x:c>
      <x:c r="O2001" s="16" t="n">
        <x:f>MAX(0,(M2001-N2001)*24)</x:f>
        <x:v>0</x:v>
      </x:c>
      <x:c r="P2001" s="9" t="str">
        <x:v>No</x:v>
      </x:c>
      <x:c r="Q2001" s="15" t="n">
        <x:v>14</x:v>
      </x:c>
      <x:c r="R2001" s="13" t="n">
        <x:f>J2001+Q2001/1440</x:f>
        <x:v>46307.742361111115</x:v>
      </x:c>
      <x:c r="S2001" s="2" t="str">
        <x:f>VLOOKUP(C2001,'MES orders'!$A$8:$H$127,6,FALSE)</x:f>
        <x:v>Normal</x:v>
      </x:c>
      <x:c r="T2001" s="9" t="str"/>
    </x:row>
    <x:row r="2002" ht="22" customHeight="1">
      <x:c r="A2002" s="2" t="str">
        <x:v>L00145-010</x:v>
      </x:c>
      <x:c r="B2002" s="2" t="str">
        <x:v>L00145</x:v>
      </x:c>
      <x:c r="C2002" s="2" t="str">
        <x:v>SO-26029</x:v>
      </x:c>
      <x:c r="D2002" s="2" t="str">
        <x:v>S-L-AL</x:v>
      </x:c>
      <x:c r="E2002" s="14" t="n">
        <x:v>10</x:v>
      </x:c>
      <x:c r="F2002" s="2" t="str">
        <x:v>CNC machining</x:v>
      </x:c>
      <x:c r="G2002" s="9" t="str">
        <x:v>CNC-03</x:v>
      </x:c>
      <x:c r="H2002" s="15" t="n">
        <x:v>63</x:v>
      </x:c>
      <x:c r="I2002" s="9" t="str">
        <x:v>P15</x:v>
      </x:c>
      <x:c r="J2002" s="11" t="n">
        <x:v>46307.73333333333</x:v>
      </x:c>
      <x:c r="K2002" s="15" t="n">
        <x:v>18</x:v>
      </x:c>
      <x:c r="L2002" s="15" t="n">
        <x:v>32</x:v>
      </x:c>
      <x:c r="M2002" s="13" t="n">
        <x:f>J2002+(K2002+L2002)/1440</x:f>
        <x:v>46307.76805555555</x:v>
      </x:c>
      <x:c r="N2002" s="13" t="n">
        <x:f>VLOOKUP(C2002,'MES orders'!$A$8:$H$127,5,FALSE)</x:f>
        <x:v>46308.666666666664</x:v>
      </x:c>
      <x:c r="O2002" s="16" t="n">
        <x:f>MAX(0,(M2002-N2002)*24)</x:f>
        <x:v>0</x:v>
      </x:c>
      <x:c r="P2002" s="9" t="str">
        <x:v>No</x:v>
      </x:c>
      <x:c r="Q2002" s="15" t="n">
        <x:v>18</x:v>
      </x:c>
      <x:c r="R2002" s="13" t="n">
        <x:f>J2002+Q2002/1440</x:f>
        <x:v>46307.74583333333</x:v>
      </x:c>
      <x:c r="S2002" s="2" t="str">
        <x:f>VLOOKUP(C2002,'MES orders'!$A$8:$H$127,6,FALSE)</x:f>
        <x:v>High</x:v>
      </x:c>
      <x:c r="T2002" s="9" t="str"/>
    </x:row>
    <x:row r="2003" ht="22" customHeight="1">
      <x:c r="A2003" s="2" t="str">
        <x:v>L00540-020</x:v>
      </x:c>
      <x:c r="B2003" s="2" t="str">
        <x:v>L00540</x:v>
      </x:c>
      <x:c r="C2003" s="2" t="str">
        <x:v>SO-26108</x:v>
      </x:c>
      <x:c r="D2003" s="2" t="str">
        <x:v>R-L-SS</x:v>
      </x:c>
      <x:c r="E2003" s="14" t="n">
        <x:v>20</x:v>
      </x:c>
      <x:c r="F2003" s="2" t="str">
        <x:v>Deburr &amp; inspect</x:v>
      </x:c>
      <x:c r="G2003" s="9" t="str">
        <x:v>DB-02</x:v>
      </x:c>
      <x:c r="H2003" s="15" t="n">
        <x:v>130</x:v>
      </x:c>
      <x:c r="I2003" s="9" t="str">
        <x:v>P13</x:v>
      </x:c>
      <x:c r="J2003" s="11" t="n">
        <x:v>46307.73333333333</x:v>
      </x:c>
      <x:c r="K2003" s="15" t="n">
        <x:v>4</x:v>
      </x:c>
      <x:c r="L2003" s="15" t="n">
        <x:v>19</x:v>
      </x:c>
      <x:c r="M2003" s="13" t="n">
        <x:f>J2003+(K2003+L2003)/1440</x:f>
        <x:v>46307.74930555555</x:v>
      </x:c>
      <x:c r="N2003" s="13" t="n">
        <x:f>VLOOKUP(C2003,'MES orders'!$A$8:$H$127,5,FALSE)</x:f>
        <x:v>46307.666666666664</x:v>
      </x:c>
      <x:c r="O2003" s="16" t="n">
        <x:f>MAX(0,(M2003-N2003)*24)</x:f>
        <x:v>1.9833333333372138</x:v>
      </x:c>
      <x:c r="P2003" s="9" t="str">
        <x:v>No</x:v>
      </x:c>
      <x:c r="Q2003" s="15" t="n">
        <x:v>23</x:v>
      </x:c>
      <x:c r="R2003" s="13" t="n">
        <x:f>J2003+Q2003/1440</x:f>
        <x:v>46307.74930555555</x:v>
      </x:c>
      <x:c r="S2003" s="2" t="str">
        <x:f>VLOOKUP(C2003,'MES orders'!$A$8:$H$127,6,FALSE)</x:f>
        <x:v>Normal</x:v>
      </x:c>
      <x:c r="T2003" s="9" t="str"/>
    </x:row>
    <x:row r="2004" ht="22" customHeight="1">
      <x:c r="A2004" s="2" t="str">
        <x:v>L00143-020</x:v>
      </x:c>
      <x:c r="B2004" s="2" t="str">
        <x:v>L00143</x:v>
      </x:c>
      <x:c r="C2004" s="2" t="str">
        <x:v>SO-26029</x:v>
      </x:c>
      <x:c r="D2004" s="2" t="str">
        <x:v>S-L-AL</x:v>
      </x:c>
      <x:c r="E2004" s="14" t="n">
        <x:v>10</x:v>
      </x:c>
      <x:c r="F2004" s="2" t="str">
        <x:v>Deburr &amp; inspect</x:v>
      </x:c>
      <x:c r="G2004" s="9" t="str">
        <x:v>DB-01</x:v>
      </x:c>
      <x:c r="H2004" s="15" t="n">
        <x:v>190</x:v>
      </x:c>
      <x:c r="I2004" s="9" t="str">
        <x:v>P14</x:v>
      </x:c>
      <x:c r="J2004" s="11" t="n">
        <x:v>46307.73541666667</x:v>
      </x:c>
      <x:c r="K2004" s="15" t="n">
        <x:v>4</x:v>
      </x:c>
      <x:c r="L2004" s="15" t="n">
        <x:v>9</x:v>
      </x:c>
      <x:c r="M2004" s="13" t="n">
        <x:f>J2004+(K2004+L2004)/1440</x:f>
        <x:v>46307.74444444445</x:v>
      </x:c>
      <x:c r="N2004" s="13" t="n">
        <x:f>VLOOKUP(C2004,'MES orders'!$A$8:$H$127,5,FALSE)</x:f>
        <x:v>46308.666666666664</x:v>
      </x:c>
      <x:c r="O2004" s="16" t="n">
        <x:f>MAX(0,(M2004-N2004)*24)</x:f>
        <x:v>0</x:v>
      </x:c>
      <x:c r="P2004" s="9" t="str">
        <x:v>No</x:v>
      </x:c>
      <x:c r="Q2004" s="15" t="n">
        <x:v>13</x:v>
      </x:c>
      <x:c r="R2004" s="13" t="n">
        <x:f>J2004+Q2004/1440</x:f>
        <x:v>46307.74444444445</x:v>
      </x:c>
      <x:c r="S2004" s="2" t="str">
        <x:f>VLOOKUP(C2004,'MES orders'!$A$8:$H$127,6,FALSE)</x:f>
        <x:v>High</x:v>
      </x:c>
      <x:c r="T2004" s="9" t="str"/>
    </x:row>
    <x:row r="2005" ht="22" customHeight="1">
      <x:c r="A2005" s="2" t="str">
        <x:v>L00536-030</x:v>
      </x:c>
      <x:c r="B2005" s="2" t="str">
        <x:v>L00536</x:v>
      </x:c>
      <x:c r="C2005" s="2" t="str">
        <x:v>SO-26108</x:v>
      </x:c>
      <x:c r="D2005" s="2" t="str">
        <x:v>R-L-SS</x:v>
      </x:c>
      <x:c r="E2005" s="14" t="n">
        <x:v>20</x:v>
      </x:c>
      <x:c r="F2005" s="2" t="str">
        <x:v>Wash &amp; dry</x:v>
      </x:c>
      <x:c r="G2005" s="9" t="str">
        <x:v>WS-01</x:v>
      </x:c>
      <x:c r="H2005" s="15" t="n">
        <x:v>186</x:v>
      </x:c>
      <x:c r="I2005" s="9" t="str">
        <x:v>P17</x:v>
      </x:c>
      <x:c r="J2005" s="11" t="n">
        <x:v>46307.73541666667</x:v>
      </x:c>
      <x:c r="K2005" s="15" t="n">
        <x:v>12</x:v>
      </x:c>
      <x:c r="L2005" s="15" t="n">
        <x:v>9</x:v>
      </x:c>
      <x:c r="M2005" s="13" t="n">
        <x:f>J2005+(K2005+L2005)/1440</x:f>
        <x:v>46307.75</x:v>
      </x:c>
      <x:c r="N2005" s="13" t="n">
        <x:f>VLOOKUP(C2005,'MES orders'!$A$8:$H$127,5,FALSE)</x:f>
        <x:v>46307.666666666664</x:v>
      </x:c>
      <x:c r="O2005" s="16" t="n">
        <x:f>MAX(0,(M2005-N2005)*24)</x:f>
        <x:v>2.0000000000582077</x:v>
      </x:c>
      <x:c r="P2005" s="9" t="str">
        <x:v>No</x:v>
      </x:c>
      <x:c r="Q2005" s="15" t="n">
        <x:v>21</x:v>
      </x:c>
      <x:c r="R2005" s="13" t="n">
        <x:f>J2005+Q2005/1440</x:f>
        <x:v>46307.75</x:v>
      </x:c>
      <x:c r="S2005" s="2" t="str">
        <x:f>VLOOKUP(C2005,'MES orders'!$A$8:$H$127,6,FALSE)</x:f>
        <x:v>Normal</x:v>
      </x:c>
      <x:c r="T2005" s="9" t="str"/>
    </x:row>
    <x:row r="2006" ht="22" customHeight="1">
      <x:c r="A2006" s="2" t="str">
        <x:v>L00537-030</x:v>
      </x:c>
      <x:c r="B2006" s="2" t="str">
        <x:v>L00537</x:v>
      </x:c>
      <x:c r="C2006" s="2" t="str">
        <x:v>SO-26108</x:v>
      </x:c>
      <x:c r="D2006" s="2" t="str">
        <x:v>R-L-SS</x:v>
      </x:c>
      <x:c r="E2006" s="14" t="n">
        <x:v>20</x:v>
      </x:c>
      <x:c r="F2006" s="2" t="str">
        <x:v>Wash &amp; dry</x:v>
      </x:c>
      <x:c r="G2006" s="9" t="str">
        <x:v>WS-02</x:v>
      </x:c>
      <x:c r="H2006" s="15" t="n">
        <x:v>129</x:v>
      </x:c>
      <x:c r="I2006" s="9" t="str">
        <x:v>P18</x:v>
      </x:c>
      <x:c r="J2006" s="11" t="n">
        <x:v>46307.73541666667</x:v>
      </x:c>
      <x:c r="K2006" s="15" t="n">
        <x:v>12</x:v>
      </x:c>
      <x:c r="L2006" s="15" t="n">
        <x:v>9</x:v>
      </x:c>
      <x:c r="M2006" s="13" t="n">
        <x:f>J2006+(K2006+L2006)/1440</x:f>
        <x:v>46307.75</x:v>
      </x:c>
      <x:c r="N2006" s="13" t="n">
        <x:f>VLOOKUP(C2006,'MES orders'!$A$8:$H$127,5,FALSE)</x:f>
        <x:v>46307.666666666664</x:v>
      </x:c>
      <x:c r="O2006" s="16" t="n">
        <x:f>MAX(0,(M2006-N2006)*24)</x:f>
        <x:v>2.0000000000582077</x:v>
      </x:c>
      <x:c r="P2006" s="9" t="str">
        <x:v>No</x:v>
      </x:c>
      <x:c r="Q2006" s="15" t="n">
        <x:v>21</x:v>
      </x:c>
      <x:c r="R2006" s="13" t="n">
        <x:f>J2006+Q2006/1440</x:f>
        <x:v>46307.75</x:v>
      </x:c>
      <x:c r="S2006" s="2" t="str">
        <x:f>VLOOKUP(C2006,'MES orders'!$A$8:$H$127,6,FALSE)</x:f>
        <x:v>Normal</x:v>
      </x:c>
      <x:c r="T2006" s="9" t="str"/>
    </x:row>
    <x:row r="2007" ht="22" customHeight="1">
      <x:c r="A2007" s="2" t="str">
        <x:v>L00500-050</x:v>
      </x:c>
      <x:c r="B2007" s="2" t="str">
        <x:v>L00500</x:v>
      </x:c>
      <x:c r="C2007" s="2" t="str">
        <x:v>SO-26100</x:v>
      </x:c>
      <x:c r="D2007" s="2" t="str">
        <x:v>R-S-SS</x:v>
      </x:c>
      <x:c r="E2007" s="14" t="n">
        <x:v>10</x:v>
      </x:c>
      <x:c r="F2007" s="2" t="str">
        <x:v>Valve adjustment</x:v>
      </x:c>
      <x:c r="G2007" s="9" t="str">
        <x:v>AS-01</x:v>
      </x:c>
      <x:c r="H2007" s="15" t="n">
        <x:v>163</x:v>
      </x:c>
      <x:c r="I2007" s="9" t="str">
        <x:v>P17</x:v>
      </x:c>
      <x:c r="J2007" s="11" t="n">
        <x:v>46307.770833333336</x:v>
      </x:c>
      <x:c r="K2007" s="15" t="n">
        <x:v>6</x:v>
      </x:c>
      <x:c r="L2007" s="15" t="n">
        <x:v>11</x:v>
      </x:c>
      <x:c r="M2007" s="13" t="n">
        <x:f>J2007+(K2007+L2007)/1440</x:f>
        <x:v>46307.78263888889</x:v>
      </x:c>
      <x:c r="N2007" s="13" t="n">
        <x:f>VLOOKUP(C2007,'MES orders'!$A$8:$H$127,5,FALSE)</x:f>
        <x:v>46307.666666666664</x:v>
      </x:c>
      <x:c r="O2007" s="16" t="n">
        <x:f>MAX(0,(M2007-N2007)*24)</x:f>
        <x:v>2.7833333335001953</x:v>
      </x:c>
      <x:c r="P2007" s="9" t="str">
        <x:v>No</x:v>
      </x:c>
      <x:c r="Q2007" s="15" t="n">
        <x:v>17</x:v>
      </x:c>
      <x:c r="R2007" s="13" t="n">
        <x:f>J2007+Q2007/1440</x:f>
        <x:v>46307.78263888889</x:v>
      </x:c>
      <x:c r="S2007" s="2" t="str">
        <x:f>VLOOKUP(C2007,'MES orders'!$A$8:$H$127,6,FALSE)</x:f>
        <x:v>Normal</x:v>
      </x:c>
      <x:c r="T2007" s="9" t="str"/>
    </x:row>
    <x:row r="2008" ht="22" customHeight="1">
      <x:c r="A2008" s="2" t="str">
        <x:v>L00536-040</x:v>
      </x:c>
      <x:c r="B2008" s="2" t="str">
        <x:v>L00536</x:v>
      </x:c>
      <x:c r="C2008" s="2" t="str">
        <x:v>SO-26108</x:v>
      </x:c>
      <x:c r="D2008" s="2" t="str">
        <x:v>R-L-SS</x:v>
      </x:c>
      <x:c r="E2008" s="14" t="n">
        <x:v>20</x:v>
      </x:c>
      <x:c r="F2008" s="2" t="str">
        <x:v>Mechanical assembly</x:v>
      </x:c>
      <x:c r="G2008" s="9" t="str">
        <x:v>AS-02</x:v>
      </x:c>
      <x:c r="H2008" s="15" t="n">
        <x:v>131</x:v>
      </x:c>
      <x:c r="I2008" s="9" t="str">
        <x:v>P16</x:v>
      </x:c>
      <x:c r="J2008" s="11" t="n">
        <x:v>46307.770833333336</x:v>
      </x:c>
      <x:c r="K2008" s="15" t="n">
        <x:v>8</x:v>
      </x:c>
      <x:c r="L2008" s="15" t="n">
        <x:v>49</x:v>
      </x:c>
      <x:c r="M2008" s="13" t="n">
        <x:f>J2008+(K2008+L2008)/1440</x:f>
        <x:v>46307.81041666667</x:v>
      </x:c>
      <x:c r="N2008" s="13" t="n">
        <x:f>VLOOKUP(C2008,'MES orders'!$A$8:$H$127,5,FALSE)</x:f>
        <x:v>46307.666666666664</x:v>
      </x:c>
      <x:c r="O2008" s="16" t="n">
        <x:f>MAX(0,(M2008-N2008)*24)</x:f>
        <x:v>3.450000000069849</x:v>
      </x:c>
      <x:c r="P2008" s="9" t="str">
        <x:v>No</x:v>
      </x:c>
      <x:c r="Q2008" s="15" t="n">
        <x:v>57</x:v>
      </x:c>
      <x:c r="R2008" s="13" t="n">
        <x:f>J2008+Q2008/1440</x:f>
        <x:v>46307.81041666667</x:v>
      </x:c>
      <x:c r="S2008" s="2" t="str">
        <x:f>VLOOKUP(C2008,'MES orders'!$A$8:$H$127,6,FALSE)</x:f>
        <x:v>Normal</x:v>
      </x:c>
      <x:c r="T2008" s="9" t="str"/>
    </x:row>
    <x:row r="2009" ht="22" customHeight="1">
      <x:c r="A2009" s="2" t="str">
        <x:v>L00537-040</x:v>
      </x:c>
      <x:c r="B2009" s="2" t="str">
        <x:v>L00537</x:v>
      </x:c>
      <x:c r="C2009" s="2" t="str">
        <x:v>SO-26108</x:v>
      </x:c>
      <x:c r="D2009" s="2" t="str">
        <x:v>R-L-SS</x:v>
      </x:c>
      <x:c r="E2009" s="14" t="n">
        <x:v>20</x:v>
      </x:c>
      <x:c r="F2009" s="2" t="str">
        <x:v>Mechanical assembly</x:v>
      </x:c>
      <x:c r="G2009" s="9" t="str">
        <x:v>AS-03</x:v>
      </x:c>
      <x:c r="H2009" s="15" t="n">
        <x:v>106</x:v>
      </x:c>
      <x:c r="I2009" s="9" t="str">
        <x:v>P18</x:v>
      </x:c>
      <x:c r="J2009" s="11" t="n">
        <x:v>46307.770833333336</x:v>
      </x:c>
      <x:c r="K2009" s="15" t="n">
        <x:v>8</x:v>
      </x:c>
      <x:c r="L2009" s="15" t="n">
        <x:v>49</x:v>
      </x:c>
      <x:c r="M2009" s="13" t="n">
        <x:f>J2009+(K2009+L2009)/1440</x:f>
        <x:v>46307.81041666667</x:v>
      </x:c>
      <x:c r="N2009" s="13" t="n">
        <x:f>VLOOKUP(C2009,'MES orders'!$A$8:$H$127,5,FALSE)</x:f>
        <x:v>46307.666666666664</x:v>
      </x:c>
      <x:c r="O2009" s="16" t="n">
        <x:f>MAX(0,(M2009-N2009)*24)</x:f>
        <x:v>3.450000000069849</x:v>
      </x:c>
      <x:c r="P2009" s="9" t="str">
        <x:v>No</x:v>
      </x:c>
      <x:c r="Q2009" s="15" t="n">
        <x:v>57</x:v>
      </x:c>
      <x:c r="R2009" s="13" t="n">
        <x:f>J2009+Q2009/1440</x:f>
        <x:v>46307.81041666667</x:v>
      </x:c>
      <x:c r="S2009" s="2" t="str">
        <x:f>VLOOKUP(C2009,'MES orders'!$A$8:$H$127,6,FALSE)</x:f>
        <x:v>Normal</x:v>
      </x:c>
      <x:c r="T2009" s="9" t="str"/>
    </x:row>
    <x:row r="2010" ht="22" customHeight="1">
      <x:c r="A2010" s="2" t="str">
        <x:v>L00102-070</x:v>
      </x:c>
      <x:c r="B2010" s="2" t="str">
        <x:v>L00102</x:v>
      </x:c>
      <x:c r="C2010" s="2" t="str">
        <x:v>SO-26021</x:v>
      </x:c>
      <x:c r="D2010" s="2" t="str">
        <x:v>S-S-AL</x:v>
      </x:c>
      <x:c r="E2010" s="14" t="n">
        <x:v>10</x:v>
      </x:c>
      <x:c r="F2010" s="2" t="str">
        <x:v>Final assembly</x:v>
      </x:c>
      <x:c r="G2010" s="9" t="str">
        <x:v>AS-04</x:v>
      </x:c>
      <x:c r="H2010" s="15" t="n">
        <x:v>70</x:v>
      </x:c>
      <x:c r="I2010" s="9" t="str">
        <x:v>P20</x:v>
      </x:c>
      <x:c r="J2010" s="11" t="n">
        <x:v>46307.770833333336</x:v>
      </x:c>
      <x:c r="K2010" s="15" t="n">
        <x:v>5</x:v>
      </x:c>
      <x:c r="L2010" s="15" t="n">
        <x:v>8</x:v>
      </x:c>
      <x:c r="M2010" s="13" t="n">
        <x:f>J2010+(K2010+L2010)/1440</x:f>
        <x:v>46307.779861111114</x:v>
      </x:c>
      <x:c r="N2010" s="13" t="n">
        <x:f>VLOOKUP(C2010,'MES orders'!$A$8:$H$127,5,FALSE)</x:f>
        <x:v>46308.666666666664</x:v>
      </x:c>
      <x:c r="O2010" s="16" t="n">
        <x:f>MAX(0,(M2010-N2010)*24)</x:f>
        <x:v>0</x:v>
      </x:c>
      <x:c r="P2010" s="9" t="str">
        <x:v>No</x:v>
      </x:c>
      <x:c r="Q2010" s="15" t="n">
        <x:v>13</x:v>
      </x:c>
      <x:c r="R2010" s="13" t="n">
        <x:f>J2010+Q2010/1440</x:f>
        <x:v>46307.779861111114</x:v>
      </x:c>
      <x:c r="S2010" s="2" t="str">
        <x:f>VLOOKUP(C2010,'MES orders'!$A$8:$H$127,6,FALSE)</x:f>
        <x:v>Normal</x:v>
      </x:c>
      <x:c r="T2010" s="9" t="str"/>
    </x:row>
    <x:row r="2011" ht="22" customHeight="1">
      <x:c r="A2011" s="2" t="str">
        <x:v>L00144-020</x:v>
      </x:c>
      <x:c r="B2011" s="2" t="str">
        <x:v>L00144</x:v>
      </x:c>
      <x:c r="C2011" s="2" t="str">
        <x:v>SO-26029</x:v>
      </x:c>
      <x:c r="D2011" s="2" t="str">
        <x:v>S-L-AL</x:v>
      </x:c>
      <x:c r="E2011" s="14" t="n">
        <x:v>10</x:v>
      </x:c>
      <x:c r="F2011" s="2" t="str">
        <x:v>Deburr &amp; inspect</x:v>
      </x:c>
      <x:c r="G2011" s="9" t="str">
        <x:v>DB-01</x:v>
      </x:c>
      <x:c r="H2011" s="15" t="n">
        <x:v>191</x:v>
      </x:c>
      <x:c r="I2011" s="9" t="str">
        <x:v>P15</x:v>
      </x:c>
      <x:c r="J2011" s="11" t="n">
        <x:v>46307.770833333336</x:v>
      </x:c>
      <x:c r="K2011" s="15" t="n">
        <x:v>4</x:v>
      </x:c>
      <x:c r="L2011" s="15" t="n">
        <x:v>9</x:v>
      </x:c>
      <x:c r="M2011" s="13" t="n">
        <x:f>J2011+(K2011+L2011)/1440</x:f>
        <x:v>46307.779861111114</x:v>
      </x:c>
      <x:c r="N2011" s="13" t="n">
        <x:f>VLOOKUP(C2011,'MES orders'!$A$8:$H$127,5,FALSE)</x:f>
        <x:v>46308.666666666664</x:v>
      </x:c>
      <x:c r="O2011" s="16" t="n">
        <x:f>MAX(0,(M2011-N2011)*24)</x:f>
        <x:v>0</x:v>
      </x:c>
      <x:c r="P2011" s="9" t="str">
        <x:v>No</x:v>
      </x:c>
      <x:c r="Q2011" s="15" t="n">
        <x:v>13</x:v>
      </x:c>
      <x:c r="R2011" s="13" t="n">
        <x:f>J2011+Q2011/1440</x:f>
        <x:v>46307.779861111114</x:v>
      </x:c>
      <x:c r="S2011" s="2" t="str">
        <x:f>VLOOKUP(C2011,'MES orders'!$A$8:$H$127,6,FALSE)</x:f>
        <x:v>High</x:v>
      </x:c>
      <x:c r="T2011" s="9" t="str"/>
    </x:row>
    <x:row r="2012" ht="22" customHeight="1">
      <x:c r="A2012" s="2" t="str">
        <x:v>L00145-020</x:v>
      </x:c>
      <x:c r="B2012" s="2" t="str">
        <x:v>L00145</x:v>
      </x:c>
      <x:c r="C2012" s="2" t="str">
        <x:v>SO-26029</x:v>
      </x:c>
      <x:c r="D2012" s="2" t="str">
        <x:v>S-L-AL</x:v>
      </x:c>
      <x:c r="E2012" s="14" t="n">
        <x:v>10</x:v>
      </x:c>
      <x:c r="F2012" s="2" t="str">
        <x:v>Deburr &amp; inspect</x:v>
      </x:c>
      <x:c r="G2012" s="9" t="str">
        <x:v>DB-02</x:v>
      </x:c>
      <x:c r="H2012" s="15" t="n">
        <x:v>131</x:v>
      </x:c>
      <x:c r="I2012" s="9" t="str">
        <x:v>P19</x:v>
      </x:c>
      <x:c r="J2012" s="11" t="n">
        <x:v>46307.770833333336</x:v>
      </x:c>
      <x:c r="K2012" s="15" t="n">
        <x:v>4</x:v>
      </x:c>
      <x:c r="L2012" s="15" t="n">
        <x:v>9</x:v>
      </x:c>
      <x:c r="M2012" s="13" t="n">
        <x:f>J2012+(K2012+L2012)/1440</x:f>
        <x:v>46307.779861111114</x:v>
      </x:c>
      <x:c r="N2012" s="13" t="n">
        <x:f>VLOOKUP(C2012,'MES orders'!$A$8:$H$127,5,FALSE)</x:f>
        <x:v>46308.666666666664</x:v>
      </x:c>
      <x:c r="O2012" s="16" t="n">
        <x:f>MAX(0,(M2012-N2012)*24)</x:f>
        <x:v>0</x:v>
      </x:c>
      <x:c r="P2012" s="9" t="str">
        <x:v>No</x:v>
      </x:c>
      <x:c r="Q2012" s="15" t="n">
        <x:v>13</x:v>
      </x:c>
      <x:c r="R2012" s="13" t="n">
        <x:f>J2012+Q2012/1440</x:f>
        <x:v>46307.779861111114</x:v>
      </x:c>
      <x:c r="S2012" s="2" t="str">
        <x:f>VLOOKUP(C2012,'MES orders'!$A$8:$H$127,6,FALSE)</x:f>
        <x:v>High</x:v>
      </x:c>
      <x:c r="T2012" s="9" t="str"/>
    </x:row>
    <x:row r="2013" ht="22" customHeight="1">
      <x:c r="A2013" s="2" t="str">
        <x:v>L00062-080</x:v>
      </x:c>
      <x:c r="B2013" s="2" t="str">
        <x:v>L00062</x:v>
      </x:c>
      <x:c r="C2013" s="2" t="str">
        <x:v>SO-26013</x:v>
      </x:c>
      <x:c r="D2013" s="2" t="str">
        <x:v>S-C-AL</x:v>
      </x:c>
      <x:c r="E2013" s="14" t="n">
        <x:v>5</x:v>
      </x:c>
      <x:c r="F2013" s="2" t="str">
        <x:v>Final leak / function test</x:v>
      </x:c>
      <x:c r="G2013" s="9" t="str">
        <x:v>QA-02</x:v>
      </x:c>
      <x:c r="H2013" s="15" t="n">
        <x:v>145</x:v>
      </x:c>
      <x:c r="I2013" s="9" t="str">
        <x:v>P23</x:v>
      </x:c>
      <x:c r="J2013" s="11" t="n">
        <x:v>46307.770833333336</x:v>
      </x:c>
      <x:c r="K2013" s="15" t="n">
        <x:v>10</x:v>
      </x:c>
      <x:c r="L2013" s="15" t="n">
        <x:v>4</x:v>
      </x:c>
      <x:c r="M2013" s="13" t="n">
        <x:f>J2013+(K2013+L2013)/1440</x:f>
        <x:v>46307.78055555556</x:v>
      </x:c>
      <x:c r="N2013" s="13" t="n">
        <x:f>VLOOKUP(C2013,'MES orders'!$A$8:$H$127,5,FALSE)</x:f>
        <x:v>46308.666666666664</x:v>
      </x:c>
      <x:c r="O2013" s="16" t="n">
        <x:f>MAX(0,(M2013-N2013)*24)</x:f>
        <x:v>0</x:v>
      </x:c>
      <x:c r="P2013" s="9" t="str">
        <x:v>No</x:v>
      </x:c>
      <x:c r="Q2013" s="15" t="n">
        <x:v>14</x:v>
      </x:c>
      <x:c r="R2013" s="13" t="n">
        <x:f>J2013+Q2013/1440</x:f>
        <x:v>46307.78055555556</x:v>
      </x:c>
      <x:c r="S2013" s="2" t="str">
        <x:f>VLOOKUP(C2013,'MES orders'!$A$8:$H$127,6,FALSE)</x:f>
        <x:v>Normal</x:v>
      </x:c>
      <x:c r="T2013" s="9" t="str"/>
    </x:row>
    <x:row r="2014" ht="22" customHeight="1">
      <x:c r="A2014" s="2" t="str">
        <x:v>L00064-080</x:v>
      </x:c>
      <x:c r="B2014" s="2" t="str">
        <x:v>L00064</x:v>
      </x:c>
      <x:c r="C2014" s="2" t="str">
        <x:v>SO-26013</x:v>
      </x:c>
      <x:c r="D2014" s="2" t="str">
        <x:v>S-C-AL</x:v>
      </x:c>
      <x:c r="E2014" s="14" t="n">
        <x:v>5</x:v>
      </x:c>
      <x:c r="F2014" s="2" t="str">
        <x:v>Final leak / function test</x:v>
      </x:c>
      <x:c r="G2014" s="9" t="str">
        <x:v>QA-03</x:v>
      </x:c>
      <x:c r="H2014" s="15" t="n">
        <x:v>87</x:v>
      </x:c>
      <x:c r="I2014" s="9" t="str">
        <x:v>P24</x:v>
      </x:c>
      <x:c r="J2014" s="11" t="n">
        <x:v>46307.770833333336</x:v>
      </x:c>
      <x:c r="K2014" s="15" t="n">
        <x:v>10</x:v>
      </x:c>
      <x:c r="L2014" s="15" t="n">
        <x:v>4</x:v>
      </x:c>
      <x:c r="M2014" s="13" t="n">
        <x:f>J2014+(K2014+L2014)/1440</x:f>
        <x:v>46307.78055555556</x:v>
      </x:c>
      <x:c r="N2014" s="13" t="n">
        <x:f>VLOOKUP(C2014,'MES orders'!$A$8:$H$127,5,FALSE)</x:f>
        <x:v>46308.666666666664</x:v>
      </x:c>
      <x:c r="O2014" s="16" t="n">
        <x:f>MAX(0,(M2014-N2014)*24)</x:f>
        <x:v>0</x:v>
      </x:c>
      <x:c r="P2014" s="9" t="str">
        <x:v>No</x:v>
      </x:c>
      <x:c r="Q2014" s="15" t="n">
        <x:v>14</x:v>
      </x:c>
      <x:c r="R2014" s="13" t="n">
        <x:f>J2014+Q2014/1440</x:f>
        <x:v>46307.78055555556</x:v>
      </x:c>
      <x:c r="S2014" s="2" t="str">
        <x:f>VLOOKUP(C2014,'MES orders'!$A$8:$H$127,6,FALSE)</x:f>
        <x:v>Normal</x:v>
      </x:c>
      <x:c r="T2014" s="9" t="str"/>
    </x:row>
    <x:row r="2015" ht="22" customHeight="1">
      <x:c r="A2015" s="2" t="str">
        <x:v>L00142-030</x:v>
      </x:c>
      <x:c r="B2015" s="2" t="str">
        <x:v>L00142</x:v>
      </x:c>
      <x:c r="C2015" s="2" t="str">
        <x:v>SO-26029</x:v>
      </x:c>
      <x:c r="D2015" s="2" t="str">
        <x:v>S-L-AL</x:v>
      </x:c>
      <x:c r="E2015" s="14" t="n">
        <x:v>10</x:v>
      </x:c>
      <x:c r="F2015" s="2" t="str">
        <x:v>Wash &amp; dry</x:v>
      </x:c>
      <x:c r="G2015" s="9" t="str">
        <x:v>WS-01</x:v>
      </x:c>
      <x:c r="H2015" s="15" t="n">
        <x:v>187</x:v>
      </x:c>
      <x:c r="I2015" s="9" t="str">
        <x:v>P13</x:v>
      </x:c>
      <x:c r="J2015" s="11" t="n">
        <x:v>46307.770833333336</x:v>
      </x:c>
      <x:c r="K2015" s="15" t="n">
        <x:v>12</x:v>
      </x:c>
      <x:c r="L2015" s="15" t="n">
        <x:v>5</x:v>
      </x:c>
      <x:c r="M2015" s="13" t="n">
        <x:f>J2015+(K2015+L2015)/1440</x:f>
        <x:v>46307.78263888889</x:v>
      </x:c>
      <x:c r="N2015" s="13" t="n">
        <x:f>VLOOKUP(C2015,'MES orders'!$A$8:$H$127,5,FALSE)</x:f>
        <x:v>46308.666666666664</x:v>
      </x:c>
      <x:c r="O2015" s="16" t="n">
        <x:f>MAX(0,(M2015-N2015)*24)</x:f>
        <x:v>0</x:v>
      </x:c>
      <x:c r="P2015" s="9" t="str">
        <x:v>No</x:v>
      </x:c>
      <x:c r="Q2015" s="15" t="n">
        <x:v>17</x:v>
      </x:c>
      <x:c r="R2015" s="13" t="n">
        <x:f>J2015+Q2015/1440</x:f>
        <x:v>46307.78263888889</x:v>
      </x:c>
      <x:c r="S2015" s="2" t="str">
        <x:f>VLOOKUP(C2015,'MES orders'!$A$8:$H$127,6,FALSE)</x:f>
        <x:v>High</x:v>
      </x:c>
      <x:c r="T2015" s="9" t="str"/>
    </x:row>
    <x:row r="2016" ht="22" customHeight="1">
      <x:c r="A2016" s="2" t="str">
        <x:v>L00143-030</x:v>
      </x:c>
      <x:c r="B2016" s="2" t="str">
        <x:v>L00143</x:v>
      </x:c>
      <x:c r="C2016" s="2" t="str">
        <x:v>SO-26029</x:v>
      </x:c>
      <x:c r="D2016" s="2" t="str">
        <x:v>S-L-AL</x:v>
      </x:c>
      <x:c r="E2016" s="14" t="n">
        <x:v>10</x:v>
      </x:c>
      <x:c r="F2016" s="2" t="str">
        <x:v>Wash &amp; dry</x:v>
      </x:c>
      <x:c r="G2016" s="9" t="str">
        <x:v>WS-02</x:v>
      </x:c>
      <x:c r="H2016" s="15" t="n">
        <x:v>130</x:v>
      </x:c>
      <x:c r="I2016" s="9" t="str">
        <x:v>P14</x:v>
      </x:c>
      <x:c r="J2016" s="11" t="n">
        <x:v>46307.770833333336</x:v>
      </x:c>
      <x:c r="K2016" s="15" t="n">
        <x:v>12</x:v>
      </x:c>
      <x:c r="L2016" s="15" t="n">
        <x:v>5</x:v>
      </x:c>
      <x:c r="M2016" s="13" t="n">
        <x:f>J2016+(K2016+L2016)/1440</x:f>
        <x:v>46307.78263888889</x:v>
      </x:c>
      <x:c r="N2016" s="13" t="n">
        <x:f>VLOOKUP(C2016,'MES orders'!$A$8:$H$127,5,FALSE)</x:f>
        <x:v>46308.666666666664</x:v>
      </x:c>
      <x:c r="O2016" s="16" t="n">
        <x:f>MAX(0,(M2016-N2016)*24)</x:f>
        <x:v>0</x:v>
      </x:c>
      <x:c r="P2016" s="9" t="str">
        <x:v>No</x:v>
      </x:c>
      <x:c r="Q2016" s="15" t="n">
        <x:v>17</x:v>
      </x:c>
      <x:c r="R2016" s="13" t="n">
        <x:f>J2016+Q2016/1440</x:f>
        <x:v>46307.78263888889</x:v>
      </x:c>
      <x:c r="S2016" s="2" t="str">
        <x:f>VLOOKUP(C2016,'MES orders'!$A$8:$H$127,6,FALSE)</x:f>
        <x:v>High</x:v>
      </x:c>
      <x:c r="T2016" s="9" t="str"/>
    </x:row>
    <x:row r="2017" ht="22" customHeight="1">
      <x:c r="A2017" s="2" t="str">
        <x:v>L00065-080</x:v>
      </x:c>
      <x:c r="B2017" s="2" t="str">
        <x:v>L00065</x:v>
      </x:c>
      <x:c r="C2017" s="2" t="str">
        <x:v>SO-26013</x:v>
      </x:c>
      <x:c r="D2017" s="2" t="str">
        <x:v>S-C-AL</x:v>
      </x:c>
      <x:c r="E2017" s="14" t="n">
        <x:v>5</x:v>
      </x:c>
      <x:c r="F2017" s="2" t="str">
        <x:v>Final leak / function test</x:v>
      </x:c>
      <x:c r="G2017" s="9" t="str">
        <x:v>QA-03</x:v>
      </x:c>
      <x:c r="H2017" s="15" t="n">
        <x:v>88</x:v>
      </x:c>
      <x:c r="I2017" s="9" t="str">
        <x:v>P24</x:v>
      </x:c>
      <x:c r="J2017" s="11" t="n">
        <x:v>46307.78055555555</x:v>
      </x:c>
      <x:c r="K2017" s="15" t="n">
        <x:v>10</x:v>
      </x:c>
      <x:c r="L2017" s="15" t="n">
        <x:v>4</x:v>
      </x:c>
      <x:c r="M2017" s="13" t="n">
        <x:f>J2017+(K2017+L2017)/1440</x:f>
        <x:v>46307.79027777778</x:v>
      </x:c>
      <x:c r="N2017" s="13" t="n">
        <x:f>VLOOKUP(C2017,'MES orders'!$A$8:$H$127,5,FALSE)</x:f>
        <x:v>46308.666666666664</x:v>
      </x:c>
      <x:c r="O2017" s="16" t="n">
        <x:f>MAX(0,(M2017-N2017)*24)</x:f>
        <x:v>0</x:v>
      </x:c>
      <x:c r="P2017" s="9" t="str">
        <x:v>No</x:v>
      </x:c>
      <x:c r="Q2017" s="15" t="n">
        <x:v>14</x:v>
      </x:c>
      <x:c r="R2017" s="13" t="n">
        <x:f>J2017+Q2017/1440</x:f>
        <x:v>46307.79027777778</x:v>
      </x:c>
      <x:c r="S2017" s="2" t="str">
        <x:f>VLOOKUP(C2017,'MES orders'!$A$8:$H$127,6,FALSE)</x:f>
        <x:v>Normal</x:v>
      </x:c>
      <x:c r="T2017" s="9" t="str"/>
    </x:row>
    <x:row r="2018" ht="22" customHeight="1">
      <x:c r="A2018" s="2" t="str">
        <x:v>L00142-040</x:v>
      </x:c>
      <x:c r="B2018" s="2" t="str">
        <x:v>L00142</x:v>
      </x:c>
      <x:c r="C2018" s="2" t="str">
        <x:v>SO-26029</x:v>
      </x:c>
      <x:c r="D2018" s="2" t="str">
        <x:v>S-L-AL</x:v>
      </x:c>
      <x:c r="E2018" s="14" t="n">
        <x:v>10</x:v>
      </x:c>
      <x:c r="F2018" s="2" t="str">
        <x:v>Mechanical preassembly</x:v>
      </x:c>
      <x:c r="G2018" s="9" t="str">
        <x:v>AS-01</x:v>
      </x:c>
      <x:c r="H2018" s="15" t="n">
        <x:v>164</x:v>
      </x:c>
      <x:c r="I2018" s="9" t="str">
        <x:v>P13</x:v>
      </x:c>
      <x:c r="J2018" s="11" t="n">
        <x:v>46307.782638888886</x:v>
      </x:c>
      <x:c r="K2018" s="15" t="n">
        <x:v>6</x:v>
      </x:c>
      <x:c r="L2018" s="15" t="n">
        <x:v>15</x:v>
      </x:c>
      <x:c r="M2018" s="13" t="n">
        <x:f>J2018+(K2018+L2018)/1440</x:f>
        <x:v>46307.797222222216</x:v>
      </x:c>
      <x:c r="N2018" s="13" t="n">
        <x:f>VLOOKUP(C2018,'MES orders'!$A$8:$H$127,5,FALSE)</x:f>
        <x:v>46308.666666666664</x:v>
      </x:c>
      <x:c r="O2018" s="16" t="n">
        <x:f>MAX(0,(M2018-N2018)*24)</x:f>
        <x:v>0</x:v>
      </x:c>
      <x:c r="P2018" s="9" t="str">
        <x:v>No</x:v>
      </x:c>
      <x:c r="Q2018" s="15" t="n">
        <x:v>21</x:v>
      </x:c>
      <x:c r="R2018" s="13" t="n">
        <x:f>J2018+Q2018/1440</x:f>
        <x:v>46307.797222222216</x:v>
      </x:c>
      <x:c r="S2018" s="2" t="str">
        <x:f>VLOOKUP(C2018,'MES orders'!$A$8:$H$127,6,FALSE)</x:f>
        <x:v>High</x:v>
      </x:c>
      <x:c r="T2018" s="9" t="str"/>
    </x:row>
    <x:row r="2019" ht="22" customHeight="1">
      <x:c r="A2019" s="2" t="str">
        <x:v>L00143-040</x:v>
      </x:c>
      <x:c r="B2019" s="2" t="str">
        <x:v>L00143</x:v>
      </x:c>
      <x:c r="C2019" s="2" t="str">
        <x:v>SO-26029</x:v>
      </x:c>
      <x:c r="D2019" s="2" t="str">
        <x:v>S-L-AL</x:v>
      </x:c>
      <x:c r="E2019" s="14" t="n">
        <x:v>10</x:v>
      </x:c>
      <x:c r="F2019" s="2" t="str">
        <x:v>Mechanical preassembly</x:v>
      </x:c>
      <x:c r="G2019" s="9" t="str">
        <x:v>AS-04</x:v>
      </x:c>
      <x:c r="H2019" s="15" t="n">
        <x:v>71</x:v>
      </x:c>
      <x:c r="I2019" s="9" t="str">
        <x:v>P14</x:v>
      </x:c>
      <x:c r="J2019" s="11" t="n">
        <x:v>46307.782638888886</x:v>
      </x:c>
      <x:c r="K2019" s="15" t="n">
        <x:v>6</x:v>
      </x:c>
      <x:c r="L2019" s="15" t="n">
        <x:v>15</x:v>
      </x:c>
      <x:c r="M2019" s="13" t="n">
        <x:f>J2019+(K2019+L2019)/1440</x:f>
        <x:v>46307.797222222216</x:v>
      </x:c>
      <x:c r="N2019" s="13" t="n">
        <x:f>VLOOKUP(C2019,'MES orders'!$A$8:$H$127,5,FALSE)</x:f>
        <x:v>46308.666666666664</x:v>
      </x:c>
      <x:c r="O2019" s="16" t="n">
        <x:f>MAX(0,(M2019-N2019)*24)</x:f>
        <x:v>0</x:v>
      </x:c>
      <x:c r="P2019" s="9" t="str">
        <x:v>No</x:v>
      </x:c>
      <x:c r="Q2019" s="15" t="n">
        <x:v>21</x:v>
      </x:c>
      <x:c r="R2019" s="13" t="n">
        <x:f>J2019+Q2019/1440</x:f>
        <x:v>46307.797222222216</x:v>
      </x:c>
      <x:c r="S2019" s="2" t="str">
        <x:f>VLOOKUP(C2019,'MES orders'!$A$8:$H$127,6,FALSE)</x:f>
        <x:v>High</x:v>
      </x:c>
      <x:c r="T2019" s="9" t="str"/>
    </x:row>
    <x:row r="2020" ht="22" customHeight="1">
      <x:c r="A2020" s="2" t="str">
        <x:v>L00500-060</x:v>
      </x:c>
      <x:c r="B2020" s="2" t="str">
        <x:v>L00500</x:v>
      </x:c>
      <x:c r="C2020" s="2" t="str">
        <x:v>SO-26100</x:v>
      </x:c>
      <x:c r="D2020" s="2" t="str">
        <x:v>R-S-SS</x:v>
      </x:c>
      <x:c r="E2020" s="14" t="n">
        <x:v>10</x:v>
      </x:c>
      <x:c r="F2020" s="2" t="str">
        <x:v>Final leak / function test</x:v>
      </x:c>
      <x:c r="G2020" s="9" t="str">
        <x:v>QA-02</x:v>
      </x:c>
      <x:c r="H2020" s="15" t="n">
        <x:v>146</x:v>
      </x:c>
      <x:c r="I2020" s="9" t="str">
        <x:v>P23</x:v>
      </x:c>
      <x:c r="J2020" s="11" t="n">
        <x:v>46307.782638888886</x:v>
      </x:c>
      <x:c r="K2020" s="15" t="n">
        <x:v>10</x:v>
      </x:c>
      <x:c r="L2020" s="15" t="n">
        <x:v>9</x:v>
      </x:c>
      <x:c r="M2020" s="13" t="n">
        <x:f>J2020+(K2020+L2020)/1440</x:f>
        <x:v>46307.79583333333</x:v>
      </x:c>
      <x:c r="N2020" s="13" t="n">
        <x:f>VLOOKUP(C2020,'MES orders'!$A$8:$H$127,5,FALSE)</x:f>
        <x:v>46307.666666666664</x:v>
      </x:c>
      <x:c r="O2020" s="16" t="n">
        <x:f>MAX(0,(M2020-N2020)*24)</x:f>
        <x:v>3.099999999976717</x:v>
      </x:c>
      <x:c r="P2020" s="9" t="str">
        <x:v>No</x:v>
      </x:c>
      <x:c r="Q2020" s="15" t="n">
        <x:v>19</x:v>
      </x:c>
      <x:c r="R2020" s="13" t="n">
        <x:f>J2020+Q2020/1440</x:f>
        <x:v>46307.79583333333</x:v>
      </x:c>
      <x:c r="S2020" s="2" t="str">
        <x:f>VLOOKUP(C2020,'MES orders'!$A$8:$H$127,6,FALSE)</x:f>
        <x:v>Normal</x:v>
      </x:c>
      <x:c r="T2020" s="9" t="str"/>
    </x:row>
    <x:row r="2021" ht="22" customHeight="1">
      <x:c r="A2021" s="2" t="str">
        <x:v>L00538-030</x:v>
      </x:c>
      <x:c r="B2021" s="2" t="str">
        <x:v>L00538</x:v>
      </x:c>
      <x:c r="C2021" s="2" t="str">
        <x:v>SO-26108</x:v>
      </x:c>
      <x:c r="D2021" s="2" t="str">
        <x:v>R-L-SS</x:v>
      </x:c>
      <x:c r="E2021" s="14" t="n">
        <x:v>20</x:v>
      </x:c>
      <x:c r="F2021" s="2" t="str">
        <x:v>Wash &amp; dry</x:v>
      </x:c>
      <x:c r="G2021" s="9" t="str">
        <x:v>WS-01</x:v>
      </x:c>
      <x:c r="H2021" s="15" t="n">
        <x:v>188</x:v>
      </x:c>
      <x:c r="I2021" s="9" t="str">
        <x:v>P17</x:v>
      </x:c>
      <x:c r="J2021" s="11" t="n">
        <x:v>46307.782638888886</x:v>
      </x:c>
      <x:c r="K2021" s="15" t="n">
        <x:v>12</x:v>
      </x:c>
      <x:c r="L2021" s="15" t="n">
        <x:v>9</x:v>
      </x:c>
      <x:c r="M2021" s="13" t="n">
        <x:f>J2021+(K2021+L2021)/1440</x:f>
        <x:v>46307.797222222216</x:v>
      </x:c>
      <x:c r="N2021" s="13" t="n">
        <x:f>VLOOKUP(C2021,'MES orders'!$A$8:$H$127,5,FALSE)</x:f>
        <x:v>46307.666666666664</x:v>
      </x:c>
      <x:c r="O2021" s="16" t="n">
        <x:f>MAX(0,(M2021-N2021)*24)</x:f>
        <x:v>3.1333333332440816</x:v>
      </x:c>
      <x:c r="P2021" s="9" t="str">
        <x:v>No</x:v>
      </x:c>
      <x:c r="Q2021" s="15" t="n">
        <x:v>21</x:v>
      </x:c>
      <x:c r="R2021" s="13" t="n">
        <x:f>J2021+Q2021/1440</x:f>
        <x:v>46307.797222222216</x:v>
      </x:c>
      <x:c r="S2021" s="2" t="str">
        <x:f>VLOOKUP(C2021,'MES orders'!$A$8:$H$127,6,FALSE)</x:f>
        <x:v>Normal</x:v>
      </x:c>
      <x:c r="T2021" s="9" t="str"/>
    </x:row>
    <x:row r="2022" ht="22" customHeight="1">
      <x:c r="A2022" s="2" t="str">
        <x:v>L00144-030</x:v>
      </x:c>
      <x:c r="B2022" s="2" t="str">
        <x:v>L00144</x:v>
      </x:c>
      <x:c r="C2022" s="2" t="str">
        <x:v>SO-26029</x:v>
      </x:c>
      <x:c r="D2022" s="2" t="str">
        <x:v>S-L-AL</x:v>
      </x:c>
      <x:c r="E2022" s="14" t="n">
        <x:v>10</x:v>
      </x:c>
      <x:c r="F2022" s="2" t="str">
        <x:v>Wash &amp; dry</x:v>
      </x:c>
      <x:c r="G2022" s="9" t="str">
        <x:v>WS-02</x:v>
      </x:c>
      <x:c r="H2022" s="15" t="n">
        <x:v>131</x:v>
      </x:c>
      <x:c r="I2022" s="9" t="str">
        <x:v>P15</x:v>
      </x:c>
      <x:c r="J2022" s="11" t="n">
        <x:v>46307.782638888886</x:v>
      </x:c>
      <x:c r="K2022" s="15" t="n">
        <x:v>12</x:v>
      </x:c>
      <x:c r="L2022" s="15" t="n">
        <x:v>5</x:v>
      </x:c>
      <x:c r="M2022" s="13" t="n">
        <x:f>J2022+(K2022+L2022)/1440</x:f>
        <x:v>46307.794444444444</x:v>
      </x:c>
      <x:c r="N2022" s="13" t="n">
        <x:f>VLOOKUP(C2022,'MES orders'!$A$8:$H$127,5,FALSE)</x:f>
        <x:v>46308.666666666664</x:v>
      </x:c>
      <x:c r="O2022" s="16" t="n">
        <x:f>MAX(0,(M2022-N2022)*24)</x:f>
        <x:v>0</x:v>
      </x:c>
      <x:c r="P2022" s="9" t="str">
        <x:v>No</x:v>
      </x:c>
      <x:c r="Q2022" s="15" t="n">
        <x:v>17</x:v>
      </x:c>
      <x:c r="R2022" s="13" t="n">
        <x:f>J2022+Q2022/1440</x:f>
        <x:v>46307.794444444444</x:v>
      </x:c>
      <x:c r="S2022" s="2" t="str">
        <x:f>VLOOKUP(C2022,'MES orders'!$A$8:$H$127,6,FALSE)</x:f>
        <x:v>High</x:v>
      </x:c>
      <x:c r="T2022" s="9" t="str"/>
    </x:row>
    <x:row r="2023" ht="22" customHeight="1">
      <x:c r="A2023" s="2" t="str">
        <x:v>L00144-040</x:v>
      </x:c>
      <x:c r="B2023" s="2" t="str">
        <x:v>L00144</x:v>
      </x:c>
      <x:c r="C2023" s="2" t="str">
        <x:v>SO-26029</x:v>
      </x:c>
      <x:c r="D2023" s="2" t="str">
        <x:v>S-L-AL</x:v>
      </x:c>
      <x:c r="E2023" s="14" t="n">
        <x:v>10</x:v>
      </x:c>
      <x:c r="F2023" s="2" t="str">
        <x:v>Mechanical preassembly</x:v>
      </x:c>
      <x:c r="G2023" s="9" t="str">
        <x:v>AS-05</x:v>
      </x:c>
      <x:c r="H2023" s="15" t="n">
        <x:v>41</x:v>
      </x:c>
      <x:c r="I2023" s="9" t="str">
        <x:v>P15</x:v>
      </x:c>
      <x:c r="J2023" s="11" t="n">
        <x:v>46307.794444444444</x:v>
      </x:c>
      <x:c r="K2023" s="15" t="n">
        <x:v>6</x:v>
      </x:c>
      <x:c r="L2023" s="15" t="n">
        <x:v>15</x:v>
      </x:c>
      <x:c r="M2023" s="13" t="n">
        <x:f>J2023+(K2023+L2023)/1440</x:f>
        <x:v>46307.809027777774</x:v>
      </x:c>
      <x:c r="N2023" s="13" t="n">
        <x:f>VLOOKUP(C2023,'MES orders'!$A$8:$H$127,5,FALSE)</x:f>
        <x:v>46308.666666666664</x:v>
      </x:c>
      <x:c r="O2023" s="16" t="n">
        <x:f>MAX(0,(M2023-N2023)*24)</x:f>
        <x:v>0</x:v>
      </x:c>
      <x:c r="P2023" s="9" t="str">
        <x:v>No</x:v>
      </x:c>
      <x:c r="Q2023" s="15" t="n">
        <x:v>21</x:v>
      </x:c>
      <x:c r="R2023" s="13" t="n">
        <x:f>J2023+Q2023/1440</x:f>
        <x:v>46307.809027777774</x:v>
      </x:c>
      <x:c r="S2023" s="2" t="str">
        <x:f>VLOOKUP(C2023,'MES orders'!$A$8:$H$127,6,FALSE)</x:f>
        <x:v>High</x:v>
      </x:c>
      <x:c r="T2023" s="9" t="str"/>
    </x:row>
    <x:row r="2024" ht="22" customHeight="1">
      <x:c r="A2024" s="2" t="str">
        <x:v>L00145-030</x:v>
      </x:c>
      <x:c r="B2024" s="2" t="str">
        <x:v>L00145</x:v>
      </x:c>
      <x:c r="C2024" s="2" t="str">
        <x:v>SO-26029</x:v>
      </x:c>
      <x:c r="D2024" s="2" t="str">
        <x:v>S-L-AL</x:v>
      </x:c>
      <x:c r="E2024" s="14" t="n">
        <x:v>10</x:v>
      </x:c>
      <x:c r="F2024" s="2" t="str">
        <x:v>Wash &amp; dry</x:v>
      </x:c>
      <x:c r="G2024" s="9" t="str">
        <x:v>WS-02</x:v>
      </x:c>
      <x:c r="H2024" s="15" t="n">
        <x:v>132</x:v>
      </x:c>
      <x:c r="I2024" s="9" t="str">
        <x:v>P24</x:v>
      </x:c>
      <x:c r="J2024" s="11" t="n">
        <x:v>46307.794444444444</x:v>
      </x:c>
      <x:c r="K2024" s="15" t="n">
        <x:v>12</x:v>
      </x:c>
      <x:c r="L2024" s="15" t="n">
        <x:v>5</x:v>
      </x:c>
      <x:c r="M2024" s="13" t="n">
        <x:f>J2024+(K2024+L2024)/1440</x:f>
        <x:v>46307.80625</x:v>
      </x:c>
      <x:c r="N2024" s="13" t="n">
        <x:f>VLOOKUP(C2024,'MES orders'!$A$8:$H$127,5,FALSE)</x:f>
        <x:v>46308.666666666664</x:v>
      </x:c>
      <x:c r="O2024" s="16" t="n">
        <x:f>MAX(0,(M2024-N2024)*24)</x:f>
        <x:v>0</x:v>
      </x:c>
      <x:c r="P2024" s="9" t="str">
        <x:v>No</x:v>
      </x:c>
      <x:c r="Q2024" s="15" t="n">
        <x:v>17</x:v>
      </x:c>
      <x:c r="R2024" s="13" t="n">
        <x:f>J2024+Q2024/1440</x:f>
        <x:v>46307.80625</x:v>
      </x:c>
      <x:c r="S2024" s="2" t="str">
        <x:f>VLOOKUP(C2024,'MES orders'!$A$8:$H$127,6,FALSE)</x:f>
        <x:v>High</x:v>
      </x:c>
      <x:c r="T2024" s="9" t="str"/>
    </x:row>
    <x:row r="2025" ht="22" customHeight="1">
      <x:c r="A2025" s="2" t="str">
        <x:v>L00101-080</x:v>
      </x:c>
      <x:c r="B2025" s="2" t="str">
        <x:v>L00101</x:v>
      </x:c>
      <x:c r="C2025" s="2" t="str">
        <x:v>SO-26021</x:v>
      </x:c>
      <x:c r="D2025" s="2" t="str">
        <x:v>S-S-AL</x:v>
      </x:c>
      <x:c r="E2025" s="14" t="n">
        <x:v>10</x:v>
      </x:c>
      <x:c r="F2025" s="2" t="str">
        <x:v>Final leak / function test</x:v>
      </x:c>
      <x:c r="G2025" s="9" t="str">
        <x:v>QA-02</x:v>
      </x:c>
      <x:c r="H2025" s="15" t="n">
        <x:v>147</x:v>
      </x:c>
      <x:c r="I2025" s="9" t="str">
        <x:v>P23</x:v>
      </x:c>
      <x:c r="J2025" s="11" t="n">
        <x:v>46307.79583333333</x:v>
      </x:c>
      <x:c r="K2025" s="15" t="n">
        <x:v>10</x:v>
      </x:c>
      <x:c r="L2025" s="15" t="n">
        <x:v>9</x:v>
      </x:c>
      <x:c r="M2025" s="13" t="n">
        <x:f>J2025+(K2025+L2025)/1440</x:f>
        <x:v>46307.809027777774</x:v>
      </x:c>
      <x:c r="N2025" s="13" t="n">
        <x:f>VLOOKUP(C2025,'MES orders'!$A$8:$H$127,5,FALSE)</x:f>
        <x:v>46308.666666666664</x:v>
      </x:c>
      <x:c r="O2025" s="16" t="n">
        <x:f>MAX(0,(M2025-N2025)*24)</x:f>
        <x:v>0</x:v>
      </x:c>
      <x:c r="P2025" s="9" t="str">
        <x:v>No</x:v>
      </x:c>
      <x:c r="Q2025" s="15" t="n">
        <x:v>19</x:v>
      </x:c>
      <x:c r="R2025" s="13" t="n">
        <x:f>J2025+Q2025/1440</x:f>
        <x:v>46307.809027777774</x:v>
      </x:c>
      <x:c r="S2025" s="2" t="str">
        <x:f>VLOOKUP(C2025,'MES orders'!$A$8:$H$127,6,FALSE)</x:f>
        <x:v>Normal</x:v>
      </x:c>
      <x:c r="T2025" s="9" t="str"/>
    </x:row>
    <x:row r="2026" ht="22" customHeight="1">
      <x:c r="A2026" s="2" t="str">
        <x:v>L00021-010</x:v>
      </x:c>
      <x:c r="B2026" s="2" t="str">
        <x:v>L00021</x:v>
      </x:c>
      <x:c r="C2026" s="2" t="str">
        <x:v>SO-26005</x:v>
      </x:c>
      <x:c r="D2026" s="2" t="str">
        <x:v>R-L-AL</x:v>
      </x:c>
      <x:c r="E2026" s="14" t="n">
        <x:v>10</x:v>
      </x:c>
      <x:c r="F2026" s="2" t="str">
        <x:v>CNC machining</x:v>
      </x:c>
      <x:c r="G2026" s="9" t="str">
        <x:v>CNC-03</x:v>
      </x:c>
      <x:c r="H2026" s="15" t="n">
        <x:v>64</x:v>
      </x:c>
      <x:c r="I2026" s="9" t="str">
        <x:v>P14</x:v>
      </x:c>
      <x:c r="J2026" s="11" t="n">
        <x:v>46307.79722222222</x:v>
      </x:c>
      <x:c r="K2026" s="15" t="n">
        <x:v>18</x:v>
      </x:c>
      <x:c r="L2026" s="15" t="n">
        <x:v>32</x:v>
      </x:c>
      <x:c r="M2026" s="13" t="n">
        <x:f>J2026+(K2026+L2026)/1440</x:f>
        <x:v>46307.83194444444</x:v>
      </x:c>
      <x:c r="N2026" s="13" t="n">
        <x:f>VLOOKUP(C2026,'MES orders'!$A$8:$H$127,5,FALSE)</x:f>
        <x:v>46308.666666666664</x:v>
      </x:c>
      <x:c r="O2026" s="16" t="n">
        <x:f>MAX(0,(M2026-N2026)*24)</x:f>
        <x:v>0</x:v>
      </x:c>
      <x:c r="P2026" s="9" t="str">
        <x:v>No</x:v>
      </x:c>
      <x:c r="Q2026" s="15" t="n">
        <x:v>18</x:v>
      </x:c>
      <x:c r="R2026" s="13" t="n">
        <x:f>J2026+Q2026/1440</x:f>
        <x:v>46307.80972222222</x:v>
      </x:c>
      <x:c r="S2026" s="2" t="str">
        <x:f>VLOOKUP(C2026,'MES orders'!$A$8:$H$127,6,FALSE)</x:f>
        <x:v>Normal</x:v>
      </x:c>
      <x:c r="T2026" s="9" t="str"/>
    </x:row>
    <x:row r="2027" ht="22" customHeight="1">
      <x:c r="A2027" s="2" t="str">
        <x:v>L00142-050</x:v>
      </x:c>
      <x:c r="B2027" s="2" t="str">
        <x:v>L00142</x:v>
      </x:c>
      <x:c r="C2027" s="2" t="str">
        <x:v>SO-26029</x:v>
      </x:c>
      <x:c r="D2027" s="2" t="str">
        <x:v>S-L-AL</x:v>
      </x:c>
      <x:c r="E2027" s="14" t="n">
        <x:v>10</x:v>
      </x:c>
      <x:c r="F2027" s="2" t="str">
        <x:v>Sensor installation</x:v>
      </x:c>
      <x:c r="G2027" s="9" t="str">
        <x:v>EL-01</x:v>
      </x:c>
      <x:c r="H2027" s="15" t="n">
        <x:v>71</x:v>
      </x:c>
      <x:c r="I2027" s="9" t="str">
        <x:v>P19</x:v>
      </x:c>
      <x:c r="J2027" s="11" t="n">
        <x:v>46307.79722222222</x:v>
      </x:c>
      <x:c r="K2027" s="15" t="n">
        <x:v>8</x:v>
      </x:c>
      <x:c r="L2027" s="15" t="n">
        <x:v>16</x:v>
      </x:c>
      <x:c r="M2027" s="13" t="n">
        <x:f>J2027+(K2027+L2027)/1440</x:f>
        <x:v>46307.81388888889</x:v>
      </x:c>
      <x:c r="N2027" s="13" t="n">
        <x:f>VLOOKUP(C2027,'MES orders'!$A$8:$H$127,5,FALSE)</x:f>
        <x:v>46308.666666666664</x:v>
      </x:c>
      <x:c r="O2027" s="16" t="n">
        <x:f>MAX(0,(M2027-N2027)*24)</x:f>
        <x:v>0</x:v>
      </x:c>
      <x:c r="P2027" s="9" t="str">
        <x:v>No</x:v>
      </x:c>
      <x:c r="Q2027" s="15" t="n">
        <x:v>24</x:v>
      </x:c>
      <x:c r="R2027" s="13" t="n">
        <x:f>J2027+Q2027/1440</x:f>
        <x:v>46307.81388888889</x:v>
      </x:c>
      <x:c r="S2027" s="2" t="str">
        <x:f>VLOOKUP(C2027,'MES orders'!$A$8:$H$127,6,FALSE)</x:f>
        <x:v>High</x:v>
      </x:c>
      <x:c r="T2027" s="9" t="str"/>
    </x:row>
    <x:row r="2028" ht="22" customHeight="1">
      <x:c r="A2028" s="2" t="str">
        <x:v>L00143-050</x:v>
      </x:c>
      <x:c r="B2028" s="2" t="str">
        <x:v>L00143</x:v>
      </x:c>
      <x:c r="C2028" s="2" t="str">
        <x:v>SO-26029</x:v>
      </x:c>
      <x:c r="D2028" s="2" t="str">
        <x:v>S-L-AL</x:v>
      </x:c>
      <x:c r="E2028" s="14" t="n">
        <x:v>10</x:v>
      </x:c>
      <x:c r="F2028" s="2" t="str">
        <x:v>Sensor installation</x:v>
      </x:c>
      <x:c r="G2028" s="9" t="str">
        <x:v>EL-02</x:v>
      </x:c>
      <x:c r="H2028" s="15" t="n">
        <x:v>38</x:v>
      </x:c>
      <x:c r="I2028" s="9" t="str">
        <x:v>P20</x:v>
      </x:c>
      <x:c r="J2028" s="11" t="n">
        <x:v>46307.79722222222</x:v>
      </x:c>
      <x:c r="K2028" s="15" t="n">
        <x:v>8</x:v>
      </x:c>
      <x:c r="L2028" s="15" t="n">
        <x:v>16</x:v>
      </x:c>
      <x:c r="M2028" s="13" t="n">
        <x:f>J2028+(K2028+L2028)/1440</x:f>
        <x:v>46307.81388888889</x:v>
      </x:c>
      <x:c r="N2028" s="13" t="n">
        <x:f>VLOOKUP(C2028,'MES orders'!$A$8:$H$127,5,FALSE)</x:f>
        <x:v>46308.666666666664</x:v>
      </x:c>
      <x:c r="O2028" s="16" t="n">
        <x:f>MAX(0,(M2028-N2028)*24)</x:f>
        <x:v>0</x:v>
      </x:c>
      <x:c r="P2028" s="9" t="str">
        <x:v>No</x:v>
      </x:c>
      <x:c r="Q2028" s="15" t="n">
        <x:v>24</x:v>
      </x:c>
      <x:c r="R2028" s="13" t="n">
        <x:f>J2028+Q2028/1440</x:f>
        <x:v>46307.81388888889</x:v>
      </x:c>
      <x:c r="S2028" s="2" t="str">
        <x:f>VLOOKUP(C2028,'MES orders'!$A$8:$H$127,6,FALSE)</x:f>
        <x:v>High</x:v>
      </x:c>
      <x:c r="T2028" s="9" t="str"/>
    </x:row>
    <x:row r="2029" ht="22" customHeight="1">
      <x:c r="A2029" s="2" t="str">
        <x:v>L00141-030</x:v>
      </x:c>
      <x:c r="B2029" s="2" t="str">
        <x:v>L00141</x:v>
      </x:c>
      <x:c r="C2029" s="2" t="str">
        <x:v>SO-26029</x:v>
      </x:c>
      <x:c r="D2029" s="2" t="str">
        <x:v>S-L-AL</x:v>
      </x:c>
      <x:c r="E2029" s="14" t="n">
        <x:v>10</x:v>
      </x:c>
      <x:c r="F2029" s="2" t="str">
        <x:v>Wash &amp; dry</x:v>
      </x:c>
      <x:c r="G2029" s="9" t="str">
        <x:v>WS-01</x:v>
      </x:c>
      <x:c r="H2029" s="15" t="n">
        <x:v>189</x:v>
      </x:c>
      <x:c r="I2029" s="9" t="str">
        <x:v>P17</x:v>
      </x:c>
      <x:c r="J2029" s="11" t="n">
        <x:v>46307.79722222222</x:v>
      </x:c>
      <x:c r="K2029" s="15" t="n">
        <x:v>12</x:v>
      </x:c>
      <x:c r="L2029" s="15" t="n">
        <x:v>5</x:v>
      </x:c>
      <x:c r="M2029" s="13" t="n">
        <x:f>J2029+(K2029+L2029)/1440</x:f>
        <x:v>46307.80902777778</x:v>
      </x:c>
      <x:c r="N2029" s="13" t="n">
        <x:f>VLOOKUP(C2029,'MES orders'!$A$8:$H$127,5,FALSE)</x:f>
        <x:v>46308.666666666664</x:v>
      </x:c>
      <x:c r="O2029" s="16" t="n">
        <x:f>MAX(0,(M2029-N2029)*24)</x:f>
        <x:v>0</x:v>
      </x:c>
      <x:c r="P2029" s="9" t="str">
        <x:v>No</x:v>
      </x:c>
      <x:c r="Q2029" s="15" t="n">
        <x:v>17</x:v>
      </x:c>
      <x:c r="R2029" s="13" t="n">
        <x:f>J2029+Q2029/1440</x:f>
        <x:v>46307.80902777778</x:v>
      </x:c>
      <x:c r="S2029" s="2" t="str">
        <x:f>VLOOKUP(C2029,'MES orders'!$A$8:$H$127,6,FALSE)</x:f>
        <x:v>High</x:v>
      </x:c>
      <x:c r="T2029" s="9" t="str"/>
    </x:row>
    <x:row r="2030" ht="22" customHeight="1">
      <x:c r="A2030" s="2" t="str">
        <x:v>L00145-040</x:v>
      </x:c>
      <x:c r="B2030" s="2" t="str">
        <x:v>L00145</x:v>
      </x:c>
      <x:c r="C2030" s="2" t="str">
        <x:v>SO-26029</x:v>
      </x:c>
      <x:c r="D2030" s="2" t="str">
        <x:v>S-L-AL</x:v>
      </x:c>
      <x:c r="E2030" s="14" t="n">
        <x:v>10</x:v>
      </x:c>
      <x:c r="F2030" s="2" t="str">
        <x:v>Mechanical preassembly</x:v>
      </x:c>
      <x:c r="G2030" s="9" t="str">
        <x:v>AS-04</x:v>
      </x:c>
      <x:c r="H2030" s="15" t="n">
        <x:v>72</x:v>
      </x:c>
      <x:c r="I2030" s="9" t="str">
        <x:v>P13</x:v>
      </x:c>
      <x:c r="J2030" s="11" t="n">
        <x:v>46307.80625</x:v>
      </x:c>
      <x:c r="K2030" s="15" t="n">
        <x:v>6</x:v>
      </x:c>
      <x:c r="L2030" s="15" t="n">
        <x:v>15</x:v>
      </x:c>
      <x:c r="M2030" s="13" t="n">
        <x:f>J2030+(K2030+L2030)/1440</x:f>
        <x:v>46307.82083333333</x:v>
      </x:c>
      <x:c r="N2030" s="13" t="n">
        <x:f>VLOOKUP(C2030,'MES orders'!$A$8:$H$127,5,FALSE)</x:f>
        <x:v>46308.666666666664</x:v>
      </x:c>
      <x:c r="O2030" s="16" t="n">
        <x:f>MAX(0,(M2030-N2030)*24)</x:f>
        <x:v>0</x:v>
      </x:c>
      <x:c r="P2030" s="9" t="str">
        <x:v>No</x:v>
      </x:c>
      <x:c r="Q2030" s="15" t="n">
        <x:v>21</x:v>
      </x:c>
      <x:c r="R2030" s="13" t="n">
        <x:f>J2030+Q2030/1440</x:f>
        <x:v>46307.82083333333</x:v>
      </x:c>
      <x:c r="S2030" s="2" t="str">
        <x:f>VLOOKUP(C2030,'MES orders'!$A$8:$H$127,6,FALSE)</x:f>
        <x:v>High</x:v>
      </x:c>
      <x:c r="T2030" s="9" t="str"/>
    </x:row>
    <x:row r="2031" ht="22" customHeight="1">
      <x:c r="A2031" s="2" t="str">
        <x:v>L00102-080</x:v>
      </x:c>
      <x:c r="B2031" s="2" t="str">
        <x:v>L00102</x:v>
      </x:c>
      <x:c r="C2031" s="2" t="str">
        <x:v>SO-26021</x:v>
      </x:c>
      <x:c r="D2031" s="2" t="str">
        <x:v>S-S-AL</x:v>
      </x:c>
      <x:c r="E2031" s="14" t="n">
        <x:v>10</x:v>
      </x:c>
      <x:c r="F2031" s="2" t="str">
        <x:v>Final leak / function test</x:v>
      </x:c>
      <x:c r="G2031" s="9" t="str">
        <x:v>QA-03</x:v>
      </x:c>
      <x:c r="H2031" s="15" t="n">
        <x:v>89</x:v>
      </x:c>
      <x:c r="I2031" s="9" t="str">
        <x:v>P24</x:v>
      </x:c>
      <x:c r="J2031" s="11" t="n">
        <x:v>46307.80625</x:v>
      </x:c>
      <x:c r="K2031" s="15" t="n">
        <x:v>10</x:v>
      </x:c>
      <x:c r="L2031" s="15" t="n">
        <x:v>9</x:v>
      </x:c>
      <x:c r="M2031" s="13" t="n">
        <x:f>J2031+(K2031+L2031)/1440</x:f>
        <x:v>46307.819444444445</x:v>
      </x:c>
      <x:c r="N2031" s="13" t="n">
        <x:f>VLOOKUP(C2031,'MES orders'!$A$8:$H$127,5,FALSE)</x:f>
        <x:v>46308.666666666664</x:v>
      </x:c>
      <x:c r="O2031" s="16" t="n">
        <x:f>MAX(0,(M2031-N2031)*24)</x:f>
        <x:v>0</x:v>
      </x:c>
      <x:c r="P2031" s="9" t="str">
        <x:v>No</x:v>
      </x:c>
      <x:c r="Q2031" s="15" t="n">
        <x:v>19</x:v>
      </x:c>
      <x:c r="R2031" s="13" t="n">
        <x:f>J2031+Q2031/1440</x:f>
        <x:v>46307.819444444445</x:v>
      </x:c>
      <x:c r="S2031" s="2" t="str">
        <x:f>VLOOKUP(C2031,'MES orders'!$A$8:$H$127,6,FALSE)</x:f>
        <x:v>Normal</x:v>
      </x:c>
      <x:c r="T2031" s="9" t="str"/>
    </x:row>
    <x:row r="2032" ht="22" customHeight="1">
      <x:c r="A2032" s="2" t="str">
        <x:v>L00022-010</x:v>
      </x:c>
      <x:c r="B2032" s="2" t="str">
        <x:v>L00022</x:v>
      </x:c>
      <x:c r="C2032" s="2" t="str">
        <x:v>SO-26005</x:v>
      </x:c>
      <x:c r="D2032" s="2" t="str">
        <x:v>R-L-AL</x:v>
      </x:c>
      <x:c r="E2032" s="14" t="n">
        <x:v>10</x:v>
      </x:c>
      <x:c r="F2032" s="2" t="str">
        <x:v>CNC machining</x:v>
      </x:c>
      <x:c r="G2032" s="9" t="str">
        <x:v>CNC-04</x:v>
      </x:c>
      <x:c r="H2032" s="15" t="n">
        <x:v>62</x:v>
      </x:c>
      <x:c r="I2032" s="9" t="str">
        <x:v>P15</x:v>
      </x:c>
      <x:c r="J2032" s="11" t="n">
        <x:v>46307.80902777778</x:v>
      </x:c>
      <x:c r="K2032" s="15" t="n">
        <x:v>18</x:v>
      </x:c>
      <x:c r="L2032" s="15" t="n">
        <x:v>32</x:v>
      </x:c>
      <x:c r="M2032" s="13" t="n">
        <x:f>J2032+(K2032+L2032)/1440</x:f>
        <x:v>46307.84375</x:v>
      </x:c>
      <x:c r="N2032" s="13" t="n">
        <x:f>VLOOKUP(C2032,'MES orders'!$A$8:$H$127,5,FALSE)</x:f>
        <x:v>46308.666666666664</x:v>
      </x:c>
      <x:c r="O2032" s="16" t="n">
        <x:f>MAX(0,(M2032-N2032)*24)</x:f>
        <x:v>0</x:v>
      </x:c>
      <x:c r="P2032" s="9" t="str">
        <x:v>No</x:v>
      </x:c>
      <x:c r="Q2032" s="15" t="n">
        <x:v>18</x:v>
      </x:c>
      <x:c r="R2032" s="13" t="n">
        <x:f>J2032+Q2032/1440</x:f>
        <x:v>46307.82152777778</x:v>
      </x:c>
      <x:c r="S2032" s="2" t="str">
        <x:f>VLOOKUP(C2032,'MES orders'!$A$8:$H$127,6,FALSE)</x:f>
        <x:v>Normal</x:v>
      </x:c>
      <x:c r="T2032" s="9" t="str"/>
    </x:row>
    <x:row r="2033" ht="22" customHeight="1">
      <x:c r="A2033" s="2" t="str">
        <x:v>L00023-010</x:v>
      </x:c>
      <x:c r="B2033" s="2" t="str">
        <x:v>L00023</x:v>
      </x:c>
      <x:c r="C2033" s="2" t="str">
        <x:v>SO-26005</x:v>
      </x:c>
      <x:c r="D2033" s="2" t="str">
        <x:v>R-L-AL</x:v>
      </x:c>
      <x:c r="E2033" s="14" t="n">
        <x:v>10</x:v>
      </x:c>
      <x:c r="F2033" s="2" t="str">
        <x:v>CNC machining</x:v>
      </x:c>
      <x:c r="G2033" s="9" t="str">
        <x:v>CNC-05</x:v>
      </x:c>
      <x:c r="H2033" s="15" t="n">
        <x:v>55</x:v>
      </x:c>
      <x:c r="I2033" s="9" t="str">
        <x:v>P14</x:v>
      </x:c>
      <x:c r="J2033" s="11" t="n">
        <x:v>46307.80972222222</x:v>
      </x:c>
      <x:c r="K2033" s="15" t="n">
        <x:v>18</x:v>
      </x:c>
      <x:c r="L2033" s="15" t="n">
        <x:v>32</x:v>
      </x:c>
      <x:c r="M2033" s="13" t="n">
        <x:f>J2033+(K2033+L2033)/1440</x:f>
        <x:v>46307.84444444444</x:v>
      </x:c>
      <x:c r="N2033" s="13" t="n">
        <x:f>VLOOKUP(C2033,'MES orders'!$A$8:$H$127,5,FALSE)</x:f>
        <x:v>46308.666666666664</x:v>
      </x:c>
      <x:c r="O2033" s="16" t="n">
        <x:f>MAX(0,(M2033-N2033)*24)</x:f>
        <x:v>0</x:v>
      </x:c>
      <x:c r="P2033" s="9" t="str">
        <x:v>No</x:v>
      </x:c>
      <x:c r="Q2033" s="15" t="n">
        <x:v>18</x:v>
      </x:c>
      <x:c r="R2033" s="13" t="n">
        <x:f>J2033+Q2033/1440</x:f>
        <x:v>46307.82222222222</x:v>
      </x:c>
      <x:c r="S2033" s="2" t="str">
        <x:f>VLOOKUP(C2033,'MES orders'!$A$8:$H$127,6,FALSE)</x:f>
        <x:v>Normal</x:v>
      </x:c>
      <x:c r="T2033" s="9" t="str"/>
    </x:row>
    <x:row r="2034" ht="22" customHeight="1">
      <x:c r="A2034" s="2" t="str">
        <x:v>L00536-050</x:v>
      </x:c>
      <x:c r="B2034" s="2" t="str">
        <x:v>L00536</x:v>
      </x:c>
      <x:c r="C2034" s="2" t="str">
        <x:v>SO-26108</x:v>
      </x:c>
      <x:c r="D2034" s="2" t="str">
        <x:v>R-L-SS</x:v>
      </x:c>
      <x:c r="E2034" s="14" t="n">
        <x:v>20</x:v>
      </x:c>
      <x:c r="F2034" s="2" t="str">
        <x:v>Valve adjustment</x:v>
      </x:c>
      <x:c r="G2034" s="9" t="str">
        <x:v>AS-01</x:v>
      </x:c>
      <x:c r="H2034" s="15" t="n">
        <x:v>165</x:v>
      </x:c>
      <x:c r="I2034" s="9" t="str">
        <x:v>P17</x:v>
      </x:c>
      <x:c r="J2034" s="11" t="n">
        <x:v>46307.81041666667</x:v>
      </x:c>
      <x:c r="K2034" s="15" t="n">
        <x:v>6</x:v>
      </x:c>
      <x:c r="L2034" s="15" t="n">
        <x:v>30</x:v>
      </x:c>
      <x:c r="M2034" s="13" t="n">
        <x:f>J2034+(K2034+L2034)/1440</x:f>
        <x:v>46307.83541666667</x:v>
      </x:c>
      <x:c r="N2034" s="13" t="n">
        <x:f>VLOOKUP(C2034,'MES orders'!$A$8:$H$127,5,FALSE)</x:f>
        <x:v>46307.666666666664</x:v>
      </x:c>
      <x:c r="O2034" s="16" t="n">
        <x:f>MAX(0,(M2034-N2034)*24)</x:f>
        <x:v>4.050000000104774</x:v>
      </x:c>
      <x:c r="P2034" s="9" t="str">
        <x:v>No</x:v>
      </x:c>
      <x:c r="Q2034" s="15" t="n">
        <x:v>36</x:v>
      </x:c>
      <x:c r="R2034" s="13" t="n">
        <x:f>J2034+Q2034/1440</x:f>
        <x:v>46307.83541666667</x:v>
      </x:c>
      <x:c r="S2034" s="2" t="str">
        <x:f>VLOOKUP(C2034,'MES orders'!$A$8:$H$127,6,FALSE)</x:f>
        <x:v>Normal</x:v>
      </x:c>
      <x:c r="T2034" s="9" t="str"/>
    </x:row>
    <x:row r="2035" ht="22" customHeight="1">
      <x:c r="A2035" s="2" t="str">
        <x:v>L00537-050</x:v>
      </x:c>
      <x:c r="B2035" s="2" t="str">
        <x:v>L00537</x:v>
      </x:c>
      <x:c r="C2035" s="2" t="str">
        <x:v>SO-26108</x:v>
      </x:c>
      <x:c r="D2035" s="2" t="str">
        <x:v>R-L-SS</x:v>
      </x:c>
      <x:c r="E2035" s="14" t="n">
        <x:v>20</x:v>
      </x:c>
      <x:c r="F2035" s="2" t="str">
        <x:v>Valve adjustment</x:v>
      </x:c>
      <x:c r="G2035" s="9" t="str">
        <x:v>AS-02</x:v>
      </x:c>
      <x:c r="H2035" s="15" t="n">
        <x:v>132</x:v>
      </x:c>
      <x:c r="I2035" s="9" t="str">
        <x:v>P18</x:v>
      </x:c>
      <x:c r="J2035" s="11" t="n">
        <x:v>46307.81041666667</x:v>
      </x:c>
      <x:c r="K2035" s="15" t="n">
        <x:v>6</x:v>
      </x:c>
      <x:c r="L2035" s="15" t="n">
        <x:v>30</x:v>
      </x:c>
      <x:c r="M2035" s="13" t="n">
        <x:f>J2035+(K2035+L2035)/1440</x:f>
        <x:v>46307.83541666667</x:v>
      </x:c>
      <x:c r="N2035" s="13" t="n">
        <x:f>VLOOKUP(C2035,'MES orders'!$A$8:$H$127,5,FALSE)</x:f>
        <x:v>46307.666666666664</x:v>
      </x:c>
      <x:c r="O2035" s="16" t="n">
        <x:f>MAX(0,(M2035-N2035)*24)</x:f>
        <x:v>4.050000000104774</x:v>
      </x:c>
      <x:c r="P2035" s="9" t="str">
        <x:v>No</x:v>
      </x:c>
      <x:c r="Q2035" s="15" t="n">
        <x:v>36</x:v>
      </x:c>
      <x:c r="R2035" s="13" t="n">
        <x:f>J2035+Q2035/1440</x:f>
        <x:v>46307.83541666667</x:v>
      </x:c>
      <x:c r="S2035" s="2" t="str">
        <x:f>VLOOKUP(C2035,'MES orders'!$A$8:$H$127,6,FALSE)</x:f>
        <x:v>Normal</x:v>
      </x:c>
      <x:c r="T2035" s="9" t="str"/>
    </x:row>
    <x:row r="2036" ht="22" customHeight="1">
      <x:c r="A2036" s="2" t="str">
        <x:v>L00538-040</x:v>
      </x:c>
      <x:c r="B2036" s="2" t="str">
        <x:v>L00538</x:v>
      </x:c>
      <x:c r="C2036" s="2" t="str">
        <x:v>SO-26108</x:v>
      </x:c>
      <x:c r="D2036" s="2" t="str">
        <x:v>R-L-SS</x:v>
      </x:c>
      <x:c r="E2036" s="14" t="n">
        <x:v>20</x:v>
      </x:c>
      <x:c r="F2036" s="2" t="str">
        <x:v>Mechanical assembly</x:v>
      </x:c>
      <x:c r="G2036" s="9" t="str">
        <x:v>AS-03</x:v>
      </x:c>
      <x:c r="H2036" s="15" t="n">
        <x:v>107</x:v>
      </x:c>
      <x:c r="I2036" s="9" t="str">
        <x:v>P16</x:v>
      </x:c>
      <x:c r="J2036" s="11" t="n">
        <x:v>46307.81041666667</x:v>
      </x:c>
      <x:c r="K2036" s="15" t="n">
        <x:v>8</x:v>
      </x:c>
      <x:c r="L2036" s="15" t="n">
        <x:v>49</x:v>
      </x:c>
      <x:c r="M2036" s="13" t="n">
        <x:f>J2036+(K2036+L2036)/1440</x:f>
        <x:v>46307.85</x:v>
      </x:c>
      <x:c r="N2036" s="13" t="n">
        <x:f>VLOOKUP(C2036,'MES orders'!$A$8:$H$127,5,FALSE)</x:f>
        <x:v>46307.666666666664</x:v>
      </x:c>
      <x:c r="O2036" s="16" t="n">
        <x:f>MAX(0,(M2036-N2036)*24)</x:f>
        <x:v>4.400000000023283</x:v>
      </x:c>
      <x:c r="P2036" s="9" t="str">
        <x:v>No</x:v>
      </x:c>
      <x:c r="Q2036" s="15" t="n">
        <x:v>57</x:v>
      </x:c>
      <x:c r="R2036" s="13" t="n">
        <x:f>J2036+Q2036/1440</x:f>
        <x:v>46307.85</x:v>
      </x:c>
      <x:c r="S2036" s="2" t="str">
        <x:f>VLOOKUP(C2036,'MES orders'!$A$8:$H$127,6,FALSE)</x:f>
        <x:v>Normal</x:v>
      </x:c>
      <x:c r="T2036" s="9" t="str"/>
    </x:row>
    <x:row r="2037" ht="22" customHeight="1">
      <x:c r="A2037" s="2" t="str">
        <x:v>L00142-060</x:v>
      </x:c>
      <x:c r="B2037" s="2" t="str">
        <x:v>L00142</x:v>
      </x:c>
      <x:c r="C2037" s="2" t="str">
        <x:v>SO-26029</x:v>
      </x:c>
      <x:c r="D2037" s="2" t="str">
        <x:v>S-L-AL</x:v>
      </x:c>
      <x:c r="E2037" s="14" t="n">
        <x:v>10</x:v>
      </x:c>
      <x:c r="F2037" s="2" t="str">
        <x:v>Sensor calibration</x:v>
      </x:c>
      <x:c r="G2037" s="9" t="str">
        <x:v>CAL-01</x:v>
      </x:c>
      <x:c r="H2037" s="15" t="n">
        <x:v>108</x:v>
      </x:c>
      <x:c r="I2037" s="9" t="str">
        <x:v>P21</x:v>
      </x:c>
      <x:c r="J2037" s="11" t="n">
        <x:v>46307.813888888886</x:v>
      </x:c>
      <x:c r="K2037" s="15" t="n">
        <x:v>10</x:v>
      </x:c>
      <x:c r="L2037" s="15" t="n">
        <x:v>18</x:v>
      </x:c>
      <x:c r="M2037" s="13" t="n">
        <x:f>J2037+(K2037+L2037)/1440</x:f>
        <x:v>46307.83333333333</x:v>
      </x:c>
      <x:c r="N2037" s="13" t="n">
        <x:f>VLOOKUP(C2037,'MES orders'!$A$8:$H$127,5,FALSE)</x:f>
        <x:v>46308.666666666664</x:v>
      </x:c>
      <x:c r="O2037" s="16" t="n">
        <x:f>MAX(0,(M2037-N2037)*24)</x:f>
        <x:v>0</x:v>
      </x:c>
      <x:c r="P2037" s="9" t="str">
        <x:v>No</x:v>
      </x:c>
      <x:c r="Q2037" s="15" t="n">
        <x:v>28</x:v>
      </x:c>
      <x:c r="R2037" s="13" t="n">
        <x:f>J2037+Q2037/1440</x:f>
        <x:v>46307.83333333333</x:v>
      </x:c>
      <x:c r="S2037" s="2" t="str">
        <x:f>VLOOKUP(C2037,'MES orders'!$A$8:$H$127,6,FALSE)</x:f>
        <x:v>High</x:v>
      </x:c>
      <x:c r="T2037" s="9" t="str"/>
    </x:row>
    <x:row r="2038" ht="22" customHeight="1">
      <x:c r="A2038" s="2" t="str">
        <x:v>L00144-050</x:v>
      </x:c>
      <x:c r="B2038" s="2" t="str">
        <x:v>L00144</x:v>
      </x:c>
      <x:c r="C2038" s="2" t="str">
        <x:v>SO-26029</x:v>
      </x:c>
      <x:c r="D2038" s="2" t="str">
        <x:v>S-L-AL</x:v>
      </x:c>
      <x:c r="E2038" s="14" t="n">
        <x:v>10</x:v>
      </x:c>
      <x:c r="F2038" s="2" t="str">
        <x:v>Sensor installation</x:v>
      </x:c>
      <x:c r="G2038" s="9" t="str">
        <x:v>EL-01</x:v>
      </x:c>
      <x:c r="H2038" s="15" t="n">
        <x:v>72</x:v>
      </x:c>
      <x:c r="I2038" s="9" t="str">
        <x:v>P19</x:v>
      </x:c>
      <x:c r="J2038" s="11" t="n">
        <x:v>46307.813888888886</x:v>
      </x:c>
      <x:c r="K2038" s="15" t="n">
        <x:v>8</x:v>
      </x:c>
      <x:c r="L2038" s="15" t="n">
        <x:v>16</x:v>
      </x:c>
      <x:c r="M2038" s="13" t="n">
        <x:f>J2038+(K2038+L2038)/1440</x:f>
        <x:v>46307.830555555556</x:v>
      </x:c>
      <x:c r="N2038" s="13" t="n">
        <x:f>VLOOKUP(C2038,'MES orders'!$A$8:$H$127,5,FALSE)</x:f>
        <x:v>46308.666666666664</x:v>
      </x:c>
      <x:c r="O2038" s="16" t="n">
        <x:f>MAX(0,(M2038-N2038)*24)</x:f>
        <x:v>0</x:v>
      </x:c>
      <x:c r="P2038" s="9" t="str">
        <x:v>No</x:v>
      </x:c>
      <x:c r="Q2038" s="15" t="n">
        <x:v>24</x:v>
      </x:c>
      <x:c r="R2038" s="13" t="n">
        <x:f>J2038+Q2038/1440</x:f>
        <x:v>46307.830555555556</x:v>
      </x:c>
      <x:c r="S2038" s="2" t="str">
        <x:f>VLOOKUP(C2038,'MES orders'!$A$8:$H$127,6,FALSE)</x:f>
        <x:v>High</x:v>
      </x:c>
      <x:c r="T2038" s="9" t="str"/>
    </x:row>
    <x:row r="2039" ht="22" customHeight="1">
      <x:c r="A2039" s="2" t="str">
        <x:v>L00024-010</x:v>
      </x:c>
      <x:c r="B2039" s="2" t="str">
        <x:v>L00024</x:v>
      </x:c>
      <x:c r="C2039" s="2" t="str">
        <x:v>SO-26005</x:v>
      </x:c>
      <x:c r="D2039" s="2" t="str">
        <x:v>R-L-AL</x:v>
      </x:c>
      <x:c r="E2039" s="14" t="n">
        <x:v>10</x:v>
      </x:c>
      <x:c r="F2039" s="2" t="str">
        <x:v>CNC machining</x:v>
      </x:c>
      <x:c r="G2039" s="9" t="str">
        <x:v>CNC-06</x:v>
      </x:c>
      <x:c r="H2039" s="15" t="n">
        <x:v>51</x:v>
      </x:c>
      <x:c r="I2039" s="9" t="str">
        <x:v>P13</x:v>
      </x:c>
      <x:c r="J2039" s="11" t="n">
        <x:v>46307.82083333333</x:v>
      </x:c>
      <x:c r="K2039" s="15" t="n">
        <x:v>18</x:v>
      </x:c>
      <x:c r="L2039" s="15" t="n">
        <x:v>32</x:v>
      </x:c>
      <x:c r="M2039" s="13" t="n">
        <x:f>J2039+(K2039+L2039)/1440</x:f>
        <x:v>46307.85555555555</x:v>
      </x:c>
      <x:c r="N2039" s="13" t="n">
        <x:f>VLOOKUP(C2039,'MES orders'!$A$8:$H$127,5,FALSE)</x:f>
        <x:v>46308.666666666664</x:v>
      </x:c>
      <x:c r="O2039" s="16" t="n">
        <x:f>MAX(0,(M2039-N2039)*24)</x:f>
        <x:v>0</x:v>
      </x:c>
      <x:c r="P2039" s="9" t="str">
        <x:v>No</x:v>
      </x:c>
      <x:c r="Q2039" s="15" t="n">
        <x:v>18</x:v>
      </x:c>
      <x:c r="R2039" s="13" t="n">
        <x:f>J2039+Q2039/1440</x:f>
        <x:v>46307.83333333333</x:v>
      </x:c>
      <x:c r="S2039" s="2" t="str">
        <x:f>VLOOKUP(C2039,'MES orders'!$A$8:$H$127,6,FALSE)</x:f>
        <x:v>Normal</x:v>
      </x:c>
      <x:c r="T2039" s="9" t="str"/>
    </x:row>
    <x:row r="2040" ht="22" customHeight="1">
      <x:c r="A2040" s="2" t="str">
        <x:v>L00145-050</x:v>
      </x:c>
      <x:c r="B2040" s="2" t="str">
        <x:v>L00145</x:v>
      </x:c>
      <x:c r="C2040" s="2" t="str">
        <x:v>SO-26029</x:v>
      </x:c>
      <x:c r="D2040" s="2" t="str">
        <x:v>S-L-AL</x:v>
      </x:c>
      <x:c r="E2040" s="14" t="n">
        <x:v>10</x:v>
      </x:c>
      <x:c r="F2040" s="2" t="str">
        <x:v>Sensor installation</x:v>
      </x:c>
      <x:c r="G2040" s="9" t="str">
        <x:v>EL-02</x:v>
      </x:c>
      <x:c r="H2040" s="15" t="n">
        <x:v>39</x:v>
      </x:c>
      <x:c r="I2040" s="9" t="str">
        <x:v>P20</x:v>
      </x:c>
      <x:c r="J2040" s="11" t="n">
        <x:v>46307.82083333333</x:v>
      </x:c>
      <x:c r="K2040" s="15" t="n">
        <x:v>8</x:v>
      </x:c>
      <x:c r="L2040" s="15" t="n">
        <x:v>16</x:v>
      </x:c>
      <x:c r="M2040" s="13" t="n">
        <x:f>J2040+(K2040+L2040)/1440</x:f>
        <x:v>46307.8375</x:v>
      </x:c>
      <x:c r="N2040" s="13" t="n">
        <x:f>VLOOKUP(C2040,'MES orders'!$A$8:$H$127,5,FALSE)</x:f>
        <x:v>46308.666666666664</x:v>
      </x:c>
      <x:c r="O2040" s="16" t="n">
        <x:f>MAX(0,(M2040-N2040)*24)</x:f>
        <x:v>0</x:v>
      </x:c>
      <x:c r="P2040" s="9" t="str">
        <x:v>No</x:v>
      </x:c>
      <x:c r="Q2040" s="15" t="n">
        <x:v>24</x:v>
      </x:c>
      <x:c r="R2040" s="13" t="n">
        <x:f>J2040+Q2040/1440</x:f>
        <x:v>46307.8375</x:v>
      </x:c>
      <x:c r="S2040" s="2" t="str">
        <x:f>VLOOKUP(C2040,'MES orders'!$A$8:$H$127,6,FALSE)</x:f>
        <x:v>High</x:v>
      </x:c>
      <x:c r="T2040" s="9" t="str"/>
    </x:row>
    <x:row r="2041" ht="22" customHeight="1">
      <x:c r="A2041" s="2" t="str">
        <x:v>L00103-010</x:v>
      </x:c>
      <x:c r="B2041" s="2" t="str">
        <x:v>L00103</x:v>
      </x:c>
      <x:c r="C2041" s="2" t="str">
        <x:v>SO-26021</x:v>
      </x:c>
      <x:c r="D2041" s="2" t="str">
        <x:v>S-S-AL</x:v>
      </x:c>
      <x:c r="E2041" s="14" t="n">
        <x:v>10</x:v>
      </x:c>
      <x:c r="F2041" s="2" t="str">
        <x:v>CNC machining</x:v>
      </x:c>
      <x:c r="G2041" s="9" t="str">
        <x:v>CNC-01</x:v>
      </x:c>
      <x:c r="H2041" s="15" t="n">
        <x:v>57</x:v>
      </x:c>
      <x:c r="I2041" s="9" t="str">
        <x:v>P15</x:v>
      </x:c>
      <x:c r="J2041" s="11" t="n">
        <x:v>46307.82152777778</x:v>
      </x:c>
      <x:c r="K2041" s="15" t="n">
        <x:v>18</x:v>
      </x:c>
      <x:c r="L2041" s="15" t="n">
        <x:v>24</x:v>
      </x:c>
      <x:c r="M2041" s="13" t="n">
        <x:f>J2041+(K2041+L2041)/1440</x:f>
        <x:v>46307.850694444445</x:v>
      </x:c>
      <x:c r="N2041" s="13" t="n">
        <x:f>VLOOKUP(C2041,'MES orders'!$A$8:$H$127,5,FALSE)</x:f>
        <x:v>46308.666666666664</x:v>
      </x:c>
      <x:c r="O2041" s="16" t="n">
        <x:f>MAX(0,(M2041-N2041)*24)</x:f>
        <x:v>0</x:v>
      </x:c>
      <x:c r="P2041" s="9" t="str">
        <x:v>No</x:v>
      </x:c>
      <x:c r="Q2041" s="15" t="n">
        <x:v>18</x:v>
      </x:c>
      <x:c r="R2041" s="13" t="n">
        <x:f>J2041+Q2041/1440</x:f>
        <x:v>46307.834027777775</x:v>
      </x:c>
      <x:c r="S2041" s="2" t="str">
        <x:f>VLOOKUP(C2041,'MES orders'!$A$8:$H$127,6,FALSE)</x:f>
        <x:v>Normal</x:v>
      </x:c>
      <x:c r="T2041" s="9" t="str"/>
    </x:row>
    <x:row r="2042" ht="22" customHeight="1">
      <x:c r="A2042" s="2" t="str">
        <x:v>L00025-010</x:v>
      </x:c>
      <x:c r="B2042" s="2" t="str">
        <x:v>L00025</x:v>
      </x:c>
      <x:c r="C2042" s="2" t="str">
        <x:v>SO-26005</x:v>
      </x:c>
      <x:c r="D2042" s="2" t="str">
        <x:v>R-L-AL</x:v>
      </x:c>
      <x:c r="E2042" s="14" t="n">
        <x:v>10</x:v>
      </x:c>
      <x:c r="F2042" s="2" t="str">
        <x:v>CNC machining</x:v>
      </x:c>
      <x:c r="G2042" s="9" t="str">
        <x:v>CNC-03</x:v>
      </x:c>
      <x:c r="H2042" s="15" t="n">
        <x:v>65</x:v>
      </x:c>
      <x:c r="I2042" s="9" t="str">
        <x:v>P14</x:v>
      </x:c>
      <x:c r="J2042" s="11" t="n">
        <x:v>46307.83194444444</x:v>
      </x:c>
      <x:c r="K2042" s="15" t="n">
        <x:v>18</x:v>
      </x:c>
      <x:c r="L2042" s="15" t="n">
        <x:v>32</x:v>
      </x:c>
      <x:c r="M2042" s="13" t="n">
        <x:f>J2042+(K2042+L2042)/1440</x:f>
        <x:v>46307.86666666666</x:v>
      </x:c>
      <x:c r="N2042" s="13" t="n">
        <x:f>VLOOKUP(C2042,'MES orders'!$A$8:$H$127,5,FALSE)</x:f>
        <x:v>46308.666666666664</x:v>
      </x:c>
      <x:c r="O2042" s="16" t="n">
        <x:f>MAX(0,(M2042-N2042)*24)</x:f>
        <x:v>0</x:v>
      </x:c>
      <x:c r="P2042" s="9" t="str">
        <x:v>No</x:v>
      </x:c>
      <x:c r="Q2042" s="15" t="n">
        <x:v>18</x:v>
      </x:c>
      <x:c r="R2042" s="13" t="n">
        <x:f>J2042+Q2042/1440</x:f>
        <x:v>46307.84444444444</x:v>
      </x:c>
      <x:c r="S2042" s="2" t="str">
        <x:f>VLOOKUP(C2042,'MES orders'!$A$8:$H$127,6,FALSE)</x:f>
        <x:v>Normal</x:v>
      </x:c>
      <x:c r="T2042" s="9" t="str"/>
    </x:row>
    <x:row r="2043" ht="22" customHeight="1">
      <x:c r="A2043" s="2" t="str">
        <x:v>L00143-060</x:v>
      </x:c>
      <x:c r="B2043" s="2" t="str">
        <x:v>L00143</x:v>
      </x:c>
      <x:c r="C2043" s="2" t="str">
        <x:v>SO-26029</x:v>
      </x:c>
      <x:c r="D2043" s="2" t="str">
        <x:v>S-L-AL</x:v>
      </x:c>
      <x:c r="E2043" s="14" t="n">
        <x:v>10</x:v>
      </x:c>
      <x:c r="F2043" s="2" t="str">
        <x:v>Sensor calibration</x:v>
      </x:c>
      <x:c r="G2043" s="9" t="str">
        <x:v>CAL-01</x:v>
      </x:c>
      <x:c r="H2043" s="15" t="n">
        <x:v>109</x:v>
      </x:c>
      <x:c r="I2043" s="9" t="str">
        <x:v>P21</x:v>
      </x:c>
      <x:c r="J2043" s="11" t="n">
        <x:v>46307.833333333336</x:v>
      </x:c>
      <x:c r="K2043" s="15" t="n">
        <x:v>10</x:v>
      </x:c>
      <x:c r="L2043" s="15" t="n">
        <x:v>18</x:v>
      </x:c>
      <x:c r="M2043" s="13" t="n">
        <x:f>J2043+(K2043+L2043)/1440</x:f>
        <x:v>46307.85277777778</x:v>
      </x:c>
      <x:c r="N2043" s="13" t="n">
        <x:f>VLOOKUP(C2043,'MES orders'!$A$8:$H$127,5,FALSE)</x:f>
        <x:v>46308.666666666664</x:v>
      </x:c>
      <x:c r="O2043" s="16" t="n">
        <x:f>MAX(0,(M2043-N2043)*24)</x:f>
        <x:v>0</x:v>
      </x:c>
      <x:c r="P2043" s="9" t="str">
        <x:v>No</x:v>
      </x:c>
      <x:c r="Q2043" s="15" t="n">
        <x:v>28</x:v>
      </x:c>
      <x:c r="R2043" s="13" t="n">
        <x:f>J2043+Q2043/1440</x:f>
        <x:v>46307.85277777778</x:v>
      </x:c>
      <x:c r="S2043" s="2" t="str">
        <x:f>VLOOKUP(C2043,'MES orders'!$A$8:$H$127,6,FALSE)</x:f>
        <x:v>High</x:v>
      </x:c>
      <x:c r="T2043" s="9" t="str"/>
    </x:row>
    <x:row r="2044" ht="22" customHeight="1">
      <x:c r="A2044" s="2" t="str">
        <x:v>L00104-010</x:v>
      </x:c>
      <x:c r="B2044" s="2" t="str">
        <x:v>L00104</x:v>
      </x:c>
      <x:c r="C2044" s="2" t="str">
        <x:v>SO-26021</x:v>
      </x:c>
      <x:c r="D2044" s="2" t="str">
        <x:v>S-S-AL</x:v>
      </x:c>
      <x:c r="E2044" s="14" t="n">
        <x:v>10</x:v>
      </x:c>
      <x:c r="F2044" s="2" t="str">
        <x:v>CNC machining</x:v>
      </x:c>
      <x:c r="G2044" s="9" t="str">
        <x:v>CNC-02</x:v>
      </x:c>
      <x:c r="H2044" s="15" t="n">
        <x:v>39</x:v>
      </x:c>
      <x:c r="I2044" s="9" t="str">
        <x:v>P15</x:v>
      </x:c>
      <x:c r="J2044" s="11" t="n">
        <x:v>46307.834027777775</x:v>
      </x:c>
      <x:c r="K2044" s="15" t="n">
        <x:v>18</x:v>
      </x:c>
      <x:c r="L2044" s="15" t="n">
        <x:v>24</x:v>
      </x:c>
      <x:c r="M2044" s="13" t="n">
        <x:f>J2044+(K2044+L2044)/1440</x:f>
        <x:v>46307.86319444444</x:v>
      </x:c>
      <x:c r="N2044" s="13" t="n">
        <x:f>VLOOKUP(C2044,'MES orders'!$A$8:$H$127,5,FALSE)</x:f>
        <x:v>46308.666666666664</x:v>
      </x:c>
      <x:c r="O2044" s="16" t="n">
        <x:f>MAX(0,(M2044-N2044)*24)</x:f>
        <x:v>0</x:v>
      </x:c>
      <x:c r="P2044" s="9" t="str">
        <x:v>No</x:v>
      </x:c>
      <x:c r="Q2044" s="15" t="n">
        <x:v>18</x:v>
      </x:c>
      <x:c r="R2044" s="13" t="n">
        <x:f>J2044+Q2044/1440</x:f>
        <x:v>46307.84652777777</x:v>
      </x:c>
      <x:c r="S2044" s="2" t="str">
        <x:f>VLOOKUP(C2044,'MES orders'!$A$8:$H$127,6,FALSE)</x:f>
        <x:v>Normal</x:v>
      </x:c>
      <x:c r="T2044" s="9" t="str"/>
    </x:row>
    <x:row r="2045" ht="22" customHeight="1">
      <x:c r="A2045" s="2" t="str">
        <x:v>L00539-040</x:v>
      </x:c>
      <x:c r="B2045" s="2" t="str">
        <x:v>L00539</x:v>
      </x:c>
      <x:c r="C2045" s="2" t="str">
        <x:v>SO-26108</x:v>
      </x:c>
      <x:c r="D2045" s="2" t="str">
        <x:v>R-L-SS</x:v>
      </x:c>
      <x:c r="E2045" s="14" t="n">
        <x:v>20</x:v>
      </x:c>
      <x:c r="F2045" s="2" t="str">
        <x:v>Mechanical assembly</x:v>
      </x:c>
      <x:c r="G2045" s="9" t="str">
        <x:v>AS-02</x:v>
      </x:c>
      <x:c r="H2045" s="15" t="n">
        <x:v>133</x:v>
      </x:c>
      <x:c r="I2045" s="9" t="str">
        <x:v>P18</x:v>
      </x:c>
      <x:c r="J2045" s="11" t="n">
        <x:v>46307.83541666667</x:v>
      </x:c>
      <x:c r="K2045" s="15" t="n">
        <x:v>8</x:v>
      </x:c>
      <x:c r="L2045" s="15" t="n">
        <x:v>49</x:v>
      </x:c>
      <x:c r="M2045" s="13" t="n">
        <x:f>J2045+(K2045+L2045)/1440</x:f>
        <x:v>46307.875</x:v>
      </x:c>
      <x:c r="N2045" s="13" t="n">
        <x:f>VLOOKUP(C2045,'MES orders'!$A$8:$H$127,5,FALSE)</x:f>
        <x:v>46307.666666666664</x:v>
      </x:c>
      <x:c r="O2045" s="16" t="n">
        <x:f>MAX(0,(M2045-N2045)*24)</x:f>
        <x:v>5.000000000058208</x:v>
      </x:c>
      <x:c r="P2045" s="9" t="str">
        <x:v>No</x:v>
      </x:c>
      <x:c r="Q2045" s="15" t="n">
        <x:v>57</x:v>
      </x:c>
      <x:c r="R2045" s="13" t="n">
        <x:f>J2045+Q2045/1440</x:f>
        <x:v>46307.875</x:v>
      </x:c>
      <x:c r="S2045" s="2" t="str">
        <x:f>VLOOKUP(C2045,'MES orders'!$A$8:$H$127,6,FALSE)</x:f>
        <x:v>Normal</x:v>
      </x:c>
      <x:c r="T2045" s="9" t="str"/>
    </x:row>
    <x:row r="2046" ht="22" customHeight="1">
      <x:c r="A2046" s="2" t="str">
        <x:v>L00536-060</x:v>
      </x:c>
      <x:c r="B2046" s="2" t="str">
        <x:v>L00536</x:v>
      </x:c>
      <x:c r="C2046" s="2" t="str">
        <x:v>SO-26108</x:v>
      </x:c>
      <x:c r="D2046" s="2" t="str">
        <x:v>R-L-SS</x:v>
      </x:c>
      <x:c r="E2046" s="14" t="n">
        <x:v>20</x:v>
      </x:c>
      <x:c r="F2046" s="2" t="str">
        <x:v>Final leak / function test</x:v>
      </x:c>
      <x:c r="G2046" s="9" t="str">
        <x:v>QA-02</x:v>
      </x:c>
      <x:c r="H2046" s="15" t="n">
        <x:v>148</x:v>
      </x:c>
      <x:c r="I2046" s="9" t="str">
        <x:v>P23</x:v>
      </x:c>
      <x:c r="J2046" s="11" t="n">
        <x:v>46307.83541666667</x:v>
      </x:c>
      <x:c r="K2046" s="15" t="n">
        <x:v>10</x:v>
      </x:c>
      <x:c r="L2046" s="15" t="n">
        <x:v>24</x:v>
      </x:c>
      <x:c r="M2046" s="13" t="n">
        <x:f>J2046+(K2046+L2046)/1440</x:f>
        <x:v>46307.85902777778</x:v>
      </x:c>
      <x:c r="N2046" s="13" t="n">
        <x:f>VLOOKUP(C2046,'MES orders'!$A$8:$H$127,5,FALSE)</x:f>
        <x:v>46307.666666666664</x:v>
      </x:c>
      <x:c r="O2046" s="16" t="n">
        <x:f>MAX(0,(M2046-N2046)*24)</x:f>
        <x:v>4.616666666697711</x:v>
      </x:c>
      <x:c r="P2046" s="9" t="str">
        <x:v>No</x:v>
      </x:c>
      <x:c r="Q2046" s="15" t="n">
        <x:v>34</x:v>
      </x:c>
      <x:c r="R2046" s="13" t="n">
        <x:f>J2046+Q2046/1440</x:f>
        <x:v>46307.85902777778</x:v>
      </x:c>
      <x:c r="S2046" s="2" t="str">
        <x:f>VLOOKUP(C2046,'MES orders'!$A$8:$H$127,6,FALSE)</x:f>
        <x:v>Normal</x:v>
      </x:c>
      <x:c r="T2046" s="9" t="str"/>
    </x:row>
    <x:row r="2047" ht="22" customHeight="1">
      <x:c r="A2047" s="2" t="str">
        <x:v>L00537-060</x:v>
      </x:c>
      <x:c r="B2047" s="2" t="str">
        <x:v>L00537</x:v>
      </x:c>
      <x:c r="C2047" s="2" t="str">
        <x:v>SO-26108</x:v>
      </x:c>
      <x:c r="D2047" s="2" t="str">
        <x:v>R-L-SS</x:v>
      </x:c>
      <x:c r="E2047" s="14" t="n">
        <x:v>20</x:v>
      </x:c>
      <x:c r="F2047" s="2" t="str">
        <x:v>Final leak / function test</x:v>
      </x:c>
      <x:c r="G2047" s="9" t="str">
        <x:v>QA-03</x:v>
      </x:c>
      <x:c r="H2047" s="15" t="n">
        <x:v>90</x:v>
      </x:c>
      <x:c r="I2047" s="9" t="str">
        <x:v>P24</x:v>
      </x:c>
      <x:c r="J2047" s="11" t="n">
        <x:v>46307.83541666667</x:v>
      </x:c>
      <x:c r="K2047" s="15" t="n">
        <x:v>10</x:v>
      </x:c>
      <x:c r="L2047" s="15" t="n">
        <x:v>24</x:v>
      </x:c>
      <x:c r="M2047" s="13" t="n">
        <x:f>J2047+(K2047+L2047)/1440</x:f>
        <x:v>46307.85902777778</x:v>
      </x:c>
      <x:c r="N2047" s="13" t="n">
        <x:f>VLOOKUP(C2047,'MES orders'!$A$8:$H$127,5,FALSE)</x:f>
        <x:v>46307.666666666664</x:v>
      </x:c>
      <x:c r="O2047" s="16" t="n">
        <x:f>MAX(0,(M2047-N2047)*24)</x:f>
        <x:v>4.616666666697711</x:v>
      </x:c>
      <x:c r="P2047" s="9" t="str">
        <x:v>No</x:v>
      </x:c>
      <x:c r="Q2047" s="15" t="n">
        <x:v>34</x:v>
      </x:c>
      <x:c r="R2047" s="13" t="n">
        <x:f>J2047+Q2047/1440</x:f>
        <x:v>46307.85902777778</x:v>
      </x:c>
      <x:c r="S2047" s="2" t="str">
        <x:f>VLOOKUP(C2047,'MES orders'!$A$8:$H$127,6,FALSE)</x:f>
        <x:v>Normal</x:v>
      </x:c>
      <x:c r="T2047" s="9" t="str"/>
    </x:row>
    <x:row r="2048" ht="22" customHeight="1">
      <x:c r="A2048" s="2" t="str">
        <x:v>L00540-030</x:v>
      </x:c>
      <x:c r="B2048" s="2" t="str">
        <x:v>L00540</x:v>
      </x:c>
      <x:c r="C2048" s="2" t="str">
        <x:v>SO-26108</x:v>
      </x:c>
      <x:c r="D2048" s="2" t="str">
        <x:v>R-L-SS</x:v>
      </x:c>
      <x:c r="E2048" s="14" t="n">
        <x:v>20</x:v>
      </x:c>
      <x:c r="F2048" s="2" t="str">
        <x:v>Wash &amp; dry</x:v>
      </x:c>
      <x:c r="G2048" s="9" t="str">
        <x:v>WS-01</x:v>
      </x:c>
      <x:c r="H2048" s="15" t="n">
        <x:v>190</x:v>
      </x:c>
      <x:c r="I2048" s="9" t="str">
        <x:v>P17</x:v>
      </x:c>
      <x:c r="J2048" s="11" t="n">
        <x:v>46307.83541666667</x:v>
      </x:c>
      <x:c r="K2048" s="15" t="n">
        <x:v>12</x:v>
      </x:c>
      <x:c r="L2048" s="15" t="n">
        <x:v>9</x:v>
      </x:c>
      <x:c r="M2048" s="13" t="n">
        <x:f>J2048+(K2048+L2048)/1440</x:f>
        <x:v>46307.85</x:v>
      </x:c>
      <x:c r="N2048" s="13" t="n">
        <x:f>VLOOKUP(C2048,'MES orders'!$A$8:$H$127,5,FALSE)</x:f>
        <x:v>46307.666666666664</x:v>
      </x:c>
      <x:c r="O2048" s="16" t="n">
        <x:f>MAX(0,(M2048-N2048)*24)</x:f>
        <x:v>4.400000000023283</x:v>
      </x:c>
      <x:c r="P2048" s="9" t="str">
        <x:v>No</x:v>
      </x:c>
      <x:c r="Q2048" s="15" t="n">
        <x:v>21</x:v>
      </x:c>
      <x:c r="R2048" s="13" t="n">
        <x:f>J2048+Q2048/1440</x:f>
        <x:v>46307.85</x:v>
      </x:c>
      <x:c r="S2048" s="2" t="str">
        <x:f>VLOOKUP(C2048,'MES orders'!$A$8:$H$127,6,FALSE)</x:f>
        <x:v>Normal</x:v>
      </x:c>
      <x:c r="T2048" s="9" t="str"/>
    </x:row>
    <x:row r="2049" ht="22" customHeight="1">
      <x:c r="A2049" s="2" t="str">
        <x:v>L00022-020</x:v>
      </x:c>
      <x:c r="B2049" s="2" t="str">
        <x:v>L00022</x:v>
      </x:c>
      <x:c r="C2049" s="2" t="str">
        <x:v>SO-26005</x:v>
      </x:c>
      <x:c r="D2049" s="2" t="str">
        <x:v>R-L-AL</x:v>
      </x:c>
      <x:c r="E2049" s="14" t="n">
        <x:v>10</x:v>
      </x:c>
      <x:c r="F2049" s="2" t="str">
        <x:v>Deburr &amp; inspect</x:v>
      </x:c>
      <x:c r="G2049" s="9" t="str">
        <x:v>DB-01</x:v>
      </x:c>
      <x:c r="H2049" s="15" t="n">
        <x:v>192</x:v>
      </x:c>
      <x:c r="I2049" s="9" t="str">
        <x:v>P13</x:v>
      </x:c>
      <x:c r="J2049" s="11" t="n">
        <x:v>46307.84375</x:v>
      </x:c>
      <x:c r="K2049" s="15" t="n">
        <x:v>4</x:v>
      </x:c>
      <x:c r="L2049" s="15" t="n">
        <x:v>9</x:v>
      </x:c>
      <x:c r="M2049" s="13" t="n">
        <x:f>J2049+(K2049+L2049)/1440</x:f>
        <x:v>46307.85277777778</x:v>
      </x:c>
      <x:c r="N2049" s="13" t="n">
        <x:f>VLOOKUP(C2049,'MES orders'!$A$8:$H$127,5,FALSE)</x:f>
        <x:v>46308.666666666664</x:v>
      </x:c>
      <x:c r="O2049" s="16" t="n">
        <x:f>MAX(0,(M2049-N2049)*24)</x:f>
        <x:v>0</x:v>
      </x:c>
      <x:c r="P2049" s="9" t="str">
        <x:v>No</x:v>
      </x:c>
      <x:c r="Q2049" s="15" t="n">
        <x:v>13</x:v>
      </x:c>
      <x:c r="R2049" s="13" t="n">
        <x:f>J2049+Q2049/1440</x:f>
        <x:v>46307.85277777778</x:v>
      </x:c>
      <x:c r="S2049" s="2" t="str">
        <x:f>VLOOKUP(C2049,'MES orders'!$A$8:$H$127,6,FALSE)</x:f>
        <x:v>Normal</x:v>
      </x:c>
      <x:c r="T2049" s="9" t="str"/>
    </x:row>
    <x:row r="2050" ht="22" customHeight="1">
      <x:c r="A2050" s="2" t="str">
        <x:v>L00023-020</x:v>
      </x:c>
      <x:c r="B2050" s="2" t="str">
        <x:v>L00023</x:v>
      </x:c>
      <x:c r="C2050" s="2" t="str">
        <x:v>SO-26005</x:v>
      </x:c>
      <x:c r="D2050" s="2" t="str">
        <x:v>R-L-AL</x:v>
      </x:c>
      <x:c r="E2050" s="14" t="n">
        <x:v>10</x:v>
      </x:c>
      <x:c r="F2050" s="2" t="str">
        <x:v>Deburr &amp; inspect</x:v>
      </x:c>
      <x:c r="G2050" s="9" t="str">
        <x:v>DB-02</x:v>
      </x:c>
      <x:c r="H2050" s="15" t="n">
        <x:v>132</x:v>
      </x:c>
      <x:c r="I2050" s="9" t="str">
        <x:v>P14</x:v>
      </x:c>
      <x:c r="J2050" s="11" t="n">
        <x:v>46307.84444444445</x:v>
      </x:c>
      <x:c r="K2050" s="15" t="n">
        <x:v>4</x:v>
      </x:c>
      <x:c r="L2050" s="15" t="n">
        <x:v>9</x:v>
      </x:c>
      <x:c r="M2050" s="13" t="n">
        <x:f>J2050+(K2050+L2050)/1440</x:f>
        <x:v>46307.853472222225</x:v>
      </x:c>
      <x:c r="N2050" s="13" t="n">
        <x:f>VLOOKUP(C2050,'MES orders'!$A$8:$H$127,5,FALSE)</x:f>
        <x:v>46308.666666666664</x:v>
      </x:c>
      <x:c r="O2050" s="16" t="n">
        <x:f>MAX(0,(M2050-N2050)*24)</x:f>
        <x:v>0</x:v>
      </x:c>
      <x:c r="P2050" s="9" t="str">
        <x:v>No</x:v>
      </x:c>
      <x:c r="Q2050" s="15" t="n">
        <x:v>13</x:v>
      </x:c>
      <x:c r="R2050" s="13" t="n">
        <x:f>J2050+Q2050/1440</x:f>
        <x:v>46307.853472222225</x:v>
      </x:c>
      <x:c r="S2050" s="2" t="str">
        <x:f>VLOOKUP(C2050,'MES orders'!$A$8:$H$127,6,FALSE)</x:f>
        <x:v>Normal</x:v>
      </x:c>
      <x:c r="T2050" s="9" t="str"/>
    </x:row>
    <x:row r="2051" ht="22" customHeight="1">
      <x:c r="A2051" s="2" t="str">
        <x:v>L00538-050</x:v>
      </x:c>
      <x:c r="B2051" s="2" t="str">
        <x:v>L00538</x:v>
      </x:c>
      <x:c r="C2051" s="2" t="str">
        <x:v>SO-26108</x:v>
      </x:c>
      <x:c r="D2051" s="2" t="str">
        <x:v>R-L-SS</x:v>
      </x:c>
      <x:c r="E2051" s="14" t="n">
        <x:v>20</x:v>
      </x:c>
      <x:c r="F2051" s="2" t="str">
        <x:v>Valve adjustment</x:v>
      </x:c>
      <x:c r="G2051" s="9" t="str">
        <x:v>AS-01</x:v>
      </x:c>
      <x:c r="H2051" s="15" t="n">
        <x:v>166</x:v>
      </x:c>
      <x:c r="I2051" s="9" t="str">
        <x:v>P17</x:v>
      </x:c>
      <x:c r="J2051" s="11" t="n">
        <x:v>46307.85</x:v>
      </x:c>
      <x:c r="K2051" s="15" t="n">
        <x:v>6</x:v>
      </x:c>
      <x:c r="L2051" s="15" t="n">
        <x:v>30</x:v>
      </x:c>
      <x:c r="M2051" s="13" t="n">
        <x:f>J2051+(K2051+L2051)/1440</x:f>
        <x:v>46307.875</x:v>
      </x:c>
      <x:c r="N2051" s="13" t="n">
        <x:f>VLOOKUP(C2051,'MES orders'!$A$8:$H$127,5,FALSE)</x:f>
        <x:v>46307.666666666664</x:v>
      </x:c>
      <x:c r="O2051" s="16" t="n">
        <x:f>MAX(0,(M2051-N2051)*24)</x:f>
        <x:v>5.000000000058208</x:v>
      </x:c>
      <x:c r="P2051" s="9" t="str">
        <x:v>No</x:v>
      </x:c>
      <x:c r="Q2051" s="15" t="n">
        <x:v>36</x:v>
      </x:c>
      <x:c r="R2051" s="13" t="n">
        <x:f>J2051+Q2051/1440</x:f>
        <x:v>46307.875</x:v>
      </x:c>
      <x:c r="S2051" s="2" t="str">
        <x:f>VLOOKUP(C2051,'MES orders'!$A$8:$H$127,6,FALSE)</x:f>
        <x:v>Normal</x:v>
      </x:c>
      <x:c r="T2051" s="9" t="str"/>
    </x:row>
    <x:row r="2052" ht="22" customHeight="1">
      <x:c r="A2052" s="2" t="str">
        <x:v>L00540-040</x:v>
      </x:c>
      <x:c r="B2052" s="2" t="str">
        <x:v>L00540</x:v>
      </x:c>
      <x:c r="C2052" s="2" t="str">
        <x:v>SO-26108</x:v>
      </x:c>
      <x:c r="D2052" s="2" t="str">
        <x:v>R-L-SS</x:v>
      </x:c>
      <x:c r="E2052" s="14" t="n">
        <x:v>20</x:v>
      </x:c>
      <x:c r="F2052" s="2" t="str">
        <x:v>Mechanical assembly</x:v>
      </x:c>
      <x:c r="G2052" s="9" t="str">
        <x:v>AS-03</x:v>
      </x:c>
      <x:c r="H2052" s="15" t="n">
        <x:v>108</x:v>
      </x:c>
      <x:c r="I2052" s="9" t="str">
        <x:v>P16</x:v>
      </x:c>
      <x:c r="J2052" s="11" t="n">
        <x:v>46307.85</x:v>
      </x:c>
      <x:c r="K2052" s="15" t="n">
        <x:v>8</x:v>
      </x:c>
      <x:c r="L2052" s="15" t="n">
        <x:v>49</x:v>
      </x:c>
      <x:c r="M2052" s="13" t="n">
        <x:f>J2052+(K2052+L2052)/1440</x:f>
        <x:v>46307.88958333333</x:v>
      </x:c>
      <x:c r="N2052" s="13" t="n">
        <x:f>VLOOKUP(C2052,'MES orders'!$A$8:$H$127,5,FALSE)</x:f>
        <x:v>46307.666666666664</x:v>
      </x:c>
      <x:c r="O2052" s="16" t="n">
        <x:f>MAX(0,(M2052-N2052)*24)</x:f>
        <x:v>5.349999999976717</x:v>
      </x:c>
      <x:c r="P2052" s="9" t="str">
        <x:v>No</x:v>
      </x:c>
      <x:c r="Q2052" s="15" t="n">
        <x:v>57</x:v>
      </x:c>
      <x:c r="R2052" s="13" t="n">
        <x:f>J2052+Q2052/1440</x:f>
        <x:v>46307.88958333333</x:v>
      </x:c>
      <x:c r="S2052" s="2" t="str">
        <x:f>VLOOKUP(C2052,'MES orders'!$A$8:$H$127,6,FALSE)</x:f>
        <x:v>Normal</x:v>
      </x:c>
      <x:c r="T2052" s="9" t="str"/>
    </x:row>
    <x:row r="2053" ht="22" customHeight="1">
      <x:c r="A2053" s="2" t="str">
        <x:v>L00143-070</x:v>
      </x:c>
      <x:c r="B2053" s="2" t="str">
        <x:v>L00143</x:v>
      </x:c>
      <x:c r="C2053" s="2" t="str">
        <x:v>SO-26029</x:v>
      </x:c>
      <x:c r="D2053" s="2" t="str">
        <x:v>S-L-AL</x:v>
      </x:c>
      <x:c r="E2053" s="14" t="n">
        <x:v>10</x:v>
      </x:c>
      <x:c r="F2053" s="2" t="str">
        <x:v>Final assembly</x:v>
      </x:c>
      <x:c r="G2053" s="9" t="str">
        <x:v>AS-04</x:v>
      </x:c>
      <x:c r="H2053" s="15" t="n">
        <x:v>73</x:v>
      </x:c>
      <x:c r="I2053" s="9" t="str">
        <x:v>P20</x:v>
      </x:c>
      <x:c r="J2053" s="11" t="n">
        <x:v>46307.85277777778</x:v>
      </x:c>
      <x:c r="K2053" s="15" t="n">
        <x:v>5</x:v>
      </x:c>
      <x:c r="L2053" s="15" t="n">
        <x:v>11</x:v>
      </x:c>
      <x:c r="M2053" s="13" t="n">
        <x:f>J2053+(K2053+L2053)/1440</x:f>
        <x:v>46307.86388888889</x:v>
      </x:c>
      <x:c r="N2053" s="13" t="n">
        <x:f>VLOOKUP(C2053,'MES orders'!$A$8:$H$127,5,FALSE)</x:f>
        <x:v>46308.666666666664</x:v>
      </x:c>
      <x:c r="O2053" s="16" t="n">
        <x:f>MAX(0,(M2053-N2053)*24)</x:f>
        <x:v>0</x:v>
      </x:c>
      <x:c r="P2053" s="9" t="str">
        <x:v>No</x:v>
      </x:c>
      <x:c r="Q2053" s="15" t="n">
        <x:v>16</x:v>
      </x:c>
      <x:c r="R2053" s="13" t="n">
        <x:f>J2053+Q2053/1440</x:f>
        <x:v>46307.86388888889</x:v>
      </x:c>
      <x:c r="S2053" s="2" t="str">
        <x:f>VLOOKUP(C2053,'MES orders'!$A$8:$H$127,6,FALSE)</x:f>
        <x:v>High</x:v>
      </x:c>
      <x:c r="T2053" s="9" t="str"/>
    </x:row>
    <x:row r="2054" ht="22" customHeight="1">
      <x:c r="A2054" s="2" t="str">
        <x:v>L00144-060</x:v>
      </x:c>
      <x:c r="B2054" s="2" t="str">
        <x:v>L00144</x:v>
      </x:c>
      <x:c r="C2054" s="2" t="str">
        <x:v>SO-26029</x:v>
      </x:c>
      <x:c r="D2054" s="2" t="str">
        <x:v>S-L-AL</x:v>
      </x:c>
      <x:c r="E2054" s="14" t="n">
        <x:v>10</x:v>
      </x:c>
      <x:c r="F2054" s="2" t="str">
        <x:v>Sensor calibration</x:v>
      </x:c>
      <x:c r="G2054" s="9" t="str">
        <x:v>CAL-01</x:v>
      </x:c>
      <x:c r="H2054" s="15" t="n">
        <x:v>110</x:v>
      </x:c>
      <x:c r="I2054" s="9" t="str">
        <x:v>P21</x:v>
      </x:c>
      <x:c r="J2054" s="11" t="n">
        <x:v>46307.85277777778</x:v>
      </x:c>
      <x:c r="K2054" s="15" t="n">
        <x:v>10</x:v>
      </x:c>
      <x:c r="L2054" s="15" t="n">
        <x:v>18</x:v>
      </x:c>
      <x:c r="M2054" s="13" t="n">
        <x:f>J2054+(K2054+L2054)/1440</x:f>
        <x:v>46307.87222222222</x:v>
      </x:c>
      <x:c r="N2054" s="13" t="n">
        <x:f>VLOOKUP(C2054,'MES orders'!$A$8:$H$127,5,FALSE)</x:f>
        <x:v>46308.666666666664</x:v>
      </x:c>
      <x:c r="O2054" s="16" t="n">
        <x:f>MAX(0,(M2054-N2054)*24)</x:f>
        <x:v>0</x:v>
      </x:c>
      <x:c r="P2054" s="9" t="str">
        <x:v>No</x:v>
      </x:c>
      <x:c r="Q2054" s="15" t="n">
        <x:v>28</x:v>
      </x:c>
      <x:c r="R2054" s="13" t="n">
        <x:f>J2054+Q2054/1440</x:f>
        <x:v>46307.87222222222</x:v>
      </x:c>
      <x:c r="S2054" s="2" t="str">
        <x:f>VLOOKUP(C2054,'MES orders'!$A$8:$H$127,6,FALSE)</x:f>
        <x:v>High</x:v>
      </x:c>
      <x:c r="T2054" s="9" t="str"/>
    </x:row>
    <x:row r="2055" ht="22" customHeight="1">
      <x:c r="A2055" s="2" t="str">
        <x:v>L00022-030</x:v>
      </x:c>
      <x:c r="B2055" s="2" t="str">
        <x:v>L00022</x:v>
      </x:c>
      <x:c r="C2055" s="2" t="str">
        <x:v>SO-26005</x:v>
      </x:c>
      <x:c r="D2055" s="2" t="str">
        <x:v>R-L-AL</x:v>
      </x:c>
      <x:c r="E2055" s="14" t="n">
        <x:v>10</x:v>
      </x:c>
      <x:c r="F2055" s="2" t="str">
        <x:v>Wash &amp; dry</x:v>
      </x:c>
      <x:c r="G2055" s="9" t="str">
        <x:v>WS-01</x:v>
      </x:c>
      <x:c r="H2055" s="15" t="n">
        <x:v>191</x:v>
      </x:c>
      <x:c r="I2055" s="9" t="str">
        <x:v>P13</x:v>
      </x:c>
      <x:c r="J2055" s="11" t="n">
        <x:v>46307.85277777778</x:v>
      </x:c>
      <x:c r="K2055" s="15" t="n">
        <x:v>12</x:v>
      </x:c>
      <x:c r="L2055" s="15" t="n">
        <x:v>5</x:v>
      </x:c>
      <x:c r="M2055" s="13" t="n">
        <x:f>J2055+(K2055+L2055)/1440</x:f>
        <x:v>46307.864583333336</x:v>
      </x:c>
      <x:c r="N2055" s="13" t="n">
        <x:f>VLOOKUP(C2055,'MES orders'!$A$8:$H$127,5,FALSE)</x:f>
        <x:v>46308.666666666664</x:v>
      </x:c>
      <x:c r="O2055" s="16" t="n">
        <x:f>MAX(0,(M2055-N2055)*24)</x:f>
        <x:v>0</x:v>
      </x:c>
      <x:c r="P2055" s="9" t="str">
        <x:v>No</x:v>
      </x:c>
      <x:c r="Q2055" s="15" t="n">
        <x:v>17</x:v>
      </x:c>
      <x:c r="R2055" s="13" t="n">
        <x:f>J2055+Q2055/1440</x:f>
        <x:v>46307.864583333336</x:v>
      </x:c>
      <x:c r="S2055" s="2" t="str">
        <x:f>VLOOKUP(C2055,'MES orders'!$A$8:$H$127,6,FALSE)</x:f>
        <x:v>Normal</x:v>
      </x:c>
      <x:c r="T2055" s="9" t="str"/>
    </x:row>
    <x:row r="2056" ht="22" customHeight="1">
      <x:c r="A2056" s="2" t="str">
        <x:v>L00103-020</x:v>
      </x:c>
      <x:c r="B2056" s="2" t="str">
        <x:v>L00103</x:v>
      </x:c>
      <x:c r="C2056" s="2" t="str">
        <x:v>SO-26021</x:v>
      </x:c>
      <x:c r="D2056" s="2" t="str">
        <x:v>S-S-AL</x:v>
      </x:c>
      <x:c r="E2056" s="14" t="n">
        <x:v>10</x:v>
      </x:c>
      <x:c r="F2056" s="2" t="str">
        <x:v>Deburr &amp; inspect</x:v>
      </x:c>
      <x:c r="G2056" s="9" t="str">
        <x:v>DB-02</x:v>
      </x:c>
      <x:c r="H2056" s="15" t="n">
        <x:v>133</x:v>
      </x:c>
      <x:c r="I2056" s="9" t="str">
        <x:v>P19</x:v>
      </x:c>
      <x:c r="J2056" s="11" t="n">
        <x:v>46307.853472222225</x:v>
      </x:c>
      <x:c r="K2056" s="15" t="n">
        <x:v>4</x:v>
      </x:c>
      <x:c r="L2056" s="15" t="n">
        <x:v>7</x:v>
      </x:c>
      <x:c r="M2056" s="13" t="n">
        <x:f>J2056+(K2056+L2056)/1440</x:f>
        <x:v>46307.86111111112</x:v>
      </x:c>
      <x:c r="N2056" s="13" t="n">
        <x:f>VLOOKUP(C2056,'MES orders'!$A$8:$H$127,5,FALSE)</x:f>
        <x:v>46308.666666666664</x:v>
      </x:c>
      <x:c r="O2056" s="16" t="n">
        <x:f>MAX(0,(M2056-N2056)*24)</x:f>
        <x:v>0</x:v>
      </x:c>
      <x:c r="P2056" s="9" t="str">
        <x:v>No</x:v>
      </x:c>
      <x:c r="Q2056" s="15" t="n">
        <x:v>11</x:v>
      </x:c>
      <x:c r="R2056" s="13" t="n">
        <x:f>J2056+Q2056/1440</x:f>
        <x:v>46307.86111111112</x:v>
      </x:c>
      <x:c r="S2056" s="2" t="str">
        <x:f>VLOOKUP(C2056,'MES orders'!$A$8:$H$127,6,FALSE)</x:f>
        <x:v>Normal</x:v>
      </x:c>
      <x:c r="T2056" s="9" t="str"/>
    </x:row>
    <x:row r="2057" ht="22" customHeight="1">
      <x:c r="A2057" s="2" t="str">
        <x:v>L00023-030</x:v>
      </x:c>
      <x:c r="B2057" s="2" t="str">
        <x:v>L00023</x:v>
      </x:c>
      <x:c r="C2057" s="2" t="str">
        <x:v>SO-26005</x:v>
      </x:c>
      <x:c r="D2057" s="2" t="str">
        <x:v>R-L-AL</x:v>
      </x:c>
      <x:c r="E2057" s="14" t="n">
        <x:v>10</x:v>
      </x:c>
      <x:c r="F2057" s="2" t="str">
        <x:v>Wash &amp; dry</x:v>
      </x:c>
      <x:c r="G2057" s="9" t="str">
        <x:v>WS-02</x:v>
      </x:c>
      <x:c r="H2057" s="15" t="n">
        <x:v>133</x:v>
      </x:c>
      <x:c r="I2057" s="9" t="str">
        <x:v>P14</x:v>
      </x:c>
      <x:c r="J2057" s="11" t="n">
        <x:v>46307.853472222225</x:v>
      </x:c>
      <x:c r="K2057" s="15" t="n">
        <x:v>12</x:v>
      </x:c>
      <x:c r="L2057" s="15" t="n">
        <x:v>5</x:v>
      </x:c>
      <x:c r="M2057" s="13" t="n">
        <x:f>J2057+(K2057+L2057)/1440</x:f>
        <x:v>46307.86527777778</x:v>
      </x:c>
      <x:c r="N2057" s="13" t="n">
        <x:f>VLOOKUP(C2057,'MES orders'!$A$8:$H$127,5,FALSE)</x:f>
        <x:v>46308.666666666664</x:v>
      </x:c>
      <x:c r="O2057" s="16" t="n">
        <x:f>MAX(0,(M2057-N2057)*24)</x:f>
        <x:v>0</x:v>
      </x:c>
      <x:c r="P2057" s="9" t="str">
        <x:v>No</x:v>
      </x:c>
      <x:c r="Q2057" s="15" t="n">
        <x:v>17</x:v>
      </x:c>
      <x:c r="R2057" s="13" t="n">
        <x:f>J2057+Q2057/1440</x:f>
        <x:v>46307.86527777778</x:v>
      </x:c>
      <x:c r="S2057" s="2" t="str">
        <x:f>VLOOKUP(C2057,'MES orders'!$A$8:$H$127,6,FALSE)</x:f>
        <x:v>Normal</x:v>
      </x:c>
      <x:c r="T2057" s="9" t="str"/>
    </x:row>
    <x:row r="2058" ht="22" customHeight="1">
      <x:c r="A2058" s="2" t="str">
        <x:v>L00024-020</x:v>
      </x:c>
      <x:c r="B2058" s="2" t="str">
        <x:v>L00024</x:v>
      </x:c>
      <x:c r="C2058" s="2" t="str">
        <x:v>SO-26005</x:v>
      </x:c>
      <x:c r="D2058" s="2" t="str">
        <x:v>R-L-AL</x:v>
      </x:c>
      <x:c r="E2058" s="14" t="n">
        <x:v>10</x:v>
      </x:c>
      <x:c r="F2058" s="2" t="str">
        <x:v>Deburr &amp; inspect</x:v>
      </x:c>
      <x:c r="G2058" s="9" t="str">
        <x:v>DB-01</x:v>
      </x:c>
      <x:c r="H2058" s="15" t="n">
        <x:v>193</x:v>
      </x:c>
      <x:c r="I2058" s="9" t="str">
        <x:v>P15</x:v>
      </x:c>
      <x:c r="J2058" s="11" t="n">
        <x:v>46307.85555555556</x:v>
      </x:c>
      <x:c r="K2058" s="15" t="n">
        <x:v>4</x:v>
      </x:c>
      <x:c r="L2058" s="15" t="n">
        <x:v>9</x:v>
      </x:c>
      <x:c r="M2058" s="13" t="n">
        <x:f>J2058+(K2058+L2058)/1440</x:f>
        <x:v>46307.864583333336</x:v>
      </x:c>
      <x:c r="N2058" s="13" t="n">
        <x:f>VLOOKUP(C2058,'MES orders'!$A$8:$H$127,5,FALSE)</x:f>
        <x:v>46308.666666666664</x:v>
      </x:c>
      <x:c r="O2058" s="16" t="n">
        <x:f>MAX(0,(M2058-N2058)*24)</x:f>
        <x:v>0</x:v>
      </x:c>
      <x:c r="P2058" s="9" t="str">
        <x:v>No</x:v>
      </x:c>
      <x:c r="Q2058" s="15" t="n">
        <x:v>13</x:v>
      </x:c>
      <x:c r="R2058" s="13" t="n">
        <x:f>J2058+Q2058/1440</x:f>
        <x:v>46307.864583333336</x:v>
      </x:c>
      <x:c r="S2058" s="2" t="str">
        <x:f>VLOOKUP(C2058,'MES orders'!$A$8:$H$127,6,FALSE)</x:f>
        <x:v>Normal</x:v>
      </x:c>
      <x:c r="T2058" s="9" t="str"/>
    </x:row>
    <x:row r="2059" ht="22" customHeight="1">
      <x:c r="A2059" s="2" t="str">
        <x:v>L00104-020</x:v>
      </x:c>
      <x:c r="B2059" s="2" t="str">
        <x:v>L00104</x:v>
      </x:c>
      <x:c r="C2059" s="2" t="str">
        <x:v>SO-26021</x:v>
      </x:c>
      <x:c r="D2059" s="2" t="str">
        <x:v>S-S-AL</x:v>
      </x:c>
      <x:c r="E2059" s="14" t="n">
        <x:v>10</x:v>
      </x:c>
      <x:c r="F2059" s="2" t="str">
        <x:v>Deburr &amp; inspect</x:v>
      </x:c>
      <x:c r="G2059" s="9" t="str">
        <x:v>DB-02</x:v>
      </x:c>
      <x:c r="H2059" s="15" t="n">
        <x:v>134</x:v>
      </x:c>
      <x:c r="I2059" s="9" t="str">
        <x:v>P23</x:v>
      </x:c>
      <x:c r="J2059" s="11" t="n">
        <x:v>46307.86319444444</x:v>
      </x:c>
      <x:c r="K2059" s="15" t="n">
        <x:v>4</x:v>
      </x:c>
      <x:c r="L2059" s="15" t="n">
        <x:v>7</x:v>
      </x:c>
      <x:c r="M2059" s="13" t="n">
        <x:f>J2059+(K2059+L2059)/1440</x:f>
        <x:v>46307.870833333334</x:v>
      </x:c>
      <x:c r="N2059" s="13" t="n">
        <x:f>VLOOKUP(C2059,'MES orders'!$A$8:$H$127,5,FALSE)</x:f>
        <x:v>46308.666666666664</x:v>
      </x:c>
      <x:c r="O2059" s="16" t="n">
        <x:f>MAX(0,(M2059-N2059)*24)</x:f>
        <x:v>0</x:v>
      </x:c>
      <x:c r="P2059" s="9" t="str">
        <x:v>No</x:v>
      </x:c>
      <x:c r="Q2059" s="15" t="n">
        <x:v>11</x:v>
      </x:c>
      <x:c r="R2059" s="13" t="n">
        <x:f>J2059+Q2059/1440</x:f>
        <x:v>46307.870833333334</x:v>
      </x:c>
      <x:c r="S2059" s="2" t="str">
        <x:f>VLOOKUP(C2059,'MES orders'!$A$8:$H$127,6,FALSE)</x:f>
        <x:v>Normal</x:v>
      </x:c>
      <x:c r="T2059" s="9" t="str"/>
    </x:row>
    <x:row r="2060" ht="22" customHeight="1">
      <x:c r="A2060" s="2" t="str">
        <x:v>L00143-080</x:v>
      </x:c>
      <x:c r="B2060" s="2" t="str">
        <x:v>L00143</x:v>
      </x:c>
      <x:c r="C2060" s="2" t="str">
        <x:v>SO-26029</x:v>
      </x:c>
      <x:c r="D2060" s="2" t="str">
        <x:v>S-L-AL</x:v>
      </x:c>
      <x:c r="E2060" s="14" t="n">
        <x:v>10</x:v>
      </x:c>
      <x:c r="F2060" s="2" t="str">
        <x:v>Final leak / function test</x:v>
      </x:c>
      <x:c r="G2060" s="9" t="str">
        <x:v>QA-03</x:v>
      </x:c>
      <x:c r="H2060" s="15" t="n">
        <x:v>91</x:v>
      </x:c>
      <x:c r="I2060" s="9" t="str">
        <x:v>P24</x:v>
      </x:c>
      <x:c r="J2060" s="11" t="n">
        <x:v>46307.86388888889</x:v>
      </x:c>
      <x:c r="K2060" s="15" t="n">
        <x:v>10</x:v>
      </x:c>
      <x:c r="L2060" s="15" t="n">
        <x:v>12</x:v>
      </x:c>
      <x:c r="M2060" s="13" t="n">
        <x:f>J2060+(K2060+L2060)/1440</x:f>
        <x:v>46307.879166666666</x:v>
      </x:c>
      <x:c r="N2060" s="13" t="n">
        <x:f>VLOOKUP(C2060,'MES orders'!$A$8:$H$127,5,FALSE)</x:f>
        <x:v>46308.666666666664</x:v>
      </x:c>
      <x:c r="O2060" s="16" t="n">
        <x:f>MAX(0,(M2060-N2060)*24)</x:f>
        <x:v>0</x:v>
      </x:c>
      <x:c r="P2060" s="9" t="str">
        <x:v>No</x:v>
      </x:c>
      <x:c r="Q2060" s="15" t="n">
        <x:v>22</x:v>
      </x:c>
      <x:c r="R2060" s="13" t="n">
        <x:f>J2060+Q2060/1440</x:f>
        <x:v>46307.879166666666</x:v>
      </x:c>
      <x:c r="S2060" s="2" t="str">
        <x:f>VLOOKUP(C2060,'MES orders'!$A$8:$H$127,6,FALSE)</x:f>
        <x:v>High</x:v>
      </x:c>
      <x:c r="T2060" s="9" t="str"/>
    </x:row>
    <x:row r="2061" ht="22" customHeight="1">
      <x:c r="A2061" s="2" t="str">
        <x:v>L00022-040</x:v>
      </x:c>
      <x:c r="B2061" s="2" t="str">
        <x:v>L00022</x:v>
      </x:c>
      <x:c r="C2061" s="2" t="str">
        <x:v>SO-26005</x:v>
      </x:c>
      <x:c r="D2061" s="2" t="str">
        <x:v>R-L-AL</x:v>
      </x:c>
      <x:c r="E2061" s="14" t="n">
        <x:v>10</x:v>
      </x:c>
      <x:c r="F2061" s="2" t="str">
        <x:v>Mechanical assembly</x:v>
      </x:c>
      <x:c r="G2061" s="9" t="str">
        <x:v>AS-05</x:v>
      </x:c>
      <x:c r="H2061" s="15" t="n">
        <x:v>42</x:v>
      </x:c>
      <x:c r="I2061" s="9" t="str">
        <x:v>P13</x:v>
      </x:c>
      <x:c r="J2061" s="11" t="n">
        <x:v>46307.864583333336</x:v>
      </x:c>
      <x:c r="K2061" s="15" t="n">
        <x:v>8</x:v>
      </x:c>
      <x:c r="L2061" s="15" t="n">
        <x:v>24</x:v>
      </x:c>
      <x:c r="M2061" s="13" t="n">
        <x:f>J2061+(K2061+L2061)/1440</x:f>
        <x:v>46307.88680555556</x:v>
      </x:c>
      <x:c r="N2061" s="13" t="n">
        <x:f>VLOOKUP(C2061,'MES orders'!$A$8:$H$127,5,FALSE)</x:f>
        <x:v>46308.666666666664</x:v>
      </x:c>
      <x:c r="O2061" s="16" t="n">
        <x:f>MAX(0,(M2061-N2061)*24)</x:f>
        <x:v>0</x:v>
      </x:c>
      <x:c r="P2061" s="9" t="str">
        <x:v>No</x:v>
      </x:c>
      <x:c r="Q2061" s="15" t="n">
        <x:v>32</x:v>
      </x:c>
      <x:c r="R2061" s="13" t="n">
        <x:f>J2061+Q2061/1440</x:f>
        <x:v>46307.88680555556</x:v>
      </x:c>
      <x:c r="S2061" s="2" t="str">
        <x:f>VLOOKUP(C2061,'MES orders'!$A$8:$H$127,6,FALSE)</x:f>
        <x:v>Normal</x:v>
      </x:c>
      <x:c r="T2061" s="9" t="str"/>
    </x:row>
    <x:row r="2062" ht="22" customHeight="1">
      <x:c r="A2062" s="2" t="str">
        <x:v>L00024-030</x:v>
      </x:c>
      <x:c r="B2062" s="2" t="str">
        <x:v>L00024</x:v>
      </x:c>
      <x:c r="C2062" s="2" t="str">
        <x:v>SO-26005</x:v>
      </x:c>
      <x:c r="D2062" s="2" t="str">
        <x:v>R-L-AL</x:v>
      </x:c>
      <x:c r="E2062" s="14" t="n">
        <x:v>10</x:v>
      </x:c>
      <x:c r="F2062" s="2" t="str">
        <x:v>Wash &amp; dry</x:v>
      </x:c>
      <x:c r="G2062" s="9" t="str">
        <x:v>WS-01</x:v>
      </x:c>
      <x:c r="H2062" s="15" t="n">
        <x:v>192</x:v>
      </x:c>
      <x:c r="I2062" s="9" t="str">
        <x:v>P15</x:v>
      </x:c>
      <x:c r="J2062" s="11" t="n">
        <x:v>46307.864583333336</x:v>
      </x:c>
      <x:c r="K2062" s="15" t="n">
        <x:v>12</x:v>
      </x:c>
      <x:c r="L2062" s="15" t="n">
        <x:v>5</x:v>
      </x:c>
      <x:c r="M2062" s="13" t="n">
        <x:f>J2062+(K2062+L2062)/1440</x:f>
        <x:v>46307.87638888889</x:v>
      </x:c>
      <x:c r="N2062" s="13" t="n">
        <x:f>VLOOKUP(C2062,'MES orders'!$A$8:$H$127,5,FALSE)</x:f>
        <x:v>46308.666666666664</x:v>
      </x:c>
      <x:c r="O2062" s="16" t="n">
        <x:f>MAX(0,(M2062-N2062)*24)</x:f>
        <x:v>0</x:v>
      </x:c>
      <x:c r="P2062" s="9" t="str">
        <x:v>No</x:v>
      </x:c>
      <x:c r="Q2062" s="15" t="n">
        <x:v>17</x:v>
      </x:c>
      <x:c r="R2062" s="13" t="n">
        <x:f>J2062+Q2062/1440</x:f>
        <x:v>46307.87638888889</x:v>
      </x:c>
      <x:c r="S2062" s="2" t="str">
        <x:f>VLOOKUP(C2062,'MES orders'!$A$8:$H$127,6,FALSE)</x:f>
        <x:v>Normal</x:v>
      </x:c>
      <x:c r="T2062" s="9" t="str"/>
    </x:row>
    <x:row r="2063" ht="22" customHeight="1">
      <x:c r="A2063" s="2" t="str">
        <x:v>L00023-040</x:v>
      </x:c>
      <x:c r="B2063" s="2" t="str">
        <x:v>L00023</x:v>
      </x:c>
      <x:c r="C2063" s="2" t="str">
        <x:v>SO-26005</x:v>
      </x:c>
      <x:c r="D2063" s="2" t="str">
        <x:v>R-L-AL</x:v>
      </x:c>
      <x:c r="E2063" s="14" t="n">
        <x:v>10</x:v>
      </x:c>
      <x:c r="F2063" s="2" t="str">
        <x:v>Mechanical assembly</x:v>
      </x:c>
      <x:c r="G2063" s="9" t="str">
        <x:v>AS-06</x:v>
      </x:c>
      <x:c r="H2063" s="15" t="n">
        <x:v>15</x:v>
      </x:c>
      <x:c r="I2063" s="9" t="str">
        <x:v>P14</x:v>
      </x:c>
      <x:c r="J2063" s="11" t="n">
        <x:v>46307.865277777775</x:v>
      </x:c>
      <x:c r="K2063" s="15" t="n">
        <x:v>8</x:v>
      </x:c>
      <x:c r="L2063" s="15" t="n">
        <x:v>24</x:v>
      </x:c>
      <x:c r="M2063" s="13" t="n">
        <x:f>J2063+(K2063+L2063)/1440</x:f>
        <x:v>46307.8875</x:v>
      </x:c>
      <x:c r="N2063" s="13" t="n">
        <x:f>VLOOKUP(C2063,'MES orders'!$A$8:$H$127,5,FALSE)</x:f>
        <x:v>46308.666666666664</x:v>
      </x:c>
      <x:c r="O2063" s="16" t="n">
        <x:f>MAX(0,(M2063-N2063)*24)</x:f>
        <x:v>0</x:v>
      </x:c>
      <x:c r="P2063" s="9" t="str">
        <x:v>No</x:v>
      </x:c>
      <x:c r="Q2063" s="15" t="n">
        <x:v>32</x:v>
      </x:c>
      <x:c r="R2063" s="13" t="n">
        <x:f>J2063+Q2063/1440</x:f>
        <x:v>46307.8875</x:v>
      </x:c>
      <x:c r="S2063" s="2" t="str">
        <x:f>VLOOKUP(C2063,'MES orders'!$A$8:$H$127,6,FALSE)</x:f>
        <x:v>Normal</x:v>
      </x:c>
      <x:c r="T2063" s="9" t="str"/>
    </x:row>
    <x:row r="2064" ht="22" customHeight="1">
      <x:c r="A2064" s="2" t="str">
        <x:v>L00025-020</x:v>
      </x:c>
      <x:c r="B2064" s="2" t="str">
        <x:v>L00025</x:v>
      </x:c>
      <x:c r="C2064" s="2" t="str">
        <x:v>SO-26005</x:v>
      </x:c>
      <x:c r="D2064" s="2" t="str">
        <x:v>R-L-AL</x:v>
      </x:c>
      <x:c r="E2064" s="14" t="n">
        <x:v>10</x:v>
      </x:c>
      <x:c r="F2064" s="2" t="str">
        <x:v>Deburr &amp; inspect</x:v>
      </x:c>
      <x:c r="G2064" s="9" t="str">
        <x:v>DB-01</x:v>
      </x:c>
      <x:c r="H2064" s="15" t="n">
        <x:v>194</x:v>
      </x:c>
      <x:c r="I2064" s="9" t="str">
        <x:v>P19</x:v>
      </x:c>
      <x:c r="J2064" s="11" t="n">
        <x:v>46307.86666666667</x:v>
      </x:c>
      <x:c r="K2064" s="15" t="n">
        <x:v>4</x:v>
      </x:c>
      <x:c r="L2064" s="15" t="n">
        <x:v>9</x:v>
      </x:c>
      <x:c r="M2064" s="13" t="n">
        <x:f>J2064+(K2064+L2064)/1440</x:f>
        <x:v>46307.87569444445</x:v>
      </x:c>
      <x:c r="N2064" s="13" t="n">
        <x:f>VLOOKUP(C2064,'MES orders'!$A$8:$H$127,5,FALSE)</x:f>
        <x:v>46308.666666666664</x:v>
      </x:c>
      <x:c r="O2064" s="16" t="n">
        <x:f>MAX(0,(M2064-N2064)*24)</x:f>
        <x:v>0</x:v>
      </x:c>
      <x:c r="P2064" s="9" t="str">
        <x:v>No</x:v>
      </x:c>
      <x:c r="Q2064" s="15" t="n">
        <x:v>13</x:v>
      </x:c>
      <x:c r="R2064" s="13" t="n">
        <x:f>J2064+Q2064/1440</x:f>
        <x:v>46307.87569444445</x:v>
      </x:c>
      <x:c r="S2064" s="2" t="str">
        <x:f>VLOOKUP(C2064,'MES orders'!$A$8:$H$127,6,FALSE)</x:f>
        <x:v>Normal</x:v>
      </x:c>
      <x:c r="T2064" s="9" t="str"/>
    </x:row>
    <x:row r="2065" ht="22" customHeight="1">
      <x:c r="A2065" s="2" t="str">
        <x:v>L00144-070</x:v>
      </x:c>
      <x:c r="B2065" s="2" t="str">
        <x:v>L00144</x:v>
      </x:c>
      <x:c r="C2065" s="2" t="str">
        <x:v>SO-26029</x:v>
      </x:c>
      <x:c r="D2065" s="2" t="str">
        <x:v>S-L-AL</x:v>
      </x:c>
      <x:c r="E2065" s="14" t="n">
        <x:v>10</x:v>
      </x:c>
      <x:c r="F2065" s="2" t="str">
        <x:v>Final assembly</x:v>
      </x:c>
      <x:c r="G2065" s="9" t="str">
        <x:v>AS-04</x:v>
      </x:c>
      <x:c r="H2065" s="15" t="n">
        <x:v>74</x:v>
      </x:c>
      <x:c r="I2065" s="9" t="str">
        <x:v>P20</x:v>
      </x:c>
      <x:c r="J2065" s="11" t="n">
        <x:v>46307.87222222222</x:v>
      </x:c>
      <x:c r="K2065" s="15" t="n">
        <x:v>5</x:v>
      </x:c>
      <x:c r="L2065" s="15" t="n">
        <x:v>11</x:v>
      </x:c>
      <x:c r="M2065" s="13" t="n">
        <x:f>J2065+(K2065+L2065)/1440</x:f>
        <x:v>46307.88333333333</x:v>
      </x:c>
      <x:c r="N2065" s="13" t="n">
        <x:f>VLOOKUP(C2065,'MES orders'!$A$8:$H$127,5,FALSE)</x:f>
        <x:v>46308.666666666664</x:v>
      </x:c>
      <x:c r="O2065" s="16" t="n">
        <x:f>MAX(0,(M2065-N2065)*24)</x:f>
        <x:v>0</x:v>
      </x:c>
      <x:c r="P2065" s="9" t="str">
        <x:v>No</x:v>
      </x:c>
      <x:c r="Q2065" s="15" t="n">
        <x:v>16</x:v>
      </x:c>
      <x:c r="R2065" s="13" t="n">
        <x:f>J2065+Q2065/1440</x:f>
        <x:v>46307.88333333333</x:v>
      </x:c>
      <x:c r="S2065" s="2" t="str">
        <x:f>VLOOKUP(C2065,'MES orders'!$A$8:$H$127,6,FALSE)</x:f>
        <x:v>High</x:v>
      </x:c>
      <x:c r="T2065" s="9" t="str"/>
    </x:row>
    <x:row r="2066" ht="22" customHeight="1">
      <x:c r="A2066" s="2" t="str">
        <x:v>L00145-060</x:v>
      </x:c>
      <x:c r="B2066" s="2" t="str">
        <x:v>L00145</x:v>
      </x:c>
      <x:c r="C2066" s="2" t="str">
        <x:v>SO-26029</x:v>
      </x:c>
      <x:c r="D2066" s="2" t="str">
        <x:v>S-L-AL</x:v>
      </x:c>
      <x:c r="E2066" s="14" t="n">
        <x:v>10</x:v>
      </x:c>
      <x:c r="F2066" s="2" t="str">
        <x:v>Sensor calibration</x:v>
      </x:c>
      <x:c r="G2066" s="9" t="str">
        <x:v>CAL-01</x:v>
      </x:c>
      <x:c r="H2066" s="15" t="n">
        <x:v>111</x:v>
      </x:c>
      <x:c r="I2066" s="9" t="str">
        <x:v>P21</x:v>
      </x:c>
      <x:c r="J2066" s="11" t="n">
        <x:v>46307.87222222222</x:v>
      </x:c>
      <x:c r="K2066" s="15" t="n">
        <x:v>10</x:v>
      </x:c>
      <x:c r="L2066" s="15" t="n">
        <x:v>18</x:v>
      </x:c>
      <x:c r="M2066" s="13" t="n">
        <x:f>J2066+(K2066+L2066)/1440</x:f>
        <x:v>46307.89166666666</x:v>
      </x:c>
      <x:c r="N2066" s="13" t="n">
        <x:f>VLOOKUP(C2066,'MES orders'!$A$8:$H$127,5,FALSE)</x:f>
        <x:v>46308.666666666664</x:v>
      </x:c>
      <x:c r="O2066" s="16" t="n">
        <x:f>MAX(0,(M2066-N2066)*24)</x:f>
        <x:v>0</x:v>
      </x:c>
      <x:c r="P2066" s="9" t="str">
        <x:v>No</x:v>
      </x:c>
      <x:c r="Q2066" s="15" t="n">
        <x:v>28</x:v>
      </x:c>
      <x:c r="R2066" s="13" t="n">
        <x:f>J2066+Q2066/1440</x:f>
        <x:v>46307.89166666666</x:v>
      </x:c>
      <x:c r="S2066" s="2" t="str">
        <x:f>VLOOKUP(C2066,'MES orders'!$A$8:$H$127,6,FALSE)</x:f>
        <x:v>High</x:v>
      </x:c>
      <x:c r="T2066" s="9" t="str"/>
    </x:row>
    <x:row r="2067" ht="22" customHeight="1">
      <x:c r="A2067" s="2" t="str">
        <x:v>L00539-050</x:v>
      </x:c>
      <x:c r="B2067" s="2" t="str">
        <x:v>L00539</x:v>
      </x:c>
      <x:c r="C2067" s="2" t="str">
        <x:v>SO-26108</x:v>
      </x:c>
      <x:c r="D2067" s="2" t="str">
        <x:v>R-L-SS</x:v>
      </x:c>
      <x:c r="E2067" s="14" t="n">
        <x:v>20</x:v>
      </x:c>
      <x:c r="F2067" s="2" t="str">
        <x:v>Valve adjustment</x:v>
      </x:c>
      <x:c r="G2067" s="9" t="str">
        <x:v>AS-01</x:v>
      </x:c>
      <x:c r="H2067" s="15" t="n">
        <x:v>167</x:v>
      </x:c>
      <x:c r="I2067" s="9" t="str">
        <x:v>P17</x:v>
      </x:c>
      <x:c r="J2067" s="11" t="n">
        <x:v>46307.875</x:v>
      </x:c>
      <x:c r="K2067" s="15" t="n">
        <x:v>6</x:v>
      </x:c>
      <x:c r="L2067" s="15" t="n">
        <x:v>30</x:v>
      </x:c>
      <x:c r="M2067" s="13" t="n">
        <x:f>J2067+(K2067+L2067)/1440</x:f>
        <x:v>46307.9</x:v>
      </x:c>
      <x:c r="N2067" s="13" t="n">
        <x:f>VLOOKUP(C2067,'MES orders'!$A$8:$H$127,5,FALSE)</x:f>
        <x:v>46307.666666666664</x:v>
      </x:c>
      <x:c r="O2067" s="16" t="n">
        <x:f>MAX(0,(M2067-N2067)*24)</x:f>
        <x:v>5.600000000093132</x:v>
      </x:c>
      <x:c r="P2067" s="9" t="str">
        <x:v>No</x:v>
      </x:c>
      <x:c r="Q2067" s="15" t="n">
        <x:v>36</x:v>
      </x:c>
      <x:c r="R2067" s="13" t="n">
        <x:f>J2067+Q2067/1440</x:f>
        <x:v>46307.9</x:v>
      </x:c>
      <x:c r="S2067" s="2" t="str">
        <x:f>VLOOKUP(C2067,'MES orders'!$A$8:$H$127,6,FALSE)</x:f>
        <x:v>Normal</x:v>
      </x:c>
      <x:c r="T2067" s="9" t="str"/>
    </x:row>
    <x:row r="2068" ht="22" customHeight="1">
      <x:c r="A2068" s="2" t="str">
        <x:v>L00141-040</x:v>
      </x:c>
      <x:c r="B2068" s="2" t="str">
        <x:v>L00141</x:v>
      </x:c>
      <x:c r="C2068" s="2" t="str">
        <x:v>SO-26029</x:v>
      </x:c>
      <x:c r="D2068" s="2" t="str">
        <x:v>S-L-AL</x:v>
      </x:c>
      <x:c r="E2068" s="14" t="n">
        <x:v>10</x:v>
      </x:c>
      <x:c r="F2068" s="2" t="str">
        <x:v>Mechanical preassembly</x:v>
      </x:c>
      <x:c r="G2068" s="9" t="str">
        <x:v>AS-02</x:v>
      </x:c>
      <x:c r="H2068" s="15" t="n">
        <x:v>134</x:v>
      </x:c>
      <x:c r="I2068" s="9" t="str">
        <x:v>P18</x:v>
      </x:c>
      <x:c r="J2068" s="11" t="n">
        <x:v>46307.875</x:v>
      </x:c>
      <x:c r="K2068" s="15" t="n">
        <x:v>6</x:v>
      </x:c>
      <x:c r="L2068" s="15" t="n">
        <x:v>15</x:v>
      </x:c>
      <x:c r="M2068" s="13" t="n">
        <x:f>J2068+(K2068+L2068)/1440</x:f>
        <x:v>46307.88958333333</x:v>
      </x:c>
      <x:c r="N2068" s="13" t="n">
        <x:f>VLOOKUP(C2068,'MES orders'!$A$8:$H$127,5,FALSE)</x:f>
        <x:v>46308.666666666664</x:v>
      </x:c>
      <x:c r="O2068" s="16" t="n">
        <x:f>MAX(0,(M2068-N2068)*24)</x:f>
        <x:v>0</x:v>
      </x:c>
      <x:c r="P2068" s="9" t="str">
        <x:v>No</x:v>
      </x:c>
      <x:c r="Q2068" s="15" t="n">
        <x:v>21</x:v>
      </x:c>
      <x:c r="R2068" s="13" t="n">
        <x:f>J2068+Q2068/1440</x:f>
        <x:v>46307.88958333333</x:v>
      </x:c>
      <x:c r="S2068" s="2" t="str">
        <x:f>VLOOKUP(C2068,'MES orders'!$A$8:$H$127,6,FALSE)</x:f>
        <x:v>High</x:v>
      </x:c>
      <x:c r="T2068" s="9" t="str"/>
    </x:row>
    <x:row r="2069" ht="22" customHeight="1">
      <x:c r="A2069" s="2" t="str">
        <x:v>L00538-060</x:v>
      </x:c>
      <x:c r="B2069" s="2" t="str">
        <x:v>L00538</x:v>
      </x:c>
      <x:c r="C2069" s="2" t="str">
        <x:v>SO-26108</x:v>
      </x:c>
      <x:c r="D2069" s="2" t="str">
        <x:v>R-L-SS</x:v>
      </x:c>
      <x:c r="E2069" s="14" t="n">
        <x:v>20</x:v>
      </x:c>
      <x:c r="F2069" s="2" t="str">
        <x:v>Final leak / function test</x:v>
      </x:c>
      <x:c r="G2069" s="9" t="str">
        <x:v>QA-02</x:v>
      </x:c>
      <x:c r="H2069" s="15" t="n">
        <x:v>149</x:v>
      </x:c>
      <x:c r="I2069" s="9" t="str">
        <x:v>P23</x:v>
      </x:c>
      <x:c r="J2069" s="11" t="n">
        <x:v>46307.875</x:v>
      </x:c>
      <x:c r="K2069" s="15" t="n">
        <x:v>10</x:v>
      </x:c>
      <x:c r="L2069" s="15" t="n">
        <x:v>24</x:v>
      </x:c>
      <x:c r="M2069" s="13" t="n">
        <x:f>J2069+(K2069+L2069)/1440</x:f>
        <x:v>46307.89861111111</x:v>
      </x:c>
      <x:c r="N2069" s="13" t="n">
        <x:f>VLOOKUP(C2069,'MES orders'!$A$8:$H$127,5,FALSE)</x:f>
        <x:v>46307.666666666664</x:v>
      </x:c>
      <x:c r="O2069" s="16" t="n">
        <x:f>MAX(0,(M2069-N2069)*24)</x:f>
        <x:v>5.566666666651145</x:v>
      </x:c>
      <x:c r="P2069" s="9" t="str">
        <x:v>No</x:v>
      </x:c>
      <x:c r="Q2069" s="15" t="n">
        <x:v>34</x:v>
      </x:c>
      <x:c r="R2069" s="13" t="n">
        <x:f>J2069+Q2069/1440</x:f>
        <x:v>46307.89861111111</x:v>
      </x:c>
      <x:c r="S2069" s="2" t="str">
        <x:f>VLOOKUP(C2069,'MES orders'!$A$8:$H$127,6,FALSE)</x:f>
        <x:v>Normal</x:v>
      </x:c>
      <x:c r="T2069" s="9" t="str"/>
    </x:row>
    <x:row r="2070" ht="22" customHeight="1">
      <x:c r="A2070" s="2" t="str">
        <x:v>L00025-030</x:v>
      </x:c>
      <x:c r="B2070" s="2" t="str">
        <x:v>L00025</x:v>
      </x:c>
      <x:c r="C2070" s="2" t="str">
        <x:v>SO-26005</x:v>
      </x:c>
      <x:c r="D2070" s="2" t="str">
        <x:v>R-L-AL</x:v>
      </x:c>
      <x:c r="E2070" s="14" t="n">
        <x:v>10</x:v>
      </x:c>
      <x:c r="F2070" s="2" t="str">
        <x:v>Wash &amp; dry</x:v>
      </x:c>
      <x:c r="G2070" s="9" t="str">
        <x:v>WS-02</x:v>
      </x:c>
      <x:c r="H2070" s="15" t="n">
        <x:v>134</x:v>
      </x:c>
      <x:c r="I2070" s="9" t="str">
        <x:v>P19</x:v>
      </x:c>
      <x:c r="J2070" s="11" t="n">
        <x:v>46307.87569444445</x:v>
      </x:c>
      <x:c r="K2070" s="15" t="n">
        <x:v>12</x:v>
      </x:c>
      <x:c r="L2070" s="15" t="n">
        <x:v>5</x:v>
      </x:c>
      <x:c r="M2070" s="13" t="n">
        <x:f>J2070+(K2070+L2070)/1440</x:f>
        <x:v>46307.887500000004</x:v>
      </x:c>
      <x:c r="N2070" s="13" t="n">
        <x:f>VLOOKUP(C2070,'MES orders'!$A$8:$H$127,5,FALSE)</x:f>
        <x:v>46308.666666666664</x:v>
      </x:c>
      <x:c r="O2070" s="16" t="n">
        <x:f>MAX(0,(M2070-N2070)*24)</x:f>
        <x:v>0</x:v>
      </x:c>
      <x:c r="P2070" s="9" t="str">
        <x:v>No</x:v>
      </x:c>
      <x:c r="Q2070" s="15" t="n">
        <x:v>17</x:v>
      </x:c>
      <x:c r="R2070" s="13" t="n">
        <x:f>J2070+Q2070/1440</x:f>
        <x:v>46307.887500000004</x:v>
      </x:c>
      <x:c r="S2070" s="2" t="str">
        <x:f>VLOOKUP(C2070,'MES orders'!$A$8:$H$127,6,FALSE)</x:f>
        <x:v>Normal</x:v>
      </x:c>
      <x:c r="T2070" s="9" t="str"/>
    </x:row>
    <x:row r="2071" ht="22" customHeight="1">
      <x:c r="A2071" s="2" t="str">
        <x:v>L00024-040</x:v>
      </x:c>
      <x:c r="B2071" s="2" t="str">
        <x:v>L00024</x:v>
      </x:c>
      <x:c r="C2071" s="2" t="str">
        <x:v>SO-26005</x:v>
      </x:c>
      <x:c r="D2071" s="2" t="str">
        <x:v>R-L-AL</x:v>
      </x:c>
      <x:c r="E2071" s="14" t="n">
        <x:v>10</x:v>
      </x:c>
      <x:c r="F2071" s="2" t="str">
        <x:v>Mechanical assembly</x:v>
      </x:c>
      <x:c r="G2071" s="9" t="str">
        <x:v>AS-07</x:v>
      </x:c>
      <x:c r="H2071" s="15" t="n">
        <x:v>3</x:v>
      </x:c>
      <x:c r="I2071" s="9" t="str">
        <x:v>P15</x:v>
      </x:c>
      <x:c r="J2071" s="11" t="n">
        <x:v>46307.876388888886</x:v>
      </x:c>
      <x:c r="K2071" s="15" t="n">
        <x:v>8</x:v>
      </x:c>
      <x:c r="L2071" s="15" t="n">
        <x:v>24</x:v>
      </x:c>
      <x:c r="M2071" s="13" t="n">
        <x:f>J2071+(K2071+L2071)/1440</x:f>
        <x:v>46307.89861111111</x:v>
      </x:c>
      <x:c r="N2071" s="13" t="n">
        <x:f>VLOOKUP(C2071,'MES orders'!$A$8:$H$127,5,FALSE)</x:f>
        <x:v>46308.666666666664</x:v>
      </x:c>
      <x:c r="O2071" s="16" t="n">
        <x:f>MAX(0,(M2071-N2071)*24)</x:f>
        <x:v>0</x:v>
      </x:c>
      <x:c r="P2071" s="9" t="str">
        <x:v>No</x:v>
      </x:c>
      <x:c r="Q2071" s="15" t="n">
        <x:v>32</x:v>
      </x:c>
      <x:c r="R2071" s="13" t="n">
        <x:f>J2071+Q2071/1440</x:f>
        <x:v>46307.89861111111</x:v>
      </x:c>
      <x:c r="S2071" s="2" t="str">
        <x:f>VLOOKUP(C2071,'MES orders'!$A$8:$H$127,6,FALSE)</x:f>
        <x:v>Normal</x:v>
      </x:c>
      <x:c r="T2071" s="9" t="str"/>
    </x:row>
    <x:row r="2072" ht="22" customHeight="1">
      <x:c r="A2072" s="2" t="str">
        <x:v>L00144-080</x:v>
      </x:c>
      <x:c r="B2072" s="2" t="str">
        <x:v>L00144</x:v>
      </x:c>
      <x:c r="C2072" s="2" t="str">
        <x:v>SO-26029</x:v>
      </x:c>
      <x:c r="D2072" s="2" t="str">
        <x:v>S-L-AL</x:v>
      </x:c>
      <x:c r="E2072" s="14" t="n">
        <x:v>10</x:v>
      </x:c>
      <x:c r="F2072" s="2" t="str">
        <x:v>Final leak / function test</x:v>
      </x:c>
      <x:c r="G2072" s="9" t="str">
        <x:v>QA-03</x:v>
      </x:c>
      <x:c r="H2072" s="15" t="n">
        <x:v>92</x:v>
      </x:c>
      <x:c r="I2072" s="9" t="str">
        <x:v>P24</x:v>
      </x:c>
      <x:c r="J2072" s="11" t="n">
        <x:v>46307.88333333333</x:v>
      </x:c>
      <x:c r="K2072" s="15" t="n">
        <x:v>10</x:v>
      </x:c>
      <x:c r="L2072" s="15" t="n">
        <x:v>12</x:v>
      </x:c>
      <x:c r="M2072" s="13" t="n">
        <x:f>J2072+(K2072+L2072)/1440</x:f>
        <x:v>46307.89861111111</x:v>
      </x:c>
      <x:c r="N2072" s="13" t="n">
        <x:f>VLOOKUP(C2072,'MES orders'!$A$8:$H$127,5,FALSE)</x:f>
        <x:v>46308.666666666664</x:v>
      </x:c>
      <x:c r="O2072" s="16" t="n">
        <x:f>MAX(0,(M2072-N2072)*24)</x:f>
        <x:v>0</x:v>
      </x:c>
      <x:c r="P2072" s="9" t="str">
        <x:v>No</x:v>
      </x:c>
      <x:c r="Q2072" s="15" t="n">
        <x:v>22</x:v>
      </x:c>
      <x:c r="R2072" s="13" t="n">
        <x:f>J2072+Q2072/1440</x:f>
        <x:v>46307.89861111111</x:v>
      </x:c>
      <x:c r="S2072" s="2" t="str">
        <x:f>VLOOKUP(C2072,'MES orders'!$A$8:$H$127,6,FALSE)</x:f>
        <x:v>High</x:v>
      </x:c>
      <x:c r="T2072" s="9" t="str"/>
    </x:row>
    <x:row r="2073" ht="22" customHeight="1">
      <x:c r="A2073" s="2" t="str">
        <x:v>L00025-040</x:v>
      </x:c>
      <x:c r="B2073" s="2" t="str">
        <x:v>L00025</x:v>
      </x:c>
      <x:c r="C2073" s="2" t="str">
        <x:v>SO-26005</x:v>
      </x:c>
      <x:c r="D2073" s="2" t="str">
        <x:v>R-L-AL</x:v>
      </x:c>
      <x:c r="E2073" s="14" t="n">
        <x:v>10</x:v>
      </x:c>
      <x:c r="F2073" s="2" t="str">
        <x:v>Mechanical assembly</x:v>
      </x:c>
      <x:c r="G2073" s="9" t="str">
        <x:v>AS-05</x:v>
      </x:c>
      <x:c r="H2073" s="15" t="n">
        <x:v>43</x:v>
      </x:c>
      <x:c r="I2073" s="9" t="str">
        <x:v>P13</x:v>
      </x:c>
      <x:c r="J2073" s="11" t="n">
        <x:v>46307.8875</x:v>
      </x:c>
      <x:c r="K2073" s="15" t="n">
        <x:v>8</x:v>
      </x:c>
      <x:c r="L2073" s="15" t="n">
        <x:v>24</x:v>
      </x:c>
      <x:c r="M2073" s="13" t="n">
        <x:f>J2073+(K2073+L2073)/1440</x:f>
        <x:v>46307.90972222222</x:v>
      </x:c>
      <x:c r="N2073" s="13" t="n">
        <x:f>VLOOKUP(C2073,'MES orders'!$A$8:$H$127,5,FALSE)</x:f>
        <x:v>46308.666666666664</x:v>
      </x:c>
      <x:c r="O2073" s="16" t="n">
        <x:f>MAX(0,(M2073-N2073)*24)</x:f>
        <x:v>0</x:v>
      </x:c>
      <x:c r="P2073" s="9" t="str">
        <x:v>No</x:v>
      </x:c>
      <x:c r="Q2073" s="15" t="n">
        <x:v>32</x:v>
      </x:c>
      <x:c r="R2073" s="13" t="n">
        <x:f>J2073+Q2073/1440</x:f>
        <x:v>46307.90972222222</x:v>
      </x:c>
      <x:c r="S2073" s="2" t="str">
        <x:f>VLOOKUP(C2073,'MES orders'!$A$8:$H$127,6,FALSE)</x:f>
        <x:v>Normal</x:v>
      </x:c>
      <x:c r="T2073" s="9" t="str"/>
    </x:row>
    <x:row r="2074" ht="22" customHeight="1">
      <x:c r="A2074" s="2" t="str">
        <x:v>L00103-030</x:v>
      </x:c>
      <x:c r="B2074" s="2" t="str">
        <x:v>L00103</x:v>
      </x:c>
      <x:c r="C2074" s="2" t="str">
        <x:v>SO-26021</x:v>
      </x:c>
      <x:c r="D2074" s="2" t="str">
        <x:v>S-S-AL</x:v>
      </x:c>
      <x:c r="E2074" s="14" t="n">
        <x:v>10</x:v>
      </x:c>
      <x:c r="F2074" s="2" t="str">
        <x:v>Wash &amp; dry</x:v>
      </x:c>
      <x:c r="G2074" s="9" t="str">
        <x:v>WS-01</x:v>
      </x:c>
      <x:c r="H2074" s="15" t="n">
        <x:v>193</x:v>
      </x:c>
      <x:c r="I2074" s="9" t="str">
        <x:v>P14</x:v>
      </x:c>
      <x:c r="J2074" s="11" t="n">
        <x:v>46307.8875</x:v>
      </x:c>
      <x:c r="K2074" s="15" t="n">
        <x:v>12</x:v>
      </x:c>
      <x:c r="L2074" s="15" t="n">
        <x:v>4</x:v>
      </x:c>
      <x:c r="M2074" s="13" t="n">
        <x:f>J2074+(K2074+L2074)/1440</x:f>
        <x:v>46307.89861111111</x:v>
      </x:c>
      <x:c r="N2074" s="13" t="n">
        <x:f>VLOOKUP(C2074,'MES orders'!$A$8:$H$127,5,FALSE)</x:f>
        <x:v>46308.666666666664</x:v>
      </x:c>
      <x:c r="O2074" s="16" t="n">
        <x:f>MAX(0,(M2074-N2074)*24)</x:f>
        <x:v>0</x:v>
      </x:c>
      <x:c r="P2074" s="9" t="str">
        <x:v>No</x:v>
      </x:c>
      <x:c r="Q2074" s="15" t="n">
        <x:v>16</x:v>
      </x:c>
      <x:c r="R2074" s="13" t="n">
        <x:f>J2074+Q2074/1440</x:f>
        <x:v>46307.89861111111</x:v>
      </x:c>
      <x:c r="S2074" s="2" t="str">
        <x:f>VLOOKUP(C2074,'MES orders'!$A$8:$H$127,6,FALSE)</x:f>
        <x:v>Normal</x:v>
      </x:c>
      <x:c r="T2074" s="9" t="str"/>
    </x:row>
    <x:row r="2075" ht="22" customHeight="1">
      <x:c r="A2075" s="2" t="str">
        <x:v>L00540-050</x:v>
      </x:c>
      <x:c r="B2075" s="2" t="str">
        <x:v>L00540</x:v>
      </x:c>
      <x:c r="C2075" s="2" t="str">
        <x:v>SO-26108</x:v>
      </x:c>
      <x:c r="D2075" s="2" t="str">
        <x:v>R-L-SS</x:v>
      </x:c>
      <x:c r="E2075" s="14" t="n">
        <x:v>20</x:v>
      </x:c>
      <x:c r="F2075" s="2" t="str">
        <x:v>Valve adjustment</x:v>
      </x:c>
      <x:c r="G2075" s="9" t="str">
        <x:v>AS-02</x:v>
      </x:c>
      <x:c r="H2075" s="15" t="n">
        <x:v>135</x:v>
      </x:c>
      <x:c r="I2075" s="9" t="str">
        <x:v>P18</x:v>
      </x:c>
      <x:c r="J2075" s="11" t="n">
        <x:v>46307.88958333333</x:v>
      </x:c>
      <x:c r="K2075" s="15" t="n">
        <x:v>6</x:v>
      </x:c>
      <x:c r="L2075" s="15" t="n">
        <x:v>30</x:v>
      </x:c>
      <x:c r="M2075" s="13" t="n">
        <x:f>J2075+(K2075+L2075)/1440</x:f>
        <x:v>46307.91458333333</x:v>
      </x:c>
      <x:c r="N2075" s="13" t="n">
        <x:f>VLOOKUP(C2075,'MES orders'!$A$8:$H$127,5,FALSE)</x:f>
        <x:v>46307.666666666664</x:v>
      </x:c>
      <x:c r="O2075" s="16" t="n">
        <x:f>MAX(0,(M2075-N2075)*24)</x:f>
        <x:v>5.9500000000116415</x:v>
      </x:c>
      <x:c r="P2075" s="9" t="str">
        <x:v>No</x:v>
      </x:c>
      <x:c r="Q2075" s="15" t="n">
        <x:v>36</x:v>
      </x:c>
      <x:c r="R2075" s="13" t="n">
        <x:f>J2075+Q2075/1440</x:f>
        <x:v>46307.91458333333</x:v>
      </x:c>
      <x:c r="S2075" s="2" t="str">
        <x:f>VLOOKUP(C2075,'MES orders'!$A$8:$H$127,6,FALSE)</x:f>
        <x:v>Normal</x:v>
      </x:c>
      <x:c r="T2075" s="9" t="str"/>
    </x:row>
    <x:row r="2076" ht="22" customHeight="1">
      <x:c r="A2076" s="2" t="str">
        <x:v>L00021-020</x:v>
      </x:c>
      <x:c r="B2076" s="2" t="str">
        <x:v>L00021</x:v>
      </x:c>
      <x:c r="C2076" s="2" t="str">
        <x:v>SO-26005</x:v>
      </x:c>
      <x:c r="D2076" s="2" t="str">
        <x:v>R-L-AL</x:v>
      </x:c>
      <x:c r="E2076" s="14" t="n">
        <x:v>10</x:v>
      </x:c>
      <x:c r="F2076" s="2" t="str">
        <x:v>Deburr &amp; inspect</x:v>
      </x:c>
      <x:c r="G2076" s="9" t="str">
        <x:v>DB-01</x:v>
      </x:c>
      <x:c r="H2076" s="15" t="n">
        <x:v>195</x:v>
      </x:c>
      <x:c r="I2076" s="9" t="str">
        <x:v>P16</x:v>
      </x:c>
      <x:c r="J2076" s="11" t="n">
        <x:v>46307.88958333333</x:v>
      </x:c>
      <x:c r="K2076" s="15" t="n">
        <x:v>4</x:v>
      </x:c>
      <x:c r="L2076" s="15" t="n">
        <x:v>9</x:v>
      </x:c>
      <x:c r="M2076" s="13" t="n">
        <x:f>J2076+(K2076+L2076)/1440</x:f>
        <x:v>46307.89861111111</x:v>
      </x:c>
      <x:c r="N2076" s="13" t="n">
        <x:f>VLOOKUP(C2076,'MES orders'!$A$8:$H$127,5,FALSE)</x:f>
        <x:v>46308.666666666664</x:v>
      </x:c>
      <x:c r="O2076" s="16" t="n">
        <x:f>MAX(0,(M2076-N2076)*24)</x:f>
        <x:v>0</x:v>
      </x:c>
      <x:c r="P2076" s="9" t="str">
        <x:v>No</x:v>
      </x:c>
      <x:c r="Q2076" s="15" t="n">
        <x:v>13</x:v>
      </x:c>
      <x:c r="R2076" s="13" t="n">
        <x:f>J2076+Q2076/1440</x:f>
        <x:v>46307.89861111111</x:v>
      </x:c>
      <x:c r="S2076" s="2" t="str">
        <x:f>VLOOKUP(C2076,'MES orders'!$A$8:$H$127,6,FALSE)</x:f>
        <x:v>Normal</x:v>
      </x:c>
      <x:c r="T2076" s="9" t="str"/>
    </x:row>
    <x:row r="2077" ht="22" customHeight="1">
      <x:c r="A2077" s="2" t="str">
        <x:v>L00141-050</x:v>
      </x:c>
      <x:c r="B2077" s="2" t="str">
        <x:v>L00141</x:v>
      </x:c>
      <x:c r="C2077" s="2" t="str">
        <x:v>SO-26029</x:v>
      </x:c>
      <x:c r="D2077" s="2" t="str">
        <x:v>S-L-AL</x:v>
      </x:c>
      <x:c r="E2077" s="14" t="n">
        <x:v>10</x:v>
      </x:c>
      <x:c r="F2077" s="2" t="str">
        <x:v>Sensor installation</x:v>
      </x:c>
      <x:c r="G2077" s="9" t="str">
        <x:v>EL-01</x:v>
      </x:c>
      <x:c r="H2077" s="15" t="n">
        <x:v>73</x:v>
      </x:c>
      <x:c r="I2077" s="9" t="str">
        <x:v>P19</x:v>
      </x:c>
      <x:c r="J2077" s="11" t="n">
        <x:v>46307.88958333333</x:v>
      </x:c>
      <x:c r="K2077" s="15" t="n">
        <x:v>8</x:v>
      </x:c>
      <x:c r="L2077" s="15" t="n">
        <x:v>16</x:v>
      </x:c>
      <x:c r="M2077" s="13" t="n">
        <x:f>J2077+(K2077+L2077)/1440</x:f>
        <x:v>46307.90625</x:v>
      </x:c>
      <x:c r="N2077" s="13" t="n">
        <x:f>VLOOKUP(C2077,'MES orders'!$A$8:$H$127,5,FALSE)</x:f>
        <x:v>46308.666666666664</x:v>
      </x:c>
      <x:c r="O2077" s="16" t="n">
        <x:f>MAX(0,(M2077-N2077)*24)</x:f>
        <x:v>0</x:v>
      </x:c>
      <x:c r="P2077" s="9" t="str">
        <x:v>No</x:v>
      </x:c>
      <x:c r="Q2077" s="15" t="n">
        <x:v>24</x:v>
      </x:c>
      <x:c r="R2077" s="13" t="n">
        <x:f>J2077+Q2077/1440</x:f>
        <x:v>46307.90625</x:v>
      </x:c>
      <x:c r="S2077" s="2" t="str">
        <x:f>VLOOKUP(C2077,'MES orders'!$A$8:$H$127,6,FALSE)</x:f>
        <x:v>High</x:v>
      </x:c>
      <x:c r="T2077" s="9" t="str"/>
    </x:row>
    <x:row r="2078" ht="22" customHeight="1">
      <x:c r="A2078" s="2" t="str">
        <x:v>L00145-070</x:v>
      </x:c>
      <x:c r="B2078" s="2" t="str">
        <x:v>L00145</x:v>
      </x:c>
      <x:c r="C2078" s="2" t="str">
        <x:v>SO-26029</x:v>
      </x:c>
      <x:c r="D2078" s="2" t="str">
        <x:v>S-L-AL</x:v>
      </x:c>
      <x:c r="E2078" s="14" t="n">
        <x:v>10</x:v>
      </x:c>
      <x:c r="F2078" s="2" t="str">
        <x:v>Final assembly</x:v>
      </x:c>
      <x:c r="G2078" s="9" t="str">
        <x:v>AS-03</x:v>
      </x:c>
      <x:c r="H2078" s="15" t="n">
        <x:v>109</x:v>
      </x:c>
      <x:c r="I2078" s="9" t="str">
        <x:v>P20</x:v>
      </x:c>
      <x:c r="J2078" s="11" t="n">
        <x:v>46307.89166666667</x:v>
      </x:c>
      <x:c r="K2078" s="15" t="n">
        <x:v>5</x:v>
      </x:c>
      <x:c r="L2078" s="15" t="n">
        <x:v>11</x:v>
      </x:c>
      <x:c r="M2078" s="13" t="n">
        <x:f>J2078+(K2078+L2078)/1440</x:f>
        <x:v>46307.90277777778</x:v>
      </x:c>
      <x:c r="N2078" s="13" t="n">
        <x:f>VLOOKUP(C2078,'MES orders'!$A$8:$H$127,5,FALSE)</x:f>
        <x:v>46308.666666666664</x:v>
      </x:c>
      <x:c r="O2078" s="16" t="n">
        <x:f>MAX(0,(M2078-N2078)*24)</x:f>
        <x:v>0</x:v>
      </x:c>
      <x:c r="P2078" s="9" t="str">
        <x:v>No</x:v>
      </x:c>
      <x:c r="Q2078" s="15" t="n">
        <x:v>16</x:v>
      </x:c>
      <x:c r="R2078" s="13" t="n">
        <x:f>J2078+Q2078/1440</x:f>
        <x:v>46307.90277777778</x:v>
      </x:c>
      <x:c r="S2078" s="2" t="str">
        <x:f>VLOOKUP(C2078,'MES orders'!$A$8:$H$127,6,FALSE)</x:f>
        <x:v>High</x:v>
      </x:c>
      <x:c r="T2078" s="9" t="str"/>
    </x:row>
    <x:row r="2079" ht="22" customHeight="1">
      <x:c r="A2079" s="2" t="str">
        <x:v>L00022-050</x:v>
      </x:c>
      <x:c r="B2079" s="2" t="str">
        <x:v>L00022</x:v>
      </x:c>
      <x:c r="C2079" s="2" t="str">
        <x:v>SO-26005</x:v>
      </x:c>
      <x:c r="D2079" s="2" t="str">
        <x:v>R-L-AL</x:v>
      </x:c>
      <x:c r="E2079" s="14" t="n">
        <x:v>10</x:v>
      </x:c>
      <x:c r="F2079" s="2" t="str">
        <x:v>Valve adjustment</x:v>
      </x:c>
      <x:c r="G2079" s="9" t="str">
        <x:v>AS-04</x:v>
      </x:c>
      <x:c r="H2079" s="15" t="n">
        <x:v>75</x:v>
      </x:c>
      <x:c r="I2079" s="9" t="str">
        <x:v>P21</x:v>
      </x:c>
      <x:c r="J2079" s="11" t="n">
        <x:v>46307.89166666667</x:v>
      </x:c>
      <x:c r="K2079" s="15" t="n">
        <x:v>6</x:v>
      </x:c>
      <x:c r="L2079" s="15" t="n">
        <x:v>15</x:v>
      </x:c>
      <x:c r="M2079" s="13" t="n">
        <x:f>J2079+(K2079+L2079)/1440</x:f>
        <x:v>46307.90625</x:v>
      </x:c>
      <x:c r="N2079" s="13" t="n">
        <x:f>VLOOKUP(C2079,'MES orders'!$A$8:$H$127,5,FALSE)</x:f>
        <x:v>46308.666666666664</x:v>
      </x:c>
      <x:c r="O2079" s="16" t="n">
        <x:f>MAX(0,(M2079-N2079)*24)</x:f>
        <x:v>0</x:v>
      </x:c>
      <x:c r="P2079" s="9" t="str">
        <x:v>No</x:v>
      </x:c>
      <x:c r="Q2079" s="15" t="n">
        <x:v>21</x:v>
      </x:c>
      <x:c r="R2079" s="13" t="n">
        <x:f>J2079+Q2079/1440</x:f>
        <x:v>46307.90625</x:v>
      </x:c>
      <x:c r="S2079" s="2" t="str">
        <x:f>VLOOKUP(C2079,'MES orders'!$A$8:$H$127,6,FALSE)</x:f>
        <x:v>Normal</x:v>
      </x:c>
      <x:c r="T2079" s="9" t="str"/>
    </x:row>
    <x:row r="2080" ht="22" customHeight="1">
      <x:c r="A2080" s="2" t="str">
        <x:v>L00103-040</x:v>
      </x:c>
      <x:c r="B2080" s="2" t="str">
        <x:v>L00103</x:v>
      </x:c>
      <x:c r="C2080" s="2" t="str">
        <x:v>SO-26021</x:v>
      </x:c>
      <x:c r="D2080" s="2" t="str">
        <x:v>S-S-AL</x:v>
      </x:c>
      <x:c r="E2080" s="14" t="n">
        <x:v>10</x:v>
      </x:c>
      <x:c r="F2080" s="2" t="str">
        <x:v>Mechanical preassembly</x:v>
      </x:c>
      <x:c r="G2080" s="9" t="str">
        <x:v>AS-06</x:v>
      </x:c>
      <x:c r="H2080" s="15" t="n">
        <x:v>16</x:v>
      </x:c>
      <x:c r="I2080" s="9" t="str">
        <x:v>P14</x:v>
      </x:c>
      <x:c r="J2080" s="11" t="n">
        <x:v>46307.89861111111</x:v>
      </x:c>
      <x:c r="K2080" s="15" t="n">
        <x:v>6</x:v>
      </x:c>
      <x:c r="L2080" s="15" t="n">
        <x:v>11</x:v>
      </x:c>
      <x:c r="M2080" s="13" t="n">
        <x:f>J2080+(K2080+L2080)/1440</x:f>
        <x:v>46307.910416666666</x:v>
      </x:c>
      <x:c r="N2080" s="13" t="n">
        <x:f>VLOOKUP(C2080,'MES orders'!$A$8:$H$127,5,FALSE)</x:f>
        <x:v>46308.666666666664</x:v>
      </x:c>
      <x:c r="O2080" s="16" t="n">
        <x:f>MAX(0,(M2080-N2080)*24)</x:f>
        <x:v>0</x:v>
      </x:c>
      <x:c r="P2080" s="9" t="str">
        <x:v>No</x:v>
      </x:c>
      <x:c r="Q2080" s="15" t="n">
        <x:v>17</x:v>
      </x:c>
      <x:c r="R2080" s="13" t="n">
        <x:f>J2080+Q2080/1440</x:f>
        <x:v>46307.910416666666</x:v>
      </x:c>
      <x:c r="S2080" s="2" t="str">
        <x:f>VLOOKUP(C2080,'MES orders'!$A$8:$H$127,6,FALSE)</x:f>
        <x:v>Normal</x:v>
      </x:c>
      <x:c r="T2080" s="9" t="str"/>
    </x:row>
    <x:row r="2081" ht="22" customHeight="1">
      <x:c r="A2081" s="2" t="str">
        <x:v>L00021-030</x:v>
      </x:c>
      <x:c r="B2081" s="2" t="str">
        <x:v>L00021</x:v>
      </x:c>
      <x:c r="C2081" s="2" t="str">
        <x:v>SO-26005</x:v>
      </x:c>
      <x:c r="D2081" s="2" t="str">
        <x:v>R-L-AL</x:v>
      </x:c>
      <x:c r="E2081" s="14" t="n">
        <x:v>10</x:v>
      </x:c>
      <x:c r="F2081" s="2" t="str">
        <x:v>Wash &amp; dry</x:v>
      </x:c>
      <x:c r="G2081" s="9" t="str">
        <x:v>WS-01</x:v>
      </x:c>
      <x:c r="H2081" s="15" t="n">
        <x:v>194</x:v>
      </x:c>
      <x:c r="I2081" s="9" t="str">
        <x:v>P16</x:v>
      </x:c>
      <x:c r="J2081" s="11" t="n">
        <x:v>46307.89861111111</x:v>
      </x:c>
      <x:c r="K2081" s="15" t="n">
        <x:v>12</x:v>
      </x:c>
      <x:c r="L2081" s="15" t="n">
        <x:v>5</x:v>
      </x:c>
      <x:c r="M2081" s="13" t="n">
        <x:f>J2081+(K2081+L2081)/1440</x:f>
        <x:v>46307.910416666666</x:v>
      </x:c>
      <x:c r="N2081" s="13" t="n">
        <x:f>VLOOKUP(C2081,'MES orders'!$A$8:$H$127,5,FALSE)</x:f>
        <x:v>46308.666666666664</x:v>
      </x:c>
      <x:c r="O2081" s="16" t="n">
        <x:f>MAX(0,(M2081-N2081)*24)</x:f>
        <x:v>0</x:v>
      </x:c>
      <x:c r="P2081" s="9" t="str">
        <x:v>No</x:v>
      </x:c>
      <x:c r="Q2081" s="15" t="n">
        <x:v>17</x:v>
      </x:c>
      <x:c r="R2081" s="13" t="n">
        <x:f>J2081+Q2081/1440</x:f>
        <x:v>46307.910416666666</x:v>
      </x:c>
      <x:c r="S2081" s="2" t="str">
        <x:f>VLOOKUP(C2081,'MES orders'!$A$8:$H$127,6,FALSE)</x:f>
        <x:v>Normal</x:v>
      </x:c>
      <x:c r="T2081" s="9" t="str"/>
    </x:row>
    <x:row r="2082" ht="22" customHeight="1">
      <x:c r="A2082" s="2" t="str">
        <x:v>L00104-030</x:v>
      </x:c>
      <x:c r="B2082" s="2" t="str">
        <x:v>L00104</x:v>
      </x:c>
      <x:c r="C2082" s="2" t="str">
        <x:v>SO-26021</x:v>
      </x:c>
      <x:c r="D2082" s="2" t="str">
        <x:v>S-S-AL</x:v>
      </x:c>
      <x:c r="E2082" s="14" t="n">
        <x:v>10</x:v>
      </x:c>
      <x:c r="F2082" s="2" t="str">
        <x:v>Wash &amp; dry</x:v>
      </x:c>
      <x:c r="G2082" s="9" t="str">
        <x:v>WS-02</x:v>
      </x:c>
      <x:c r="H2082" s="15" t="n">
        <x:v>135</x:v>
      </x:c>
      <x:c r="I2082" s="9" t="str">
        <x:v>P15</x:v>
      </x:c>
      <x:c r="J2082" s="11" t="n">
        <x:v>46307.89861111111</x:v>
      </x:c>
      <x:c r="K2082" s="15" t="n">
        <x:v>12</x:v>
      </x:c>
      <x:c r="L2082" s="15" t="n">
        <x:v>4</x:v>
      </x:c>
      <x:c r="M2082" s="13" t="n">
        <x:f>J2082+(K2082+L2082)/1440</x:f>
        <x:v>46307.90972222222</x:v>
      </x:c>
      <x:c r="N2082" s="13" t="n">
        <x:f>VLOOKUP(C2082,'MES orders'!$A$8:$H$127,5,FALSE)</x:f>
        <x:v>46308.666666666664</x:v>
      </x:c>
      <x:c r="O2082" s="16" t="n">
        <x:f>MAX(0,(M2082-N2082)*24)</x:f>
        <x:v>0</x:v>
      </x:c>
      <x:c r="P2082" s="9" t="str">
        <x:v>No</x:v>
      </x:c>
      <x:c r="Q2082" s="15" t="n">
        <x:v>16</x:v>
      </x:c>
      <x:c r="R2082" s="13" t="n">
        <x:f>J2082+Q2082/1440</x:f>
        <x:v>46307.90972222222</x:v>
      </x:c>
      <x:c r="S2082" s="2" t="str">
        <x:f>VLOOKUP(C2082,'MES orders'!$A$8:$H$127,6,FALSE)</x:f>
        <x:v>Normal</x:v>
      </x:c>
      <x:c r="T2082" s="9" t="str"/>
    </x:row>
    <x:row r="2083" ht="22" customHeight="1">
      <x:c r="A2083" s="2" t="str">
        <x:v>L00142-070</x:v>
      </x:c>
      <x:c r="B2083" s="2" t="str">
        <x:v>L00142</x:v>
      </x:c>
      <x:c r="C2083" s="2" t="str">
        <x:v>SO-26029</x:v>
      </x:c>
      <x:c r="D2083" s="2" t="str">
        <x:v>S-L-AL</x:v>
      </x:c>
      <x:c r="E2083" s="14" t="n">
        <x:v>10</x:v>
      </x:c>
      <x:c r="F2083" s="2" t="str">
        <x:v>Final assembly</x:v>
      </x:c>
      <x:c r="G2083" s="9" t="str">
        <x:v>AS-01</x:v>
      </x:c>
      <x:c r="H2083" s="15" t="n">
        <x:v>168</x:v>
      </x:c>
      <x:c r="I2083" s="9" t="str">
        <x:v>P17</x:v>
      </x:c>
      <x:c r="J2083" s="11" t="n">
        <x:v>46307.9</x:v>
      </x:c>
      <x:c r="K2083" s="15" t="n">
        <x:v>5</x:v>
      </x:c>
      <x:c r="L2083" s="15" t="n">
        <x:v>11</x:v>
      </x:c>
      <x:c r="M2083" s="13" t="n">
        <x:f>J2083+(K2083+L2083)/1440</x:f>
        <x:v>46307.91111111111</x:v>
      </x:c>
      <x:c r="N2083" s="13" t="n">
        <x:f>VLOOKUP(C2083,'MES orders'!$A$8:$H$127,5,FALSE)</x:f>
        <x:v>46308.666666666664</x:v>
      </x:c>
      <x:c r="O2083" s="16" t="n">
        <x:f>MAX(0,(M2083-N2083)*24)</x:f>
        <x:v>0</x:v>
      </x:c>
      <x:c r="P2083" s="9" t="str">
        <x:v>No</x:v>
      </x:c>
      <x:c r="Q2083" s="15" t="n">
        <x:v>16</x:v>
      </x:c>
      <x:c r="R2083" s="13" t="n">
        <x:f>J2083+Q2083/1440</x:f>
        <x:v>46307.91111111111</x:v>
      </x:c>
      <x:c r="S2083" s="2" t="str">
        <x:f>VLOOKUP(C2083,'MES orders'!$A$8:$H$127,6,FALSE)</x:f>
        <x:v>High</x:v>
      </x:c>
      <x:c r="T2083" s="9" t="str"/>
    </x:row>
    <x:row r="2084" ht="22" customHeight="1">
      <x:c r="A2084" s="2" t="str">
        <x:v>L00023-050</x:v>
      </x:c>
      <x:c r="B2084" s="2" t="str">
        <x:v>L00023</x:v>
      </x:c>
      <x:c r="C2084" s="2" t="str">
        <x:v>SO-26005</x:v>
      </x:c>
      <x:c r="D2084" s="2" t="str">
        <x:v>R-L-AL</x:v>
      </x:c>
      <x:c r="E2084" s="14" t="n">
        <x:v>10</x:v>
      </x:c>
      <x:c r="F2084" s="2" t="str">
        <x:v>Valve adjustment</x:v>
      </x:c>
      <x:c r="G2084" s="9" t="str">
        <x:v>AS-01</x:v>
      </x:c>
      <x:c r="H2084" s="15" t="n">
        <x:v>169</x:v>
      </x:c>
      <x:c r="I2084" s="9" t="str">
        <x:v>P05</x:v>
      </x:c>
      <x:c r="J2084" s="11" t="n">
        <x:v>46308.25</x:v>
      </x:c>
      <x:c r="K2084" s="15" t="n">
        <x:v>6</x:v>
      </x:c>
      <x:c r="L2084" s="15" t="n">
        <x:v>15</x:v>
      </x:c>
      <x:c r="M2084" s="13" t="n">
        <x:f>J2084+(K2084+L2084)/1440</x:f>
        <x:v>46308.26458333333</x:v>
      </x:c>
      <x:c r="N2084" s="13" t="n">
        <x:f>VLOOKUP(C2084,'MES orders'!$A$8:$H$127,5,FALSE)</x:f>
        <x:v>46308.666666666664</x:v>
      </x:c>
      <x:c r="O2084" s="16" t="n">
        <x:f>MAX(0,(M2084-N2084)*24)</x:f>
        <x:v>0</x:v>
      </x:c>
      <x:c r="P2084" s="9" t="str">
        <x:v>No</x:v>
      </x:c>
      <x:c r="Q2084" s="15" t="n">
        <x:v>21</x:v>
      </x:c>
      <x:c r="R2084" s="13" t="n">
        <x:f>J2084+Q2084/1440</x:f>
        <x:v>46308.26458333333</x:v>
      </x:c>
      <x:c r="S2084" s="2" t="str">
        <x:f>VLOOKUP(C2084,'MES orders'!$A$8:$H$127,6,FALSE)</x:f>
        <x:v>Normal</x:v>
      </x:c>
      <x:c r="T2084" s="9" t="str"/>
    </x:row>
    <x:row r="2085" ht="22" customHeight="1">
      <x:c r="A2085" s="2" t="str">
        <x:v>L00021-040</x:v>
      </x:c>
      <x:c r="B2085" s="2" t="str">
        <x:v>L00021</x:v>
      </x:c>
      <x:c r="C2085" s="2" t="str">
        <x:v>SO-26005</x:v>
      </x:c>
      <x:c r="D2085" s="2" t="str">
        <x:v>R-L-AL</x:v>
      </x:c>
      <x:c r="E2085" s="14" t="n">
        <x:v>10</x:v>
      </x:c>
      <x:c r="F2085" s="2" t="str">
        <x:v>Mechanical assembly</x:v>
      </x:c>
      <x:c r="G2085" s="9" t="str">
        <x:v>AS-02</x:v>
      </x:c>
      <x:c r="H2085" s="15" t="n">
        <x:v>136</x:v>
      </x:c>
      <x:c r="I2085" s="9" t="str">
        <x:v>P04</x:v>
      </x:c>
      <x:c r="J2085" s="11" t="n">
        <x:v>46308.25</x:v>
      </x:c>
      <x:c r="K2085" s="15" t="n">
        <x:v>8</x:v>
      </x:c>
      <x:c r="L2085" s="15" t="n">
        <x:v>24</x:v>
      </x:c>
      <x:c r="M2085" s="13" t="n">
        <x:f>J2085+(K2085+L2085)/1440</x:f>
        <x:v>46308.27222222222</x:v>
      </x:c>
      <x:c r="N2085" s="13" t="n">
        <x:f>VLOOKUP(C2085,'MES orders'!$A$8:$H$127,5,FALSE)</x:f>
        <x:v>46308.666666666664</x:v>
      </x:c>
      <x:c r="O2085" s="16" t="n">
        <x:f>MAX(0,(M2085-N2085)*24)</x:f>
        <x:v>0</x:v>
      </x:c>
      <x:c r="P2085" s="9" t="str">
        <x:v>No</x:v>
      </x:c>
      <x:c r="Q2085" s="15" t="n">
        <x:v>32</x:v>
      </x:c>
      <x:c r="R2085" s="13" t="n">
        <x:f>J2085+Q2085/1440</x:f>
        <x:v>46308.27222222222</x:v>
      </x:c>
      <x:c r="S2085" s="2" t="str">
        <x:f>VLOOKUP(C2085,'MES orders'!$A$8:$H$127,6,FALSE)</x:f>
        <x:v>Normal</x:v>
      </x:c>
      <x:c r="T2085" s="9" t="str"/>
    </x:row>
    <x:row r="2086" ht="22" customHeight="1">
      <x:c r="A2086" s="2" t="str">
        <x:v>L00024-050</x:v>
      </x:c>
      <x:c r="B2086" s="2" t="str">
        <x:v>L00024</x:v>
      </x:c>
      <x:c r="C2086" s="2" t="str">
        <x:v>SO-26005</x:v>
      </x:c>
      <x:c r="D2086" s="2" t="str">
        <x:v>R-L-AL</x:v>
      </x:c>
      <x:c r="E2086" s="14" t="n">
        <x:v>10</x:v>
      </x:c>
      <x:c r="F2086" s="2" t="str">
        <x:v>Valve adjustment</x:v>
      </x:c>
      <x:c r="G2086" s="9" t="str">
        <x:v>AS-03</x:v>
      </x:c>
      <x:c r="H2086" s="15" t="n">
        <x:v>110</x:v>
      </x:c>
      <x:c r="I2086" s="9" t="str">
        <x:v>P06</x:v>
      </x:c>
      <x:c r="J2086" s="11" t="n">
        <x:v>46308.25</x:v>
      </x:c>
      <x:c r="K2086" s="15" t="n">
        <x:v>6</x:v>
      </x:c>
      <x:c r="L2086" s="15" t="n">
        <x:v>15</x:v>
      </x:c>
      <x:c r="M2086" s="13" t="n">
        <x:f>J2086+(K2086+L2086)/1440</x:f>
        <x:v>46308.26458333333</x:v>
      </x:c>
      <x:c r="N2086" s="13" t="n">
        <x:f>VLOOKUP(C2086,'MES orders'!$A$8:$H$127,5,FALSE)</x:f>
        <x:v>46308.666666666664</x:v>
      </x:c>
      <x:c r="O2086" s="16" t="n">
        <x:f>MAX(0,(M2086-N2086)*24)</x:f>
        <x:v>0</x:v>
      </x:c>
      <x:c r="P2086" s="9" t="str">
        <x:v>No</x:v>
      </x:c>
      <x:c r="Q2086" s="15" t="n">
        <x:v>21</x:v>
      </x:c>
      <x:c r="R2086" s="13" t="n">
        <x:f>J2086+Q2086/1440</x:f>
        <x:v>46308.26458333333</x:v>
      </x:c>
      <x:c r="S2086" s="2" t="str">
        <x:f>VLOOKUP(C2086,'MES orders'!$A$8:$H$127,6,FALSE)</x:f>
        <x:v>Normal</x:v>
      </x:c>
      <x:c r="T2086" s="9" t="str"/>
    </x:row>
    <x:row r="2087" ht="22" customHeight="1">
      <x:c r="A2087" s="2" t="str">
        <x:v>L00141-060</x:v>
      </x:c>
      <x:c r="B2087" s="2" t="str">
        <x:v>L00141</x:v>
      </x:c>
      <x:c r="C2087" s="2" t="str">
        <x:v>SO-26029</x:v>
      </x:c>
      <x:c r="D2087" s="2" t="str">
        <x:v>S-L-AL</x:v>
      </x:c>
      <x:c r="E2087" s="14" t="n">
        <x:v>10</x:v>
      </x:c>
      <x:c r="F2087" s="2" t="str">
        <x:v>Sensor calibration</x:v>
      </x:c>
      <x:c r="G2087" s="9" t="str">
        <x:v>CAL-01</x:v>
      </x:c>
      <x:c r="H2087" s="15" t="n">
        <x:v>112</x:v>
      </x:c>
      <x:c r="I2087" s="9" t="str">
        <x:v>P09</x:v>
      </x:c>
      <x:c r="J2087" s="11" t="n">
        <x:v>46308.25</x:v>
      </x:c>
      <x:c r="K2087" s="15" t="n">
        <x:v>10</x:v>
      </x:c>
      <x:c r="L2087" s="15" t="n">
        <x:v>18</x:v>
      </x:c>
      <x:c r="M2087" s="13" t="n">
        <x:f>J2087+(K2087+L2087)/1440</x:f>
        <x:v>46308.26944444444</x:v>
      </x:c>
      <x:c r="N2087" s="13" t="n">
        <x:f>VLOOKUP(C2087,'MES orders'!$A$8:$H$127,5,FALSE)</x:f>
        <x:v>46308.666666666664</x:v>
      </x:c>
      <x:c r="O2087" s="16" t="n">
        <x:f>MAX(0,(M2087-N2087)*24)</x:f>
        <x:v>0</x:v>
      </x:c>
      <x:c r="P2087" s="9" t="str">
        <x:v>No</x:v>
      </x:c>
      <x:c r="Q2087" s="15" t="n">
        <x:v>28</x:v>
      </x:c>
      <x:c r="R2087" s="13" t="n">
        <x:f>J2087+Q2087/1440</x:f>
        <x:v>46308.26944444444</x:v>
      </x:c>
      <x:c r="S2087" s="2" t="str">
        <x:f>VLOOKUP(C2087,'MES orders'!$A$8:$H$127,6,FALSE)</x:f>
        <x:v>High</x:v>
      </x:c>
      <x:c r="T2087" s="9" t="str"/>
    </x:row>
    <x:row r="2088" ht="22" customHeight="1">
      <x:c r="A2088" s="2" t="str">
        <x:v>L00105-010</x:v>
      </x:c>
      <x:c r="B2088" s="2" t="str">
        <x:v>L00105</x:v>
      </x:c>
      <x:c r="C2088" s="2" t="str">
        <x:v>SO-26021</x:v>
      </x:c>
      <x:c r="D2088" s="2" t="str">
        <x:v>S-S-AL</x:v>
      </x:c>
      <x:c r="E2088" s="14" t="n">
        <x:v>10</x:v>
      </x:c>
      <x:c r="F2088" s="2" t="str">
        <x:v>CNC machining</x:v>
      </x:c>
      <x:c r="G2088" s="9" t="str">
        <x:v>CNC-01</x:v>
      </x:c>
      <x:c r="H2088" s="15" t="n">
        <x:v>58</x:v>
      </x:c>
      <x:c r="I2088" s="9" t="str">
        <x:v>P01</x:v>
      </x:c>
      <x:c r="J2088" s="11" t="n">
        <x:v>46308.25</x:v>
      </x:c>
      <x:c r="K2088" s="15" t="n">
        <x:v>18</x:v>
      </x:c>
      <x:c r="L2088" s="15" t="n">
        <x:v>24</x:v>
      </x:c>
      <x:c r="M2088" s="13" t="n">
        <x:f>J2088+(K2088+L2088)/1440</x:f>
        <x:v>46308.27916666667</x:v>
      </x:c>
      <x:c r="N2088" s="13" t="n">
        <x:f>VLOOKUP(C2088,'MES orders'!$A$8:$H$127,5,FALSE)</x:f>
        <x:v>46308.666666666664</x:v>
      </x:c>
      <x:c r="O2088" s="16" t="n">
        <x:f>MAX(0,(M2088-N2088)*24)</x:f>
        <x:v>0</x:v>
      </x:c>
      <x:c r="P2088" s="9" t="str">
        <x:v>No</x:v>
      </x:c>
      <x:c r="Q2088" s="15" t="n">
        <x:v>18</x:v>
      </x:c>
      <x:c r="R2088" s="13" t="n">
        <x:f>J2088+Q2088/1440</x:f>
        <x:v>46308.2625</x:v>
      </x:c>
      <x:c r="S2088" s="2" t="str">
        <x:f>VLOOKUP(C2088,'MES orders'!$A$8:$H$127,6,FALSE)</x:f>
        <x:v>Normal</x:v>
      </x:c>
      <x:c r="T2088" s="9" t="str"/>
    </x:row>
    <x:row r="2089" ht="22" customHeight="1">
      <x:c r="A2089" s="2" t="str">
        <x:v>L00181-010</x:v>
      </x:c>
      <x:c r="B2089" s="2" t="str">
        <x:v>L00181</x:v>
      </x:c>
      <x:c r="C2089" s="2" t="str">
        <x:v>SO-26037</x:v>
      </x:c>
      <x:c r="D2089" s="2" t="str">
        <x:v>D-C-AL</x:v>
      </x:c>
      <x:c r="E2089" s="14" t="n">
        <x:v>5</x:v>
      </x:c>
      <x:c r="F2089" s="2" t="str">
        <x:v>CNC machining</x:v>
      </x:c>
      <x:c r="G2089" s="9" t="str">
        <x:v>CNC-02</x:v>
      </x:c>
      <x:c r="H2089" s="15" t="n">
        <x:v>40</x:v>
      </x:c>
      <x:c r="I2089" s="9" t="str">
        <x:v>P02</x:v>
      </x:c>
      <x:c r="J2089" s="11" t="n">
        <x:v>46308.25</x:v>
      </x:c>
      <x:c r="K2089" s="15" t="n">
        <x:v>18</x:v>
      </x:c>
      <x:c r="L2089" s="15" t="n">
        <x:v>10</x:v>
      </x:c>
      <x:c r="M2089" s="13" t="n">
        <x:f>J2089+(K2089+L2089)/1440</x:f>
        <x:v>46308.26944444444</x:v>
      </x:c>
      <x:c r="N2089" s="13" t="n">
        <x:f>VLOOKUP(C2089,'MES orders'!$A$8:$H$127,5,FALSE)</x:f>
        <x:v>46308.666666666664</x:v>
      </x:c>
      <x:c r="O2089" s="16" t="n">
        <x:f>MAX(0,(M2089-N2089)*24)</x:f>
        <x:v>0</x:v>
      </x:c>
      <x:c r="P2089" s="9" t="str">
        <x:v>No</x:v>
      </x:c>
      <x:c r="Q2089" s="15" t="n">
        <x:v>18</x:v>
      </x:c>
      <x:c r="R2089" s="13" t="n">
        <x:f>J2089+Q2089/1440</x:f>
        <x:v>46308.2625</x:v>
      </x:c>
      <x:c r="S2089" s="2" t="str">
        <x:f>VLOOKUP(C2089,'MES orders'!$A$8:$H$127,6,FALSE)</x:f>
        <x:v>Normal</x:v>
      </x:c>
      <x:c r="T2089" s="9" t="str"/>
    </x:row>
    <x:row r="2090" ht="22" customHeight="1">
      <x:c r="A2090" s="2" t="str">
        <x:v>L00182-010</x:v>
      </x:c>
      <x:c r="B2090" s="2" t="str">
        <x:v>L00182</x:v>
      </x:c>
      <x:c r="C2090" s="2" t="str">
        <x:v>SO-26037</x:v>
      </x:c>
      <x:c r="D2090" s="2" t="str">
        <x:v>D-C-AL</x:v>
      </x:c>
      <x:c r="E2090" s="14" t="n">
        <x:v>5</x:v>
      </x:c>
      <x:c r="F2090" s="2" t="str">
        <x:v>CNC machining</x:v>
      </x:c>
      <x:c r="G2090" s="9" t="str">
        <x:v>CNC-03</x:v>
      </x:c>
      <x:c r="H2090" s="15" t="n">
        <x:v>66</x:v>
      </x:c>
      <x:c r="I2090" s="9" t="str">
        <x:v>P03</x:v>
      </x:c>
      <x:c r="J2090" s="11" t="n">
        <x:v>46308.25</x:v>
      </x:c>
      <x:c r="K2090" s="15" t="n">
        <x:v>18</x:v>
      </x:c>
      <x:c r="L2090" s="15" t="n">
        <x:v>10</x:v>
      </x:c>
      <x:c r="M2090" s="13" t="n">
        <x:f>J2090+(K2090+L2090)/1440</x:f>
        <x:v>46308.26944444444</x:v>
      </x:c>
      <x:c r="N2090" s="13" t="n">
        <x:f>VLOOKUP(C2090,'MES orders'!$A$8:$H$127,5,FALSE)</x:f>
        <x:v>46308.666666666664</x:v>
      </x:c>
      <x:c r="O2090" s="16" t="n">
        <x:f>MAX(0,(M2090-N2090)*24)</x:f>
        <x:v>0</x:v>
      </x:c>
      <x:c r="P2090" s="9" t="str">
        <x:v>No</x:v>
      </x:c>
      <x:c r="Q2090" s="15" t="n">
        <x:v>18</x:v>
      </x:c>
      <x:c r="R2090" s="13" t="n">
        <x:f>J2090+Q2090/1440</x:f>
        <x:v>46308.2625</x:v>
      </x:c>
      <x:c r="S2090" s="2" t="str">
        <x:f>VLOOKUP(C2090,'MES orders'!$A$8:$H$127,6,FALSE)</x:f>
        <x:v>Normal</x:v>
      </x:c>
      <x:c r="T2090" s="9" t="str"/>
    </x:row>
    <x:row r="2091" ht="22" customHeight="1">
      <x:c r="A2091" s="2" t="str">
        <x:v>L00103-050</x:v>
      </x:c>
      <x:c r="B2091" s="2" t="str">
        <x:v>L00103</x:v>
      </x:c>
      <x:c r="C2091" s="2" t="str">
        <x:v>SO-26021</x:v>
      </x:c>
      <x:c r="D2091" s="2" t="str">
        <x:v>S-S-AL</x:v>
      </x:c>
      <x:c r="E2091" s="14" t="n">
        <x:v>10</x:v>
      </x:c>
      <x:c r="F2091" s="2" t="str">
        <x:v>Sensor installation</x:v>
      </x:c>
      <x:c r="G2091" s="9" t="str">
        <x:v>EL-01</x:v>
      </x:c>
      <x:c r="H2091" s="15" t="n">
        <x:v>74</x:v>
      </x:c>
      <x:c r="I2091" s="9" t="str">
        <x:v>P07</x:v>
      </x:c>
      <x:c r="J2091" s="11" t="n">
        <x:v>46308.25</x:v>
      </x:c>
      <x:c r="K2091" s="15" t="n">
        <x:v>8</x:v>
      </x:c>
      <x:c r="L2091" s="15" t="n">
        <x:v>12</x:v>
      </x:c>
      <x:c r="M2091" s="13" t="n">
        <x:f>J2091+(K2091+L2091)/1440</x:f>
        <x:v>46308.26388888889</x:v>
      </x:c>
      <x:c r="N2091" s="13" t="n">
        <x:f>VLOOKUP(C2091,'MES orders'!$A$8:$H$127,5,FALSE)</x:f>
        <x:v>46308.666666666664</x:v>
      </x:c>
      <x:c r="O2091" s="16" t="n">
        <x:f>MAX(0,(M2091-N2091)*24)</x:f>
        <x:v>0</x:v>
      </x:c>
      <x:c r="P2091" s="9" t="str">
        <x:v>No</x:v>
      </x:c>
      <x:c r="Q2091" s="15" t="n">
        <x:v>20</x:v>
      </x:c>
      <x:c r="R2091" s="13" t="n">
        <x:f>J2091+Q2091/1440</x:f>
        <x:v>46308.26388888889</x:v>
      </x:c>
      <x:c r="S2091" s="2" t="str">
        <x:f>VLOOKUP(C2091,'MES orders'!$A$8:$H$127,6,FALSE)</x:f>
        <x:v>Normal</x:v>
      </x:c>
      <x:c r="T2091" s="9" t="str"/>
    </x:row>
    <x:row r="2092" ht="22" customHeight="1">
      <x:c r="A2092" s="2" t="str">
        <x:v>L00539-060</x:v>
      </x:c>
      <x:c r="B2092" s="2" t="str">
        <x:v>L00539</x:v>
      </x:c>
      <x:c r="C2092" s="2" t="str">
        <x:v>SO-26108</x:v>
      </x:c>
      <x:c r="D2092" s="2" t="str">
        <x:v>R-L-SS</x:v>
      </x:c>
      <x:c r="E2092" s="14" t="n">
        <x:v>20</x:v>
      </x:c>
      <x:c r="F2092" s="2" t="str">
        <x:v>Final leak / function test</x:v>
      </x:c>
      <x:c r="G2092" s="9" t="str">
        <x:v>QA-02</x:v>
      </x:c>
      <x:c r="H2092" s="15" t="n">
        <x:v>150</x:v>
      </x:c>
      <x:c r="I2092" s="9" t="str">
        <x:v>P11</x:v>
      </x:c>
      <x:c r="J2092" s="11" t="n">
        <x:v>46308.25</x:v>
      </x:c>
      <x:c r="K2092" s="15" t="n">
        <x:v>10</x:v>
      </x:c>
      <x:c r="L2092" s="15" t="n">
        <x:v>24</x:v>
      </x:c>
      <x:c r="M2092" s="13" t="n">
        <x:f>J2092+(K2092+L2092)/1440</x:f>
        <x:v>46308.27361111111</x:v>
      </x:c>
      <x:c r="N2092" s="13" t="n">
        <x:f>VLOOKUP(C2092,'MES orders'!$A$8:$H$127,5,FALSE)</x:f>
        <x:v>46307.666666666664</x:v>
      </x:c>
      <x:c r="O2092" s="16" t="n">
        <x:f>MAX(0,(M2092-N2092)*24)</x:f>
        <x:v>14.566666666651145</x:v>
      </x:c>
      <x:c r="P2092" s="9" t="str">
        <x:v>No</x:v>
      </x:c>
      <x:c r="Q2092" s="15" t="n">
        <x:v>34</x:v>
      </x:c>
      <x:c r="R2092" s="13" t="n">
        <x:f>J2092+Q2092/1440</x:f>
        <x:v>46308.27361111111</x:v>
      </x:c>
      <x:c r="S2092" s="2" t="str">
        <x:f>VLOOKUP(C2092,'MES orders'!$A$8:$H$127,6,FALSE)</x:f>
        <x:v>Normal</x:v>
      </x:c>
      <x:c r="T2092" s="9" t="str"/>
    </x:row>
    <x:row r="2093" ht="22" customHeight="1">
      <x:c r="A2093" s="2" t="str">
        <x:v>L00540-060</x:v>
      </x:c>
      <x:c r="B2093" s="2" t="str">
        <x:v>L00540</x:v>
      </x:c>
      <x:c r="C2093" s="2" t="str">
        <x:v>SO-26108</x:v>
      </x:c>
      <x:c r="D2093" s="2" t="str">
        <x:v>R-L-SS</x:v>
      </x:c>
      <x:c r="E2093" s="14" t="n">
        <x:v>20</x:v>
      </x:c>
      <x:c r="F2093" s="2" t="str">
        <x:v>Final leak / function test</x:v>
      </x:c>
      <x:c r="G2093" s="9" t="str">
        <x:v>QA-03</x:v>
      </x:c>
      <x:c r="H2093" s="15" t="n">
        <x:v>93</x:v>
      </x:c>
      <x:c r="I2093" s="9" t="str">
        <x:v>P12</x:v>
      </x:c>
      <x:c r="J2093" s="11" t="n">
        <x:v>46308.25</x:v>
      </x:c>
      <x:c r="K2093" s="15" t="n">
        <x:v>10</x:v>
      </x:c>
      <x:c r="L2093" s="15" t="n">
        <x:v>24</x:v>
      </x:c>
      <x:c r="M2093" s="13" t="n">
        <x:f>J2093+(K2093+L2093)/1440</x:f>
        <x:v>46308.27361111111</x:v>
      </x:c>
      <x:c r="N2093" s="13" t="n">
        <x:f>VLOOKUP(C2093,'MES orders'!$A$8:$H$127,5,FALSE)</x:f>
        <x:v>46307.666666666664</x:v>
      </x:c>
      <x:c r="O2093" s="16" t="n">
        <x:f>MAX(0,(M2093-N2093)*24)</x:f>
        <x:v>14.566666666651145</x:v>
      </x:c>
      <x:c r="P2093" s="9" t="str">
        <x:v>No</x:v>
      </x:c>
      <x:c r="Q2093" s="15" t="n">
        <x:v>34</x:v>
      </x:c>
      <x:c r="R2093" s="13" t="n">
        <x:f>J2093+Q2093/1440</x:f>
        <x:v>46308.27361111111</x:v>
      </x:c>
      <x:c r="S2093" s="2" t="str">
        <x:f>VLOOKUP(C2093,'MES orders'!$A$8:$H$127,6,FALSE)</x:f>
        <x:v>Normal</x:v>
      </x:c>
      <x:c r="T2093" s="9" t="str"/>
    </x:row>
    <x:row r="2094" ht="22" customHeight="1">
      <x:c r="A2094" s="2" t="str">
        <x:v>L00183-010</x:v>
      </x:c>
      <x:c r="B2094" s="2" t="str">
        <x:v>L00183</x:v>
      </x:c>
      <x:c r="C2094" s="2" t="str">
        <x:v>SO-26037</x:v>
      </x:c>
      <x:c r="D2094" s="2" t="str">
        <x:v>D-C-AL</x:v>
      </x:c>
      <x:c r="E2094" s="14" t="n">
        <x:v>5</x:v>
      </x:c>
      <x:c r="F2094" s="2" t="str">
        <x:v>CNC machining</x:v>
      </x:c>
      <x:c r="G2094" s="9" t="str">
        <x:v>CNC-04</x:v>
      </x:c>
      <x:c r="H2094" s="15" t="n">
        <x:v>63</x:v>
      </x:c>
      <x:c r="I2094" s="9" t="str">
        <x:v>P01</x:v>
      </x:c>
      <x:c r="J2094" s="11" t="n">
        <x:v>46308.2625</x:v>
      </x:c>
      <x:c r="K2094" s="15" t="n">
        <x:v>18</x:v>
      </x:c>
      <x:c r="L2094" s="15" t="n">
        <x:v>10</x:v>
      </x:c>
      <x:c r="M2094" s="13" t="n">
        <x:f>J2094+(K2094+L2094)/1440</x:f>
        <x:v>46308.28194444444</x:v>
      </x:c>
      <x:c r="N2094" s="13" t="n">
        <x:f>VLOOKUP(C2094,'MES orders'!$A$8:$H$127,5,FALSE)</x:f>
        <x:v>46308.666666666664</x:v>
      </x:c>
      <x:c r="O2094" s="16" t="n">
        <x:f>MAX(0,(M2094-N2094)*24)</x:f>
        <x:v>0</x:v>
      </x:c>
      <x:c r="P2094" s="9" t="str">
        <x:v>No</x:v>
      </x:c>
      <x:c r="Q2094" s="15" t="n">
        <x:v>18</x:v>
      </x:c>
      <x:c r="R2094" s="13" t="n">
        <x:f>J2094+Q2094/1440</x:f>
        <x:v>46308.274999999994</x:v>
      </x:c>
      <x:c r="S2094" s="2" t="str">
        <x:f>VLOOKUP(C2094,'MES orders'!$A$8:$H$127,6,FALSE)</x:f>
        <x:v>Normal</x:v>
      </x:c>
      <x:c r="T2094" s="9" t="str"/>
    </x:row>
    <x:row r="2095" ht="22" customHeight="1">
      <x:c r="A2095" s="2" t="str">
        <x:v>L00184-010</x:v>
      </x:c>
      <x:c r="B2095" s="2" t="str">
        <x:v>L00184</x:v>
      </x:c>
      <x:c r="C2095" s="2" t="str">
        <x:v>SO-26037</x:v>
      </x:c>
      <x:c r="D2095" s="2" t="str">
        <x:v>D-C-AL</x:v>
      </x:c>
      <x:c r="E2095" s="14" t="n">
        <x:v>5</x:v>
      </x:c>
      <x:c r="F2095" s="2" t="str">
        <x:v>CNC machining</x:v>
      </x:c>
      <x:c r="G2095" s="9" t="str">
        <x:v>CNC-05</x:v>
      </x:c>
      <x:c r="H2095" s="15" t="n">
        <x:v>56</x:v>
      </x:c>
      <x:c r="I2095" s="9" t="str">
        <x:v>P02</x:v>
      </x:c>
      <x:c r="J2095" s="11" t="n">
        <x:v>46308.2625</x:v>
      </x:c>
      <x:c r="K2095" s="15" t="n">
        <x:v>18</x:v>
      </x:c>
      <x:c r="L2095" s="15" t="n">
        <x:v>10</x:v>
      </x:c>
      <x:c r="M2095" s="13" t="n">
        <x:f>J2095+(K2095+L2095)/1440</x:f>
        <x:v>46308.28194444444</x:v>
      </x:c>
      <x:c r="N2095" s="13" t="n">
        <x:f>VLOOKUP(C2095,'MES orders'!$A$8:$H$127,5,FALSE)</x:f>
        <x:v>46308.666666666664</x:v>
      </x:c>
      <x:c r="O2095" s="16" t="n">
        <x:f>MAX(0,(M2095-N2095)*24)</x:f>
        <x:v>0</x:v>
      </x:c>
      <x:c r="P2095" s="9" t="str">
        <x:v>No</x:v>
      </x:c>
      <x:c r="Q2095" s="15" t="n">
        <x:v>18</x:v>
      </x:c>
      <x:c r="R2095" s="13" t="n">
        <x:f>J2095+Q2095/1440</x:f>
        <x:v>46308.274999999994</x:v>
      </x:c>
      <x:c r="S2095" s="2" t="str">
        <x:f>VLOOKUP(C2095,'MES orders'!$A$8:$H$127,6,FALSE)</x:f>
        <x:v>Normal</x:v>
      </x:c>
      <x:c r="T2095" s="9" t="str"/>
    </x:row>
    <x:row r="2096" ht="22" customHeight="1">
      <x:c r="A2096" s="2" t="str">
        <x:v>L00185-010</x:v>
      </x:c>
      <x:c r="B2096" s="2" t="str">
        <x:v>L00185</x:v>
      </x:c>
      <x:c r="C2096" s="2" t="str">
        <x:v>SO-26037</x:v>
      </x:c>
      <x:c r="D2096" s="2" t="str">
        <x:v>D-C-AL</x:v>
      </x:c>
      <x:c r="E2096" s="14" t="n">
        <x:v>5</x:v>
      </x:c>
      <x:c r="F2096" s="2" t="str">
        <x:v>CNC machining</x:v>
      </x:c>
      <x:c r="G2096" s="9" t="str">
        <x:v>CNC-06</x:v>
      </x:c>
      <x:c r="H2096" s="15" t="n">
        <x:v>52</x:v>
      </x:c>
      <x:c r="I2096" s="9" t="str">
        <x:v>P03</x:v>
      </x:c>
      <x:c r="J2096" s="11" t="n">
        <x:v>46308.2625</x:v>
      </x:c>
      <x:c r="K2096" s="15" t="n">
        <x:v>18</x:v>
      </x:c>
      <x:c r="L2096" s="15" t="n">
        <x:v>10</x:v>
      </x:c>
      <x:c r="M2096" s="13" t="n">
        <x:f>J2096+(K2096+L2096)/1440</x:f>
        <x:v>46308.28194444444</x:v>
      </x:c>
      <x:c r="N2096" s="13" t="n">
        <x:f>VLOOKUP(C2096,'MES orders'!$A$8:$H$127,5,FALSE)</x:f>
        <x:v>46308.666666666664</x:v>
      </x:c>
      <x:c r="O2096" s="16" t="n">
        <x:f>MAX(0,(M2096-N2096)*24)</x:f>
        <x:v>0</x:v>
      </x:c>
      <x:c r="P2096" s="9" t="str">
        <x:v>No</x:v>
      </x:c>
      <x:c r="Q2096" s="15" t="n">
        <x:v>18</x:v>
      </x:c>
      <x:c r="R2096" s="13" t="n">
        <x:f>J2096+Q2096/1440</x:f>
        <x:v>46308.274999999994</x:v>
      </x:c>
      <x:c r="S2096" s="2" t="str">
        <x:f>VLOOKUP(C2096,'MES orders'!$A$8:$H$127,6,FALSE)</x:f>
        <x:v>Normal</x:v>
      </x:c>
      <x:c r="T2096" s="9" t="str"/>
    </x:row>
    <x:row r="2097" ht="22" customHeight="1">
      <x:c r="A2097" s="2" t="str">
        <x:v>L00141-070</x:v>
      </x:c>
      <x:c r="B2097" s="2" t="str">
        <x:v>L00141</x:v>
      </x:c>
      <x:c r="C2097" s="2" t="str">
        <x:v>SO-26029</x:v>
      </x:c>
      <x:c r="D2097" s="2" t="str">
        <x:v>S-L-AL</x:v>
      </x:c>
      <x:c r="E2097" s="14" t="n">
        <x:v>10</x:v>
      </x:c>
      <x:c r="F2097" s="2" t="str">
        <x:v>Final assembly</x:v>
      </x:c>
      <x:c r="G2097" s="9" t="str">
        <x:v>AS-01</x:v>
      </x:c>
      <x:c r="H2097" s="15" t="n">
        <x:v>170</x:v>
      </x:c>
      <x:c r="I2097" s="9" t="str">
        <x:v>P05</x:v>
      </x:c>
      <x:c r="J2097" s="11" t="n">
        <x:v>46308.26944444444</x:v>
      </x:c>
      <x:c r="K2097" s="15" t="n">
        <x:v>5</x:v>
      </x:c>
      <x:c r="L2097" s="15" t="n">
        <x:v>11</x:v>
      </x:c>
      <x:c r="M2097" s="13" t="n">
        <x:f>J2097+(K2097+L2097)/1440</x:f>
        <x:v>46308.28055555555</x:v>
      </x:c>
      <x:c r="N2097" s="13" t="n">
        <x:f>VLOOKUP(C2097,'MES orders'!$A$8:$H$127,5,FALSE)</x:f>
        <x:v>46308.666666666664</x:v>
      </x:c>
      <x:c r="O2097" s="16" t="n">
        <x:f>MAX(0,(M2097-N2097)*24)</x:f>
        <x:v>0</x:v>
      </x:c>
      <x:c r="P2097" s="9" t="str">
        <x:v>No</x:v>
      </x:c>
      <x:c r="Q2097" s="15" t="n">
        <x:v>16</x:v>
      </x:c>
      <x:c r="R2097" s="13" t="n">
        <x:f>J2097+Q2097/1440</x:f>
        <x:v>46308.28055555555</x:v>
      </x:c>
      <x:c r="S2097" s="2" t="str">
        <x:f>VLOOKUP(C2097,'MES orders'!$A$8:$H$127,6,FALSE)</x:f>
        <x:v>High</x:v>
      </x:c>
      <x:c r="T2097" s="9" t="str"/>
    </x:row>
    <x:row r="2098" ht="22" customHeight="1">
      <x:c r="A2098" s="2" t="str">
        <x:v>L00103-060</x:v>
      </x:c>
      <x:c r="B2098" s="2" t="str">
        <x:v>L00103</x:v>
      </x:c>
      <x:c r="C2098" s="2" t="str">
        <x:v>SO-26021</x:v>
      </x:c>
      <x:c r="D2098" s="2" t="str">
        <x:v>S-S-AL</x:v>
      </x:c>
      <x:c r="E2098" s="14" t="n">
        <x:v>10</x:v>
      </x:c>
      <x:c r="F2098" s="2" t="str">
        <x:v>Sensor calibration</x:v>
      </x:c>
      <x:c r="G2098" s="9" t="str">
        <x:v>CAL-01</x:v>
      </x:c>
      <x:c r="H2098" s="15" t="n">
        <x:v>113</x:v>
      </x:c>
      <x:c r="I2098" s="9" t="str">
        <x:v>P09</x:v>
      </x:c>
      <x:c r="J2098" s="11" t="n">
        <x:v>46308.26944444444</x:v>
      </x:c>
      <x:c r="K2098" s="15" t="n">
        <x:v>10</x:v>
      </x:c>
      <x:c r="L2098" s="15" t="n">
        <x:v>13</x:v>
      </x:c>
      <x:c r="M2098" s="13" t="n">
        <x:f>J2098+(K2098+L2098)/1440</x:f>
        <x:v>46308.285416666666</x:v>
      </x:c>
      <x:c r="N2098" s="13" t="n">
        <x:f>VLOOKUP(C2098,'MES orders'!$A$8:$H$127,5,FALSE)</x:f>
        <x:v>46308.666666666664</x:v>
      </x:c>
      <x:c r="O2098" s="16" t="n">
        <x:f>MAX(0,(M2098-N2098)*24)</x:f>
        <x:v>0</x:v>
      </x:c>
      <x:c r="P2098" s="9" t="str">
        <x:v>No</x:v>
      </x:c>
      <x:c r="Q2098" s="15" t="n">
        <x:v>23</x:v>
      </x:c>
      <x:c r="R2098" s="13" t="n">
        <x:f>J2098+Q2098/1440</x:f>
        <x:v>46308.285416666666</x:v>
      </x:c>
      <x:c r="S2098" s="2" t="str">
        <x:f>VLOOKUP(C2098,'MES orders'!$A$8:$H$127,6,FALSE)</x:f>
        <x:v>Normal</x:v>
      </x:c>
      <x:c r="T2098" s="9" t="str"/>
    </x:row>
    <x:row r="2099" ht="22" customHeight="1">
      <x:c r="A2099" s="2" t="str">
        <x:v>L00021-050</x:v>
      </x:c>
      <x:c r="B2099" s="2" t="str">
        <x:v>L00021</x:v>
      </x:c>
      <x:c r="C2099" s="2" t="str">
        <x:v>SO-26005</x:v>
      </x:c>
      <x:c r="D2099" s="2" t="str">
        <x:v>R-L-AL</x:v>
      </x:c>
      <x:c r="E2099" s="14" t="n">
        <x:v>10</x:v>
      </x:c>
      <x:c r="F2099" s="2" t="str">
        <x:v>Valve adjustment</x:v>
      </x:c>
      <x:c r="G2099" s="9" t="str">
        <x:v>AS-02</x:v>
      </x:c>
      <x:c r="H2099" s="15" t="n">
        <x:v>137</x:v>
      </x:c>
      <x:c r="I2099" s="9" t="str">
        <x:v>P06</x:v>
      </x:c>
      <x:c r="J2099" s="11" t="n">
        <x:v>46308.27222222222</x:v>
      </x:c>
      <x:c r="K2099" s="15" t="n">
        <x:v>6</x:v>
      </x:c>
      <x:c r="L2099" s="15" t="n">
        <x:v>15</x:v>
      </x:c>
      <x:c r="M2099" s="13" t="n">
        <x:f>J2099+(K2099+L2099)/1440</x:f>
        <x:v>46308.28680555555</x:v>
      </x:c>
      <x:c r="N2099" s="13" t="n">
        <x:f>VLOOKUP(C2099,'MES orders'!$A$8:$H$127,5,FALSE)</x:f>
        <x:v>46308.666666666664</x:v>
      </x:c>
      <x:c r="O2099" s="16" t="n">
        <x:f>MAX(0,(M2099-N2099)*24)</x:f>
        <x:v>0</x:v>
      </x:c>
      <x:c r="P2099" s="9" t="str">
        <x:v>No</x:v>
      </x:c>
      <x:c r="Q2099" s="15" t="n">
        <x:v>21</x:v>
      </x:c>
      <x:c r="R2099" s="13" t="n">
        <x:f>J2099+Q2099/1440</x:f>
        <x:v>46308.28680555555</x:v>
      </x:c>
      <x:c r="S2099" s="2" t="str">
        <x:f>VLOOKUP(C2099,'MES orders'!$A$8:$H$127,6,FALSE)</x:f>
        <x:v>Normal</x:v>
      </x:c>
      <x:c r="T2099" s="9" t="str"/>
    </x:row>
    <x:row r="2100" ht="22" customHeight="1">
      <x:c r="A2100" s="2" t="str">
        <x:v>L00104-040</x:v>
      </x:c>
      <x:c r="B2100" s="2" t="str">
        <x:v>L00104</x:v>
      </x:c>
      <x:c r="C2100" s="2" t="str">
        <x:v>SO-26021</x:v>
      </x:c>
      <x:c r="D2100" s="2" t="str">
        <x:v>S-S-AL</x:v>
      </x:c>
      <x:c r="E2100" s="14" t="n">
        <x:v>10</x:v>
      </x:c>
      <x:c r="F2100" s="2" t="str">
        <x:v>Mechanical preassembly</x:v>
      </x:c>
      <x:c r="G2100" s="9" t="str">
        <x:v>AS-03</x:v>
      </x:c>
      <x:c r="H2100" s="15" t="n">
        <x:v>111</x:v>
      </x:c>
      <x:c r="I2100" s="9" t="str">
        <x:v>P04</x:v>
      </x:c>
      <x:c r="J2100" s="11" t="n">
        <x:v>46308.27222222222</x:v>
      </x:c>
      <x:c r="K2100" s="15" t="n">
        <x:v>6</x:v>
      </x:c>
      <x:c r="L2100" s="15" t="n">
        <x:v>11</x:v>
      </x:c>
      <x:c r="M2100" s="13" t="n">
        <x:f>J2100+(K2100+L2100)/1440</x:f>
        <x:v>46308.28402777778</x:v>
      </x:c>
      <x:c r="N2100" s="13" t="n">
        <x:f>VLOOKUP(C2100,'MES orders'!$A$8:$H$127,5,FALSE)</x:f>
        <x:v>46308.666666666664</x:v>
      </x:c>
      <x:c r="O2100" s="16" t="n">
        <x:f>MAX(0,(M2100-N2100)*24)</x:f>
        <x:v>0</x:v>
      </x:c>
      <x:c r="P2100" s="9" t="str">
        <x:v>No</x:v>
      </x:c>
      <x:c r="Q2100" s="15" t="n">
        <x:v>17</x:v>
      </x:c>
      <x:c r="R2100" s="13" t="n">
        <x:f>J2100+Q2100/1440</x:f>
        <x:v>46308.28402777778</x:v>
      </x:c>
      <x:c r="S2100" s="2" t="str">
        <x:f>VLOOKUP(C2100,'MES orders'!$A$8:$H$127,6,FALSE)</x:f>
        <x:v>Normal</x:v>
      </x:c>
      <x:c r="T2100" s="9" t="str"/>
    </x:row>
    <x:row r="2101" ht="22" customHeight="1">
      <x:c r="A2101" s="2" t="str">
        <x:v>L00142-080</x:v>
      </x:c>
      <x:c r="B2101" s="2" t="str">
        <x:v>L00142</x:v>
      </x:c>
      <x:c r="C2101" s="2" t="str">
        <x:v>SO-26029</x:v>
      </x:c>
      <x:c r="D2101" s="2" t="str">
        <x:v>S-L-AL</x:v>
      </x:c>
      <x:c r="E2101" s="14" t="n">
        <x:v>10</x:v>
      </x:c>
      <x:c r="F2101" s="2" t="str">
        <x:v>Final leak / function test</x:v>
      </x:c>
      <x:c r="G2101" s="9" t="str">
        <x:v>QA-03</x:v>
      </x:c>
      <x:c r="H2101" s="15" t="n">
        <x:v>94</x:v>
      </x:c>
      <x:c r="I2101" s="9" t="str">
        <x:v>P12</x:v>
      </x:c>
      <x:c r="J2101" s="11" t="n">
        <x:v>46308.27361111111</x:v>
      </x:c>
      <x:c r="K2101" s="15" t="n">
        <x:v>10</x:v>
      </x:c>
      <x:c r="L2101" s="15" t="n">
        <x:v>12</x:v>
      </x:c>
      <x:c r="M2101" s="13" t="n">
        <x:f>J2101+(K2101+L2101)/1440</x:f>
        <x:v>46308.288888888885</x:v>
      </x:c>
      <x:c r="N2101" s="13" t="n">
        <x:f>VLOOKUP(C2101,'MES orders'!$A$8:$H$127,5,FALSE)</x:f>
        <x:v>46308.666666666664</x:v>
      </x:c>
      <x:c r="O2101" s="16" t="n">
        <x:f>MAX(0,(M2101-N2101)*24)</x:f>
        <x:v>0</x:v>
      </x:c>
      <x:c r="P2101" s="9" t="str">
        <x:v>No</x:v>
      </x:c>
      <x:c r="Q2101" s="15" t="n">
        <x:v>22</x:v>
      </x:c>
      <x:c r="R2101" s="13" t="n">
        <x:f>J2101+Q2101/1440</x:f>
        <x:v>46308.288888888885</x:v>
      </x:c>
      <x:c r="S2101" s="2" t="str">
        <x:f>VLOOKUP(C2101,'MES orders'!$A$8:$H$127,6,FALSE)</x:f>
        <x:v>High</x:v>
      </x:c>
      <x:c r="T2101" s="9" t="str"/>
    </x:row>
    <x:row r="2102" ht="22" customHeight="1">
      <x:c r="A2102" s="2" t="str">
        <x:v>L00221-010</x:v>
      </x:c>
      <x:c r="B2102" s="2" t="str">
        <x:v>L00221</x:v>
      </x:c>
      <x:c r="C2102" s="2" t="str">
        <x:v>SO-26045</x:v>
      </x:c>
      <x:c r="D2102" s="2" t="str">
        <x:v>D-S-AL</x:v>
      </x:c>
      <x:c r="E2102" s="14" t="n">
        <x:v>20</x:v>
      </x:c>
      <x:c r="F2102" s="2" t="str">
        <x:v>CNC machining</x:v>
      </x:c>
      <x:c r="G2102" s="9" t="str">
        <x:v>CNC-02</x:v>
      </x:c>
      <x:c r="H2102" s="15" t="n">
        <x:v>41</x:v>
      </x:c>
      <x:c r="I2102" s="9" t="str">
        <x:v>P01</x:v>
      </x:c>
      <x:c r="J2102" s="11" t="n">
        <x:v>46308.275</x:v>
      </x:c>
      <x:c r="K2102" s="15" t="n">
        <x:v>18</x:v>
      </x:c>
      <x:c r="L2102" s="15" t="n">
        <x:v>48</x:v>
      </x:c>
      <x:c r="M2102" s="13" t="n">
        <x:f>J2102+(K2102+L2102)/1440</x:f>
        <x:v>46308.32083333333</x:v>
      </x:c>
      <x:c r="N2102" s="13" t="n">
        <x:f>VLOOKUP(C2102,'MES orders'!$A$8:$H$127,5,FALSE)</x:f>
        <x:v>46308.666666666664</x:v>
      </x:c>
      <x:c r="O2102" s="16" t="n">
        <x:f>MAX(0,(M2102-N2102)*24)</x:f>
        <x:v>0</x:v>
      </x:c>
      <x:c r="P2102" s="9" t="str">
        <x:v>No</x:v>
      </x:c>
      <x:c r="Q2102" s="15" t="n">
        <x:v>18</x:v>
      </x:c>
      <x:c r="R2102" s="13" t="n">
        <x:f>J2102+Q2102/1440</x:f>
        <x:v>46308.2875</x:v>
      </x:c>
      <x:c r="S2102" s="2" t="str">
        <x:f>VLOOKUP(C2102,'MES orders'!$A$8:$H$127,6,FALSE)</x:f>
        <x:v>Normal</x:v>
      </x:c>
      <x:c r="T2102" s="9" t="str"/>
    </x:row>
    <x:row r="2103" ht="22" customHeight="1">
      <x:c r="A2103" s="2" t="str">
        <x:v>L00222-010</x:v>
      </x:c>
      <x:c r="B2103" s="2" t="str">
        <x:v>L00222</x:v>
      </x:c>
      <x:c r="C2103" s="2" t="str">
        <x:v>SO-26045</x:v>
      </x:c>
      <x:c r="D2103" s="2" t="str">
        <x:v>D-S-AL</x:v>
      </x:c>
      <x:c r="E2103" s="14" t="n">
        <x:v>20</x:v>
      </x:c>
      <x:c r="F2103" s="2" t="str">
        <x:v>CNC machining</x:v>
      </x:c>
      <x:c r="G2103" s="9" t="str">
        <x:v>CNC-03</x:v>
      </x:c>
      <x:c r="H2103" s="15" t="n">
        <x:v>67</x:v>
      </x:c>
      <x:c r="I2103" s="9" t="str">
        <x:v>P02</x:v>
      </x:c>
      <x:c r="J2103" s="11" t="n">
        <x:v>46308.275</x:v>
      </x:c>
      <x:c r="K2103" s="15" t="n">
        <x:v>18</x:v>
      </x:c>
      <x:c r="L2103" s="15" t="n">
        <x:v>48</x:v>
      </x:c>
      <x:c r="M2103" s="13" t="n">
        <x:f>J2103+(K2103+L2103)/1440</x:f>
        <x:v>46308.32083333333</x:v>
      </x:c>
      <x:c r="N2103" s="13" t="n">
        <x:f>VLOOKUP(C2103,'MES orders'!$A$8:$H$127,5,FALSE)</x:f>
        <x:v>46308.666666666664</x:v>
      </x:c>
      <x:c r="O2103" s="16" t="n">
        <x:f>MAX(0,(M2103-N2103)*24)</x:f>
        <x:v>0</x:v>
      </x:c>
      <x:c r="P2103" s="9" t="str">
        <x:v>No</x:v>
      </x:c>
      <x:c r="Q2103" s="15" t="n">
        <x:v>18</x:v>
      </x:c>
      <x:c r="R2103" s="13" t="n">
        <x:f>J2103+Q2103/1440</x:f>
        <x:v>46308.2875</x:v>
      </x:c>
      <x:c r="S2103" s="2" t="str">
        <x:f>VLOOKUP(C2103,'MES orders'!$A$8:$H$127,6,FALSE)</x:f>
        <x:v>Normal</x:v>
      </x:c>
      <x:c r="T2103" s="9" t="str"/>
    </x:row>
    <x:row r="2104" ht="22" customHeight="1">
      <x:c r="A2104" s="2" t="str">
        <x:v>L00223-010</x:v>
      </x:c>
      <x:c r="B2104" s="2" t="str">
        <x:v>L00223</x:v>
      </x:c>
      <x:c r="C2104" s="2" t="str">
        <x:v>SO-26045</x:v>
      </x:c>
      <x:c r="D2104" s="2" t="str">
        <x:v>D-S-AL</x:v>
      </x:c>
      <x:c r="E2104" s="14" t="n">
        <x:v>20</x:v>
      </x:c>
      <x:c r="F2104" s="2" t="str">
        <x:v>CNC machining</x:v>
      </x:c>
      <x:c r="G2104" s="9" t="str">
        <x:v>CNC-01</x:v>
      </x:c>
      <x:c r="H2104" s="15" t="n">
        <x:v>59</x:v>
      </x:c>
      <x:c r="I2104" s="9" t="str">
        <x:v>P03</x:v>
      </x:c>
      <x:c r="J2104" s="11" t="n">
        <x:v>46308.27916666667</x:v>
      </x:c>
      <x:c r="K2104" s="15" t="n">
        <x:v>18</x:v>
      </x:c>
      <x:c r="L2104" s="15" t="n">
        <x:v>48</x:v>
      </x:c>
      <x:c r="M2104" s="13" t="n">
        <x:f>J2104+(K2104+L2104)/1440</x:f>
        <x:v>46308.325</x:v>
      </x:c>
      <x:c r="N2104" s="13" t="n">
        <x:f>VLOOKUP(C2104,'MES orders'!$A$8:$H$127,5,FALSE)</x:f>
        <x:v>46308.666666666664</x:v>
      </x:c>
      <x:c r="O2104" s="16" t="n">
        <x:f>MAX(0,(M2104-N2104)*24)</x:f>
        <x:v>0</x:v>
      </x:c>
      <x:c r="P2104" s="9" t="str">
        <x:v>No</x:v>
      </x:c>
      <x:c r="Q2104" s="15" t="n">
        <x:v>18</x:v>
      </x:c>
      <x:c r="R2104" s="13" t="n">
        <x:f>J2104+Q2104/1440</x:f>
        <x:v>46308.291666666664</x:v>
      </x:c>
      <x:c r="S2104" s="2" t="str">
        <x:f>VLOOKUP(C2104,'MES orders'!$A$8:$H$127,6,FALSE)</x:f>
        <x:v>Normal</x:v>
      </x:c>
      <x:c r="T2104" s="9" t="str"/>
    </x:row>
    <x:row r="2105" ht="22" customHeight="1">
      <x:c r="A2105" s="2" t="str">
        <x:v>L00025-050</x:v>
      </x:c>
      <x:c r="B2105" s="2" t="str">
        <x:v>L00025</x:v>
      </x:c>
      <x:c r="C2105" s="2" t="str">
        <x:v>SO-26005</x:v>
      </x:c>
      <x:c r="D2105" s="2" t="str">
        <x:v>R-L-AL</x:v>
      </x:c>
      <x:c r="E2105" s="14" t="n">
        <x:v>10</x:v>
      </x:c>
      <x:c r="F2105" s="2" t="str">
        <x:v>Valve adjustment</x:v>
      </x:c>
      <x:c r="G2105" s="9" t="str">
        <x:v>AS-01</x:v>
      </x:c>
      <x:c r="H2105" s="15" t="n">
        <x:v>171</x:v>
      </x:c>
      <x:c r="I2105" s="9" t="str">
        <x:v>P05</x:v>
      </x:c>
      <x:c r="J2105" s="11" t="n">
        <x:v>46308.28055555555</x:v>
      </x:c>
      <x:c r="K2105" s="15" t="n">
        <x:v>6</x:v>
      </x:c>
      <x:c r="L2105" s="15" t="n">
        <x:v>15</x:v>
      </x:c>
      <x:c r="M2105" s="13" t="n">
        <x:f>J2105+(K2105+L2105)/1440</x:f>
        <x:v>46308.29513888888</x:v>
      </x:c>
      <x:c r="N2105" s="13" t="n">
        <x:f>VLOOKUP(C2105,'MES orders'!$A$8:$H$127,5,FALSE)</x:f>
        <x:v>46308.666666666664</x:v>
      </x:c>
      <x:c r="O2105" s="16" t="n">
        <x:f>MAX(0,(M2105-N2105)*24)</x:f>
        <x:v>0</x:v>
      </x:c>
      <x:c r="P2105" s="9" t="str">
        <x:v>No</x:v>
      </x:c>
      <x:c r="Q2105" s="15" t="n">
        <x:v>21</x:v>
      </x:c>
      <x:c r="R2105" s="13" t="n">
        <x:f>J2105+Q2105/1440</x:f>
        <x:v>46308.29513888888</x:v>
      </x:c>
      <x:c r="S2105" s="2" t="str">
        <x:f>VLOOKUP(C2105,'MES orders'!$A$8:$H$127,6,FALSE)</x:f>
        <x:v>Normal</x:v>
      </x:c>
      <x:c r="T2105" s="9" t="str"/>
    </x:row>
    <x:row r="2106" ht="22" customHeight="1">
      <x:c r="A2106" s="2" t="str">
        <x:v>L00141-080</x:v>
      </x:c>
      <x:c r="B2106" s="2" t="str">
        <x:v>L00141</x:v>
      </x:c>
      <x:c r="C2106" s="2" t="str">
        <x:v>SO-26029</x:v>
      </x:c>
      <x:c r="D2106" s="2" t="str">
        <x:v>S-L-AL</x:v>
      </x:c>
      <x:c r="E2106" s="14" t="n">
        <x:v>10</x:v>
      </x:c>
      <x:c r="F2106" s="2" t="str">
        <x:v>Final leak / function test</x:v>
      </x:c>
      <x:c r="G2106" s="9" t="str">
        <x:v>QA-02</x:v>
      </x:c>
      <x:c r="H2106" s="15" t="n">
        <x:v>151</x:v>
      </x:c>
      <x:c r="I2106" s="9" t="str">
        <x:v>P11</x:v>
      </x:c>
      <x:c r="J2106" s="11" t="n">
        <x:v>46308.28055555555</x:v>
      </x:c>
      <x:c r="K2106" s="15" t="n">
        <x:v>10</x:v>
      </x:c>
      <x:c r="L2106" s="15" t="n">
        <x:v>12</x:v>
      </x:c>
      <x:c r="M2106" s="13" t="n">
        <x:f>J2106+(K2106+L2106)/1440</x:f>
        <x:v>46308.29583333333</x:v>
      </x:c>
      <x:c r="N2106" s="13" t="n">
        <x:f>VLOOKUP(C2106,'MES orders'!$A$8:$H$127,5,FALSE)</x:f>
        <x:v>46308.666666666664</x:v>
      </x:c>
      <x:c r="O2106" s="16" t="n">
        <x:f>MAX(0,(M2106-N2106)*24)</x:f>
        <x:v>0</x:v>
      </x:c>
      <x:c r="P2106" s="9" t="str">
        <x:v>No</x:v>
      </x:c>
      <x:c r="Q2106" s="15" t="n">
        <x:v>22</x:v>
      </x:c>
      <x:c r="R2106" s="13" t="n">
        <x:f>J2106+Q2106/1440</x:f>
        <x:v>46308.29583333333</x:v>
      </x:c>
      <x:c r="S2106" s="2" t="str">
        <x:f>VLOOKUP(C2106,'MES orders'!$A$8:$H$127,6,FALSE)</x:f>
        <x:v>High</x:v>
      </x:c>
      <x:c r="T2106" s="9" t="str"/>
    </x:row>
    <x:row r="2107" ht="22" customHeight="1">
      <x:c r="A2107" s="2" t="str">
        <x:v>L00105-020</x:v>
      </x:c>
      <x:c r="B2107" s="2" t="str">
        <x:v>L00105</x:v>
      </x:c>
      <x:c r="C2107" s="2" t="str">
        <x:v>SO-26021</x:v>
      </x:c>
      <x:c r="D2107" s="2" t="str">
        <x:v>S-S-AL</x:v>
      </x:c>
      <x:c r="E2107" s="14" t="n">
        <x:v>10</x:v>
      </x:c>
      <x:c r="F2107" s="2" t="str">
        <x:v>Deburr &amp; inspect</x:v>
      </x:c>
      <x:c r="G2107" s="9" t="str">
        <x:v>DB-01</x:v>
      </x:c>
      <x:c r="H2107" s="15" t="n">
        <x:v>196</x:v>
      </x:c>
      <x:c r="I2107" s="9" t="str">
        <x:v>P04</x:v>
      </x:c>
      <x:c r="J2107" s="11" t="n">
        <x:v>46308.28402777778</x:v>
      </x:c>
      <x:c r="K2107" s="15" t="n">
        <x:v>4</x:v>
      </x:c>
      <x:c r="L2107" s="15" t="n">
        <x:v>7</x:v>
      </x:c>
      <x:c r="M2107" s="13" t="n">
        <x:f>J2107+(K2107+L2107)/1440</x:f>
        <x:v>46308.29166666667</x:v>
      </x:c>
      <x:c r="N2107" s="13" t="n">
        <x:f>VLOOKUP(C2107,'MES orders'!$A$8:$H$127,5,FALSE)</x:f>
        <x:v>46308.666666666664</x:v>
      </x:c>
      <x:c r="O2107" s="16" t="n">
        <x:f>MAX(0,(M2107-N2107)*24)</x:f>
        <x:v>0</x:v>
      </x:c>
      <x:c r="P2107" s="9" t="str">
        <x:v>No</x:v>
      </x:c>
      <x:c r="Q2107" s="15" t="n">
        <x:v>11</x:v>
      </x:c>
      <x:c r="R2107" s="13" t="n">
        <x:f>J2107+Q2107/1440</x:f>
        <x:v>46308.29166666667</x:v>
      </x:c>
      <x:c r="S2107" s="2" t="str">
        <x:f>VLOOKUP(C2107,'MES orders'!$A$8:$H$127,6,FALSE)</x:f>
        <x:v>Normal</x:v>
      </x:c>
      <x:c r="T2107" s="9" t="str"/>
    </x:row>
    <x:row r="2108" ht="22" customHeight="1">
      <x:c r="A2108" s="2" t="str">
        <x:v>L00104-050</x:v>
      </x:c>
      <x:c r="B2108" s="2" t="str">
        <x:v>L00104</x:v>
      </x:c>
      <x:c r="C2108" s="2" t="str">
        <x:v>SO-26021</x:v>
      </x:c>
      <x:c r="D2108" s="2" t="str">
        <x:v>S-S-AL</x:v>
      </x:c>
      <x:c r="E2108" s="14" t="n">
        <x:v>10</x:v>
      </x:c>
      <x:c r="F2108" s="2" t="str">
        <x:v>Sensor installation</x:v>
      </x:c>
      <x:c r="G2108" s="9" t="str">
        <x:v>EL-01</x:v>
      </x:c>
      <x:c r="H2108" s="15" t="n">
        <x:v>75</x:v>
      </x:c>
      <x:c r="I2108" s="9" t="str">
        <x:v>P07</x:v>
      </x:c>
      <x:c r="J2108" s="11" t="n">
        <x:v>46308.28402777778</x:v>
      </x:c>
      <x:c r="K2108" s="15" t="n">
        <x:v>8</x:v>
      </x:c>
      <x:c r="L2108" s="15" t="n">
        <x:v>12</x:v>
      </x:c>
      <x:c r="M2108" s="13" t="n">
        <x:f>J2108+(K2108+L2108)/1440</x:f>
        <x:v>46308.29791666667</x:v>
      </x:c>
      <x:c r="N2108" s="13" t="n">
        <x:f>VLOOKUP(C2108,'MES orders'!$A$8:$H$127,5,FALSE)</x:f>
        <x:v>46308.666666666664</x:v>
      </x:c>
      <x:c r="O2108" s="16" t="n">
        <x:f>MAX(0,(M2108-N2108)*24)</x:f>
        <x:v>0</x:v>
      </x:c>
      <x:c r="P2108" s="9" t="str">
        <x:v>No</x:v>
      </x:c>
      <x:c r="Q2108" s="15" t="n">
        <x:v>20</x:v>
      </x:c>
      <x:c r="R2108" s="13" t="n">
        <x:f>J2108+Q2108/1440</x:f>
        <x:v>46308.29791666667</x:v>
      </x:c>
      <x:c r="S2108" s="2" t="str">
        <x:f>VLOOKUP(C2108,'MES orders'!$A$8:$H$127,6,FALSE)</x:f>
        <x:v>Normal</x:v>
      </x:c>
      <x:c r="T2108" s="9" t="str"/>
    </x:row>
    <x:row r="2109" ht="22" customHeight="1">
      <x:c r="A2109" s="2" t="str">
        <x:v>L00103-070</x:v>
      </x:c>
      <x:c r="B2109" s="2" t="str">
        <x:v>L00103</x:v>
      </x:c>
      <x:c r="C2109" s="2" t="str">
        <x:v>SO-26021</x:v>
      </x:c>
      <x:c r="D2109" s="2" t="str">
        <x:v>S-S-AL</x:v>
      </x:c>
      <x:c r="E2109" s="14" t="n">
        <x:v>10</x:v>
      </x:c>
      <x:c r="F2109" s="2" t="str">
        <x:v>Final assembly</x:v>
      </x:c>
      <x:c r="G2109" s="9" t="str">
        <x:v>AS-02</x:v>
      </x:c>
      <x:c r="H2109" s="15" t="n">
        <x:v>138</x:v>
      </x:c>
      <x:c r="I2109" s="9" t="str">
        <x:v>P06</x:v>
      </x:c>
      <x:c r="J2109" s="11" t="n">
        <x:v>46308.28680555556</x:v>
      </x:c>
      <x:c r="K2109" s="15" t="n">
        <x:v>5</x:v>
      </x:c>
      <x:c r="L2109" s="15" t="n">
        <x:v>8</x:v>
      </x:c>
      <x:c r="M2109" s="13" t="n">
        <x:f>J2109+(K2109+L2109)/1440</x:f>
        <x:v>46308.29583333334</x:v>
      </x:c>
      <x:c r="N2109" s="13" t="n">
        <x:f>VLOOKUP(C2109,'MES orders'!$A$8:$H$127,5,FALSE)</x:f>
        <x:v>46308.666666666664</x:v>
      </x:c>
      <x:c r="O2109" s="16" t="n">
        <x:f>MAX(0,(M2109-N2109)*24)</x:f>
        <x:v>0</x:v>
      </x:c>
      <x:c r="P2109" s="9" t="str">
        <x:v>No</x:v>
      </x:c>
      <x:c r="Q2109" s="15" t="n">
        <x:v>13</x:v>
      </x:c>
      <x:c r="R2109" s="13" t="n">
        <x:f>J2109+Q2109/1440</x:f>
        <x:v>46308.29583333334</x:v>
      </x:c>
      <x:c r="S2109" s="2" t="str">
        <x:f>VLOOKUP(C2109,'MES orders'!$A$8:$H$127,6,FALSE)</x:f>
        <x:v>Normal</x:v>
      </x:c>
      <x:c r="T2109" s="9" t="str"/>
    </x:row>
    <x:row r="2110" ht="22" customHeight="1">
      <x:c r="A2110" s="2" t="str">
        <x:v>L00224-010</x:v>
      </x:c>
      <x:c r="B2110" s="2" t="str">
        <x:v>L00224</x:v>
      </x:c>
      <x:c r="C2110" s="2" t="str">
        <x:v>SO-26045</x:v>
      </x:c>
      <x:c r="D2110" s="2" t="str">
        <x:v>D-S-AL</x:v>
      </x:c>
      <x:c r="E2110" s="14" t="n">
        <x:v>20</x:v>
      </x:c>
      <x:c r="F2110" s="2" t="str">
        <x:v>CNC machining</x:v>
      </x:c>
      <x:c r="G2110" s="9" t="str">
        <x:v>CNC-04</x:v>
      </x:c>
      <x:c r="H2110" s="15" t="n">
        <x:v>64</x:v>
      </x:c>
      <x:c r="I2110" s="9" t="str">
        <x:v>P01</x:v>
      </x:c>
      <x:c r="J2110" s="11" t="n">
        <x:v>46308.2875</x:v>
      </x:c>
      <x:c r="K2110" s="15" t="n">
        <x:v>18</x:v>
      </x:c>
      <x:c r="L2110" s="15" t="n">
        <x:v>48</x:v>
      </x:c>
      <x:c r="M2110" s="13" t="n">
        <x:f>J2110+(K2110+L2110)/1440</x:f>
        <x:v>46308.33333333333</x:v>
      </x:c>
      <x:c r="N2110" s="13" t="n">
        <x:f>VLOOKUP(C2110,'MES orders'!$A$8:$H$127,5,FALSE)</x:f>
        <x:v>46308.666666666664</x:v>
      </x:c>
      <x:c r="O2110" s="16" t="n">
        <x:f>MAX(0,(M2110-N2110)*24)</x:f>
        <x:v>0</x:v>
      </x:c>
      <x:c r="P2110" s="9" t="str">
        <x:v>No</x:v>
      </x:c>
      <x:c r="Q2110" s="15" t="n">
        <x:v>18</x:v>
      </x:c>
      <x:c r="R2110" s="13" t="n">
        <x:f>J2110+Q2110/1440</x:f>
        <x:v>46308.299999999996</x:v>
      </x:c>
      <x:c r="S2110" s="2" t="str">
        <x:f>VLOOKUP(C2110,'MES orders'!$A$8:$H$127,6,FALSE)</x:f>
        <x:v>Normal</x:v>
      </x:c>
      <x:c r="T2110" s="9" t="str"/>
    </x:row>
    <x:row r="2111" ht="22" customHeight="1">
      <x:c r="A2111" s="2" t="str">
        <x:v>L00225-010</x:v>
      </x:c>
      <x:c r="B2111" s="2" t="str">
        <x:v>L00225</x:v>
      </x:c>
      <x:c r="C2111" s="2" t="str">
        <x:v>SO-26045</x:v>
      </x:c>
      <x:c r="D2111" s="2" t="str">
        <x:v>D-S-AL</x:v>
      </x:c>
      <x:c r="E2111" s="14" t="n">
        <x:v>20</x:v>
      </x:c>
      <x:c r="F2111" s="2" t="str">
        <x:v>CNC machining</x:v>
      </x:c>
      <x:c r="G2111" s="9" t="str">
        <x:v>CNC-05</x:v>
      </x:c>
      <x:c r="H2111" s="15" t="n">
        <x:v>57</x:v>
      </x:c>
      <x:c r="I2111" s="9" t="str">
        <x:v>P02</x:v>
      </x:c>
      <x:c r="J2111" s="11" t="n">
        <x:v>46308.2875</x:v>
      </x:c>
      <x:c r="K2111" s="15" t="n">
        <x:v>18</x:v>
      </x:c>
      <x:c r="L2111" s="15" t="n">
        <x:v>48</x:v>
      </x:c>
      <x:c r="M2111" s="13" t="n">
        <x:f>J2111+(K2111+L2111)/1440</x:f>
        <x:v>46308.33333333333</x:v>
      </x:c>
      <x:c r="N2111" s="13" t="n">
        <x:f>VLOOKUP(C2111,'MES orders'!$A$8:$H$127,5,FALSE)</x:f>
        <x:v>46308.666666666664</x:v>
      </x:c>
      <x:c r="O2111" s="16" t="n">
        <x:f>MAX(0,(M2111-N2111)*24)</x:f>
        <x:v>0</x:v>
      </x:c>
      <x:c r="P2111" s="9" t="str">
        <x:v>No</x:v>
      </x:c>
      <x:c r="Q2111" s="15" t="n">
        <x:v>18</x:v>
      </x:c>
      <x:c r="R2111" s="13" t="n">
        <x:f>J2111+Q2111/1440</x:f>
        <x:v>46308.299999999996</x:v>
      </x:c>
      <x:c r="S2111" s="2" t="str">
        <x:f>VLOOKUP(C2111,'MES orders'!$A$8:$H$127,6,FALSE)</x:f>
        <x:v>Normal</x:v>
      </x:c>
      <x:c r="T2111" s="9" t="str"/>
    </x:row>
    <x:row r="2112" ht="22" customHeight="1">
      <x:c r="A2112" s="2" t="str">
        <x:v>L00145-080</x:v>
      </x:c>
      <x:c r="B2112" s="2" t="str">
        <x:v>L00145</x:v>
      </x:c>
      <x:c r="C2112" s="2" t="str">
        <x:v>SO-26029</x:v>
      </x:c>
      <x:c r="D2112" s="2" t="str">
        <x:v>S-L-AL</x:v>
      </x:c>
      <x:c r="E2112" s="14" t="n">
        <x:v>10</x:v>
      </x:c>
      <x:c r="F2112" s="2" t="str">
        <x:v>Final leak / function test</x:v>
      </x:c>
      <x:c r="G2112" s="9" t="str">
        <x:v>QA-03</x:v>
      </x:c>
      <x:c r="H2112" s="15" t="n">
        <x:v>95</x:v>
      </x:c>
      <x:c r="I2112" s="9" t="str">
        <x:v>P12</x:v>
      </x:c>
      <x:c r="J2112" s="11" t="n">
        <x:v>46308.28888888889</x:v>
      </x:c>
      <x:c r="K2112" s="15" t="n">
        <x:v>10</x:v>
      </x:c>
      <x:c r="L2112" s="15" t="n">
        <x:v>12</x:v>
      </x:c>
      <x:c r="M2112" s="13" t="n">
        <x:f>J2112+(K2112+L2112)/1440</x:f>
        <x:v>46308.30416666667</x:v>
      </x:c>
      <x:c r="N2112" s="13" t="n">
        <x:f>VLOOKUP(C2112,'MES orders'!$A$8:$H$127,5,FALSE)</x:f>
        <x:v>46308.666666666664</x:v>
      </x:c>
      <x:c r="O2112" s="16" t="n">
        <x:f>MAX(0,(M2112-N2112)*24)</x:f>
        <x:v>0</x:v>
      </x:c>
      <x:c r="P2112" s="9" t="str">
        <x:v>No</x:v>
      </x:c>
      <x:c r="Q2112" s="15" t="n">
        <x:v>22</x:v>
      </x:c>
      <x:c r="R2112" s="13" t="n">
        <x:f>J2112+Q2112/1440</x:f>
        <x:v>46308.30416666667</x:v>
      </x:c>
      <x:c r="S2112" s="2" t="str">
        <x:f>VLOOKUP(C2112,'MES orders'!$A$8:$H$127,6,FALSE)</x:f>
        <x:v>High</x:v>
      </x:c>
      <x:c r="T2112" s="9" t="str"/>
    </x:row>
    <x:row r="2113" ht="22" customHeight="1">
      <x:c r="A2113" s="2" t="str">
        <x:v>L00261-010</x:v>
      </x:c>
      <x:c r="B2113" s="2" t="str">
        <x:v>L00261</x:v>
      </x:c>
      <x:c r="C2113" s="2" t="str">
        <x:v>SO-26053</x:v>
      </x:c>
      <x:c r="D2113" s="2" t="str">
        <x:v>D-L-AL</x:v>
      </x:c>
      <x:c r="E2113" s="14" t="n">
        <x:v>15</x:v>
      </x:c>
      <x:c r="F2113" s="2" t="str">
        <x:v>CNC machining</x:v>
      </x:c>
      <x:c r="G2113" s="9" t="str">
        <x:v>CNC-06</x:v>
      </x:c>
      <x:c r="H2113" s="15" t="n">
        <x:v>53</x:v>
      </x:c>
      <x:c r="I2113" s="9" t="str">
        <x:v>P03</x:v>
      </x:c>
      <x:c r="J2113" s="11" t="n">
        <x:v>46308.291666666664</x:v>
      </x:c>
      <x:c r="K2113" s="15" t="n">
        <x:v>18</x:v>
      </x:c>
      <x:c r="L2113" s="15" t="n">
        <x:v>49</x:v>
      </x:c>
      <x:c r="M2113" s="13" t="n">
        <x:f>J2113+(K2113+L2113)/1440</x:f>
        <x:v>46308.33819444444</x:v>
      </x:c>
      <x:c r="N2113" s="13" t="n">
        <x:f>VLOOKUP(C2113,'MES orders'!$A$8:$H$127,5,FALSE)</x:f>
        <x:v>46308.666666666664</x:v>
      </x:c>
      <x:c r="O2113" s="16" t="n">
        <x:f>MAX(0,(M2113-N2113)*24)</x:f>
        <x:v>0</x:v>
      </x:c>
      <x:c r="P2113" s="9" t="str">
        <x:v>No</x:v>
      </x:c>
      <x:c r="Q2113" s="15" t="n">
        <x:v>18</x:v>
      </x:c>
      <x:c r="R2113" s="13" t="n">
        <x:f>J2113+Q2113/1440</x:f>
        <x:v>46308.30416666666</x:v>
      </x:c>
      <x:c r="S2113" s="2" t="str">
        <x:f>VLOOKUP(C2113,'MES orders'!$A$8:$H$127,6,FALSE)</x:f>
        <x:v>Normal</x:v>
      </x:c>
      <x:c r="T2113" s="9" t="str"/>
    </x:row>
    <x:row r="2114" ht="22" customHeight="1">
      <x:c r="A2114" s="2" t="str">
        <x:v>L00105-030</x:v>
      </x:c>
      <x:c r="B2114" s="2" t="str">
        <x:v>L00105</x:v>
      </x:c>
      <x:c r="C2114" s="2" t="str">
        <x:v>SO-26021</x:v>
      </x:c>
      <x:c r="D2114" s="2" t="str">
        <x:v>S-S-AL</x:v>
      </x:c>
      <x:c r="E2114" s="14" t="n">
        <x:v>10</x:v>
      </x:c>
      <x:c r="F2114" s="2" t="str">
        <x:v>Wash &amp; dry</x:v>
      </x:c>
      <x:c r="G2114" s="9" t="str">
        <x:v>WS-01</x:v>
      </x:c>
      <x:c r="H2114" s="15" t="n">
        <x:v>195</x:v>
      </x:c>
      <x:c r="I2114" s="9" t="str">
        <x:v>P04</x:v>
      </x:c>
      <x:c r="J2114" s="11" t="n">
        <x:v>46308.291666666664</x:v>
      </x:c>
      <x:c r="K2114" s="15" t="n">
        <x:v>12</x:v>
      </x:c>
      <x:c r="L2114" s="15" t="n">
        <x:v>4</x:v>
      </x:c>
      <x:c r="M2114" s="13" t="n">
        <x:f>J2114+(K2114+L2114)/1440</x:f>
        <x:v>46308.302777777775</x:v>
      </x:c>
      <x:c r="N2114" s="13" t="n">
        <x:f>VLOOKUP(C2114,'MES orders'!$A$8:$H$127,5,FALSE)</x:f>
        <x:v>46308.666666666664</x:v>
      </x:c>
      <x:c r="O2114" s="16" t="n">
        <x:f>MAX(0,(M2114-N2114)*24)</x:f>
        <x:v>0</x:v>
      </x:c>
      <x:c r="P2114" s="9" t="str">
        <x:v>No</x:v>
      </x:c>
      <x:c r="Q2114" s="15" t="n">
        <x:v>16</x:v>
      </x:c>
      <x:c r="R2114" s="13" t="n">
        <x:f>J2114+Q2114/1440</x:f>
        <x:v>46308.302777777775</x:v>
      </x:c>
      <x:c r="S2114" s="2" t="str">
        <x:f>VLOOKUP(C2114,'MES orders'!$A$8:$H$127,6,FALSE)</x:f>
        <x:v>Normal</x:v>
      </x:c>
      <x:c r="T2114" s="9" t="str"/>
    </x:row>
    <x:row r="2115" ht="22" customHeight="1">
      <x:c r="A2115" s="2" t="str">
        <x:v>L00181-020</x:v>
      </x:c>
      <x:c r="B2115" s="2" t="str">
        <x:v>L00181</x:v>
      </x:c>
      <x:c r="C2115" s="2" t="str">
        <x:v>SO-26037</x:v>
      </x:c>
      <x:c r="D2115" s="2" t="str">
        <x:v>D-C-AL</x:v>
      </x:c>
      <x:c r="E2115" s="14" t="n">
        <x:v>5</x:v>
      </x:c>
      <x:c r="F2115" s="2" t="str">
        <x:v>Deburr &amp; inspect</x:v>
      </x:c>
      <x:c r="G2115" s="9" t="str">
        <x:v>DB-01</x:v>
      </x:c>
      <x:c r="H2115" s="15" t="n">
        <x:v>197</x:v>
      </x:c>
      <x:c r="I2115" s="9" t="str">
        <x:v>P05</x:v>
      </x:c>
      <x:c r="J2115" s="11" t="n">
        <x:v>46308.29513888889</x:v>
      </x:c>
      <x:c r="K2115" s="15" t="n">
        <x:v>4</x:v>
      </x:c>
      <x:c r="L2115" s="15" t="n">
        <x:v>3</x:v>
      </x:c>
      <x:c r="M2115" s="13" t="n">
        <x:f>J2115+(K2115+L2115)/1440</x:f>
        <x:v>46308.3</x:v>
      </x:c>
      <x:c r="N2115" s="13" t="n">
        <x:f>VLOOKUP(C2115,'MES orders'!$A$8:$H$127,5,FALSE)</x:f>
        <x:v>46308.666666666664</x:v>
      </x:c>
      <x:c r="O2115" s="16" t="n">
        <x:f>MAX(0,(M2115-N2115)*24)</x:f>
        <x:v>0</x:v>
      </x:c>
      <x:c r="P2115" s="9" t="str">
        <x:v>No</x:v>
      </x:c>
      <x:c r="Q2115" s="15" t="n">
        <x:v>7</x:v>
      </x:c>
      <x:c r="R2115" s="13" t="n">
        <x:f>J2115+Q2115/1440</x:f>
        <x:v>46308.3</x:v>
      </x:c>
      <x:c r="S2115" s="2" t="str">
        <x:f>VLOOKUP(C2115,'MES orders'!$A$8:$H$127,6,FALSE)</x:f>
        <x:v>Normal</x:v>
      </x:c>
      <x:c r="T2115" s="9" t="str"/>
    </x:row>
    <x:row r="2116" ht="22" customHeight="1">
      <x:c r="A2116" s="2" t="str">
        <x:v>L00182-020</x:v>
      </x:c>
      <x:c r="B2116" s="2" t="str">
        <x:v>L00182</x:v>
      </x:c>
      <x:c r="C2116" s="2" t="str">
        <x:v>SO-26037</x:v>
      </x:c>
      <x:c r="D2116" s="2" t="str">
        <x:v>D-C-AL</x:v>
      </x:c>
      <x:c r="E2116" s="14" t="n">
        <x:v>5</x:v>
      </x:c>
      <x:c r="F2116" s="2" t="str">
        <x:v>Deburr &amp; inspect</x:v>
      </x:c>
      <x:c r="G2116" s="9" t="str">
        <x:v>DB-02</x:v>
      </x:c>
      <x:c r="H2116" s="15" t="n">
        <x:v>135</x:v>
      </x:c>
      <x:c r="I2116" s="9" t="str">
        <x:v>P06</x:v>
      </x:c>
      <x:c r="J2116" s="11" t="n">
        <x:v>46308.29583333333</x:v>
      </x:c>
      <x:c r="K2116" s="15" t="n">
        <x:v>4</x:v>
      </x:c>
      <x:c r="L2116" s="15" t="n">
        <x:v>3</x:v>
      </x:c>
      <x:c r="M2116" s="13" t="n">
        <x:f>J2116+(K2116+L2116)/1440</x:f>
        <x:v>46308.30069444444</x:v>
      </x:c>
      <x:c r="N2116" s="13" t="n">
        <x:f>VLOOKUP(C2116,'MES orders'!$A$8:$H$127,5,FALSE)</x:f>
        <x:v>46308.666666666664</x:v>
      </x:c>
      <x:c r="O2116" s="16" t="n">
        <x:f>MAX(0,(M2116-N2116)*24)</x:f>
        <x:v>0</x:v>
      </x:c>
      <x:c r="P2116" s="9" t="str">
        <x:v>No</x:v>
      </x:c>
      <x:c r="Q2116" s="15" t="n">
        <x:v>7</x:v>
      </x:c>
      <x:c r="R2116" s="13" t="n">
        <x:f>J2116+Q2116/1440</x:f>
        <x:v>46308.30069444444</x:v>
      </x:c>
      <x:c r="S2116" s="2" t="str">
        <x:f>VLOOKUP(C2116,'MES orders'!$A$8:$H$127,6,FALSE)</x:f>
        <x:v>Normal</x:v>
      </x:c>
      <x:c r="T2116" s="9" t="str"/>
    </x:row>
    <x:row r="2117" ht="22" customHeight="1">
      <x:c r="A2117" s="2" t="str">
        <x:v>L00021-060</x:v>
      </x:c>
      <x:c r="B2117" s="2" t="str">
        <x:v>L00021</x:v>
      </x:c>
      <x:c r="C2117" s="2" t="str">
        <x:v>SO-26005</x:v>
      </x:c>
      <x:c r="D2117" s="2" t="str">
        <x:v>R-L-AL</x:v>
      </x:c>
      <x:c r="E2117" s="14" t="n">
        <x:v>10</x:v>
      </x:c>
      <x:c r="F2117" s="2" t="str">
        <x:v>Final leak / function test</x:v>
      </x:c>
      <x:c r="G2117" s="9" t="str">
        <x:v>QA-02</x:v>
      </x:c>
      <x:c r="H2117" s="15" t="n">
        <x:v>152</x:v>
      </x:c>
      <x:c r="I2117" s="9" t="str">
        <x:v>P11</x:v>
      </x:c>
      <x:c r="J2117" s="11" t="n">
        <x:v>46308.29583333333</x:v>
      </x:c>
      <x:c r="K2117" s="15" t="n">
        <x:v>10</x:v>
      </x:c>
      <x:c r="L2117" s="15" t="n">
        <x:v>12</x:v>
      </x:c>
      <x:c r="M2117" s="13" t="n">
        <x:f>J2117+(K2117+L2117)/1440</x:f>
        <x:v>46308.31111111111</x:v>
      </x:c>
      <x:c r="N2117" s="13" t="n">
        <x:f>VLOOKUP(C2117,'MES orders'!$A$8:$H$127,5,FALSE)</x:f>
        <x:v>46308.666666666664</x:v>
      </x:c>
      <x:c r="O2117" s="16" t="n">
        <x:f>MAX(0,(M2117-N2117)*24)</x:f>
        <x:v>0</x:v>
      </x:c>
      <x:c r="P2117" s="9" t="str">
        <x:v>No</x:v>
      </x:c>
      <x:c r="Q2117" s="15" t="n">
        <x:v>22</x:v>
      </x:c>
      <x:c r="R2117" s="13" t="n">
        <x:f>J2117+Q2117/1440</x:f>
        <x:v>46308.31111111111</x:v>
      </x:c>
      <x:c r="S2117" s="2" t="str">
        <x:f>VLOOKUP(C2117,'MES orders'!$A$8:$H$127,6,FALSE)</x:f>
        <x:v>Normal</x:v>
      </x:c>
      <x:c r="T2117" s="9" t="str"/>
    </x:row>
    <x:row r="2118" ht="22" customHeight="1">
      <x:c r="A2118" s="2" t="str">
        <x:v>L00104-060</x:v>
      </x:c>
      <x:c r="B2118" s="2" t="str">
        <x:v>L00104</x:v>
      </x:c>
      <x:c r="C2118" s="2" t="str">
        <x:v>SO-26021</x:v>
      </x:c>
      <x:c r="D2118" s="2" t="str">
        <x:v>S-S-AL</x:v>
      </x:c>
      <x:c r="E2118" s="14" t="n">
        <x:v>10</x:v>
      </x:c>
      <x:c r="F2118" s="2" t="str">
        <x:v>Sensor calibration</x:v>
      </x:c>
      <x:c r="G2118" s="9" t="str">
        <x:v>CAL-01</x:v>
      </x:c>
      <x:c r="H2118" s="15" t="n">
        <x:v>114</x:v>
      </x:c>
      <x:c r="I2118" s="9" t="str">
        <x:v>P09</x:v>
      </x:c>
      <x:c r="J2118" s="11" t="n">
        <x:v>46308.29791666667</x:v>
      </x:c>
      <x:c r="K2118" s="15" t="n">
        <x:v>10</x:v>
      </x:c>
      <x:c r="L2118" s="15" t="n">
        <x:v>13</x:v>
      </x:c>
      <x:c r="M2118" s="13" t="n">
        <x:f>J2118+(K2118+L2118)/1440</x:f>
        <x:v>46308.31388888889</x:v>
      </x:c>
      <x:c r="N2118" s="13" t="n">
        <x:f>VLOOKUP(C2118,'MES orders'!$A$8:$H$127,5,FALSE)</x:f>
        <x:v>46308.666666666664</x:v>
      </x:c>
      <x:c r="O2118" s="16" t="n">
        <x:f>MAX(0,(M2118-N2118)*24)</x:f>
        <x:v>0</x:v>
      </x:c>
      <x:c r="P2118" s="9" t="str">
        <x:v>No</x:v>
      </x:c>
      <x:c r="Q2118" s="15" t="n">
        <x:v>23</x:v>
      </x:c>
      <x:c r="R2118" s="13" t="n">
        <x:f>J2118+Q2118/1440</x:f>
        <x:v>46308.31388888889</x:v>
      </x:c>
      <x:c r="S2118" s="2" t="str">
        <x:f>VLOOKUP(C2118,'MES orders'!$A$8:$H$127,6,FALSE)</x:f>
        <x:v>Normal</x:v>
      </x:c>
      <x:c r="T2118" s="9" t="str"/>
    </x:row>
    <x:row r="2119" ht="22" customHeight="1">
      <x:c r="A2119" s="2" t="str">
        <x:v>L00181-030</x:v>
      </x:c>
      <x:c r="B2119" s="2" t="str">
        <x:v>L00181</x:v>
      </x:c>
      <x:c r="C2119" s="2" t="str">
        <x:v>SO-26037</x:v>
      </x:c>
      <x:c r="D2119" s="2" t="str">
        <x:v>D-C-AL</x:v>
      </x:c>
      <x:c r="E2119" s="14" t="n">
        <x:v>5</x:v>
      </x:c>
      <x:c r="F2119" s="2" t="str">
        <x:v>Wash &amp; dry</x:v>
      </x:c>
      <x:c r="G2119" s="9" t="str">
        <x:v>WS-02</x:v>
      </x:c>
      <x:c r="H2119" s="15" t="n">
        <x:v>136</x:v>
      </x:c>
      <x:c r="I2119" s="9" t="str">
        <x:v>P05</x:v>
      </x:c>
      <x:c r="J2119" s="11" t="n">
        <x:v>46308.3</x:v>
      </x:c>
      <x:c r="K2119" s="15" t="n">
        <x:v>12</x:v>
      </x:c>
      <x:c r="L2119" s="15" t="n">
        <x:v>1</x:v>
      </x:c>
      <x:c r="M2119" s="13" t="n">
        <x:f>J2119+(K2119+L2119)/1440</x:f>
        <x:v>46308.30902777778</x:v>
      </x:c>
      <x:c r="N2119" s="13" t="n">
        <x:f>VLOOKUP(C2119,'MES orders'!$A$8:$H$127,5,FALSE)</x:f>
        <x:v>46308.666666666664</x:v>
      </x:c>
      <x:c r="O2119" s="16" t="n">
        <x:f>MAX(0,(M2119-N2119)*24)</x:f>
        <x:v>0</x:v>
      </x:c>
      <x:c r="P2119" s="9" t="str">
        <x:v>No</x:v>
      </x:c>
      <x:c r="Q2119" s="15" t="n">
        <x:v>13</x:v>
      </x:c>
      <x:c r="R2119" s="13" t="n">
        <x:f>J2119+Q2119/1440</x:f>
        <x:v>46308.30902777778</x:v>
      </x:c>
      <x:c r="S2119" s="2" t="str">
        <x:f>VLOOKUP(C2119,'MES orders'!$A$8:$H$127,6,FALSE)</x:f>
        <x:v>Normal</x:v>
      </x:c>
      <x:c r="T2119" s="9" t="str"/>
    </x:row>
    <x:row r="2120" ht="22" customHeight="1">
      <x:c r="A2120" s="2" t="str">
        <x:v>L00183-020</x:v>
      </x:c>
      <x:c r="B2120" s="2" t="str">
        <x:v>L00183</x:v>
      </x:c>
      <x:c r="C2120" s="2" t="str">
        <x:v>SO-26037</x:v>
      </x:c>
      <x:c r="D2120" s="2" t="str">
        <x:v>D-C-AL</x:v>
      </x:c>
      <x:c r="E2120" s="14" t="n">
        <x:v>5</x:v>
      </x:c>
      <x:c r="F2120" s="2" t="str">
        <x:v>Deburr &amp; inspect</x:v>
      </x:c>
      <x:c r="G2120" s="9" t="str">
        <x:v>DB-01</x:v>
      </x:c>
      <x:c r="H2120" s="15" t="n">
        <x:v>198</x:v>
      </x:c>
      <x:c r="I2120" s="9" t="str">
        <x:v>P06</x:v>
      </x:c>
      <x:c r="J2120" s="11" t="n">
        <x:v>46308.30069444444</x:v>
      </x:c>
      <x:c r="K2120" s="15" t="n">
        <x:v>4</x:v>
      </x:c>
      <x:c r="L2120" s="15" t="n">
        <x:v>3</x:v>
      </x:c>
      <x:c r="M2120" s="13" t="n">
        <x:f>J2120+(K2120+L2120)/1440</x:f>
        <x:v>46308.305555555555</x:v>
      </x:c>
      <x:c r="N2120" s="13" t="n">
        <x:f>VLOOKUP(C2120,'MES orders'!$A$8:$H$127,5,FALSE)</x:f>
        <x:v>46308.666666666664</x:v>
      </x:c>
      <x:c r="O2120" s="16" t="n">
        <x:f>MAX(0,(M2120-N2120)*24)</x:f>
        <x:v>0</x:v>
      </x:c>
      <x:c r="P2120" s="9" t="str">
        <x:v>No</x:v>
      </x:c>
      <x:c r="Q2120" s="15" t="n">
        <x:v>7</x:v>
      </x:c>
      <x:c r="R2120" s="13" t="n">
        <x:f>J2120+Q2120/1440</x:f>
        <x:v>46308.305555555555</x:v>
      </x:c>
      <x:c r="S2120" s="2" t="str">
        <x:f>VLOOKUP(C2120,'MES orders'!$A$8:$H$127,6,FALSE)</x:f>
        <x:v>Normal</x:v>
      </x:c>
      <x:c r="T2120" s="9" t="str"/>
    </x:row>
    <x:row r="2121" ht="22" customHeight="1">
      <x:c r="A2121" s="2" t="str">
        <x:v>L00105-040</x:v>
      </x:c>
      <x:c r="B2121" s="2" t="str">
        <x:v>L00105</x:v>
      </x:c>
      <x:c r="C2121" s="2" t="str">
        <x:v>SO-26021</x:v>
      </x:c>
      <x:c r="D2121" s="2" t="str">
        <x:v>S-S-AL</x:v>
      </x:c>
      <x:c r="E2121" s="14" t="n">
        <x:v>10</x:v>
      </x:c>
      <x:c r="F2121" s="2" t="str">
        <x:v>Mechanical preassembly</x:v>
      </x:c>
      <x:c r="G2121" s="9" t="str">
        <x:v>AS-02</x:v>
      </x:c>
      <x:c r="H2121" s="15" t="n">
        <x:v>139</x:v>
      </x:c>
      <x:c r="I2121" s="9" t="str">
        <x:v>P04</x:v>
      </x:c>
      <x:c r="J2121" s="11" t="n">
        <x:v>46308.302777777775</x:v>
      </x:c>
      <x:c r="K2121" s="15" t="n">
        <x:v>6</x:v>
      </x:c>
      <x:c r="L2121" s="15" t="n">
        <x:v>11</x:v>
      </x:c>
      <x:c r="M2121" s="13" t="n">
        <x:f>J2121+(K2121+L2121)/1440</x:f>
        <x:v>46308.31458333333</x:v>
      </x:c>
      <x:c r="N2121" s="13" t="n">
        <x:f>VLOOKUP(C2121,'MES orders'!$A$8:$H$127,5,FALSE)</x:f>
        <x:v>46308.666666666664</x:v>
      </x:c>
      <x:c r="O2121" s="16" t="n">
        <x:f>MAX(0,(M2121-N2121)*24)</x:f>
        <x:v>0</x:v>
      </x:c>
      <x:c r="P2121" s="9" t="str">
        <x:v>No</x:v>
      </x:c>
      <x:c r="Q2121" s="15" t="n">
        <x:v>17</x:v>
      </x:c>
      <x:c r="R2121" s="13" t="n">
        <x:f>J2121+Q2121/1440</x:f>
        <x:v>46308.31458333333</x:v>
      </x:c>
      <x:c r="S2121" s="2" t="str">
        <x:f>VLOOKUP(C2121,'MES orders'!$A$8:$H$127,6,FALSE)</x:f>
        <x:v>Normal</x:v>
      </x:c>
      <x:c r="T2121" s="9" t="str"/>
    </x:row>
    <x:row r="2122" ht="22" customHeight="1">
      <x:c r="A2122" s="2" t="str">
        <x:v>L00022-060</x:v>
      </x:c>
      <x:c r="B2122" s="2" t="str">
        <x:v>L00022</x:v>
      </x:c>
      <x:c r="C2122" s="2" t="str">
        <x:v>SO-26005</x:v>
      </x:c>
      <x:c r="D2122" s="2" t="str">
        <x:v>R-L-AL</x:v>
      </x:c>
      <x:c r="E2122" s="14" t="n">
        <x:v>10</x:v>
      </x:c>
      <x:c r="F2122" s="2" t="str">
        <x:v>Final leak / function test</x:v>
      </x:c>
      <x:c r="G2122" s="9" t="str">
        <x:v>QA-03</x:v>
      </x:c>
      <x:c r="H2122" s="15" t="n">
        <x:v>96</x:v>
      </x:c>
      <x:c r="I2122" s="9" t="str">
        <x:v>P12</x:v>
      </x:c>
      <x:c r="J2122" s="11" t="n">
        <x:v>46308.30416666667</x:v>
      </x:c>
      <x:c r="K2122" s="15" t="n">
        <x:v>10</x:v>
      </x:c>
      <x:c r="L2122" s="15" t="n">
        <x:v>12</x:v>
      </x:c>
      <x:c r="M2122" s="13" t="n">
        <x:f>J2122+(K2122+L2122)/1440</x:f>
        <x:v>46308.319444444445</x:v>
      </x:c>
      <x:c r="N2122" s="13" t="n">
        <x:f>VLOOKUP(C2122,'MES orders'!$A$8:$H$127,5,FALSE)</x:f>
        <x:v>46308.666666666664</x:v>
      </x:c>
      <x:c r="O2122" s="16" t="n">
        <x:f>MAX(0,(M2122-N2122)*24)</x:f>
        <x:v>0</x:v>
      </x:c>
      <x:c r="P2122" s="9" t="str">
        <x:v>No</x:v>
      </x:c>
      <x:c r="Q2122" s="15" t="n">
        <x:v>22</x:v>
      </x:c>
      <x:c r="R2122" s="13" t="n">
        <x:f>J2122+Q2122/1440</x:f>
        <x:v>46308.319444444445</x:v>
      </x:c>
      <x:c r="S2122" s="2" t="str">
        <x:f>VLOOKUP(C2122,'MES orders'!$A$8:$H$127,6,FALSE)</x:f>
        <x:v>Normal</x:v>
      </x:c>
      <x:c r="T2122" s="9" t="str"/>
    </x:row>
    <x:row r="2123" ht="22" customHeight="1">
      <x:c r="A2123" s="2" t="str">
        <x:v>L00181-040</x:v>
      </x:c>
      <x:c r="B2123" s="2" t="str">
        <x:v>L00181</x:v>
      </x:c>
      <x:c r="C2123" s="2" t="str">
        <x:v>SO-26037</x:v>
      </x:c>
      <x:c r="D2123" s="2" t="str">
        <x:v>D-C-AL</x:v>
      </x:c>
      <x:c r="E2123" s="14" t="n">
        <x:v>5</x:v>
      </x:c>
      <x:c r="F2123" s="2" t="str">
        <x:v>Mechanical assembly</x:v>
      </x:c>
      <x:c r="G2123" s="9" t="str">
        <x:v>AS-03</x:v>
      </x:c>
      <x:c r="H2123" s="15" t="n">
        <x:v>112</x:v>
      </x:c>
      <x:c r="I2123" s="9" t="str">
        <x:v>P06</x:v>
      </x:c>
      <x:c r="J2123" s="11" t="n">
        <x:v>46308.30902777778</x:v>
      </x:c>
      <x:c r="K2123" s="15" t="n">
        <x:v>8</x:v>
      </x:c>
      <x:c r="L2123" s="15" t="n">
        <x:v>7</x:v>
      </x:c>
      <x:c r="M2123" s="13" t="n">
        <x:f>J2123+(K2123+L2123)/1440</x:f>
        <x:v>46308.319444444445</x:v>
      </x:c>
      <x:c r="N2123" s="13" t="n">
        <x:f>VLOOKUP(C2123,'MES orders'!$A$8:$H$127,5,FALSE)</x:f>
        <x:v>46308.666666666664</x:v>
      </x:c>
      <x:c r="O2123" s="16" t="n">
        <x:f>MAX(0,(M2123-N2123)*24)</x:f>
        <x:v>0</x:v>
      </x:c>
      <x:c r="P2123" s="9" t="str">
        <x:v>No</x:v>
      </x:c>
      <x:c r="Q2123" s="15" t="n">
        <x:v>15</x:v>
      </x:c>
      <x:c r="R2123" s="13" t="n">
        <x:f>J2123+Q2123/1440</x:f>
        <x:v>46308.319444444445</x:v>
      </x:c>
      <x:c r="S2123" s="2" t="str">
        <x:f>VLOOKUP(C2123,'MES orders'!$A$8:$H$127,6,FALSE)</x:f>
        <x:v>Normal</x:v>
      </x:c>
      <x:c r="T2123" s="9" t="str"/>
    </x:row>
    <x:row r="2124" ht="22" customHeight="1">
      <x:c r="A2124" s="2" t="str">
        <x:v>L00184-020</x:v>
      </x:c>
      <x:c r="B2124" s="2" t="str">
        <x:v>L00184</x:v>
      </x:c>
      <x:c r="C2124" s="2" t="str">
        <x:v>SO-26037</x:v>
      </x:c>
      <x:c r="D2124" s="2" t="str">
        <x:v>D-C-AL</x:v>
      </x:c>
      <x:c r="E2124" s="14" t="n">
        <x:v>5</x:v>
      </x:c>
      <x:c r="F2124" s="2" t="str">
        <x:v>Deburr &amp; inspect</x:v>
      </x:c>
      <x:c r="G2124" s="9" t="str">
        <x:v>DB-01</x:v>
      </x:c>
      <x:c r="H2124" s="15" t="n">
        <x:v>199</x:v>
      </x:c>
      <x:c r="I2124" s="9" t="str">
        <x:v>P05</x:v>
      </x:c>
      <x:c r="J2124" s="11" t="n">
        <x:v>46308.30902777778</x:v>
      </x:c>
      <x:c r="K2124" s="15" t="n">
        <x:v>4</x:v>
      </x:c>
      <x:c r="L2124" s="15" t="n">
        <x:v>3</x:v>
      </x:c>
      <x:c r="M2124" s="13" t="n">
        <x:f>J2124+(K2124+L2124)/1440</x:f>
        <x:v>46308.31388888889</x:v>
      </x:c>
      <x:c r="N2124" s="13" t="n">
        <x:f>VLOOKUP(C2124,'MES orders'!$A$8:$H$127,5,FALSE)</x:f>
        <x:v>46308.666666666664</x:v>
      </x:c>
      <x:c r="O2124" s="16" t="n">
        <x:f>MAX(0,(M2124-N2124)*24)</x:f>
        <x:v>0</x:v>
      </x:c>
      <x:c r="P2124" s="9" t="str">
        <x:v>No</x:v>
      </x:c>
      <x:c r="Q2124" s="15" t="n">
        <x:v>7</x:v>
      </x:c>
      <x:c r="R2124" s="13" t="n">
        <x:f>J2124+Q2124/1440</x:f>
        <x:v>46308.31388888889</x:v>
      </x:c>
      <x:c r="S2124" s="2" t="str">
        <x:f>VLOOKUP(C2124,'MES orders'!$A$8:$H$127,6,FALSE)</x:f>
        <x:v>Normal</x:v>
      </x:c>
      <x:c r="T2124" s="9" t="str"/>
    </x:row>
    <x:row r="2125" ht="22" customHeight="1">
      <x:c r="A2125" s="2" t="str">
        <x:v>L00023-060</x:v>
      </x:c>
      <x:c r="B2125" s="2" t="str">
        <x:v>L00023</x:v>
      </x:c>
      <x:c r="C2125" s="2" t="str">
        <x:v>SO-26005</x:v>
      </x:c>
      <x:c r="D2125" s="2" t="str">
        <x:v>R-L-AL</x:v>
      </x:c>
      <x:c r="E2125" s="14" t="n">
        <x:v>10</x:v>
      </x:c>
      <x:c r="F2125" s="2" t="str">
        <x:v>Final leak / function test</x:v>
      </x:c>
      <x:c r="G2125" s="9" t="str">
        <x:v>QA-02</x:v>
      </x:c>
      <x:c r="H2125" s="15" t="n">
        <x:v>153</x:v>
      </x:c>
      <x:c r="I2125" s="9" t="str">
        <x:v>P11</x:v>
      </x:c>
      <x:c r="J2125" s="11" t="n">
        <x:v>46308.311111111114</x:v>
      </x:c>
      <x:c r="K2125" s="15" t="n">
        <x:v>10</x:v>
      </x:c>
      <x:c r="L2125" s="15" t="n">
        <x:v>12</x:v>
      </x:c>
      <x:c r="M2125" s="13" t="n">
        <x:f>J2125+(K2125+L2125)/1440</x:f>
        <x:v>46308.32638888889</x:v>
      </x:c>
      <x:c r="N2125" s="13" t="n">
        <x:f>VLOOKUP(C2125,'MES orders'!$A$8:$H$127,5,FALSE)</x:f>
        <x:v>46308.666666666664</x:v>
      </x:c>
      <x:c r="O2125" s="16" t="n">
        <x:f>MAX(0,(M2125-N2125)*24)</x:f>
        <x:v>0</x:v>
      </x:c>
      <x:c r="P2125" s="9" t="str">
        <x:v>No</x:v>
      </x:c>
      <x:c r="Q2125" s="15" t="n">
        <x:v>22</x:v>
      </x:c>
      <x:c r="R2125" s="13" t="n">
        <x:f>J2125+Q2125/1440</x:f>
        <x:v>46308.32638888889</x:v>
      </x:c>
      <x:c r="S2125" s="2" t="str">
        <x:f>VLOOKUP(C2125,'MES orders'!$A$8:$H$127,6,FALSE)</x:f>
        <x:v>Normal</x:v>
      </x:c>
      <x:c r="T2125" s="9" t="str"/>
    </x:row>
    <x:row r="2126" ht="22" customHeight="1">
      <x:c r="A2126" s="2" t="str">
        <x:v>L00104-070</x:v>
      </x:c>
      <x:c r="B2126" s="2" t="str">
        <x:v>L00104</x:v>
      </x:c>
      <x:c r="C2126" s="2" t="str">
        <x:v>SO-26021</x:v>
      </x:c>
      <x:c r="D2126" s="2" t="str">
        <x:v>S-S-AL</x:v>
      </x:c>
      <x:c r="E2126" s="14" t="n">
        <x:v>10</x:v>
      </x:c>
      <x:c r="F2126" s="2" t="str">
        <x:v>Final assembly</x:v>
      </x:c>
      <x:c r="G2126" s="9" t="str">
        <x:v>AS-01</x:v>
      </x:c>
      <x:c r="H2126" s="15" t="n">
        <x:v>172</x:v>
      </x:c>
      <x:c r="I2126" s="9" t="str">
        <x:v>P05</x:v>
      </x:c>
      <x:c r="J2126" s="11" t="n">
        <x:v>46308.313888888886</x:v>
      </x:c>
      <x:c r="K2126" s="15" t="n">
        <x:v>5</x:v>
      </x:c>
      <x:c r="L2126" s="15" t="n">
        <x:v>8</x:v>
      </x:c>
      <x:c r="M2126" s="13" t="n">
        <x:f>J2126+(K2126+L2126)/1440</x:f>
        <x:v>46308.322916666664</x:v>
      </x:c>
      <x:c r="N2126" s="13" t="n">
        <x:f>VLOOKUP(C2126,'MES orders'!$A$8:$H$127,5,FALSE)</x:f>
        <x:v>46308.666666666664</x:v>
      </x:c>
      <x:c r="O2126" s="16" t="n">
        <x:f>MAX(0,(M2126-N2126)*24)</x:f>
        <x:v>0</x:v>
      </x:c>
      <x:c r="P2126" s="9" t="str">
        <x:v>No</x:v>
      </x:c>
      <x:c r="Q2126" s="15" t="n">
        <x:v>13</x:v>
      </x:c>
      <x:c r="R2126" s="13" t="n">
        <x:f>J2126+Q2126/1440</x:f>
        <x:v>46308.322916666664</x:v>
      </x:c>
      <x:c r="S2126" s="2" t="str">
        <x:f>VLOOKUP(C2126,'MES orders'!$A$8:$H$127,6,FALSE)</x:f>
        <x:v>Normal</x:v>
      </x:c>
      <x:c r="T2126" s="9" t="str"/>
    </x:row>
    <x:row r="2127" ht="22" customHeight="1">
      <x:c r="A2127" s="2" t="str">
        <x:v>L00105-050</x:v>
      </x:c>
      <x:c r="B2127" s="2" t="str">
        <x:v>L00105</x:v>
      </x:c>
      <x:c r="C2127" s="2" t="str">
        <x:v>SO-26021</x:v>
      </x:c>
      <x:c r="D2127" s="2" t="str">
        <x:v>S-S-AL</x:v>
      </x:c>
      <x:c r="E2127" s="14" t="n">
        <x:v>10</x:v>
      </x:c>
      <x:c r="F2127" s="2" t="str">
        <x:v>Sensor installation</x:v>
      </x:c>
      <x:c r="G2127" s="9" t="str">
        <x:v>EL-01</x:v>
      </x:c>
      <x:c r="H2127" s="15" t="n">
        <x:v>76</x:v>
      </x:c>
      <x:c r="I2127" s="9" t="str">
        <x:v>P07</x:v>
      </x:c>
      <x:c r="J2127" s="11" t="n">
        <x:v>46308.31458333333</x:v>
      </x:c>
      <x:c r="K2127" s="15" t="n">
        <x:v>8</x:v>
      </x:c>
      <x:c r="L2127" s="15" t="n">
        <x:v>12</x:v>
      </x:c>
      <x:c r="M2127" s="13" t="n">
        <x:f>J2127+(K2127+L2127)/1440</x:f>
        <x:v>46308.32847222222</x:v>
      </x:c>
      <x:c r="N2127" s="13" t="n">
        <x:f>VLOOKUP(C2127,'MES orders'!$A$8:$H$127,5,FALSE)</x:f>
        <x:v>46308.666666666664</x:v>
      </x:c>
      <x:c r="O2127" s="16" t="n">
        <x:f>MAX(0,(M2127-N2127)*24)</x:f>
        <x:v>0</x:v>
      </x:c>
      <x:c r="P2127" s="9" t="str">
        <x:v>No</x:v>
      </x:c>
      <x:c r="Q2127" s="15" t="n">
        <x:v>20</x:v>
      </x:c>
      <x:c r="R2127" s="13" t="n">
        <x:f>J2127+Q2127/1440</x:f>
        <x:v>46308.32847222222</x:v>
      </x:c>
      <x:c r="S2127" s="2" t="str">
        <x:f>VLOOKUP(C2127,'MES orders'!$A$8:$H$127,6,FALSE)</x:f>
        <x:v>Normal</x:v>
      </x:c>
      <x:c r="T2127" s="9" t="str"/>
    </x:row>
    <x:row r="2128" ht="22" customHeight="1">
      <x:c r="A2128" s="2" t="str">
        <x:v>L00182-030</x:v>
      </x:c>
      <x:c r="B2128" s="2" t="str">
        <x:v>L00182</x:v>
      </x:c>
      <x:c r="C2128" s="2" t="str">
        <x:v>SO-26037</x:v>
      </x:c>
      <x:c r="D2128" s="2" t="str">
        <x:v>D-C-AL</x:v>
      </x:c>
      <x:c r="E2128" s="14" t="n">
        <x:v>5</x:v>
      </x:c>
      <x:c r="F2128" s="2" t="str">
        <x:v>Wash &amp; dry</x:v>
      </x:c>
      <x:c r="G2128" s="9" t="str">
        <x:v>WS-01</x:v>
      </x:c>
      <x:c r="H2128" s="15" t="n">
        <x:v>196</x:v>
      </x:c>
      <x:c r="I2128" s="9" t="str">
        <x:v>P04</x:v>
      </x:c>
      <x:c r="J2128" s="11" t="n">
        <x:v>46308.31458333333</x:v>
      </x:c>
      <x:c r="K2128" s="15" t="n">
        <x:v>12</x:v>
      </x:c>
      <x:c r="L2128" s="15" t="n">
        <x:v>1</x:v>
      </x:c>
      <x:c r="M2128" s="13" t="n">
        <x:f>J2128+(K2128+L2128)/1440</x:f>
        <x:v>46308.32361111111</x:v>
      </x:c>
      <x:c r="N2128" s="13" t="n">
        <x:f>VLOOKUP(C2128,'MES orders'!$A$8:$H$127,5,FALSE)</x:f>
        <x:v>46308.666666666664</x:v>
      </x:c>
      <x:c r="O2128" s="16" t="n">
        <x:f>MAX(0,(M2128-N2128)*24)</x:f>
        <x:v>0</x:v>
      </x:c>
      <x:c r="P2128" s="9" t="str">
        <x:v>No</x:v>
      </x:c>
      <x:c r="Q2128" s="15" t="n">
        <x:v>13</x:v>
      </x:c>
      <x:c r="R2128" s="13" t="n">
        <x:f>J2128+Q2128/1440</x:f>
        <x:v>46308.32361111111</x:v>
      </x:c>
      <x:c r="S2128" s="2" t="str">
        <x:f>VLOOKUP(C2128,'MES orders'!$A$8:$H$127,6,FALSE)</x:f>
        <x:v>Normal</x:v>
      </x:c>
      <x:c r="T2128" s="9" t="str"/>
    </x:row>
    <x:row r="2129" ht="22" customHeight="1">
      <x:c r="A2129" s="2" t="str">
        <x:v>L00024-060</x:v>
      </x:c>
      <x:c r="B2129" s="2" t="str">
        <x:v>L00024</x:v>
      </x:c>
      <x:c r="C2129" s="2" t="str">
        <x:v>SO-26005</x:v>
      </x:c>
      <x:c r="D2129" s="2" t="str">
        <x:v>R-L-AL</x:v>
      </x:c>
      <x:c r="E2129" s="14" t="n">
        <x:v>10</x:v>
      </x:c>
      <x:c r="F2129" s="2" t="str">
        <x:v>Final leak / function test</x:v>
      </x:c>
      <x:c r="G2129" s="9" t="str">
        <x:v>QA-03</x:v>
      </x:c>
      <x:c r="H2129" s="15" t="n">
        <x:v>97</x:v>
      </x:c>
      <x:c r="I2129" s="9" t="str">
        <x:v>P12</x:v>
      </x:c>
      <x:c r="J2129" s="11" t="n">
        <x:v>46308.319444444445</x:v>
      </x:c>
      <x:c r="K2129" s="15" t="n">
        <x:v>10</x:v>
      </x:c>
      <x:c r="L2129" s="15" t="n">
        <x:v>12</x:v>
      </x:c>
      <x:c r="M2129" s="13" t="n">
        <x:f>J2129+(K2129+L2129)/1440</x:f>
        <x:v>46308.33472222222</x:v>
      </x:c>
      <x:c r="N2129" s="13" t="n">
        <x:f>VLOOKUP(C2129,'MES orders'!$A$8:$H$127,5,FALSE)</x:f>
        <x:v>46308.666666666664</x:v>
      </x:c>
      <x:c r="O2129" s="16" t="n">
        <x:f>MAX(0,(M2129-N2129)*24)</x:f>
        <x:v>0</x:v>
      </x:c>
      <x:c r="P2129" s="9" t="str">
        <x:v>No</x:v>
      </x:c>
      <x:c r="Q2129" s="15" t="n">
        <x:v>22</x:v>
      </x:c>
      <x:c r="R2129" s="13" t="n">
        <x:f>J2129+Q2129/1440</x:f>
        <x:v>46308.33472222222</x:v>
      </x:c>
      <x:c r="S2129" s="2" t="str">
        <x:f>VLOOKUP(C2129,'MES orders'!$A$8:$H$127,6,FALSE)</x:f>
        <x:v>Normal</x:v>
      </x:c>
      <x:c r="T2129" s="9" t="str"/>
    </x:row>
    <x:row r="2130" ht="22" customHeight="1">
      <x:c r="A2130" s="2" t="str">
        <x:v>L00183-030</x:v>
      </x:c>
      <x:c r="B2130" s="2" t="str">
        <x:v>L00183</x:v>
      </x:c>
      <x:c r="C2130" s="2" t="str">
        <x:v>SO-26037</x:v>
      </x:c>
      <x:c r="D2130" s="2" t="str">
        <x:v>D-C-AL</x:v>
      </x:c>
      <x:c r="E2130" s="14" t="n">
        <x:v>5</x:v>
      </x:c>
      <x:c r="F2130" s="2" t="str">
        <x:v>Wash &amp; dry</x:v>
      </x:c>
      <x:c r="G2130" s="9" t="str">
        <x:v>WS-02</x:v>
      </x:c>
      <x:c r="H2130" s="15" t="n">
        <x:v>137</x:v>
      </x:c>
      <x:c r="I2130" s="9" t="str">
        <x:v>P06</x:v>
      </x:c>
      <x:c r="J2130" s="11" t="n">
        <x:v>46308.319444444445</x:v>
      </x:c>
      <x:c r="K2130" s="15" t="n">
        <x:v>12</x:v>
      </x:c>
      <x:c r="L2130" s="15" t="n">
        <x:v>1</x:v>
      </x:c>
      <x:c r="M2130" s="13" t="n">
        <x:f>J2130+(K2130+L2130)/1440</x:f>
        <x:v>46308.32847222222</x:v>
      </x:c>
      <x:c r="N2130" s="13" t="n">
        <x:f>VLOOKUP(C2130,'MES orders'!$A$8:$H$127,5,FALSE)</x:f>
        <x:v>46308.666666666664</x:v>
      </x:c>
      <x:c r="O2130" s="16" t="n">
        <x:f>MAX(0,(M2130-N2130)*24)</x:f>
        <x:v>0</x:v>
      </x:c>
      <x:c r="P2130" s="9" t="str">
        <x:v>No</x:v>
      </x:c>
      <x:c r="Q2130" s="15" t="n">
        <x:v>13</x:v>
      </x:c>
      <x:c r="R2130" s="13" t="n">
        <x:f>J2130+Q2130/1440</x:f>
        <x:v>46308.32847222222</x:v>
      </x:c>
      <x:c r="S2130" s="2" t="str">
        <x:f>VLOOKUP(C2130,'MES orders'!$A$8:$H$127,6,FALSE)</x:f>
        <x:v>Normal</x:v>
      </x:c>
      <x:c r="T2130" s="9" t="str"/>
    </x:row>
    <x:row r="2131" ht="22" customHeight="1">
      <x:c r="A2131" s="2" t="str">
        <x:v>L00301-010</x:v>
      </x:c>
      <x:c r="B2131" s="2" t="str">
        <x:v>L00301</x:v>
      </x:c>
      <x:c r="C2131" s="2" t="str">
        <x:v>SO-26061</x:v>
      </x:c>
      <x:c r="D2131" s="2" t="str">
        <x:v>R-C-AL</x:v>
      </x:c>
      <x:c r="E2131" s="14" t="n">
        <x:v>10</x:v>
      </x:c>
      <x:c r="F2131" s="2" t="str">
        <x:v>CNC machining</x:v>
      </x:c>
      <x:c r="G2131" s="9" t="str">
        <x:v>CNC-02</x:v>
      </x:c>
      <x:c r="H2131" s="15" t="n">
        <x:v>42</x:v>
      </x:c>
      <x:c r="I2131" s="9" t="str">
        <x:v>P02</x:v>
      </x:c>
      <x:c r="J2131" s="11" t="n">
        <x:v>46308.32083333333</x:v>
      </x:c>
      <x:c r="K2131" s="15" t="n">
        <x:v>18</x:v>
      </x:c>
      <x:c r="L2131" s="15" t="n">
        <x:v>19</x:v>
      </x:c>
      <x:c r="M2131" s="13" t="n">
        <x:f>J2131+(K2131+L2131)/1440</x:f>
        <x:v>46308.34652777777</x:v>
      </x:c>
      <x:c r="N2131" s="13" t="n">
        <x:f>VLOOKUP(C2131,'MES orders'!$A$8:$H$127,5,FALSE)</x:f>
        <x:v>46308.666666666664</x:v>
      </x:c>
      <x:c r="O2131" s="16" t="n">
        <x:f>MAX(0,(M2131-N2131)*24)</x:f>
        <x:v>0</x:v>
      </x:c>
      <x:c r="P2131" s="9" t="str">
        <x:v>No</x:v>
      </x:c>
      <x:c r="Q2131" s="15" t="n">
        <x:v>18</x:v>
      </x:c>
      <x:c r="R2131" s="13" t="n">
        <x:f>J2131+Q2131/1440</x:f>
        <x:v>46308.33333333333</x:v>
      </x:c>
      <x:c r="S2131" s="2" t="str">
        <x:f>VLOOKUP(C2131,'MES orders'!$A$8:$H$127,6,FALSE)</x:f>
        <x:v>Normal</x:v>
      </x:c>
      <x:c r="T2131" s="9" t="str"/>
    </x:row>
    <x:row r="2132" ht="22" customHeight="1">
      <x:c r="A2132" s="2" t="str">
        <x:v>L00262-010</x:v>
      </x:c>
      <x:c r="B2132" s="2" t="str">
        <x:v>L00262</x:v>
      </x:c>
      <x:c r="C2132" s="2" t="str">
        <x:v>SO-26053</x:v>
      </x:c>
      <x:c r="D2132" s="2" t="str">
        <x:v>D-L-AL</x:v>
      </x:c>
      <x:c r="E2132" s="14" t="n">
        <x:v>15</x:v>
      </x:c>
      <x:c r="F2132" s="2" t="str">
        <x:v>CNC machining</x:v>
      </x:c>
      <x:c r="G2132" s="9" t="str">
        <x:v>CNC-03</x:v>
      </x:c>
      <x:c r="H2132" s="15" t="n">
        <x:v>68</x:v>
      </x:c>
      <x:c r="I2132" s="9" t="str">
        <x:v>P01</x:v>
      </x:c>
      <x:c r="J2132" s="11" t="n">
        <x:v>46308.32083333333</x:v>
      </x:c>
      <x:c r="K2132" s="15" t="n">
        <x:v>18</x:v>
      </x:c>
      <x:c r="L2132" s="15" t="n">
        <x:v>49</x:v>
      </x:c>
      <x:c r="M2132" s="13" t="n">
        <x:f>J2132+(K2132+L2132)/1440</x:f>
        <x:v>46308.36736111111</x:v>
      </x:c>
      <x:c r="N2132" s="13" t="n">
        <x:f>VLOOKUP(C2132,'MES orders'!$A$8:$H$127,5,FALSE)</x:f>
        <x:v>46308.666666666664</x:v>
      </x:c>
      <x:c r="O2132" s="16" t="n">
        <x:f>MAX(0,(M2132-N2132)*24)</x:f>
        <x:v>0</x:v>
      </x:c>
      <x:c r="P2132" s="9" t="str">
        <x:v>No</x:v>
      </x:c>
      <x:c r="Q2132" s="15" t="n">
        <x:v>18</x:v>
      </x:c>
      <x:c r="R2132" s="13" t="n">
        <x:f>J2132+Q2132/1440</x:f>
        <x:v>46308.33333333333</x:v>
      </x:c>
      <x:c r="S2132" s="2" t="str">
        <x:f>VLOOKUP(C2132,'MES orders'!$A$8:$H$127,6,FALSE)</x:f>
        <x:v>Normal</x:v>
      </x:c>
      <x:c r="T2132" s="9" t="str"/>
    </x:row>
    <x:row r="2133" ht="22" customHeight="1">
      <x:c r="A2133" s="2" t="str">
        <x:v>L00185-020</x:v>
      </x:c>
      <x:c r="B2133" s="2" t="str">
        <x:v>L00185</x:v>
      </x:c>
      <x:c r="C2133" s="2" t="str">
        <x:v>SO-26037</x:v>
      </x:c>
      <x:c r="D2133" s="2" t="str">
        <x:v>D-C-AL</x:v>
      </x:c>
      <x:c r="E2133" s="14" t="n">
        <x:v>5</x:v>
      </x:c>
      <x:c r="F2133" s="2" t="str">
        <x:v>Deburr &amp; inspect</x:v>
      </x:c>
      <x:c r="G2133" s="9" t="str">
        <x:v>DB-01</x:v>
      </x:c>
      <x:c r="H2133" s="15" t="n">
        <x:v>200</x:v>
      </x:c>
      <x:c r="I2133" s="9" t="str">
        <x:v>P05</x:v>
      </x:c>
      <x:c r="J2133" s="11" t="n">
        <x:v>46308.322916666664</x:v>
      </x:c>
      <x:c r="K2133" s="15" t="n">
        <x:v>4</x:v>
      </x:c>
      <x:c r="L2133" s="15" t="n">
        <x:v>3</x:v>
      </x:c>
      <x:c r="M2133" s="13" t="n">
        <x:f>J2133+(K2133+L2133)/1440</x:f>
        <x:v>46308.32777777778</x:v>
      </x:c>
      <x:c r="N2133" s="13" t="n">
        <x:f>VLOOKUP(C2133,'MES orders'!$A$8:$H$127,5,FALSE)</x:f>
        <x:v>46308.666666666664</x:v>
      </x:c>
      <x:c r="O2133" s="16" t="n">
        <x:f>MAX(0,(M2133-N2133)*24)</x:f>
        <x:v>0</x:v>
      </x:c>
      <x:c r="P2133" s="9" t="str">
        <x:v>No</x:v>
      </x:c>
      <x:c r="Q2133" s="15" t="n">
        <x:v>7</x:v>
      </x:c>
      <x:c r="R2133" s="13" t="n">
        <x:f>J2133+Q2133/1440</x:f>
        <x:v>46308.32777777778</x:v>
      </x:c>
      <x:c r="S2133" s="2" t="str">
        <x:f>VLOOKUP(C2133,'MES orders'!$A$8:$H$127,6,FALSE)</x:f>
        <x:v>Normal</x:v>
      </x:c>
      <x:c r="T2133" s="9" t="str"/>
    </x:row>
    <x:row r="2134" ht="22" customHeight="1">
      <x:c r="A2134" s="2" t="str">
        <x:v>L00182-040</x:v>
      </x:c>
      <x:c r="B2134" s="2" t="str">
        <x:v>L00182</x:v>
      </x:c>
      <x:c r="C2134" s="2" t="str">
        <x:v>SO-26037</x:v>
      </x:c>
      <x:c r="D2134" s="2" t="str">
        <x:v>D-C-AL</x:v>
      </x:c>
      <x:c r="E2134" s="14" t="n">
        <x:v>5</x:v>
      </x:c>
      <x:c r="F2134" s="2" t="str">
        <x:v>Mechanical assembly</x:v>
      </x:c>
      <x:c r="G2134" s="9" t="str">
        <x:v>AS-01</x:v>
      </x:c>
      <x:c r="H2134" s="15" t="n">
        <x:v>173</x:v>
      </x:c>
      <x:c r="I2134" s="9" t="str">
        <x:v>P04</x:v>
      </x:c>
      <x:c r="J2134" s="11" t="n">
        <x:v>46308.32361111111</x:v>
      </x:c>
      <x:c r="K2134" s="15" t="n">
        <x:v>8</x:v>
      </x:c>
      <x:c r="L2134" s="15" t="n">
        <x:v>7</x:v>
      </x:c>
      <x:c r="M2134" s="13" t="n">
        <x:f>J2134+(K2134+L2134)/1440</x:f>
        <x:v>46308.334027777775</x:v>
      </x:c>
      <x:c r="N2134" s="13" t="n">
        <x:f>VLOOKUP(C2134,'MES orders'!$A$8:$H$127,5,FALSE)</x:f>
        <x:v>46308.666666666664</x:v>
      </x:c>
      <x:c r="O2134" s="16" t="n">
        <x:f>MAX(0,(M2134-N2134)*24)</x:f>
        <x:v>0</x:v>
      </x:c>
      <x:c r="P2134" s="9" t="str">
        <x:v>No</x:v>
      </x:c>
      <x:c r="Q2134" s="15" t="n">
        <x:v>15</x:v>
      </x:c>
      <x:c r="R2134" s="13" t="n">
        <x:f>J2134+Q2134/1440</x:f>
        <x:v>46308.334027777775</x:v>
      </x:c>
      <x:c r="S2134" s="2" t="str">
        <x:f>VLOOKUP(C2134,'MES orders'!$A$8:$H$127,6,FALSE)</x:f>
        <x:v>Normal</x:v>
      </x:c>
      <x:c r="T2134" s="9" t="str"/>
    </x:row>
    <x:row r="2135" ht="22" customHeight="1">
      <x:c r="A2135" s="2" t="str">
        <x:v>L00025-060</x:v>
      </x:c>
      <x:c r="B2135" s="2" t="str">
        <x:v>L00025</x:v>
      </x:c>
      <x:c r="C2135" s="2" t="str">
        <x:v>SO-26005</x:v>
      </x:c>
      <x:c r="D2135" s="2" t="str">
        <x:v>R-L-AL</x:v>
      </x:c>
      <x:c r="E2135" s="14" t="n">
        <x:v>10</x:v>
      </x:c>
      <x:c r="F2135" s="2" t="str">
        <x:v>Final leak / function test</x:v>
      </x:c>
      <x:c r="G2135" s="9" t="str">
        <x:v>QA-02</x:v>
      </x:c>
      <x:c r="H2135" s="15" t="n">
        <x:v>154</x:v>
      </x:c>
      <x:c r="I2135" s="9" t="str">
        <x:v>P11</x:v>
      </x:c>
      <x:c r="J2135" s="11" t="n">
        <x:v>46308.32638888889</x:v>
      </x:c>
      <x:c r="K2135" s="15" t="n">
        <x:v>10</x:v>
      </x:c>
      <x:c r="L2135" s="15" t="n">
        <x:v>12</x:v>
      </x:c>
      <x:c r="M2135" s="13" t="n">
        <x:f>J2135+(K2135+L2135)/1440</x:f>
        <x:v>46308.34166666667</x:v>
      </x:c>
      <x:c r="N2135" s="13" t="n">
        <x:f>VLOOKUP(C2135,'MES orders'!$A$8:$H$127,5,FALSE)</x:f>
        <x:v>46308.666666666664</x:v>
      </x:c>
      <x:c r="O2135" s="16" t="n">
        <x:f>MAX(0,(M2135-N2135)*24)</x:f>
        <x:v>0</x:v>
      </x:c>
      <x:c r="P2135" s="9" t="str">
        <x:v>No</x:v>
      </x:c>
      <x:c r="Q2135" s="15" t="n">
        <x:v>22</x:v>
      </x:c>
      <x:c r="R2135" s="13" t="n">
        <x:f>J2135+Q2135/1440</x:f>
        <x:v>46308.34166666667</x:v>
      </x:c>
      <x:c r="S2135" s="2" t="str">
        <x:f>VLOOKUP(C2135,'MES orders'!$A$8:$H$127,6,FALSE)</x:f>
        <x:v>Normal</x:v>
      </x:c>
      <x:c r="T2135" s="9" t="str"/>
    </x:row>
    <x:row r="2136" ht="22" customHeight="1">
      <x:c r="A2136" s="2" t="str">
        <x:v>L00183-040</x:v>
      </x:c>
      <x:c r="B2136" s="2" t="str">
        <x:v>L00183</x:v>
      </x:c>
      <x:c r="C2136" s="2" t="str">
        <x:v>SO-26037</x:v>
      </x:c>
      <x:c r="D2136" s="2" t="str">
        <x:v>D-C-AL</x:v>
      </x:c>
      <x:c r="E2136" s="14" t="n">
        <x:v>5</x:v>
      </x:c>
      <x:c r="F2136" s="2" t="str">
        <x:v>Mechanical assembly</x:v>
      </x:c>
      <x:c r="G2136" s="9" t="str">
        <x:v>AS-02</x:v>
      </x:c>
      <x:c r="H2136" s="15" t="n">
        <x:v>140</x:v>
      </x:c>
      <x:c r="I2136" s="9" t="str">
        <x:v>P05</x:v>
      </x:c>
      <x:c r="J2136" s="11" t="n">
        <x:v>46308.32847222222</x:v>
      </x:c>
      <x:c r="K2136" s="15" t="n">
        <x:v>8</x:v>
      </x:c>
      <x:c r="L2136" s="15" t="n">
        <x:v>7</x:v>
      </x:c>
      <x:c r="M2136" s="13" t="n">
        <x:f>J2136+(K2136+L2136)/1440</x:f>
        <x:v>46308.33888888889</x:v>
      </x:c>
      <x:c r="N2136" s="13" t="n">
        <x:f>VLOOKUP(C2136,'MES orders'!$A$8:$H$127,5,FALSE)</x:f>
        <x:v>46308.666666666664</x:v>
      </x:c>
      <x:c r="O2136" s="16" t="n">
        <x:f>MAX(0,(M2136-N2136)*24)</x:f>
        <x:v>0</x:v>
      </x:c>
      <x:c r="P2136" s="9" t="str">
        <x:v>No</x:v>
      </x:c>
      <x:c r="Q2136" s="15" t="n">
        <x:v>15</x:v>
      </x:c>
      <x:c r="R2136" s="13" t="n">
        <x:f>J2136+Q2136/1440</x:f>
        <x:v>46308.33888888889</x:v>
      </x:c>
      <x:c r="S2136" s="2" t="str">
        <x:f>VLOOKUP(C2136,'MES orders'!$A$8:$H$127,6,FALSE)</x:f>
        <x:v>Normal</x:v>
      </x:c>
      <x:c r="T2136" s="9" t="str"/>
    </x:row>
    <x:row r="2137" ht="22" customHeight="1">
      <x:c r="A2137" s="2" t="str">
        <x:v>L00105-060</x:v>
      </x:c>
      <x:c r="B2137" s="2" t="str">
        <x:v>L00105</x:v>
      </x:c>
      <x:c r="C2137" s="2" t="str">
        <x:v>SO-26021</x:v>
      </x:c>
      <x:c r="D2137" s="2" t="str">
        <x:v>S-S-AL</x:v>
      </x:c>
      <x:c r="E2137" s="14" t="n">
        <x:v>10</x:v>
      </x:c>
      <x:c r="F2137" s="2" t="str">
        <x:v>Sensor calibration</x:v>
      </x:c>
      <x:c r="G2137" s="9" t="str">
        <x:v>CAL-01</x:v>
      </x:c>
      <x:c r="H2137" s="15" t="n">
        <x:v>115</x:v>
      </x:c>
      <x:c r="I2137" s="9" t="str">
        <x:v>P09</x:v>
      </x:c>
      <x:c r="J2137" s="11" t="n">
        <x:v>46308.32847222222</x:v>
      </x:c>
      <x:c r="K2137" s="15" t="n">
        <x:v>10</x:v>
      </x:c>
      <x:c r="L2137" s="15" t="n">
        <x:v>13</x:v>
      </x:c>
      <x:c r="M2137" s="13" t="n">
        <x:f>J2137+(K2137+L2137)/1440</x:f>
        <x:v>46308.34444444445</x:v>
      </x:c>
      <x:c r="N2137" s="13" t="n">
        <x:f>VLOOKUP(C2137,'MES orders'!$A$8:$H$127,5,FALSE)</x:f>
        <x:v>46308.666666666664</x:v>
      </x:c>
      <x:c r="O2137" s="16" t="n">
        <x:f>MAX(0,(M2137-N2137)*24)</x:f>
        <x:v>0</x:v>
      </x:c>
      <x:c r="P2137" s="9" t="str">
        <x:v>No</x:v>
      </x:c>
      <x:c r="Q2137" s="15" t="n">
        <x:v>23</x:v>
      </x:c>
      <x:c r="R2137" s="13" t="n">
        <x:f>J2137+Q2137/1440</x:f>
        <x:v>46308.34444444445</x:v>
      </x:c>
      <x:c r="S2137" s="2" t="str">
        <x:f>VLOOKUP(C2137,'MES orders'!$A$8:$H$127,6,FALSE)</x:f>
        <x:v>Normal</x:v>
      </x:c>
      <x:c r="T2137" s="9" t="str"/>
    </x:row>
    <x:row r="2138" ht="22" customHeight="1">
      <x:c r="A2138" s="2" t="str">
        <x:v>L00184-030</x:v>
      </x:c>
      <x:c r="B2138" s="2" t="str">
        <x:v>L00184</x:v>
      </x:c>
      <x:c r="C2138" s="2" t="str">
        <x:v>SO-26037</x:v>
      </x:c>
      <x:c r="D2138" s="2" t="str">
        <x:v>D-C-AL</x:v>
      </x:c>
      <x:c r="E2138" s="14" t="n">
        <x:v>5</x:v>
      </x:c>
      <x:c r="F2138" s="2" t="str">
        <x:v>Wash &amp; dry</x:v>
      </x:c>
      <x:c r="G2138" s="9" t="str">
        <x:v>WS-01</x:v>
      </x:c>
      <x:c r="H2138" s="15" t="n">
        <x:v>197</x:v>
      </x:c>
      <x:c r="I2138" s="9" t="str">
        <x:v>P06</x:v>
      </x:c>
      <x:c r="J2138" s="11" t="n">
        <x:v>46308.32847222222</x:v>
      </x:c>
      <x:c r="K2138" s="15" t="n">
        <x:v>12</x:v>
      </x:c>
      <x:c r="L2138" s="15" t="n">
        <x:v>1</x:v>
      </x:c>
      <x:c r="M2138" s="13" t="n">
        <x:f>J2138+(K2138+L2138)/1440</x:f>
        <x:v>46308.3375</x:v>
      </x:c>
      <x:c r="N2138" s="13" t="n">
        <x:f>VLOOKUP(C2138,'MES orders'!$A$8:$H$127,5,FALSE)</x:f>
        <x:v>46308.666666666664</x:v>
      </x:c>
      <x:c r="O2138" s="16" t="n">
        <x:f>MAX(0,(M2138-N2138)*24)</x:f>
        <x:v>0</x:v>
      </x:c>
      <x:c r="P2138" s="9" t="str">
        <x:v>No</x:v>
      </x:c>
      <x:c r="Q2138" s="15" t="n">
        <x:v>13</x:v>
      </x:c>
      <x:c r="R2138" s="13" t="n">
        <x:f>J2138+Q2138/1440</x:f>
        <x:v>46308.3375</x:v>
      </x:c>
      <x:c r="S2138" s="2" t="str">
        <x:f>VLOOKUP(C2138,'MES orders'!$A$8:$H$127,6,FALSE)</x:f>
        <x:v>Normal</x:v>
      </x:c>
      <x:c r="T2138" s="9" t="str"/>
    </x:row>
    <x:row r="2139" ht="22" customHeight="1">
      <x:c r="A2139" s="2" t="str">
        <x:v>L00263-010</x:v>
      </x:c>
      <x:c r="B2139" s="2" t="str">
        <x:v>L00263</x:v>
      </x:c>
      <x:c r="C2139" s="2" t="str">
        <x:v>SO-26053</x:v>
      </x:c>
      <x:c r="D2139" s="2" t="str">
        <x:v>D-L-AL</x:v>
      </x:c>
      <x:c r="E2139" s="14" t="n">
        <x:v>15</x:v>
      </x:c>
      <x:c r="F2139" s="2" t="str">
        <x:v>CNC machining</x:v>
      </x:c>
      <x:c r="G2139" s="9" t="str">
        <x:v>CNC-04</x:v>
      </x:c>
      <x:c r="H2139" s="15" t="n">
        <x:v>65</x:v>
      </x:c>
      <x:c r="I2139" s="9" t="str">
        <x:v>P02</x:v>
      </x:c>
      <x:c r="J2139" s="11" t="n">
        <x:v>46308.333333333336</x:v>
      </x:c>
      <x:c r="K2139" s="15" t="n">
        <x:v>18</x:v>
      </x:c>
      <x:c r="L2139" s="15" t="n">
        <x:v>49</x:v>
      </x:c>
      <x:c r="M2139" s="13" t="n">
        <x:f>J2139+(K2139+L2139)/1440</x:f>
        <x:v>46308.37986111111</x:v>
      </x:c>
      <x:c r="N2139" s="13" t="n">
        <x:f>VLOOKUP(C2139,'MES orders'!$A$8:$H$127,5,FALSE)</x:f>
        <x:v>46308.666666666664</x:v>
      </x:c>
      <x:c r="O2139" s="16" t="n">
        <x:f>MAX(0,(M2139-N2139)*24)</x:f>
        <x:v>0</x:v>
      </x:c>
      <x:c r="P2139" s="9" t="str">
        <x:v>No</x:v>
      </x:c>
      <x:c r="Q2139" s="15" t="n">
        <x:v>18</x:v>
      </x:c>
      <x:c r="R2139" s="13" t="n">
        <x:f>J2139+Q2139/1440</x:f>
        <x:v>46308.34583333333</x:v>
      </x:c>
      <x:c r="S2139" s="2" t="str">
        <x:f>VLOOKUP(C2139,'MES orders'!$A$8:$H$127,6,FALSE)</x:f>
        <x:v>Normal</x:v>
      </x:c>
      <x:c r="T2139" s="9" t="str"/>
    </x:row>
    <x:row r="2140" ht="22" customHeight="1">
      <x:c r="A2140" s="2" t="str">
        <x:v>L00264-010</x:v>
      </x:c>
      <x:c r="B2140" s="2" t="str">
        <x:v>L00264</x:v>
      </x:c>
      <x:c r="C2140" s="2" t="str">
        <x:v>SO-26053</x:v>
      </x:c>
      <x:c r="D2140" s="2" t="str">
        <x:v>D-L-AL</x:v>
      </x:c>
      <x:c r="E2140" s="14" t="n">
        <x:v>15</x:v>
      </x:c>
      <x:c r="F2140" s="2" t="str">
        <x:v>CNC machining</x:v>
      </x:c>
      <x:c r="G2140" s="9" t="str">
        <x:v>CNC-05</x:v>
      </x:c>
      <x:c r="H2140" s="15" t="n">
        <x:v>58</x:v>
      </x:c>
      <x:c r="I2140" s="9" t="str">
        <x:v>P03</x:v>
      </x:c>
      <x:c r="J2140" s="11" t="n">
        <x:v>46308.333333333336</x:v>
      </x:c>
      <x:c r="K2140" s="15" t="n">
        <x:v>18</x:v>
      </x:c>
      <x:c r="L2140" s="15" t="n">
        <x:v>49</x:v>
      </x:c>
      <x:c r="M2140" s="13" t="n">
        <x:f>J2140+(K2140+L2140)/1440</x:f>
        <x:v>46308.37986111111</x:v>
      </x:c>
      <x:c r="N2140" s="13" t="n">
        <x:f>VLOOKUP(C2140,'MES orders'!$A$8:$H$127,5,FALSE)</x:f>
        <x:v>46308.666666666664</x:v>
      </x:c>
      <x:c r="O2140" s="16" t="n">
        <x:f>MAX(0,(M2140-N2140)*24)</x:f>
        <x:v>0</x:v>
      </x:c>
      <x:c r="P2140" s="9" t="str">
        <x:v>No</x:v>
      </x:c>
      <x:c r="Q2140" s="15" t="n">
        <x:v>18</x:v>
      </x:c>
      <x:c r="R2140" s="13" t="n">
        <x:f>J2140+Q2140/1440</x:f>
        <x:v>46308.34583333333</x:v>
      </x:c>
      <x:c r="S2140" s="2" t="str">
        <x:f>VLOOKUP(C2140,'MES orders'!$A$8:$H$127,6,FALSE)</x:f>
        <x:v>Normal</x:v>
      </x:c>
      <x:c r="T2140" s="9" t="str"/>
    </x:row>
    <x:row r="2141" ht="22" customHeight="1">
      <x:c r="A2141" s="2" t="str">
        <x:v>L00103-080</x:v>
      </x:c>
      <x:c r="B2141" s="2" t="str">
        <x:v>L00103</x:v>
      </x:c>
      <x:c r="C2141" s="2" t="str">
        <x:v>SO-26021</x:v>
      </x:c>
      <x:c r="D2141" s="2" t="str">
        <x:v>S-S-AL</x:v>
      </x:c>
      <x:c r="E2141" s="14" t="n">
        <x:v>10</x:v>
      </x:c>
      <x:c r="F2141" s="2" t="str">
        <x:v>Final leak / function test</x:v>
      </x:c>
      <x:c r="G2141" s="9" t="str">
        <x:v>QA-03</x:v>
      </x:c>
      <x:c r="H2141" s="15" t="n">
        <x:v>98</x:v>
      </x:c>
      <x:c r="I2141" s="9" t="str">
        <x:v>P12</x:v>
      </x:c>
      <x:c r="J2141" s="11" t="n">
        <x:v>46308.33472222222</x:v>
      </x:c>
      <x:c r="K2141" s="15" t="n">
        <x:v>10</x:v>
      </x:c>
      <x:c r="L2141" s="15" t="n">
        <x:v>9</x:v>
      </x:c>
      <x:c r="M2141" s="13" t="n">
        <x:f>J2141+(K2141+L2141)/1440</x:f>
        <x:v>46308.347916666666</x:v>
      </x:c>
      <x:c r="N2141" s="13" t="n">
        <x:f>VLOOKUP(C2141,'MES orders'!$A$8:$H$127,5,FALSE)</x:f>
        <x:v>46308.666666666664</x:v>
      </x:c>
      <x:c r="O2141" s="16" t="n">
        <x:f>MAX(0,(M2141-N2141)*24)</x:f>
        <x:v>0</x:v>
      </x:c>
      <x:c r="P2141" s="9" t="str">
        <x:v>No</x:v>
      </x:c>
      <x:c r="Q2141" s="15" t="n">
        <x:v>19</x:v>
      </x:c>
      <x:c r="R2141" s="13" t="n">
        <x:f>J2141+Q2141/1440</x:f>
        <x:v>46308.347916666666</x:v>
      </x:c>
      <x:c r="S2141" s="2" t="str">
        <x:f>VLOOKUP(C2141,'MES orders'!$A$8:$H$127,6,FALSE)</x:f>
        <x:v>Normal</x:v>
      </x:c>
      <x:c r="T2141" s="9" t="str"/>
    </x:row>
    <x:row r="2142" ht="22" customHeight="1">
      <x:c r="A2142" s="2" t="str">
        <x:v>L00184-040</x:v>
      </x:c>
      <x:c r="B2142" s="2" t="str">
        <x:v>L00184</x:v>
      </x:c>
      <x:c r="C2142" s="2" t="str">
        <x:v>SO-26037</x:v>
      </x:c>
      <x:c r="D2142" s="2" t="str">
        <x:v>D-C-AL</x:v>
      </x:c>
      <x:c r="E2142" s="14" t="n">
        <x:v>5</x:v>
      </x:c>
      <x:c r="F2142" s="2" t="str">
        <x:v>Mechanical assembly</x:v>
      </x:c>
      <x:c r="G2142" s="9" t="str">
        <x:v>AS-03</x:v>
      </x:c>
      <x:c r="H2142" s="15" t="n">
        <x:v>113</x:v>
      </x:c>
      <x:c r="I2142" s="9" t="str">
        <x:v>P04</x:v>
      </x:c>
      <x:c r="J2142" s="11" t="n">
        <x:v>46308.3375</x:v>
      </x:c>
      <x:c r="K2142" s="15" t="n">
        <x:v>8</x:v>
      </x:c>
      <x:c r="L2142" s="15" t="n">
        <x:v>7</x:v>
      </x:c>
      <x:c r="M2142" s="13" t="n">
        <x:f>J2142+(K2142+L2142)/1440</x:f>
        <x:v>46308.347916666666</x:v>
      </x:c>
      <x:c r="N2142" s="13" t="n">
        <x:f>VLOOKUP(C2142,'MES orders'!$A$8:$H$127,5,FALSE)</x:f>
        <x:v>46308.666666666664</x:v>
      </x:c>
      <x:c r="O2142" s="16" t="n">
        <x:f>MAX(0,(M2142-N2142)*24)</x:f>
        <x:v>0</x:v>
      </x:c>
      <x:c r="P2142" s="9" t="str">
        <x:v>No</x:v>
      </x:c>
      <x:c r="Q2142" s="15" t="n">
        <x:v>15</x:v>
      </x:c>
      <x:c r="R2142" s="13" t="n">
        <x:f>J2142+Q2142/1440</x:f>
        <x:v>46308.347916666666</x:v>
      </x:c>
      <x:c r="S2142" s="2" t="str">
        <x:f>VLOOKUP(C2142,'MES orders'!$A$8:$H$127,6,FALSE)</x:f>
        <x:v>Normal</x:v>
      </x:c>
      <x:c r="T2142" s="9" t="str"/>
    </x:row>
    <x:row r="2143" ht="22" customHeight="1">
      <x:c r="A2143" s="2" t="str">
        <x:v>L00185-030</x:v>
      </x:c>
      <x:c r="B2143" s="2" t="str">
        <x:v>L00185</x:v>
      </x:c>
      <x:c r="C2143" s="2" t="str">
        <x:v>SO-26037</x:v>
      </x:c>
      <x:c r="D2143" s="2" t="str">
        <x:v>D-C-AL</x:v>
      </x:c>
      <x:c r="E2143" s="14" t="n">
        <x:v>5</x:v>
      </x:c>
      <x:c r="F2143" s="2" t="str">
        <x:v>Wash &amp; dry</x:v>
      </x:c>
      <x:c r="G2143" s="9" t="str">
        <x:v>WS-01</x:v>
      </x:c>
      <x:c r="H2143" s="15" t="n">
        <x:v>198</x:v>
      </x:c>
      <x:c r="I2143" s="9" t="str">
        <x:v>P06</x:v>
      </x:c>
      <x:c r="J2143" s="11" t="n">
        <x:v>46308.3375</x:v>
      </x:c>
      <x:c r="K2143" s="15" t="n">
        <x:v>12</x:v>
      </x:c>
      <x:c r="L2143" s="15" t="n">
        <x:v>1</x:v>
      </x:c>
      <x:c r="M2143" s="13" t="n">
        <x:f>J2143+(K2143+L2143)/1440</x:f>
        <x:v>46308.34652777778</x:v>
      </x:c>
      <x:c r="N2143" s="13" t="n">
        <x:f>VLOOKUP(C2143,'MES orders'!$A$8:$H$127,5,FALSE)</x:f>
        <x:v>46308.666666666664</x:v>
      </x:c>
      <x:c r="O2143" s="16" t="n">
        <x:f>MAX(0,(M2143-N2143)*24)</x:f>
        <x:v>0</x:v>
      </x:c>
      <x:c r="P2143" s="9" t="str">
        <x:v>No</x:v>
      </x:c>
      <x:c r="Q2143" s="15" t="n">
        <x:v>13</x:v>
      </x:c>
      <x:c r="R2143" s="13" t="n">
        <x:f>J2143+Q2143/1440</x:f>
        <x:v>46308.34652777778</x:v>
      </x:c>
      <x:c r="S2143" s="2" t="str">
        <x:f>VLOOKUP(C2143,'MES orders'!$A$8:$H$127,6,FALSE)</x:f>
        <x:v>Normal</x:v>
      </x:c>
      <x:c r="T2143" s="9" t="str"/>
    </x:row>
    <x:row r="2144" ht="22" customHeight="1">
      <x:c r="A2144" s="2" t="str">
        <x:v>L00261-020</x:v>
      </x:c>
      <x:c r="B2144" s="2" t="str">
        <x:v>L00261</x:v>
      </x:c>
      <x:c r="C2144" s="2" t="str">
        <x:v>SO-26053</x:v>
      </x:c>
      <x:c r="D2144" s="2" t="str">
        <x:v>D-L-AL</x:v>
      </x:c>
      <x:c r="E2144" s="14" t="n">
        <x:v>15</x:v>
      </x:c>
      <x:c r="F2144" s="2" t="str">
        <x:v>Deburr &amp; inspect</x:v>
      </x:c>
      <x:c r="G2144" s="9" t="str">
        <x:v>DB-02</x:v>
      </x:c>
      <x:c r="H2144" s="15" t="n">
        <x:v>136</x:v>
      </x:c>
      <x:c r="I2144" s="9" t="str">
        <x:v>P01</x:v>
      </x:c>
      <x:c r="J2144" s="11" t="n">
        <x:v>46308.33819444444</x:v>
      </x:c>
      <x:c r="K2144" s="15" t="n">
        <x:v>4</x:v>
      </x:c>
      <x:c r="L2144" s="15" t="n">
        <x:v>14</x:v>
      </x:c>
      <x:c r="M2144" s="13" t="n">
        <x:f>J2144+(K2144+L2144)/1440</x:f>
        <x:v>46308.35069444444</x:v>
      </x:c>
      <x:c r="N2144" s="13" t="n">
        <x:f>VLOOKUP(C2144,'MES orders'!$A$8:$H$127,5,FALSE)</x:f>
        <x:v>46308.666666666664</x:v>
      </x:c>
      <x:c r="O2144" s="16" t="n">
        <x:f>MAX(0,(M2144-N2144)*24)</x:f>
        <x:v>0</x:v>
      </x:c>
      <x:c r="P2144" s="9" t="str">
        <x:v>No</x:v>
      </x:c>
      <x:c r="Q2144" s="15" t="n">
        <x:v>18</x:v>
      </x:c>
      <x:c r="R2144" s="13" t="n">
        <x:f>J2144+Q2144/1440</x:f>
        <x:v>46308.35069444444</x:v>
      </x:c>
      <x:c r="S2144" s="2" t="str">
        <x:f>VLOOKUP(C2144,'MES orders'!$A$8:$H$127,6,FALSE)</x:f>
        <x:v>Normal</x:v>
      </x:c>
      <x:c r="T2144" s="9" t="str"/>
    </x:row>
    <x:row r="2145" ht="22" customHeight="1">
      <x:c r="A2145" s="2" t="str">
        <x:v>L00104-080</x:v>
      </x:c>
      <x:c r="B2145" s="2" t="str">
        <x:v>L00104</x:v>
      </x:c>
      <x:c r="C2145" s="2" t="str">
        <x:v>SO-26021</x:v>
      </x:c>
      <x:c r="D2145" s="2" t="str">
        <x:v>S-S-AL</x:v>
      </x:c>
      <x:c r="E2145" s="14" t="n">
        <x:v>10</x:v>
      </x:c>
      <x:c r="F2145" s="2" t="str">
        <x:v>Final leak / function test</x:v>
      </x:c>
      <x:c r="G2145" s="9" t="str">
        <x:v>QA-02</x:v>
      </x:c>
      <x:c r="H2145" s="15" t="n">
        <x:v>155</x:v>
      </x:c>
      <x:c r="I2145" s="9" t="str">
        <x:v>P11</x:v>
      </x:c>
      <x:c r="J2145" s="11" t="n">
        <x:v>46308.34166666667</x:v>
      </x:c>
      <x:c r="K2145" s="15" t="n">
        <x:v>10</x:v>
      </x:c>
      <x:c r="L2145" s="15" t="n">
        <x:v>9</x:v>
      </x:c>
      <x:c r="M2145" s="13" t="n">
        <x:f>J2145+(K2145+L2145)/1440</x:f>
        <x:v>46308.35486111111</x:v>
      </x:c>
      <x:c r="N2145" s="13" t="n">
        <x:f>VLOOKUP(C2145,'MES orders'!$A$8:$H$127,5,FALSE)</x:f>
        <x:v>46308.666666666664</x:v>
      </x:c>
      <x:c r="O2145" s="16" t="n">
        <x:f>MAX(0,(M2145-N2145)*24)</x:f>
        <x:v>0</x:v>
      </x:c>
      <x:c r="P2145" s="9" t="str">
        <x:v>No</x:v>
      </x:c>
      <x:c r="Q2145" s="15" t="n">
        <x:v>19</x:v>
      </x:c>
      <x:c r="R2145" s="13" t="n">
        <x:f>J2145+Q2145/1440</x:f>
        <x:v>46308.35486111111</x:v>
      </x:c>
      <x:c r="S2145" s="2" t="str">
        <x:f>VLOOKUP(C2145,'MES orders'!$A$8:$H$127,6,FALSE)</x:f>
        <x:v>Normal</x:v>
      </x:c>
      <x:c r="T2145" s="9" t="str"/>
    </x:row>
    <x:row r="2146" ht="22" customHeight="1">
      <x:c r="A2146" s="2" t="str">
        <x:v>L00105-070</x:v>
      </x:c>
      <x:c r="B2146" s="2" t="str">
        <x:v>L00105</x:v>
      </x:c>
      <x:c r="C2146" s="2" t="str">
        <x:v>SO-26021</x:v>
      </x:c>
      <x:c r="D2146" s="2" t="str">
        <x:v>S-S-AL</x:v>
      </x:c>
      <x:c r="E2146" s="14" t="n">
        <x:v>10</x:v>
      </x:c>
      <x:c r="F2146" s="2" t="str">
        <x:v>Final assembly</x:v>
      </x:c>
      <x:c r="G2146" s="9" t="str">
        <x:v>AS-01</x:v>
      </x:c>
      <x:c r="H2146" s="15" t="n">
        <x:v>174</x:v>
      </x:c>
      <x:c r="I2146" s="9" t="str">
        <x:v>P05</x:v>
      </x:c>
      <x:c r="J2146" s="11" t="n">
        <x:v>46308.34444444445</x:v>
      </x:c>
      <x:c r="K2146" s="15" t="n">
        <x:v>5</x:v>
      </x:c>
      <x:c r="L2146" s="15" t="n">
        <x:v>8</x:v>
      </x:c>
      <x:c r="M2146" s="13" t="n">
        <x:f>J2146+(K2146+L2146)/1440</x:f>
        <x:v>46308.353472222225</x:v>
      </x:c>
      <x:c r="N2146" s="13" t="n">
        <x:f>VLOOKUP(C2146,'MES orders'!$A$8:$H$127,5,FALSE)</x:f>
        <x:v>46308.666666666664</x:v>
      </x:c>
      <x:c r="O2146" s="16" t="n">
        <x:f>MAX(0,(M2146-N2146)*24)</x:f>
        <x:v>0</x:v>
      </x:c>
      <x:c r="P2146" s="9" t="str">
        <x:v>No</x:v>
      </x:c>
      <x:c r="Q2146" s="15" t="n">
        <x:v>13</x:v>
      </x:c>
      <x:c r="R2146" s="13" t="n">
        <x:f>J2146+Q2146/1440</x:f>
        <x:v>46308.353472222225</x:v>
      </x:c>
      <x:c r="S2146" s="2" t="str">
        <x:f>VLOOKUP(C2146,'MES orders'!$A$8:$H$127,6,FALSE)</x:f>
        <x:v>Normal</x:v>
      </x:c>
      <x:c r="T2146" s="9" t="str"/>
    </x:row>
    <x:row r="2147" ht="22" customHeight="1">
      <x:c r="A2147" s="2" t="str">
        <x:v>L00302-010</x:v>
      </x:c>
      <x:c r="B2147" s="2" t="str">
        <x:v>L00302</x:v>
      </x:c>
      <x:c r="C2147" s="2" t="str">
        <x:v>SO-26061</x:v>
      </x:c>
      <x:c r="D2147" s="2" t="str">
        <x:v>R-C-AL</x:v>
      </x:c>
      <x:c r="E2147" s="14" t="n">
        <x:v>10</x:v>
      </x:c>
      <x:c r="F2147" s="2" t="str">
        <x:v>CNC machining</x:v>
      </x:c>
      <x:c r="G2147" s="9" t="str">
        <x:v>CNC-01</x:v>
      </x:c>
      <x:c r="H2147" s="15" t="n">
        <x:v>60</x:v>
      </x:c>
      <x:c r="I2147" s="9" t="str">
        <x:v>P03</x:v>
      </x:c>
      <x:c r="J2147" s="11" t="n">
        <x:v>46308.34583333333</x:v>
      </x:c>
      <x:c r="K2147" s="15" t="n">
        <x:v>18</x:v>
      </x:c>
      <x:c r="L2147" s="15" t="n">
        <x:v>19</x:v>
      </x:c>
      <x:c r="M2147" s="13" t="n">
        <x:f>J2147+(K2147+L2147)/1440</x:f>
        <x:v>46308.371527777774</x:v>
      </x:c>
      <x:c r="N2147" s="13" t="n">
        <x:f>VLOOKUP(C2147,'MES orders'!$A$8:$H$127,5,FALSE)</x:f>
        <x:v>46308.666666666664</x:v>
      </x:c>
      <x:c r="O2147" s="16" t="n">
        <x:f>MAX(0,(M2147-N2147)*24)</x:f>
        <x:v>0</x:v>
      </x:c>
      <x:c r="P2147" s="9" t="str">
        <x:v>No</x:v>
      </x:c>
      <x:c r="Q2147" s="15" t="n">
        <x:v>18</x:v>
      </x:c>
      <x:c r="R2147" s="13" t="n">
        <x:f>J2147+Q2147/1440</x:f>
        <x:v>46308.35833333333</x:v>
      </x:c>
      <x:c r="S2147" s="2" t="str">
        <x:f>VLOOKUP(C2147,'MES orders'!$A$8:$H$127,6,FALSE)</x:f>
        <x:v>Normal</x:v>
      </x:c>
      <x:c r="T2147" s="9" t="str"/>
    </x:row>
    <x:row r="2148" ht="22" customHeight="1">
      <x:c r="A2148" s="2" t="str">
        <x:v>L00265-010</x:v>
      </x:c>
      <x:c r="B2148" s="2" t="str">
        <x:v>L00265</x:v>
      </x:c>
      <x:c r="C2148" s="2" t="str">
        <x:v>SO-26053</x:v>
      </x:c>
      <x:c r="D2148" s="2" t="str">
        <x:v>D-L-AL</x:v>
      </x:c>
      <x:c r="E2148" s="14" t="n">
        <x:v>15</x:v>
      </x:c>
      <x:c r="F2148" s="2" t="str">
        <x:v>CNC machining</x:v>
      </x:c>
      <x:c r="G2148" s="9" t="str">
        <x:v>CNC-06</x:v>
      </x:c>
      <x:c r="H2148" s="15" t="n">
        <x:v>54</x:v>
      </x:c>
      <x:c r="I2148" s="9" t="str">
        <x:v>P02</x:v>
      </x:c>
      <x:c r="J2148" s="11" t="n">
        <x:v>46308.34583333333</x:v>
      </x:c>
      <x:c r="K2148" s="15" t="n">
        <x:v>18</x:v>
      </x:c>
      <x:c r="L2148" s="15" t="n">
        <x:v>49</x:v>
      </x:c>
      <x:c r="M2148" s="13" t="n">
        <x:f>J2148+(K2148+L2148)/1440</x:f>
        <x:v>46308.39236111111</x:v>
      </x:c>
      <x:c r="N2148" s="13" t="n">
        <x:f>VLOOKUP(C2148,'MES orders'!$A$8:$H$127,5,FALSE)</x:f>
        <x:v>46308.666666666664</x:v>
      </x:c>
      <x:c r="O2148" s="16" t="n">
        <x:f>MAX(0,(M2148-N2148)*24)</x:f>
        <x:v>0</x:v>
      </x:c>
      <x:c r="P2148" s="9" t="str">
        <x:v>No</x:v>
      </x:c>
      <x:c r="Q2148" s="15" t="n">
        <x:v>18</x:v>
      </x:c>
      <x:c r="R2148" s="13" t="n">
        <x:f>J2148+Q2148/1440</x:f>
        <x:v>46308.35833333333</x:v>
      </x:c>
      <x:c r="S2148" s="2" t="str">
        <x:f>VLOOKUP(C2148,'MES orders'!$A$8:$H$127,6,FALSE)</x:f>
        <x:v>Normal</x:v>
      </x:c>
      <x:c r="T2148" s="9" t="str"/>
    </x:row>
    <x:row r="2149" ht="22" customHeight="1">
      <x:c r="A2149" s="2" t="str">
        <x:v>L00185-040</x:v>
      </x:c>
      <x:c r="B2149" s="2" t="str">
        <x:v>L00185</x:v>
      </x:c>
      <x:c r="C2149" s="2" t="str">
        <x:v>SO-26037</x:v>
      </x:c>
      <x:c r="D2149" s="2" t="str">
        <x:v>D-C-AL</x:v>
      </x:c>
      <x:c r="E2149" s="14" t="n">
        <x:v>5</x:v>
      </x:c>
      <x:c r="F2149" s="2" t="str">
        <x:v>Mechanical assembly</x:v>
      </x:c>
      <x:c r="G2149" s="9" t="str">
        <x:v>AS-02</x:v>
      </x:c>
      <x:c r="H2149" s="15" t="n">
        <x:v>141</x:v>
      </x:c>
      <x:c r="I2149" s="9" t="str">
        <x:v>P06</x:v>
      </x:c>
      <x:c r="J2149" s="11" t="n">
        <x:v>46308.34652777778</x:v>
      </x:c>
      <x:c r="K2149" s="15" t="n">
        <x:v>8</x:v>
      </x:c>
      <x:c r="L2149" s="15" t="n">
        <x:v>7</x:v>
      </x:c>
      <x:c r="M2149" s="13" t="n">
        <x:f>J2149+(K2149+L2149)/1440</x:f>
        <x:v>46308.356944444444</x:v>
      </x:c>
      <x:c r="N2149" s="13" t="n">
        <x:f>VLOOKUP(C2149,'MES orders'!$A$8:$H$127,5,FALSE)</x:f>
        <x:v>46308.666666666664</x:v>
      </x:c>
      <x:c r="O2149" s="16" t="n">
        <x:f>MAX(0,(M2149-N2149)*24)</x:f>
        <x:v>0</x:v>
      </x:c>
      <x:c r="P2149" s="9" t="str">
        <x:v>No</x:v>
      </x:c>
      <x:c r="Q2149" s="15" t="n">
        <x:v>15</x:v>
      </x:c>
      <x:c r="R2149" s="13" t="n">
        <x:f>J2149+Q2149/1440</x:f>
        <x:v>46308.356944444444</x:v>
      </x:c>
      <x:c r="S2149" s="2" t="str">
        <x:f>VLOOKUP(C2149,'MES orders'!$A$8:$H$127,6,FALSE)</x:f>
        <x:v>Normal</x:v>
      </x:c>
      <x:c r="T2149" s="9" t="str"/>
    </x:row>
    <x:row r="2150" ht="22" customHeight="1">
      <x:c r="A2150" s="2" t="str">
        <x:v>L00221-020</x:v>
      </x:c>
      <x:c r="B2150" s="2" t="str">
        <x:v>L00221</x:v>
      </x:c>
      <x:c r="C2150" s="2" t="str">
        <x:v>SO-26045</x:v>
      </x:c>
      <x:c r="D2150" s="2" t="str">
        <x:v>D-S-AL</x:v>
      </x:c>
      <x:c r="E2150" s="14" t="n">
        <x:v>20</x:v>
      </x:c>
      <x:c r="F2150" s="2" t="str">
        <x:v>Deburr &amp; inspect</x:v>
      </x:c>
      <x:c r="G2150" s="9" t="str">
        <x:v>DB-01</x:v>
      </x:c>
      <x:c r="H2150" s="15" t="n">
        <x:v>201</x:v>
      </x:c>
      <x:c r="I2150" s="9" t="str">
        <x:v>P04</x:v>
      </x:c>
      <x:c r="J2150" s="11" t="n">
        <x:v>46308.347916666666</x:v>
      </x:c>
      <x:c r="K2150" s="15" t="n">
        <x:v>4</x:v>
      </x:c>
      <x:c r="L2150" s="15" t="n">
        <x:v>14</x:v>
      </x:c>
      <x:c r="M2150" s="13" t="n">
        <x:f>J2150+(K2150+L2150)/1440</x:f>
        <x:v>46308.36041666666</x:v>
      </x:c>
      <x:c r="N2150" s="13" t="n">
        <x:f>VLOOKUP(C2150,'MES orders'!$A$8:$H$127,5,FALSE)</x:f>
        <x:v>46308.666666666664</x:v>
      </x:c>
      <x:c r="O2150" s="16" t="n">
        <x:f>MAX(0,(M2150-N2150)*24)</x:f>
        <x:v>0</x:v>
      </x:c>
      <x:c r="P2150" s="9" t="str">
        <x:v>No</x:v>
      </x:c>
      <x:c r="Q2150" s="15" t="n">
        <x:v>18</x:v>
      </x:c>
      <x:c r="R2150" s="13" t="n">
        <x:f>J2150+Q2150/1440</x:f>
        <x:v>46308.36041666666</x:v>
      </x:c>
      <x:c r="S2150" s="2" t="str">
        <x:f>VLOOKUP(C2150,'MES orders'!$A$8:$H$127,6,FALSE)</x:f>
        <x:v>Normal</x:v>
      </x:c>
      <x:c r="T2150" s="9" t="str"/>
    </x:row>
    <x:row r="2151" ht="22" customHeight="1">
      <x:c r="A2151" s="2" t="str">
        <x:v>L00261-030</x:v>
      </x:c>
      <x:c r="B2151" s="2" t="str">
        <x:v>L00261</x:v>
      </x:c>
      <x:c r="C2151" s="2" t="str">
        <x:v>SO-26053</x:v>
      </x:c>
      <x:c r="D2151" s="2" t="str">
        <x:v>D-L-AL</x:v>
      </x:c>
      <x:c r="E2151" s="14" t="n">
        <x:v>15</x:v>
      </x:c>
      <x:c r="F2151" s="2" t="str">
        <x:v>Wash &amp; dry</x:v>
      </x:c>
      <x:c r="G2151" s="9" t="str">
        <x:v>WS-02</x:v>
      </x:c>
      <x:c r="H2151" s="15" t="n">
        <x:v>138</x:v>
      </x:c>
      <x:c r="I2151" s="9" t="str">
        <x:v>P01</x:v>
      </x:c>
      <x:c r="J2151" s="11" t="n">
        <x:v>46308.350694444445</x:v>
      </x:c>
      <x:c r="K2151" s="15" t="n">
        <x:v>12</x:v>
      </x:c>
      <x:c r="L2151" s="15" t="n">
        <x:v>7</x:v>
      </x:c>
      <x:c r="M2151" s="13" t="n">
        <x:f>J2151+(K2151+L2151)/1440</x:f>
        <x:v>46308.36388888889</x:v>
      </x:c>
      <x:c r="N2151" s="13" t="n">
        <x:f>VLOOKUP(C2151,'MES orders'!$A$8:$H$127,5,FALSE)</x:f>
        <x:v>46308.666666666664</x:v>
      </x:c>
      <x:c r="O2151" s="16" t="n">
        <x:f>MAX(0,(M2151-N2151)*24)</x:f>
        <x:v>0</x:v>
      </x:c>
      <x:c r="P2151" s="9" t="str">
        <x:v>No</x:v>
      </x:c>
      <x:c r="Q2151" s="15" t="n">
        <x:v>19</x:v>
      </x:c>
      <x:c r="R2151" s="13" t="n">
        <x:f>J2151+Q2151/1440</x:f>
        <x:v>46308.36388888889</x:v>
      </x:c>
      <x:c r="S2151" s="2" t="str">
        <x:f>VLOOKUP(C2151,'MES orders'!$A$8:$H$127,6,FALSE)</x:f>
        <x:v>Normal</x:v>
      </x:c>
      <x:c r="T2151" s="9" t="str"/>
    </x:row>
    <x:row r="2152" ht="22" customHeight="1">
      <x:c r="A2152" s="2" t="str">
        <x:v>L00222-020</x:v>
      </x:c>
      <x:c r="B2152" s="2" t="str">
        <x:v>L00222</x:v>
      </x:c>
      <x:c r="C2152" s="2" t="str">
        <x:v>SO-26045</x:v>
      </x:c>
      <x:c r="D2152" s="2" t="str">
        <x:v>D-S-AL</x:v>
      </x:c>
      <x:c r="E2152" s="14" t="n">
        <x:v>20</x:v>
      </x:c>
      <x:c r="F2152" s="2" t="str">
        <x:v>Deburr &amp; inspect</x:v>
      </x:c>
      <x:c r="G2152" s="9" t="str">
        <x:v>DB-02</x:v>
      </x:c>
      <x:c r="H2152" s="15" t="n">
        <x:v>137</x:v>
      </x:c>
      <x:c r="I2152" s="9" t="str">
        <x:v>P05</x:v>
      </x:c>
      <x:c r="J2152" s="11" t="n">
        <x:v>46308.353472222225</x:v>
      </x:c>
      <x:c r="K2152" s="15" t="n">
        <x:v>4</x:v>
      </x:c>
      <x:c r="L2152" s="15" t="n">
        <x:v>14</x:v>
      </x:c>
      <x:c r="M2152" s="13" t="n">
        <x:f>J2152+(K2152+L2152)/1440</x:f>
        <x:v>46308.36597222222</x:v>
      </x:c>
      <x:c r="N2152" s="13" t="n">
        <x:f>VLOOKUP(C2152,'MES orders'!$A$8:$H$127,5,FALSE)</x:f>
        <x:v>46308.666666666664</x:v>
      </x:c>
      <x:c r="O2152" s="16" t="n">
        <x:f>MAX(0,(M2152-N2152)*24)</x:f>
        <x:v>0</x:v>
      </x:c>
      <x:c r="P2152" s="9" t="str">
        <x:v>No</x:v>
      </x:c>
      <x:c r="Q2152" s="15" t="n">
        <x:v>18</x:v>
      </x:c>
      <x:c r="R2152" s="13" t="n">
        <x:f>J2152+Q2152/1440</x:f>
        <x:v>46308.36597222222</x:v>
      </x:c>
      <x:c r="S2152" s="2" t="str">
        <x:f>VLOOKUP(C2152,'MES orders'!$A$8:$H$127,6,FALSE)</x:f>
        <x:v>Normal</x:v>
      </x:c>
      <x:c r="T2152" s="9" t="str"/>
    </x:row>
    <x:row r="2153" ht="22" customHeight="1">
      <x:c r="A2153" s="2" t="str">
        <x:v>L00105-080</x:v>
      </x:c>
      <x:c r="B2153" s="2" t="str">
        <x:v>L00105</x:v>
      </x:c>
      <x:c r="C2153" s="2" t="str">
        <x:v>SO-26021</x:v>
      </x:c>
      <x:c r="D2153" s="2" t="str">
        <x:v>S-S-AL</x:v>
      </x:c>
      <x:c r="E2153" s="14" t="n">
        <x:v>10</x:v>
      </x:c>
      <x:c r="F2153" s="2" t="str">
        <x:v>Final leak / function test</x:v>
      </x:c>
      <x:c r="G2153" s="9" t="str">
        <x:v>QA-03</x:v>
      </x:c>
      <x:c r="H2153" s="15" t="n">
        <x:v>99</x:v>
      </x:c>
      <x:c r="I2153" s="9" t="str">
        <x:v>P12</x:v>
      </x:c>
      <x:c r="J2153" s="11" t="n">
        <x:v>46308.353472222225</x:v>
      </x:c>
      <x:c r="K2153" s="15" t="n">
        <x:v>10</x:v>
      </x:c>
      <x:c r="L2153" s="15" t="n">
        <x:v>9</x:v>
      </x:c>
      <x:c r="M2153" s="13" t="n">
        <x:f>J2153+(K2153+L2153)/1440</x:f>
        <x:v>46308.36666666667</x:v>
      </x:c>
      <x:c r="N2153" s="13" t="n">
        <x:f>VLOOKUP(C2153,'MES orders'!$A$8:$H$127,5,FALSE)</x:f>
        <x:v>46308.666666666664</x:v>
      </x:c>
      <x:c r="O2153" s="16" t="n">
        <x:f>MAX(0,(M2153-N2153)*24)</x:f>
        <x:v>0</x:v>
      </x:c>
      <x:c r="P2153" s="9" t="str">
        <x:v>No</x:v>
      </x:c>
      <x:c r="Q2153" s="15" t="n">
        <x:v>19</x:v>
      </x:c>
      <x:c r="R2153" s="13" t="n">
        <x:f>J2153+Q2153/1440</x:f>
        <x:v>46308.36666666667</x:v>
      </x:c>
      <x:c r="S2153" s="2" t="str">
        <x:f>VLOOKUP(C2153,'MES orders'!$A$8:$H$127,6,FALSE)</x:f>
        <x:v>Normal</x:v>
      </x:c>
      <x:c r="T2153" s="9" t="str"/>
    </x:row>
    <x:row r="2154" ht="22" customHeight="1">
      <x:c r="A2154" s="2" t="str">
        <x:v>L00181-050</x:v>
      </x:c>
      <x:c r="B2154" s="2" t="str">
        <x:v>L00181</x:v>
      </x:c>
      <x:c r="C2154" s="2" t="str">
        <x:v>SO-26037</x:v>
      </x:c>
      <x:c r="D2154" s="2" t="str">
        <x:v>D-C-AL</x:v>
      </x:c>
      <x:c r="E2154" s="14" t="n">
        <x:v>5</x:v>
      </x:c>
      <x:c r="F2154" s="2" t="str">
        <x:v>Final leak / function test</x:v>
      </x:c>
      <x:c r="G2154" s="9" t="str">
        <x:v>QA-01</x:v>
      </x:c>
      <x:c r="H2154" s="15" t="n">
        <x:v>77</x:v>
      </x:c>
      <x:c r="I2154" s="9" t="str">
        <x:v>P11</x:v>
      </x:c>
      <x:c r="J2154" s="11" t="n">
        <x:v>46308.35486111111</x:v>
      </x:c>
      <x:c r="K2154" s="15" t="n">
        <x:v>10</x:v>
      </x:c>
      <x:c r="L2154" s="15" t="n">
        <x:v>4</x:v>
      </x:c>
      <x:c r="M2154" s="13" t="n">
        <x:f>J2154+(K2154+L2154)/1440</x:f>
        <x:v>46308.364583333336</x:v>
      </x:c>
      <x:c r="N2154" s="13" t="n">
        <x:f>VLOOKUP(C2154,'MES orders'!$A$8:$H$127,5,FALSE)</x:f>
        <x:v>46308.666666666664</x:v>
      </x:c>
      <x:c r="O2154" s="16" t="n">
        <x:f>MAX(0,(M2154-N2154)*24)</x:f>
        <x:v>0</x:v>
      </x:c>
      <x:c r="P2154" s="9" t="str">
        <x:v>No</x:v>
      </x:c>
      <x:c r="Q2154" s="15" t="n">
        <x:v>14</x:v>
      </x:c>
      <x:c r="R2154" s="13" t="n">
        <x:f>J2154+Q2154/1440</x:f>
        <x:v>46308.364583333336</x:v>
      </x:c>
      <x:c r="S2154" s="2" t="str">
        <x:f>VLOOKUP(C2154,'MES orders'!$A$8:$H$127,6,FALSE)</x:f>
        <x:v>Normal</x:v>
      </x:c>
      <x:c r="T2154" s="9" t="str"/>
    </x:row>
    <x:row r="2155" ht="22" customHeight="1">
      <x:c r="A2155" s="2" t="str">
        <x:v>L00303-010</x:v>
      </x:c>
      <x:c r="B2155" s="2" t="str">
        <x:v>L00303</x:v>
      </x:c>
      <x:c r="C2155" s="2" t="str">
        <x:v>SO-26061</x:v>
      </x:c>
      <x:c r="D2155" s="2" t="str">
        <x:v>R-C-AL</x:v>
      </x:c>
      <x:c r="E2155" s="14" t="n">
        <x:v>10</x:v>
      </x:c>
      <x:c r="F2155" s="2" t="str">
        <x:v>CNC machining</x:v>
      </x:c>
      <x:c r="G2155" s="9" t="str">
        <x:v>CNC-02</x:v>
      </x:c>
      <x:c r="H2155" s="15" t="n">
        <x:v>43</x:v>
      </x:c>
      <x:c r="I2155" s="9" t="str">
        <x:v>P03</x:v>
      </x:c>
      <x:c r="J2155" s="11" t="n">
        <x:v>46308.35833333333</x:v>
      </x:c>
      <x:c r="K2155" s="15" t="n">
        <x:v>18</x:v>
      </x:c>
      <x:c r="L2155" s="15" t="n">
        <x:v>19</x:v>
      </x:c>
      <x:c r="M2155" s="13" t="n">
        <x:f>J2155+(K2155+L2155)/1440</x:f>
        <x:v>46308.38402777777</x:v>
      </x:c>
      <x:c r="N2155" s="13" t="n">
        <x:f>VLOOKUP(C2155,'MES orders'!$A$8:$H$127,5,FALSE)</x:f>
        <x:v>46308.666666666664</x:v>
      </x:c>
      <x:c r="O2155" s="16" t="n">
        <x:f>MAX(0,(M2155-N2155)*24)</x:f>
        <x:v>0</x:v>
      </x:c>
      <x:c r="P2155" s="9" t="str">
        <x:v>No</x:v>
      </x:c>
      <x:c r="Q2155" s="15" t="n">
        <x:v>18</x:v>
      </x:c>
      <x:c r="R2155" s="13" t="n">
        <x:f>J2155+Q2155/1440</x:f>
        <x:v>46308.37083333333</x:v>
      </x:c>
      <x:c r="S2155" s="2" t="str">
        <x:f>VLOOKUP(C2155,'MES orders'!$A$8:$H$127,6,FALSE)</x:f>
        <x:v>Normal</x:v>
      </x:c>
      <x:c r="T2155" s="9" t="str"/>
    </x:row>
    <x:row r="2156" ht="22" customHeight="1">
      <x:c r="A2156" s="2" t="str">
        <x:v>L00223-020</x:v>
      </x:c>
      <x:c r="B2156" s="2" t="str">
        <x:v>L00223</x:v>
      </x:c>
      <x:c r="C2156" s="2" t="str">
        <x:v>SO-26045</x:v>
      </x:c>
      <x:c r="D2156" s="2" t="str">
        <x:v>D-S-AL</x:v>
      </x:c>
      <x:c r="E2156" s="14" t="n">
        <x:v>20</x:v>
      </x:c>
      <x:c r="F2156" s="2" t="str">
        <x:v>Deburr &amp; inspect</x:v>
      </x:c>
      <x:c r="G2156" s="9" t="str">
        <x:v>DB-01</x:v>
      </x:c>
      <x:c r="H2156" s="15" t="n">
        <x:v>202</x:v>
      </x:c>
      <x:c r="I2156" s="9" t="str">
        <x:v>P06</x:v>
      </x:c>
      <x:c r="J2156" s="11" t="n">
        <x:v>46308.36041666667</x:v>
      </x:c>
      <x:c r="K2156" s="15" t="n">
        <x:v>4</x:v>
      </x:c>
      <x:c r="L2156" s="15" t="n">
        <x:v>14</x:v>
      </x:c>
      <x:c r="M2156" s="13" t="n">
        <x:f>J2156+(K2156+L2156)/1440</x:f>
        <x:v>46308.37291666667</x:v>
      </x:c>
      <x:c r="N2156" s="13" t="n">
        <x:f>VLOOKUP(C2156,'MES orders'!$A$8:$H$127,5,FALSE)</x:f>
        <x:v>46308.666666666664</x:v>
      </x:c>
      <x:c r="O2156" s="16" t="n">
        <x:f>MAX(0,(M2156-N2156)*24)</x:f>
        <x:v>0</x:v>
      </x:c>
      <x:c r="P2156" s="9" t="str">
        <x:v>No</x:v>
      </x:c>
      <x:c r="Q2156" s="15" t="n">
        <x:v>18</x:v>
      </x:c>
      <x:c r="R2156" s="13" t="n">
        <x:f>J2156+Q2156/1440</x:f>
        <x:v>46308.37291666667</x:v>
      </x:c>
      <x:c r="S2156" s="2" t="str">
        <x:f>VLOOKUP(C2156,'MES orders'!$A$8:$H$127,6,FALSE)</x:f>
        <x:v>Normal</x:v>
      </x:c>
      <x:c r="T2156" s="9" t="str"/>
    </x:row>
    <x:row r="2157" ht="22" customHeight="1">
      <x:c r="A2157" s="2" t="str">
        <x:v>L00221-030</x:v>
      </x:c>
      <x:c r="B2157" s="2" t="str">
        <x:v>L00221</x:v>
      </x:c>
      <x:c r="C2157" s="2" t="str">
        <x:v>SO-26045</x:v>
      </x:c>
      <x:c r="D2157" s="2" t="str">
        <x:v>D-S-AL</x:v>
      </x:c>
      <x:c r="E2157" s="14" t="n">
        <x:v>20</x:v>
      </x:c>
      <x:c r="F2157" s="2" t="str">
        <x:v>Wash &amp; dry</x:v>
      </x:c>
      <x:c r="G2157" s="9" t="str">
        <x:v>WS-01</x:v>
      </x:c>
      <x:c r="H2157" s="15" t="n">
        <x:v>199</x:v>
      </x:c>
      <x:c r="I2157" s="9" t="str">
        <x:v>P04</x:v>
      </x:c>
      <x:c r="J2157" s="11" t="n">
        <x:v>46308.36041666667</x:v>
      </x:c>
      <x:c r="K2157" s="15" t="n">
        <x:v>12</x:v>
      </x:c>
      <x:c r="L2157" s="15" t="n">
        <x:v>7</x:v>
      </x:c>
      <x:c r="M2157" s="13" t="n">
        <x:f>J2157+(K2157+L2157)/1440</x:f>
        <x:v>46308.373611111114</x:v>
      </x:c>
      <x:c r="N2157" s="13" t="n">
        <x:f>VLOOKUP(C2157,'MES orders'!$A$8:$H$127,5,FALSE)</x:f>
        <x:v>46308.666666666664</x:v>
      </x:c>
      <x:c r="O2157" s="16" t="n">
        <x:f>MAX(0,(M2157-N2157)*24)</x:f>
        <x:v>0</x:v>
      </x:c>
      <x:c r="P2157" s="9" t="str">
        <x:v>No</x:v>
      </x:c>
      <x:c r="Q2157" s="15" t="n">
        <x:v>19</x:v>
      </x:c>
      <x:c r="R2157" s="13" t="n">
        <x:f>J2157+Q2157/1440</x:f>
        <x:v>46308.373611111114</x:v>
      </x:c>
      <x:c r="S2157" s="2" t="str">
        <x:f>VLOOKUP(C2157,'MES orders'!$A$8:$H$127,6,FALSE)</x:f>
        <x:v>Normal</x:v>
      </x:c>
      <x:c r="T2157" s="9" t="str"/>
    </x:row>
    <x:row r="2158" ht="22" customHeight="1">
      <x:c r="A2158" s="2" t="str">
        <x:v>L00261-040</x:v>
      </x:c>
      <x:c r="B2158" s="2" t="str">
        <x:v>L00261</x:v>
      </x:c>
      <x:c r="C2158" s="2" t="str">
        <x:v>SO-26053</x:v>
      </x:c>
      <x:c r="D2158" s="2" t="str">
        <x:v>D-L-AL</x:v>
      </x:c>
      <x:c r="E2158" s="14" t="n">
        <x:v>15</x:v>
      </x:c>
      <x:c r="F2158" s="2" t="str">
        <x:v>Mechanical assembly</x:v>
      </x:c>
      <x:c r="G2158" s="9" t="str">
        <x:v>AS-03</x:v>
      </x:c>
      <x:c r="H2158" s="15" t="n">
        <x:v>114</x:v>
      </x:c>
      <x:c r="I2158" s="9" t="str">
        <x:v>P01</x:v>
      </x:c>
      <x:c r="J2158" s="11" t="n">
        <x:v>46308.36388888889</x:v>
      </x:c>
      <x:c r="K2158" s="15" t="n">
        <x:v>8</x:v>
      </x:c>
      <x:c r="L2158" s="15" t="n">
        <x:v>36</x:v>
      </x:c>
      <x:c r="M2158" s="13" t="n">
        <x:f>J2158+(K2158+L2158)/1440</x:f>
        <x:v>46308.39444444444</x:v>
      </x:c>
      <x:c r="N2158" s="13" t="n">
        <x:f>VLOOKUP(C2158,'MES orders'!$A$8:$H$127,5,FALSE)</x:f>
        <x:v>46308.666666666664</x:v>
      </x:c>
      <x:c r="O2158" s="16" t="n">
        <x:f>MAX(0,(M2158-N2158)*24)</x:f>
        <x:v>0</x:v>
      </x:c>
      <x:c r="P2158" s="9" t="str">
        <x:v>No</x:v>
      </x:c>
      <x:c r="Q2158" s="15" t="n">
        <x:v>44</x:v>
      </x:c>
      <x:c r="R2158" s="13" t="n">
        <x:f>J2158+Q2158/1440</x:f>
        <x:v>46308.39444444444</x:v>
      </x:c>
      <x:c r="S2158" s="2" t="str">
        <x:f>VLOOKUP(C2158,'MES orders'!$A$8:$H$127,6,FALSE)</x:f>
        <x:v>Normal</x:v>
      </x:c>
      <x:c r="T2158" s="9" t="str"/>
    </x:row>
    <x:row r="2159" ht="22" customHeight="1">
      <x:c r="A2159" s="2" t="str">
        <x:v>L00182-050</x:v>
      </x:c>
      <x:c r="B2159" s="2" t="str">
        <x:v>L00182</x:v>
      </x:c>
      <x:c r="C2159" s="2" t="str">
        <x:v>SO-26037</x:v>
      </x:c>
      <x:c r="D2159" s="2" t="str">
        <x:v>D-C-AL</x:v>
      </x:c>
      <x:c r="E2159" s="14" t="n">
        <x:v>5</x:v>
      </x:c>
      <x:c r="F2159" s="2" t="str">
        <x:v>Final leak / function test</x:v>
      </x:c>
      <x:c r="G2159" s="9" t="str">
        <x:v>QA-01</x:v>
      </x:c>
      <x:c r="H2159" s="15" t="n">
        <x:v>78</x:v>
      </x:c>
      <x:c r="I2159" s="9" t="str">
        <x:v>P11</x:v>
      </x:c>
      <x:c r="J2159" s="11" t="n">
        <x:v>46308.364583333336</x:v>
      </x:c>
      <x:c r="K2159" s="15" t="n">
        <x:v>10</x:v>
      </x:c>
      <x:c r="L2159" s="15" t="n">
        <x:v>4</x:v>
      </x:c>
      <x:c r="M2159" s="13" t="n">
        <x:f>J2159+(K2159+L2159)/1440</x:f>
        <x:v>46308.37430555556</x:v>
      </x:c>
      <x:c r="N2159" s="13" t="n">
        <x:f>VLOOKUP(C2159,'MES orders'!$A$8:$H$127,5,FALSE)</x:f>
        <x:v>46308.666666666664</x:v>
      </x:c>
      <x:c r="O2159" s="16" t="n">
        <x:f>MAX(0,(M2159-N2159)*24)</x:f>
        <x:v>0</x:v>
      </x:c>
      <x:c r="P2159" s="9" t="str">
        <x:v>No</x:v>
      </x:c>
      <x:c r="Q2159" s="15" t="n">
        <x:v>14</x:v>
      </x:c>
      <x:c r="R2159" s="13" t="n">
        <x:f>J2159+Q2159/1440</x:f>
        <x:v>46308.37430555556</x:v>
      </x:c>
      <x:c r="S2159" s="2" t="str">
        <x:f>VLOOKUP(C2159,'MES orders'!$A$8:$H$127,6,FALSE)</x:f>
        <x:v>Normal</x:v>
      </x:c>
      <x:c r="T2159" s="9" t="str"/>
    </x:row>
    <x:row r="2160" ht="22" customHeight="1">
      <x:c r="A2160" s="2" t="str">
        <x:v>L00222-030</x:v>
      </x:c>
      <x:c r="B2160" s="2" t="str">
        <x:v>L00222</x:v>
      </x:c>
      <x:c r="C2160" s="2" t="str">
        <x:v>SO-26045</x:v>
      </x:c>
      <x:c r="D2160" s="2" t="str">
        <x:v>D-S-AL</x:v>
      </x:c>
      <x:c r="E2160" s="14" t="n">
        <x:v>20</x:v>
      </x:c>
      <x:c r="F2160" s="2" t="str">
        <x:v>Wash &amp; dry</x:v>
      </x:c>
      <x:c r="G2160" s="9" t="str">
        <x:v>WS-02</x:v>
      </x:c>
      <x:c r="H2160" s="15" t="n">
        <x:v>139</x:v>
      </x:c>
      <x:c r="I2160" s="9" t="str">
        <x:v>P05</x:v>
      </x:c>
      <x:c r="J2160" s="11" t="n">
        <x:v>46308.36597222222</x:v>
      </x:c>
      <x:c r="K2160" s="15" t="n">
        <x:v>12</x:v>
      </x:c>
      <x:c r="L2160" s="15" t="n">
        <x:v>7</x:v>
      </x:c>
      <x:c r="M2160" s="13" t="n">
        <x:f>J2160+(K2160+L2160)/1440</x:f>
        <x:v>46308.379166666666</x:v>
      </x:c>
      <x:c r="N2160" s="13" t="n">
        <x:f>VLOOKUP(C2160,'MES orders'!$A$8:$H$127,5,FALSE)</x:f>
        <x:v>46308.666666666664</x:v>
      </x:c>
      <x:c r="O2160" s="16" t="n">
        <x:f>MAX(0,(M2160-N2160)*24)</x:f>
        <x:v>0</x:v>
      </x:c>
      <x:c r="P2160" s="9" t="str">
        <x:v>No</x:v>
      </x:c>
      <x:c r="Q2160" s="15" t="n">
        <x:v>19</x:v>
      </x:c>
      <x:c r="R2160" s="13" t="n">
        <x:f>J2160+Q2160/1440</x:f>
        <x:v>46308.379166666666</x:v>
      </x:c>
      <x:c r="S2160" s="2" t="str">
        <x:f>VLOOKUP(C2160,'MES orders'!$A$8:$H$127,6,FALSE)</x:f>
        <x:v>Normal</x:v>
      </x:c>
      <x:c r="T2160" s="9" t="str"/>
    </x:row>
    <x:row r="2161" ht="22" customHeight="1">
      <x:c r="A2161" s="2" t="str">
        <x:v>L00183-050</x:v>
      </x:c>
      <x:c r="B2161" s="2" t="str">
        <x:v>L00183</x:v>
      </x:c>
      <x:c r="C2161" s="2" t="str">
        <x:v>SO-26037</x:v>
      </x:c>
      <x:c r="D2161" s="2" t="str">
        <x:v>D-C-AL</x:v>
      </x:c>
      <x:c r="E2161" s="14" t="n">
        <x:v>5</x:v>
      </x:c>
      <x:c r="F2161" s="2" t="str">
        <x:v>Final leak / function test</x:v>
      </x:c>
      <x:c r="G2161" s="9" t="str">
        <x:v>QA-02</x:v>
      </x:c>
      <x:c r="H2161" s="15" t="n">
        <x:v>156</x:v>
      </x:c>
      <x:c r="I2161" s="9" t="str">
        <x:v>P12</x:v>
      </x:c>
      <x:c r="J2161" s="11" t="n">
        <x:v>46308.36666666667</x:v>
      </x:c>
      <x:c r="K2161" s="15" t="n">
        <x:v>10</x:v>
      </x:c>
      <x:c r="L2161" s="15" t="n">
        <x:v>4</x:v>
      </x:c>
      <x:c r="M2161" s="13" t="n">
        <x:f>J2161+(K2161+L2161)/1440</x:f>
        <x:v>46308.37638888889</x:v>
      </x:c>
      <x:c r="N2161" s="13" t="n">
        <x:f>VLOOKUP(C2161,'MES orders'!$A$8:$H$127,5,FALSE)</x:f>
        <x:v>46308.666666666664</x:v>
      </x:c>
      <x:c r="O2161" s="16" t="n">
        <x:f>MAX(0,(M2161-N2161)*24)</x:f>
        <x:v>0</x:v>
      </x:c>
      <x:c r="P2161" s="9" t="str">
        <x:v>No</x:v>
      </x:c>
      <x:c r="Q2161" s="15" t="n">
        <x:v>14</x:v>
      </x:c>
      <x:c r="R2161" s="13" t="n">
        <x:f>J2161+Q2161/1440</x:f>
        <x:v>46308.37638888889</x:v>
      </x:c>
      <x:c r="S2161" s="2" t="str">
        <x:f>VLOOKUP(C2161,'MES orders'!$A$8:$H$127,6,FALSE)</x:f>
        <x:v>Normal</x:v>
      </x:c>
      <x:c r="T2161" s="9" t="str"/>
    </x:row>
    <x:row r="2162" ht="22" customHeight="1">
      <x:c r="A2162" s="2" t="str">
        <x:v>L00262-020</x:v>
      </x:c>
      <x:c r="B2162" s="2" t="str">
        <x:v>L00262</x:v>
      </x:c>
      <x:c r="C2162" s="2" t="str">
        <x:v>SO-26053</x:v>
      </x:c>
      <x:c r="D2162" s="2" t="str">
        <x:v>D-L-AL</x:v>
      </x:c>
      <x:c r="E2162" s="14" t="n">
        <x:v>15</x:v>
      </x:c>
      <x:c r="F2162" s="2" t="str">
        <x:v>Deburr &amp; inspect</x:v>
      </x:c>
      <x:c r="G2162" s="9" t="str">
        <x:v>DB-02</x:v>
      </x:c>
      <x:c r="H2162" s="15" t="n">
        <x:v>138</x:v>
      </x:c>
      <x:c r="I2162" s="9" t="str">
        <x:v>P02</x:v>
      </x:c>
      <x:c r="J2162" s="11" t="n">
        <x:v>46308.36736111111</x:v>
      </x:c>
      <x:c r="K2162" s="15" t="n">
        <x:v>4</x:v>
      </x:c>
      <x:c r="L2162" s="15" t="n">
        <x:v>14</x:v>
      </x:c>
      <x:c r="M2162" s="13" t="n">
        <x:f>J2162+(K2162+L2162)/1440</x:f>
        <x:v>46308.379861111105</x:v>
      </x:c>
      <x:c r="N2162" s="13" t="n">
        <x:f>VLOOKUP(C2162,'MES orders'!$A$8:$H$127,5,FALSE)</x:f>
        <x:v>46308.666666666664</x:v>
      </x:c>
      <x:c r="O2162" s="16" t="n">
        <x:f>MAX(0,(M2162-N2162)*24)</x:f>
        <x:v>0</x:v>
      </x:c>
      <x:c r="P2162" s="9" t="str">
        <x:v>No</x:v>
      </x:c>
      <x:c r="Q2162" s="15" t="n">
        <x:v>18</x:v>
      </x:c>
      <x:c r="R2162" s="13" t="n">
        <x:f>J2162+Q2162/1440</x:f>
        <x:v>46308.379861111105</x:v>
      </x:c>
      <x:c r="S2162" s="2" t="str">
        <x:f>VLOOKUP(C2162,'MES orders'!$A$8:$H$127,6,FALSE)</x:f>
        <x:v>Normal</x:v>
      </x:c>
      <x:c r="T2162" s="9" t="str"/>
    </x:row>
    <x:row r="2163" ht="22" customHeight="1">
      <x:c r="A2163" s="2" t="str">
        <x:v>L00302-020</x:v>
      </x:c>
      <x:c r="B2163" s="2" t="str">
        <x:v>L00302</x:v>
      </x:c>
      <x:c r="C2163" s="2" t="str">
        <x:v>SO-26061</x:v>
      </x:c>
      <x:c r="D2163" s="2" t="str">
        <x:v>R-C-AL</x:v>
      </x:c>
      <x:c r="E2163" s="14" t="n">
        <x:v>10</x:v>
      </x:c>
      <x:c r="F2163" s="2" t="str">
        <x:v>Deburr &amp; inspect</x:v>
      </x:c>
      <x:c r="G2163" s="9" t="str">
        <x:v>DB-01</x:v>
      </x:c>
      <x:c r="H2163" s="15" t="n">
        <x:v>203</x:v>
      </x:c>
      <x:c r="I2163" s="9" t="str">
        <x:v>P03</x:v>
      </x:c>
      <x:c r="J2163" s="11" t="n">
        <x:v>46308.37291666667</x:v>
      </x:c>
      <x:c r="K2163" s="15" t="n">
        <x:v>4</x:v>
      </x:c>
      <x:c r="L2163" s="15" t="n">
        <x:v>6</x:v>
      </x:c>
      <x:c r="M2163" s="13" t="n">
        <x:f>J2163+(K2163+L2163)/1440</x:f>
        <x:v>46308.37986111111</x:v>
      </x:c>
      <x:c r="N2163" s="13" t="n">
        <x:f>VLOOKUP(C2163,'MES orders'!$A$8:$H$127,5,FALSE)</x:f>
        <x:v>46308.666666666664</x:v>
      </x:c>
      <x:c r="O2163" s="16" t="n">
        <x:f>MAX(0,(M2163-N2163)*24)</x:f>
        <x:v>0</x:v>
      </x:c>
      <x:c r="P2163" s="9" t="str">
        <x:v>No</x:v>
      </x:c>
      <x:c r="Q2163" s="15" t="n">
        <x:v>10</x:v>
      </x:c>
      <x:c r="R2163" s="13" t="n">
        <x:f>J2163+Q2163/1440</x:f>
        <x:v>46308.37986111111</x:v>
      </x:c>
      <x:c r="S2163" s="2" t="str">
        <x:f>VLOOKUP(C2163,'MES orders'!$A$8:$H$127,6,FALSE)</x:f>
        <x:v>Normal</x:v>
      </x:c>
      <x:c r="T2163" s="9" t="str"/>
    </x:row>
    <x:row r="2164" ht="22" customHeight="1">
      <x:c r="A2164" s="2" t="str">
        <x:v>L00221-040</x:v>
      </x:c>
      <x:c r="B2164" s="2" t="str">
        <x:v>L00221</x:v>
      </x:c>
      <x:c r="C2164" s="2" t="str">
        <x:v>SO-26045</x:v>
      </x:c>
      <x:c r="D2164" s="2" t="str">
        <x:v>D-S-AL</x:v>
      </x:c>
      <x:c r="E2164" s="14" t="n">
        <x:v>20</x:v>
      </x:c>
      <x:c r="F2164" s="2" t="str">
        <x:v>Mechanical assembly</x:v>
      </x:c>
      <x:c r="G2164" s="9" t="str">
        <x:v>AS-01</x:v>
      </x:c>
      <x:c r="H2164" s="15" t="n">
        <x:v>175</x:v>
      </x:c>
      <x:c r="I2164" s="9" t="str">
        <x:v>P04</x:v>
      </x:c>
      <x:c r="J2164" s="11" t="n">
        <x:v>46308.373611111114</x:v>
      </x:c>
      <x:c r="K2164" s="15" t="n">
        <x:v>8</x:v>
      </x:c>
      <x:c r="L2164" s="15" t="n">
        <x:v>36</x:v>
      </x:c>
      <x:c r="M2164" s="13" t="n">
        <x:f>J2164+(K2164+L2164)/1440</x:f>
        <x:v>46308.40416666667</x:v>
      </x:c>
      <x:c r="N2164" s="13" t="n">
        <x:f>VLOOKUP(C2164,'MES orders'!$A$8:$H$127,5,FALSE)</x:f>
        <x:v>46308.666666666664</x:v>
      </x:c>
      <x:c r="O2164" s="16" t="n">
        <x:f>MAX(0,(M2164-N2164)*24)</x:f>
        <x:v>0</x:v>
      </x:c>
      <x:c r="P2164" s="9" t="str">
        <x:v>No</x:v>
      </x:c>
      <x:c r="Q2164" s="15" t="n">
        <x:v>44</x:v>
      </x:c>
      <x:c r="R2164" s="13" t="n">
        <x:f>J2164+Q2164/1440</x:f>
        <x:v>46308.40416666667</x:v>
      </x:c>
      <x:c r="S2164" s="2" t="str">
        <x:f>VLOOKUP(C2164,'MES orders'!$A$8:$H$127,6,FALSE)</x:f>
        <x:v>Normal</x:v>
      </x:c>
      <x:c r="T2164" s="9" t="str"/>
    </x:row>
    <x:row r="2165" ht="22" customHeight="1">
      <x:c r="A2165" s="2" t="str">
        <x:v>L00223-030</x:v>
      </x:c>
      <x:c r="B2165" s="2" t="str">
        <x:v>L00223</x:v>
      </x:c>
      <x:c r="C2165" s="2" t="str">
        <x:v>SO-26045</x:v>
      </x:c>
      <x:c r="D2165" s="2" t="str">
        <x:v>D-S-AL</x:v>
      </x:c>
      <x:c r="E2165" s="14" t="n">
        <x:v>20</x:v>
      </x:c>
      <x:c r="F2165" s="2" t="str">
        <x:v>Wash &amp; dry</x:v>
      </x:c>
      <x:c r="G2165" s="9" t="str">
        <x:v>WS-01</x:v>
      </x:c>
      <x:c r="H2165" s="15" t="n">
        <x:v>200</x:v>
      </x:c>
      <x:c r="I2165" s="9" t="str">
        <x:v>P06</x:v>
      </x:c>
      <x:c r="J2165" s="11" t="n">
        <x:v>46308.373611111114</x:v>
      </x:c>
      <x:c r="K2165" s="15" t="n">
        <x:v>12</x:v>
      </x:c>
      <x:c r="L2165" s="15" t="n">
        <x:v>7</x:v>
      </x:c>
      <x:c r="M2165" s="13" t="n">
        <x:f>J2165+(K2165+L2165)/1440</x:f>
        <x:v>46308.38680555556</x:v>
      </x:c>
      <x:c r="N2165" s="13" t="n">
        <x:f>VLOOKUP(C2165,'MES orders'!$A$8:$H$127,5,FALSE)</x:f>
        <x:v>46308.666666666664</x:v>
      </x:c>
      <x:c r="O2165" s="16" t="n">
        <x:f>MAX(0,(M2165-N2165)*24)</x:f>
        <x:v>0</x:v>
      </x:c>
      <x:c r="P2165" s="9" t="str">
        <x:v>No</x:v>
      </x:c>
      <x:c r="Q2165" s="15" t="n">
        <x:v>19</x:v>
      </x:c>
      <x:c r="R2165" s="13" t="n">
        <x:f>J2165+Q2165/1440</x:f>
        <x:v>46308.38680555556</x:v>
      </x:c>
      <x:c r="S2165" s="2" t="str">
        <x:f>VLOOKUP(C2165,'MES orders'!$A$8:$H$127,6,FALSE)</x:f>
        <x:v>Normal</x:v>
      </x:c>
      <x:c r="T2165" s="9" t="str"/>
    </x:row>
    <x:row r="2166" ht="22" customHeight="1">
      <x:c r="A2166" s="2" t="str">
        <x:v>L00184-050</x:v>
      </x:c>
      <x:c r="B2166" s="2" t="str">
        <x:v>L00184</x:v>
      </x:c>
      <x:c r="C2166" s="2" t="str">
        <x:v>SO-26037</x:v>
      </x:c>
      <x:c r="D2166" s="2" t="str">
        <x:v>D-C-AL</x:v>
      </x:c>
      <x:c r="E2166" s="14" t="n">
        <x:v>5</x:v>
      </x:c>
      <x:c r="F2166" s="2" t="str">
        <x:v>Final leak / function test</x:v>
      </x:c>
      <x:c r="G2166" s="9" t="str">
        <x:v>QA-01</x:v>
      </x:c>
      <x:c r="H2166" s="15" t="n">
        <x:v>79</x:v>
      </x:c>
      <x:c r="I2166" s="9" t="str">
        <x:v>P11</x:v>
      </x:c>
      <x:c r="J2166" s="11" t="n">
        <x:v>46308.37430555555</x:v>
      </x:c>
      <x:c r="K2166" s="15" t="n">
        <x:v>10</x:v>
      </x:c>
      <x:c r="L2166" s="15" t="n">
        <x:v>4</x:v>
      </x:c>
      <x:c r="M2166" s="13" t="n">
        <x:f>J2166+(K2166+L2166)/1440</x:f>
        <x:v>46308.38402777778</x:v>
      </x:c>
      <x:c r="N2166" s="13" t="n">
        <x:f>VLOOKUP(C2166,'MES orders'!$A$8:$H$127,5,FALSE)</x:f>
        <x:v>46308.666666666664</x:v>
      </x:c>
      <x:c r="O2166" s="16" t="n">
        <x:f>MAX(0,(M2166-N2166)*24)</x:f>
        <x:v>0</x:v>
      </x:c>
      <x:c r="P2166" s="9" t="str">
        <x:v>No</x:v>
      </x:c>
      <x:c r="Q2166" s="15" t="n">
        <x:v>14</x:v>
      </x:c>
      <x:c r="R2166" s="13" t="n">
        <x:f>J2166+Q2166/1440</x:f>
        <x:v>46308.38402777778</x:v>
      </x:c>
      <x:c r="S2166" s="2" t="str">
        <x:f>VLOOKUP(C2166,'MES orders'!$A$8:$H$127,6,FALSE)</x:f>
        <x:v>Normal</x:v>
      </x:c>
      <x:c r="T2166" s="9" t="str"/>
    </x:row>
    <x:row r="2167" ht="22" customHeight="1">
      <x:c r="A2167" s="2" t="str">
        <x:v>L00185-050</x:v>
      </x:c>
      <x:c r="B2167" s="2" t="str">
        <x:v>L00185</x:v>
      </x:c>
      <x:c r="C2167" s="2" t="str">
        <x:v>SO-26037</x:v>
      </x:c>
      <x:c r="D2167" s="2" t="str">
        <x:v>D-C-AL</x:v>
      </x:c>
      <x:c r="E2167" s="14" t="n">
        <x:v>5</x:v>
      </x:c>
      <x:c r="F2167" s="2" t="str">
        <x:v>Final leak / function test</x:v>
      </x:c>
      <x:c r="G2167" s="9" t="str">
        <x:v>QA-02</x:v>
      </x:c>
      <x:c r="H2167" s="15" t="n">
        <x:v>157</x:v>
      </x:c>
      <x:c r="I2167" s="9" t="str">
        <x:v>P12</x:v>
      </x:c>
      <x:c r="J2167" s="11" t="n">
        <x:v>46308.376388888886</x:v>
      </x:c>
      <x:c r="K2167" s="15" t="n">
        <x:v>10</x:v>
      </x:c>
      <x:c r="L2167" s="15" t="n">
        <x:v>4</x:v>
      </x:c>
      <x:c r="M2167" s="13" t="n">
        <x:f>J2167+(K2167+L2167)/1440</x:f>
        <x:v>46308.38611111111</x:v>
      </x:c>
      <x:c r="N2167" s="13" t="n">
        <x:f>VLOOKUP(C2167,'MES orders'!$A$8:$H$127,5,FALSE)</x:f>
        <x:v>46308.666666666664</x:v>
      </x:c>
      <x:c r="O2167" s="16" t="n">
        <x:f>MAX(0,(M2167-N2167)*24)</x:f>
        <x:v>0</x:v>
      </x:c>
      <x:c r="P2167" s="9" t="str">
        <x:v>No</x:v>
      </x:c>
      <x:c r="Q2167" s="15" t="n">
        <x:v>14</x:v>
      </x:c>
      <x:c r="R2167" s="13" t="n">
        <x:f>J2167+Q2167/1440</x:f>
        <x:v>46308.38611111111</x:v>
      </x:c>
      <x:c r="S2167" s="2" t="str">
        <x:f>VLOOKUP(C2167,'MES orders'!$A$8:$H$127,6,FALSE)</x:f>
        <x:v>Normal</x:v>
      </x:c>
      <x:c r="T2167" s="9" t="str"/>
    </x:row>
    <x:row r="2168" ht="22" customHeight="1">
      <x:c r="A2168" s="2" t="str">
        <x:v>L00222-040</x:v>
      </x:c>
      <x:c r="B2168" s="2" t="str">
        <x:v>L00222</x:v>
      </x:c>
      <x:c r="C2168" s="2" t="str">
        <x:v>SO-26045</x:v>
      </x:c>
      <x:c r="D2168" s="2" t="str">
        <x:v>D-S-AL</x:v>
      </x:c>
      <x:c r="E2168" s="14" t="n">
        <x:v>20</x:v>
      </x:c>
      <x:c r="F2168" s="2" t="str">
        <x:v>Mechanical assembly</x:v>
      </x:c>
      <x:c r="G2168" s="9" t="str">
        <x:v>AS-02</x:v>
      </x:c>
      <x:c r="H2168" s="15" t="n">
        <x:v>142</x:v>
      </x:c>
      <x:c r="I2168" s="9" t="str">
        <x:v>P05</x:v>
      </x:c>
      <x:c r="J2168" s="11" t="n">
        <x:v>46308.379166666666</x:v>
      </x:c>
      <x:c r="K2168" s="15" t="n">
        <x:v>8</x:v>
      </x:c>
      <x:c r="L2168" s="15" t="n">
        <x:v>36</x:v>
      </x:c>
      <x:c r="M2168" s="13" t="n">
        <x:f>J2168+(K2168+L2168)/1440</x:f>
        <x:v>46308.40972222222</x:v>
      </x:c>
      <x:c r="N2168" s="13" t="n">
        <x:f>VLOOKUP(C2168,'MES orders'!$A$8:$H$127,5,FALSE)</x:f>
        <x:v>46308.666666666664</x:v>
      </x:c>
      <x:c r="O2168" s="16" t="n">
        <x:f>MAX(0,(M2168-N2168)*24)</x:f>
        <x:v>0</x:v>
      </x:c>
      <x:c r="P2168" s="9" t="str">
        <x:v>No</x:v>
      </x:c>
      <x:c r="Q2168" s="15" t="n">
        <x:v>44</x:v>
      </x:c>
      <x:c r="R2168" s="13" t="n">
        <x:f>J2168+Q2168/1440</x:f>
        <x:v>46308.40972222222</x:v>
      </x:c>
      <x:c r="S2168" s="2" t="str">
        <x:f>VLOOKUP(C2168,'MES orders'!$A$8:$H$127,6,FALSE)</x:f>
        <x:v>Normal</x:v>
      </x:c>
      <x:c r="T2168" s="9" t="str"/>
    </x:row>
    <x:row r="2169" ht="22" customHeight="1">
      <x:c r="A2169" s="2" t="str">
        <x:v>L00263-020</x:v>
      </x:c>
      <x:c r="B2169" s="2" t="str">
        <x:v>L00263</x:v>
      </x:c>
      <x:c r="C2169" s="2" t="str">
        <x:v>SO-26053</x:v>
      </x:c>
      <x:c r="D2169" s="2" t="str">
        <x:v>D-L-AL</x:v>
      </x:c>
      <x:c r="E2169" s="14" t="n">
        <x:v>15</x:v>
      </x:c>
      <x:c r="F2169" s="2" t="str">
        <x:v>Deburr &amp; inspect</x:v>
      </x:c>
      <x:c r="G2169" s="9" t="str">
        <x:v>DB-02</x:v>
      </x:c>
      <x:c r="H2169" s="15" t="n">
        <x:v>139</x:v>
      </x:c>
      <x:c r="I2169" s="9" t="str">
        <x:v>P03</x:v>
      </x:c>
      <x:c r="J2169" s="11" t="n">
        <x:v>46308.37986111111</x:v>
      </x:c>
      <x:c r="K2169" s="15" t="n">
        <x:v>4</x:v>
      </x:c>
      <x:c r="L2169" s="15" t="n">
        <x:v>14</x:v>
      </x:c>
      <x:c r="M2169" s="13" t="n">
        <x:f>J2169+(K2169+L2169)/1440</x:f>
        <x:v>46308.39236111111</x:v>
      </x:c>
      <x:c r="N2169" s="13" t="n">
        <x:f>VLOOKUP(C2169,'MES orders'!$A$8:$H$127,5,FALSE)</x:f>
        <x:v>46308.666666666664</x:v>
      </x:c>
      <x:c r="O2169" s="16" t="n">
        <x:f>MAX(0,(M2169-N2169)*24)</x:f>
        <x:v>0</x:v>
      </x:c>
      <x:c r="P2169" s="9" t="str">
        <x:v>No</x:v>
      </x:c>
      <x:c r="Q2169" s="15" t="n">
        <x:v>18</x:v>
      </x:c>
      <x:c r="R2169" s="13" t="n">
        <x:f>J2169+Q2169/1440</x:f>
        <x:v>46308.39236111111</x:v>
      </x:c>
      <x:c r="S2169" s="2" t="str">
        <x:f>VLOOKUP(C2169,'MES orders'!$A$8:$H$127,6,FALSE)</x:f>
        <x:v>Normal</x:v>
      </x:c>
      <x:c r="T2169" s="9" t="str"/>
    </x:row>
    <x:row r="2170" ht="22" customHeight="1">
      <x:c r="A2170" s="2" t="str">
        <x:v>L00262-030</x:v>
      </x:c>
      <x:c r="B2170" s="2" t="str">
        <x:v>L00262</x:v>
      </x:c>
      <x:c r="C2170" s="2" t="str">
        <x:v>SO-26053</x:v>
      </x:c>
      <x:c r="D2170" s="2" t="str">
        <x:v>D-L-AL</x:v>
      </x:c>
      <x:c r="E2170" s="14" t="n">
        <x:v>15</x:v>
      </x:c>
      <x:c r="F2170" s="2" t="str">
        <x:v>Wash &amp; dry</x:v>
      </x:c>
      <x:c r="G2170" s="9" t="str">
        <x:v>WS-02</x:v>
      </x:c>
      <x:c r="H2170" s="15" t="n">
        <x:v>140</x:v>
      </x:c>
      <x:c r="I2170" s="9" t="str">
        <x:v>P02</x:v>
      </x:c>
      <x:c r="J2170" s="11" t="n">
        <x:v>46308.37986111111</x:v>
      </x:c>
      <x:c r="K2170" s="15" t="n">
        <x:v>12</x:v>
      </x:c>
      <x:c r="L2170" s="15" t="n">
        <x:v>7</x:v>
      </x:c>
      <x:c r="M2170" s="13" t="n">
        <x:f>J2170+(K2170+L2170)/1440</x:f>
        <x:v>46308.393055555556</x:v>
      </x:c>
      <x:c r="N2170" s="13" t="n">
        <x:f>VLOOKUP(C2170,'MES orders'!$A$8:$H$127,5,FALSE)</x:f>
        <x:v>46308.666666666664</x:v>
      </x:c>
      <x:c r="O2170" s="16" t="n">
        <x:f>MAX(0,(M2170-N2170)*24)</x:f>
        <x:v>0</x:v>
      </x:c>
      <x:c r="P2170" s="9" t="str">
        <x:v>No</x:v>
      </x:c>
      <x:c r="Q2170" s="15" t="n">
        <x:v>19</x:v>
      </x:c>
      <x:c r="R2170" s="13" t="n">
        <x:f>J2170+Q2170/1440</x:f>
        <x:v>46308.393055555556</x:v>
      </x:c>
      <x:c r="S2170" s="2" t="str">
        <x:f>VLOOKUP(C2170,'MES orders'!$A$8:$H$127,6,FALSE)</x:f>
        <x:v>Normal</x:v>
      </x:c>
      <x:c r="T2170" s="9" t="str"/>
    </x:row>
    <x:row r="2171" ht="22" customHeight="1">
      <x:c r="A2171" s="2" t="str">
        <x:v>L00224-020</x:v>
      </x:c>
      <x:c r="B2171" s="2" t="str">
        <x:v>L00224</x:v>
      </x:c>
      <x:c r="C2171" s="2" t="str">
        <x:v>SO-26045</x:v>
      </x:c>
      <x:c r="D2171" s="2" t="str">
        <x:v>D-S-AL</x:v>
      </x:c>
      <x:c r="E2171" s="14" t="n">
        <x:v>20</x:v>
      </x:c>
      <x:c r="F2171" s="2" t="str">
        <x:v>Deburr &amp; inspect</x:v>
      </x:c>
      <x:c r="G2171" s="9" t="str">
        <x:v>DB-01</x:v>
      </x:c>
      <x:c r="H2171" s="15" t="n">
        <x:v>204</x:v>
      </x:c>
      <x:c r="I2171" s="9" t="str">
        <x:v>P06</x:v>
      </x:c>
      <x:c r="J2171" s="11" t="n">
        <x:v>46308.38680555556</x:v>
      </x:c>
      <x:c r="K2171" s="15" t="n">
        <x:v>4</x:v>
      </x:c>
      <x:c r="L2171" s="15" t="n">
        <x:v>14</x:v>
      </x:c>
      <x:c r="M2171" s="13" t="n">
        <x:f>J2171+(K2171+L2171)/1440</x:f>
        <x:v>46308.399305555555</x:v>
      </x:c>
      <x:c r="N2171" s="13" t="n">
        <x:f>VLOOKUP(C2171,'MES orders'!$A$8:$H$127,5,FALSE)</x:f>
        <x:v>46308.666666666664</x:v>
      </x:c>
      <x:c r="O2171" s="16" t="n">
        <x:f>MAX(0,(M2171-N2171)*24)</x:f>
        <x:v>0</x:v>
      </x:c>
      <x:c r="P2171" s="9" t="str">
        <x:v>No</x:v>
      </x:c>
      <x:c r="Q2171" s="15" t="n">
        <x:v>18</x:v>
      </x:c>
      <x:c r="R2171" s="13" t="n">
        <x:f>J2171+Q2171/1440</x:f>
        <x:v>46308.399305555555</x:v>
      </x:c>
      <x:c r="S2171" s="2" t="str">
        <x:f>VLOOKUP(C2171,'MES orders'!$A$8:$H$127,6,FALSE)</x:f>
        <x:v>Normal</x:v>
      </x:c>
      <x:c r="T2171" s="9" t="str"/>
    </x:row>
    <x:row r="2172" ht="22" customHeight="1">
      <x:c r="A2172" s="2" t="str">
        <x:v>L00302-030</x:v>
      </x:c>
      <x:c r="B2172" s="2" t="str">
        <x:v>L00302</x:v>
      </x:c>
      <x:c r="C2172" s="2" t="str">
        <x:v>SO-26061</x:v>
      </x:c>
      <x:c r="D2172" s="2" t="str">
        <x:v>R-C-AL</x:v>
      </x:c>
      <x:c r="E2172" s="14" t="n">
        <x:v>10</x:v>
      </x:c>
      <x:c r="F2172" s="2" t="str">
        <x:v>Wash &amp; dry</x:v>
      </x:c>
      <x:c r="G2172" s="9" t="str">
        <x:v>WS-01</x:v>
      </x:c>
      <x:c r="H2172" s="15" t="n">
        <x:v>201</x:v>
      </x:c>
      <x:c r="I2172" s="9" t="str">
        <x:v>P07</x:v>
      </x:c>
      <x:c r="J2172" s="11" t="n">
        <x:v>46308.38680555556</x:v>
      </x:c>
      <x:c r="K2172" s="15" t="n">
        <x:v>12</x:v>
      </x:c>
      <x:c r="L2172" s="15" t="n">
        <x:v>3</x:v>
      </x:c>
      <x:c r="M2172" s="13" t="n">
        <x:f>J2172+(K2172+L2172)/1440</x:f>
        <x:v>46308.39722222222</x:v>
      </x:c>
      <x:c r="N2172" s="13" t="n">
        <x:f>VLOOKUP(C2172,'MES orders'!$A$8:$H$127,5,FALSE)</x:f>
        <x:v>46308.666666666664</x:v>
      </x:c>
      <x:c r="O2172" s="16" t="n">
        <x:f>MAX(0,(M2172-N2172)*24)</x:f>
        <x:v>0</x:v>
      </x:c>
      <x:c r="P2172" s="9" t="str">
        <x:v>No</x:v>
      </x:c>
      <x:c r="Q2172" s="15" t="n">
        <x:v>15</x:v>
      </x:c>
      <x:c r="R2172" s="13" t="n">
        <x:f>J2172+Q2172/1440</x:f>
        <x:v>46308.39722222222</x:v>
      </x:c>
      <x:c r="S2172" s="2" t="str">
        <x:f>VLOOKUP(C2172,'MES orders'!$A$8:$H$127,6,FALSE)</x:f>
        <x:v>Normal</x:v>
      </x:c>
      <x:c r="T2172" s="9" t="str"/>
    </x:row>
    <x:row r="2173" ht="22" customHeight="1">
      <x:c r="A2173" s="2" t="str">
        <x:v>L00264-020</x:v>
      </x:c>
      <x:c r="B2173" s="2" t="str">
        <x:v>L00264</x:v>
      </x:c>
      <x:c r="C2173" s="2" t="str">
        <x:v>SO-26053</x:v>
      </x:c>
      <x:c r="D2173" s="2" t="str">
        <x:v>D-L-AL</x:v>
      </x:c>
      <x:c r="E2173" s="14" t="n">
        <x:v>15</x:v>
      </x:c>
      <x:c r="F2173" s="2" t="str">
        <x:v>Deburr &amp; inspect</x:v>
      </x:c>
      <x:c r="G2173" s="9" t="str">
        <x:v>DB-02</x:v>
      </x:c>
      <x:c r="H2173" s="15" t="n">
        <x:v>140</x:v>
      </x:c>
      <x:c r="I2173" s="9" t="str">
        <x:v>P03</x:v>
      </x:c>
      <x:c r="J2173" s="11" t="n">
        <x:v>46308.39236111111</x:v>
      </x:c>
      <x:c r="K2173" s="15" t="n">
        <x:v>4</x:v>
      </x:c>
      <x:c r="L2173" s="15" t="n">
        <x:v>14</x:v>
      </x:c>
      <x:c r="M2173" s="13" t="n">
        <x:f>J2173+(K2173+L2173)/1440</x:f>
        <x:v>46308.40486111111</x:v>
      </x:c>
      <x:c r="N2173" s="13" t="n">
        <x:f>VLOOKUP(C2173,'MES orders'!$A$8:$H$127,5,FALSE)</x:f>
        <x:v>46308.666666666664</x:v>
      </x:c>
      <x:c r="O2173" s="16" t="n">
        <x:f>MAX(0,(M2173-N2173)*24)</x:f>
        <x:v>0</x:v>
      </x:c>
      <x:c r="P2173" s="9" t="str">
        <x:v>No</x:v>
      </x:c>
      <x:c r="Q2173" s="15" t="n">
        <x:v>18</x:v>
      </x:c>
      <x:c r="R2173" s="13" t="n">
        <x:f>J2173+Q2173/1440</x:f>
        <x:v>46308.40486111111</x:v>
      </x:c>
      <x:c r="S2173" s="2" t="str">
        <x:f>VLOOKUP(C2173,'MES orders'!$A$8:$H$127,6,FALSE)</x:f>
        <x:v>Normal</x:v>
      </x:c>
      <x:c r="T2173" s="9" t="str"/>
    </x:row>
    <x:row r="2174" ht="22" customHeight="1">
      <x:c r="A2174" s="2" t="str">
        <x:v>L00304-010</x:v>
      </x:c>
      <x:c r="B2174" s="2" t="str">
        <x:v>L00304</x:v>
      </x:c>
      <x:c r="C2174" s="2" t="str">
        <x:v>SO-26061</x:v>
      </x:c>
      <x:c r="D2174" s="2" t="str">
        <x:v>R-C-AL</x:v>
      </x:c>
      <x:c r="E2174" s="14" t="n">
        <x:v>10</x:v>
      </x:c>
      <x:c r="F2174" s="2" t="str">
        <x:v>CNC machining</x:v>
      </x:c>
      <x:c r="G2174" s="9" t="str">
        <x:v>CNC-01</x:v>
      </x:c>
      <x:c r="H2174" s="15" t="n">
        <x:v>61</x:v>
      </x:c>
      <x:c r="I2174" s="9" t="str">
        <x:v>P02</x:v>
      </x:c>
      <x:c r="J2174" s="11" t="n">
        <x:v>46308.393055555556</x:v>
      </x:c>
      <x:c r="K2174" s="15" t="n">
        <x:v>18</x:v>
      </x:c>
      <x:c r="L2174" s="15" t="n">
        <x:v>19</x:v>
      </x:c>
      <x:c r="M2174" s="13" t="n">
        <x:f>J2174+(K2174+L2174)/1440</x:f>
        <x:v>46308.41875</x:v>
      </x:c>
      <x:c r="N2174" s="13" t="n">
        <x:f>VLOOKUP(C2174,'MES orders'!$A$8:$H$127,5,FALSE)</x:f>
        <x:v>46308.666666666664</x:v>
      </x:c>
      <x:c r="O2174" s="16" t="n">
        <x:f>MAX(0,(M2174-N2174)*24)</x:f>
        <x:v>0</x:v>
      </x:c>
      <x:c r="P2174" s="9" t="str">
        <x:v>No</x:v>
      </x:c>
      <x:c r="Q2174" s="15" t="n">
        <x:v>18</x:v>
      </x:c>
      <x:c r="R2174" s="13" t="n">
        <x:f>J2174+Q2174/1440</x:f>
        <x:v>46308.40555555555</x:v>
      </x:c>
      <x:c r="S2174" s="2" t="str">
        <x:f>VLOOKUP(C2174,'MES orders'!$A$8:$H$127,6,FALSE)</x:f>
        <x:v>Normal</x:v>
      </x:c>
      <x:c r="T2174" s="9" t="str"/>
    </x:row>
    <x:row r="2175" ht="22" customHeight="1">
      <x:c r="A2175" s="2" t="str">
        <x:v>L00261-050</x:v>
      </x:c>
      <x:c r="B2175" s="2" t="str">
        <x:v>L00261</x:v>
      </x:c>
      <x:c r="C2175" s="2" t="str">
        <x:v>SO-26053</x:v>
      </x:c>
      <x:c r="D2175" s="2" t="str">
        <x:v>D-L-AL</x:v>
      </x:c>
      <x:c r="E2175" s="14" t="n">
        <x:v>15</x:v>
      </x:c>
      <x:c r="F2175" s="2" t="str">
        <x:v>Final leak / function test</x:v>
      </x:c>
      <x:c r="G2175" s="9" t="str">
        <x:v>QA-01</x:v>
      </x:c>
      <x:c r="H2175" s="15" t="n">
        <x:v>80</x:v>
      </x:c>
      <x:c r="I2175" s="9" t="str">
        <x:v>P11</x:v>
      </x:c>
      <x:c r="J2175" s="11" t="n">
        <x:v>46308.39444444444</x:v>
      </x:c>
      <x:c r="K2175" s="15" t="n">
        <x:v>10</x:v>
      </x:c>
      <x:c r="L2175" s="15" t="n">
        <x:v>18</x:v>
      </x:c>
      <x:c r="M2175" s="13" t="n">
        <x:f>J2175+(K2175+L2175)/1440</x:f>
        <x:v>46308.413888888885</x:v>
      </x:c>
      <x:c r="N2175" s="13" t="n">
        <x:f>VLOOKUP(C2175,'MES orders'!$A$8:$H$127,5,FALSE)</x:f>
        <x:v>46308.666666666664</x:v>
      </x:c>
      <x:c r="O2175" s="16" t="n">
        <x:f>MAX(0,(M2175-N2175)*24)</x:f>
        <x:v>0</x:v>
      </x:c>
      <x:c r="P2175" s="9" t="str">
        <x:v>No</x:v>
      </x:c>
      <x:c r="Q2175" s="15" t="n">
        <x:v>28</x:v>
      </x:c>
      <x:c r="R2175" s="13" t="n">
        <x:f>J2175+Q2175/1440</x:f>
        <x:v>46308.413888888885</x:v>
      </x:c>
      <x:c r="S2175" s="2" t="str">
        <x:f>VLOOKUP(C2175,'MES orders'!$A$8:$H$127,6,FALSE)</x:f>
        <x:v>Normal</x:v>
      </x:c>
      <x:c r="T2175" s="9" t="str"/>
    </x:row>
    <x:row r="2176" ht="22" customHeight="1">
      <x:c r="A2176" s="2" t="str">
        <x:v>L00302-040</x:v>
      </x:c>
      <x:c r="B2176" s="2" t="str">
        <x:v>L00302</x:v>
      </x:c>
      <x:c r="C2176" s="2" t="str">
        <x:v>SO-26061</x:v>
      </x:c>
      <x:c r="D2176" s="2" t="str">
        <x:v>R-C-AL</x:v>
      </x:c>
      <x:c r="E2176" s="14" t="n">
        <x:v>10</x:v>
      </x:c>
      <x:c r="F2176" s="2" t="str">
        <x:v>Mechanical assembly</x:v>
      </x:c>
      <x:c r="G2176" s="9" t="str">
        <x:v>AS-03</x:v>
      </x:c>
      <x:c r="H2176" s="15" t="n">
        <x:v>115</x:v>
      </x:c>
      <x:c r="I2176" s="9" t="str">
        <x:v>P01</x:v>
      </x:c>
      <x:c r="J2176" s="11" t="n">
        <x:v>46308.39722222222</x:v>
      </x:c>
      <x:c r="K2176" s="15" t="n">
        <x:v>8</x:v>
      </x:c>
      <x:c r="L2176" s="15" t="n">
        <x:v>14</x:v>
      </x:c>
      <x:c r="M2176" s="13" t="n">
        <x:f>J2176+(K2176+L2176)/1440</x:f>
        <x:v>46308.4125</x:v>
      </x:c>
      <x:c r="N2176" s="13" t="n">
        <x:f>VLOOKUP(C2176,'MES orders'!$A$8:$H$127,5,FALSE)</x:f>
        <x:v>46308.666666666664</x:v>
      </x:c>
      <x:c r="O2176" s="16" t="n">
        <x:f>MAX(0,(M2176-N2176)*24)</x:f>
        <x:v>0</x:v>
      </x:c>
      <x:c r="P2176" s="9" t="str">
        <x:v>No</x:v>
      </x:c>
      <x:c r="Q2176" s="15" t="n">
        <x:v>22</x:v>
      </x:c>
      <x:c r="R2176" s="13" t="n">
        <x:f>J2176+Q2176/1440</x:f>
        <x:v>46308.4125</x:v>
      </x:c>
      <x:c r="S2176" s="2" t="str">
        <x:f>VLOOKUP(C2176,'MES orders'!$A$8:$H$127,6,FALSE)</x:f>
        <x:v>Normal</x:v>
      </x:c>
      <x:c r="T2176" s="9" t="str"/>
    </x:row>
    <x:row r="2177" ht="22" customHeight="1">
      <x:c r="A2177" s="2" t="str">
        <x:v>L00224-030</x:v>
      </x:c>
      <x:c r="B2177" s="2" t="str">
        <x:v>L00224</x:v>
      </x:c>
      <x:c r="C2177" s="2" t="str">
        <x:v>SO-26045</x:v>
      </x:c>
      <x:c r="D2177" s="2" t="str">
        <x:v>D-S-AL</x:v>
      </x:c>
      <x:c r="E2177" s="14" t="n">
        <x:v>20</x:v>
      </x:c>
      <x:c r="F2177" s="2" t="str">
        <x:v>Wash &amp; dry</x:v>
      </x:c>
      <x:c r="G2177" s="9" t="str">
        <x:v>WS-01</x:v>
      </x:c>
      <x:c r="H2177" s="15" t="n">
        <x:v>202</x:v>
      </x:c>
      <x:c r="I2177" s="9" t="str">
        <x:v>P06</x:v>
      </x:c>
      <x:c r="J2177" s="11" t="n">
        <x:v>46308.399305555555</x:v>
      </x:c>
      <x:c r="K2177" s="15" t="n">
        <x:v>12</x:v>
      </x:c>
      <x:c r="L2177" s="15" t="n">
        <x:v>7</x:v>
      </x:c>
      <x:c r="M2177" s="13" t="n">
        <x:f>J2177+(K2177+L2177)/1440</x:f>
        <x:v>46308.4125</x:v>
      </x:c>
      <x:c r="N2177" s="13" t="n">
        <x:f>VLOOKUP(C2177,'MES orders'!$A$8:$H$127,5,FALSE)</x:f>
        <x:v>46308.666666666664</x:v>
      </x:c>
      <x:c r="O2177" s="16" t="n">
        <x:f>MAX(0,(M2177-N2177)*24)</x:f>
        <x:v>0</x:v>
      </x:c>
      <x:c r="P2177" s="9" t="str">
        <x:v>No</x:v>
      </x:c>
      <x:c r="Q2177" s="15" t="n">
        <x:v>19</x:v>
      </x:c>
      <x:c r="R2177" s="13" t="n">
        <x:f>J2177+Q2177/1440</x:f>
        <x:v>46308.4125</x:v>
      </x:c>
      <x:c r="S2177" s="2" t="str">
        <x:f>VLOOKUP(C2177,'MES orders'!$A$8:$H$127,6,FALSE)</x:f>
        <x:v>Normal</x:v>
      </x:c>
      <x:c r="T2177" s="9" t="str"/>
    </x:row>
    <x:row r="2178" ht="22" customHeight="1">
      <x:c r="A2178" s="2" t="str">
        <x:v>L00225-020</x:v>
      </x:c>
      <x:c r="B2178" s="2" t="str">
        <x:v>L00225</x:v>
      </x:c>
      <x:c r="C2178" s="2" t="str">
        <x:v>SO-26045</x:v>
      </x:c>
      <x:c r="D2178" s="2" t="str">
        <x:v>D-S-AL</x:v>
      </x:c>
      <x:c r="E2178" s="14" t="n">
        <x:v>20</x:v>
      </x:c>
      <x:c r="F2178" s="2" t="str">
        <x:v>Deburr &amp; inspect</x:v>
      </x:c>
      <x:c r="G2178" s="9" t="str">
        <x:v>DB-01</x:v>
      </x:c>
      <x:c r="H2178" s="15" t="n">
        <x:v>205</x:v>
      </x:c>
      <x:c r="I2178" s="9" t="str">
        <x:v>P04</x:v>
      </x:c>
      <x:c r="J2178" s="11" t="n">
        <x:v>46308.40416666667</x:v>
      </x:c>
      <x:c r="K2178" s="15" t="n">
        <x:v>4</x:v>
      </x:c>
      <x:c r="L2178" s="15" t="n">
        <x:v>14</x:v>
      </x:c>
      <x:c r="M2178" s="13" t="n">
        <x:f>J2178+(K2178+L2178)/1440</x:f>
        <x:v>46308.416666666664</x:v>
      </x:c>
      <x:c r="N2178" s="13" t="n">
        <x:f>VLOOKUP(C2178,'MES orders'!$A$8:$H$127,5,FALSE)</x:f>
        <x:v>46308.666666666664</x:v>
      </x:c>
      <x:c r="O2178" s="16" t="n">
        <x:f>MAX(0,(M2178-N2178)*24)</x:f>
        <x:v>0</x:v>
      </x:c>
      <x:c r="P2178" s="9" t="str">
        <x:v>No</x:v>
      </x:c>
      <x:c r="Q2178" s="15" t="n">
        <x:v>18</x:v>
      </x:c>
      <x:c r="R2178" s="13" t="n">
        <x:f>J2178+Q2178/1440</x:f>
        <x:v>46308.416666666664</x:v>
      </x:c>
      <x:c r="S2178" s="2" t="str">
        <x:f>VLOOKUP(C2178,'MES orders'!$A$8:$H$127,6,FALSE)</x:f>
        <x:v>Normal</x:v>
      </x:c>
      <x:c r="T2178" s="9" t="str"/>
    </x:row>
    <x:row r="2179" ht="22" customHeight="1">
      <x:c r="A2179" s="2" t="str">
        <x:v>L00301-020</x:v>
      </x:c>
      <x:c r="B2179" s="2" t="str">
        <x:v>L00301</x:v>
      </x:c>
      <x:c r="C2179" s="2" t="str">
        <x:v>SO-26061</x:v>
      </x:c>
      <x:c r="D2179" s="2" t="str">
        <x:v>R-C-AL</x:v>
      </x:c>
      <x:c r="E2179" s="14" t="n">
        <x:v>10</x:v>
      </x:c>
      <x:c r="F2179" s="2" t="str">
        <x:v>Deburr &amp; inspect</x:v>
      </x:c>
      <x:c r="G2179" s="9" t="str">
        <x:v>DB-02</x:v>
      </x:c>
      <x:c r="H2179" s="15" t="n">
        <x:v>141</x:v>
      </x:c>
      <x:c r="I2179" s="9" t="str">
        <x:v>P05</x:v>
      </x:c>
      <x:c r="J2179" s="11" t="n">
        <x:v>46308.40972222222</x:v>
      </x:c>
      <x:c r="K2179" s="15" t="n">
        <x:v>4</x:v>
      </x:c>
      <x:c r="L2179" s="15" t="n">
        <x:v>6</x:v>
      </x:c>
      <x:c r="M2179" s="13" t="n">
        <x:f>J2179+(K2179+L2179)/1440</x:f>
        <x:v>46308.416666666664</x:v>
      </x:c>
      <x:c r="N2179" s="13" t="n">
        <x:f>VLOOKUP(C2179,'MES orders'!$A$8:$H$127,5,FALSE)</x:f>
        <x:v>46308.666666666664</x:v>
      </x:c>
      <x:c r="O2179" s="16" t="n">
        <x:f>MAX(0,(M2179-N2179)*24)</x:f>
        <x:v>0</x:v>
      </x:c>
      <x:c r="P2179" s="9" t="str">
        <x:v>No</x:v>
      </x:c>
      <x:c r="Q2179" s="15" t="n">
        <x:v>10</x:v>
      </x:c>
      <x:c r="R2179" s="13" t="n">
        <x:f>J2179+Q2179/1440</x:f>
        <x:v>46308.416666666664</x:v>
      </x:c>
      <x:c r="S2179" s="2" t="str">
        <x:f>VLOOKUP(C2179,'MES orders'!$A$8:$H$127,6,FALSE)</x:f>
        <x:v>Normal</x:v>
      </x:c>
      <x:c r="T2179" s="9" t="str"/>
    </x:row>
    <x:row r="2180" ht="22" customHeight="1">
      <x:c r="A2180" s="2" t="str">
        <x:v>L00223-040</x:v>
      </x:c>
      <x:c r="B2180" s="2" t="str">
        <x:v>L00223</x:v>
      </x:c>
      <x:c r="C2180" s="2" t="str">
        <x:v>SO-26045</x:v>
      </x:c>
      <x:c r="D2180" s="2" t="str">
        <x:v>D-S-AL</x:v>
      </x:c>
      <x:c r="E2180" s="14" t="n">
        <x:v>20</x:v>
      </x:c>
      <x:c r="F2180" s="2" t="str">
        <x:v>Mechanical assembly</x:v>
      </x:c>
      <x:c r="G2180" s="9" t="str">
        <x:v>AS-01</x:v>
      </x:c>
      <x:c r="H2180" s="15" t="n">
        <x:v>176</x:v>
      </x:c>
      <x:c r="I2180" s="9" t="str">
        <x:v>P04</x:v>
      </x:c>
      <x:c r="J2180" s="11" t="n">
        <x:v>46308.4375</x:v>
      </x:c>
      <x:c r="K2180" s="15" t="n">
        <x:v>8</x:v>
      </x:c>
      <x:c r="L2180" s="15" t="n">
        <x:v>36</x:v>
      </x:c>
      <x:c r="M2180" s="13" t="n">
        <x:f>J2180+(K2180+L2180)/1440</x:f>
        <x:v>46308.46805555555</x:v>
      </x:c>
      <x:c r="N2180" s="13" t="n">
        <x:f>VLOOKUP(C2180,'MES orders'!$A$8:$H$127,5,FALSE)</x:f>
        <x:v>46308.666666666664</x:v>
      </x:c>
      <x:c r="O2180" s="16" t="n">
        <x:f>MAX(0,(M2180-N2180)*24)</x:f>
        <x:v>0</x:v>
      </x:c>
      <x:c r="P2180" s="9" t="str">
        <x:v>No</x:v>
      </x:c>
      <x:c r="Q2180" s="15" t="n">
        <x:v>44</x:v>
      </x:c>
      <x:c r="R2180" s="13" t="n">
        <x:f>J2180+Q2180/1440</x:f>
        <x:v>46308.46805555555</x:v>
      </x:c>
      <x:c r="S2180" s="2" t="str">
        <x:f>VLOOKUP(C2180,'MES orders'!$A$8:$H$127,6,FALSE)</x:f>
        <x:v>Normal</x:v>
      </x:c>
      <x:c r="T2180" s="9" t="str"/>
    </x:row>
    <x:row r="2181" ht="22" customHeight="1">
      <x:c r="A2181" s="2" t="str">
        <x:v>L00224-040</x:v>
      </x:c>
      <x:c r="B2181" s="2" t="str">
        <x:v>L00224</x:v>
      </x:c>
      <x:c r="C2181" s="2" t="str">
        <x:v>SO-26045</x:v>
      </x:c>
      <x:c r="D2181" s="2" t="str">
        <x:v>D-S-AL</x:v>
      </x:c>
      <x:c r="E2181" s="14" t="n">
        <x:v>20</x:v>
      </x:c>
      <x:c r="F2181" s="2" t="str">
        <x:v>Mechanical assembly</x:v>
      </x:c>
      <x:c r="G2181" s="9" t="str">
        <x:v>AS-02</x:v>
      </x:c>
      <x:c r="H2181" s="15" t="n">
        <x:v>143</x:v>
      </x:c>
      <x:c r="I2181" s="9" t="str">
        <x:v>P05</x:v>
      </x:c>
      <x:c r="J2181" s="11" t="n">
        <x:v>46308.4375</x:v>
      </x:c>
      <x:c r="K2181" s="15" t="n">
        <x:v>8</x:v>
      </x:c>
      <x:c r="L2181" s="15" t="n">
        <x:v>36</x:v>
      </x:c>
      <x:c r="M2181" s="13" t="n">
        <x:f>J2181+(K2181+L2181)/1440</x:f>
        <x:v>46308.46805555555</x:v>
      </x:c>
      <x:c r="N2181" s="13" t="n">
        <x:f>VLOOKUP(C2181,'MES orders'!$A$8:$H$127,5,FALSE)</x:f>
        <x:v>46308.666666666664</x:v>
      </x:c>
      <x:c r="O2181" s="16" t="n">
        <x:f>MAX(0,(M2181-N2181)*24)</x:f>
        <x:v>0</x:v>
      </x:c>
      <x:c r="P2181" s="9" t="str">
        <x:v>No</x:v>
      </x:c>
      <x:c r="Q2181" s="15" t="n">
        <x:v>44</x:v>
      </x:c>
      <x:c r="R2181" s="13" t="n">
        <x:f>J2181+Q2181/1440</x:f>
        <x:v>46308.46805555555</x:v>
      </x:c>
      <x:c r="S2181" s="2" t="str">
        <x:f>VLOOKUP(C2181,'MES orders'!$A$8:$H$127,6,FALSE)</x:f>
        <x:v>Normal</x:v>
      </x:c>
      <x:c r="T2181" s="9" t="str"/>
    </x:row>
    <x:row r="2182" ht="22" customHeight="1">
      <x:c r="A2182" s="2" t="str">
        <x:v>L00302-050</x:v>
      </x:c>
      <x:c r="B2182" s="2" t="str">
        <x:v>L00302</x:v>
      </x:c>
      <x:c r="C2182" s="2" t="str">
        <x:v>SO-26061</x:v>
      </x:c>
      <x:c r="D2182" s="2" t="str">
        <x:v>R-C-AL</x:v>
      </x:c>
      <x:c r="E2182" s="14" t="n">
        <x:v>10</x:v>
      </x:c>
      <x:c r="F2182" s="2" t="str">
        <x:v>Valve adjustment</x:v>
      </x:c>
      <x:c r="G2182" s="9" t="str">
        <x:v>AS-03</x:v>
      </x:c>
      <x:c r="H2182" s="15" t="n">
        <x:v>116</x:v>
      </x:c>
      <x:c r="I2182" s="9" t="str">
        <x:v>P08</x:v>
      </x:c>
      <x:c r="J2182" s="11" t="n">
        <x:v>46308.4375</x:v>
      </x:c>
      <x:c r="K2182" s="15" t="n">
        <x:v>6</x:v>
      </x:c>
      <x:c r="L2182" s="15" t="n">
        <x:v>9</x:v>
      </x:c>
      <x:c r="M2182" s="13" t="n">
        <x:f>J2182+(K2182+L2182)/1440</x:f>
        <x:v>46308.447916666664</x:v>
      </x:c>
      <x:c r="N2182" s="13" t="n">
        <x:f>VLOOKUP(C2182,'MES orders'!$A$8:$H$127,5,FALSE)</x:f>
        <x:v>46308.666666666664</x:v>
      </x:c>
      <x:c r="O2182" s="16" t="n">
        <x:f>MAX(0,(M2182-N2182)*24)</x:f>
        <x:v>0</x:v>
      </x:c>
      <x:c r="P2182" s="9" t="str">
        <x:v>No</x:v>
      </x:c>
      <x:c r="Q2182" s="15" t="n">
        <x:v>15</x:v>
      </x:c>
      <x:c r="R2182" s="13" t="n">
        <x:f>J2182+Q2182/1440</x:f>
        <x:v>46308.447916666664</x:v>
      </x:c>
      <x:c r="S2182" s="2" t="str">
        <x:f>VLOOKUP(C2182,'MES orders'!$A$8:$H$127,6,FALSE)</x:f>
        <x:v>Normal</x:v>
      </x:c>
      <x:c r="T2182" s="9" t="str"/>
    </x:row>
    <x:row r="2183" ht="22" customHeight="1">
      <x:c r="A2183" s="2" t="str">
        <x:v>L00305-010</x:v>
      </x:c>
      <x:c r="B2183" s="2" t="str">
        <x:v>L00305</x:v>
      </x:c>
      <x:c r="C2183" s="2" t="str">
        <x:v>SO-26061</x:v>
      </x:c>
      <x:c r="D2183" s="2" t="str">
        <x:v>R-C-AL</x:v>
      </x:c>
      <x:c r="E2183" s="14" t="n">
        <x:v>10</x:v>
      </x:c>
      <x:c r="F2183" s="2" t="str">
        <x:v>CNC machining</x:v>
      </x:c>
      <x:c r="G2183" s="9" t="str">
        <x:v>CNC-01</x:v>
      </x:c>
      <x:c r="H2183" s="15" t="n">
        <x:v>62</x:v>
      </x:c>
      <x:c r="I2183" s="9" t="str">
        <x:v>P03</x:v>
      </x:c>
      <x:c r="J2183" s="11" t="n">
        <x:v>46308.4375</x:v>
      </x:c>
      <x:c r="K2183" s="15" t="n">
        <x:v>18</x:v>
      </x:c>
      <x:c r="L2183" s="15" t="n">
        <x:v>19</x:v>
      </x:c>
      <x:c r="M2183" s="13" t="n">
        <x:f>J2183+(K2183+L2183)/1440</x:f>
        <x:v>46308.46319444444</x:v>
      </x:c>
      <x:c r="N2183" s="13" t="n">
        <x:f>VLOOKUP(C2183,'MES orders'!$A$8:$H$127,5,FALSE)</x:f>
        <x:v>46308.666666666664</x:v>
      </x:c>
      <x:c r="O2183" s="16" t="n">
        <x:f>MAX(0,(M2183-N2183)*24)</x:f>
        <x:v>0</x:v>
      </x:c>
      <x:c r="P2183" s="9" t="str">
        <x:v>No</x:v>
      </x:c>
      <x:c r="Q2183" s="15" t="n">
        <x:v>18</x:v>
      </x:c>
      <x:c r="R2183" s="13" t="n">
        <x:f>J2183+Q2183/1440</x:f>
        <x:v>46308.45</x:v>
      </x:c>
      <x:c r="S2183" s="2" t="str">
        <x:f>VLOOKUP(C2183,'MES orders'!$A$8:$H$127,6,FALSE)</x:f>
        <x:v>Normal</x:v>
      </x:c>
      <x:c r="T2183" s="9" t="str"/>
    </x:row>
    <x:row r="2184" ht="22" customHeight="1">
      <x:c r="A2184" s="2" t="str">
        <x:v>L00303-020</x:v>
      </x:c>
      <x:c r="B2184" s="2" t="str">
        <x:v>L00303</x:v>
      </x:c>
      <x:c r="C2184" s="2" t="str">
        <x:v>SO-26061</x:v>
      </x:c>
      <x:c r="D2184" s="2" t="str">
        <x:v>R-C-AL</x:v>
      </x:c>
      <x:c r="E2184" s="14" t="n">
        <x:v>10</x:v>
      </x:c>
      <x:c r="F2184" s="2" t="str">
        <x:v>Deburr &amp; inspect</x:v>
      </x:c>
      <x:c r="G2184" s="9" t="str">
        <x:v>DB-01</x:v>
      </x:c>
      <x:c r="H2184" s="15" t="n">
        <x:v>206</x:v>
      </x:c>
      <x:c r="I2184" s="9" t="str">
        <x:v>P01</x:v>
      </x:c>
      <x:c r="J2184" s="11" t="n">
        <x:v>46308.4375</x:v>
      </x:c>
      <x:c r="K2184" s="15" t="n">
        <x:v>4</x:v>
      </x:c>
      <x:c r="L2184" s="15" t="n">
        <x:v>6</x:v>
      </x:c>
      <x:c r="M2184" s="13" t="n">
        <x:f>J2184+(K2184+L2184)/1440</x:f>
        <x:v>46308.444444444445</x:v>
      </x:c>
      <x:c r="N2184" s="13" t="n">
        <x:f>VLOOKUP(C2184,'MES orders'!$A$8:$H$127,5,FALSE)</x:f>
        <x:v>46308.666666666664</x:v>
      </x:c>
      <x:c r="O2184" s="16" t="n">
        <x:f>MAX(0,(M2184-N2184)*24)</x:f>
        <x:v>0</x:v>
      </x:c>
      <x:c r="P2184" s="9" t="str">
        <x:v>No</x:v>
      </x:c>
      <x:c r="Q2184" s="15" t="n">
        <x:v>10</x:v>
      </x:c>
      <x:c r="R2184" s="13" t="n">
        <x:f>J2184+Q2184/1440</x:f>
        <x:v>46308.444444444445</x:v>
      </x:c>
      <x:c r="S2184" s="2" t="str">
        <x:f>VLOOKUP(C2184,'MES orders'!$A$8:$H$127,6,FALSE)</x:f>
        <x:v>Normal</x:v>
      </x:c>
      <x:c r="T2184" s="9" t="str"/>
    </x:row>
    <x:row r="2185" ht="22" customHeight="1">
      <x:c r="A2185" s="2" t="str">
        <x:v>L00304-020</x:v>
      </x:c>
      <x:c r="B2185" s="2" t="str">
        <x:v>L00304</x:v>
      </x:c>
      <x:c r="C2185" s="2" t="str">
        <x:v>SO-26061</x:v>
      </x:c>
      <x:c r="D2185" s="2" t="str">
        <x:v>R-C-AL</x:v>
      </x:c>
      <x:c r="E2185" s="14" t="n">
        <x:v>10</x:v>
      </x:c>
      <x:c r="F2185" s="2" t="str">
        <x:v>Deburr &amp; inspect</x:v>
      </x:c>
      <x:c r="G2185" s="9" t="str">
        <x:v>DB-02</x:v>
      </x:c>
      <x:c r="H2185" s="15" t="n">
        <x:v>142</x:v>
      </x:c>
      <x:c r="I2185" s="9" t="str">
        <x:v>P02</x:v>
      </x:c>
      <x:c r="J2185" s="11" t="n">
        <x:v>46308.4375</x:v>
      </x:c>
      <x:c r="K2185" s="15" t="n">
        <x:v>4</x:v>
      </x:c>
      <x:c r="L2185" s="15" t="n">
        <x:v>6</x:v>
      </x:c>
      <x:c r="M2185" s="13" t="n">
        <x:f>J2185+(K2185+L2185)/1440</x:f>
        <x:v>46308.444444444445</x:v>
      </x:c>
      <x:c r="N2185" s="13" t="n">
        <x:f>VLOOKUP(C2185,'MES orders'!$A$8:$H$127,5,FALSE)</x:f>
        <x:v>46308.666666666664</x:v>
      </x:c>
      <x:c r="O2185" s="16" t="n">
        <x:f>MAX(0,(M2185-N2185)*24)</x:f>
        <x:v>0</x:v>
      </x:c>
      <x:c r="P2185" s="9" t="str">
        <x:v>No</x:v>
      </x:c>
      <x:c r="Q2185" s="15" t="n">
        <x:v>10</x:v>
      </x:c>
      <x:c r="R2185" s="13" t="n">
        <x:f>J2185+Q2185/1440</x:f>
        <x:v>46308.444444444445</x:v>
      </x:c>
      <x:c r="S2185" s="2" t="str">
        <x:f>VLOOKUP(C2185,'MES orders'!$A$8:$H$127,6,FALSE)</x:f>
        <x:v>Normal</x:v>
      </x:c>
      <x:c r="T2185" s="9" t="str"/>
    </x:row>
    <x:row r="2186" ht="22" customHeight="1">
      <x:c r="A2186" s="2" t="str">
        <x:v>L00221-050</x:v>
      </x:c>
      <x:c r="B2186" s="2" t="str">
        <x:v>L00221</x:v>
      </x:c>
      <x:c r="C2186" s="2" t="str">
        <x:v>SO-26045</x:v>
      </x:c>
      <x:c r="D2186" s="2" t="str">
        <x:v>D-S-AL</x:v>
      </x:c>
      <x:c r="E2186" s="14" t="n">
        <x:v>20</x:v>
      </x:c>
      <x:c r="F2186" s="2" t="str">
        <x:v>Final leak / function test</x:v>
      </x:c>
      <x:c r="G2186" s="9" t="str">
        <x:v>QA-01</x:v>
      </x:c>
      <x:c r="H2186" s="15" t="n">
        <x:v>81</x:v>
      </x:c>
      <x:c r="I2186" s="9" t="str">
        <x:v>P11</x:v>
      </x:c>
      <x:c r="J2186" s="11" t="n">
        <x:v>46308.4375</x:v>
      </x:c>
      <x:c r="K2186" s="15" t="n">
        <x:v>10</x:v>
      </x:c>
      <x:c r="L2186" s="15" t="n">
        <x:v>18</x:v>
      </x:c>
      <x:c r="M2186" s="13" t="n">
        <x:f>J2186+(K2186+L2186)/1440</x:f>
        <x:v>46308.45694444444</x:v>
      </x:c>
      <x:c r="N2186" s="13" t="n">
        <x:f>VLOOKUP(C2186,'MES orders'!$A$8:$H$127,5,FALSE)</x:f>
        <x:v>46308.666666666664</x:v>
      </x:c>
      <x:c r="O2186" s="16" t="n">
        <x:f>MAX(0,(M2186-N2186)*24)</x:f>
        <x:v>0</x:v>
      </x:c>
      <x:c r="P2186" s="9" t="str">
        <x:v>No</x:v>
      </x:c>
      <x:c r="Q2186" s="15" t="n">
        <x:v>28</x:v>
      </x:c>
      <x:c r="R2186" s="13" t="n">
        <x:f>J2186+Q2186/1440</x:f>
        <x:v>46308.45694444444</x:v>
      </x:c>
      <x:c r="S2186" s="2" t="str">
        <x:f>VLOOKUP(C2186,'MES orders'!$A$8:$H$127,6,FALSE)</x:f>
        <x:v>Normal</x:v>
      </x:c>
      <x:c r="T2186" s="9" t="str"/>
    </x:row>
    <x:row r="2187" ht="22" customHeight="1">
      <x:c r="A2187" s="2" t="str">
        <x:v>L00222-050</x:v>
      </x:c>
      <x:c r="B2187" s="2" t="str">
        <x:v>L00222</x:v>
      </x:c>
      <x:c r="C2187" s="2" t="str">
        <x:v>SO-26045</x:v>
      </x:c>
      <x:c r="D2187" s="2" t="str">
        <x:v>D-S-AL</x:v>
      </x:c>
      <x:c r="E2187" s="14" t="n">
        <x:v>20</x:v>
      </x:c>
      <x:c r="F2187" s="2" t="str">
        <x:v>Final leak / function test</x:v>
      </x:c>
      <x:c r="G2187" s="9" t="str">
        <x:v>QA-02</x:v>
      </x:c>
      <x:c r="H2187" s="15" t="n">
        <x:v>158</x:v>
      </x:c>
      <x:c r="I2187" s="9" t="str">
        <x:v>P12</x:v>
      </x:c>
      <x:c r="J2187" s="11" t="n">
        <x:v>46308.4375</x:v>
      </x:c>
      <x:c r="K2187" s="15" t="n">
        <x:v>10</x:v>
      </x:c>
      <x:c r="L2187" s="15" t="n">
        <x:v>18</x:v>
      </x:c>
      <x:c r="M2187" s="13" t="n">
        <x:f>J2187+(K2187+L2187)/1440</x:f>
        <x:v>46308.45694444444</x:v>
      </x:c>
      <x:c r="N2187" s="13" t="n">
        <x:f>VLOOKUP(C2187,'MES orders'!$A$8:$H$127,5,FALSE)</x:f>
        <x:v>46308.666666666664</x:v>
      </x:c>
      <x:c r="O2187" s="16" t="n">
        <x:f>MAX(0,(M2187-N2187)*24)</x:f>
        <x:v>0</x:v>
      </x:c>
      <x:c r="P2187" s="9" t="str">
        <x:v>No</x:v>
      </x:c>
      <x:c r="Q2187" s="15" t="n">
        <x:v>28</x:v>
      </x:c>
      <x:c r="R2187" s="13" t="n">
        <x:f>J2187+Q2187/1440</x:f>
        <x:v>46308.45694444444</x:v>
      </x:c>
      <x:c r="S2187" s="2" t="str">
        <x:f>VLOOKUP(C2187,'MES orders'!$A$8:$H$127,6,FALSE)</x:f>
        <x:v>Normal</x:v>
      </x:c>
      <x:c r="T2187" s="9" t="str"/>
    </x:row>
    <x:row r="2188" ht="22" customHeight="1">
      <x:c r="A2188" s="2" t="str">
        <x:v>L00225-030</x:v>
      </x:c>
      <x:c r="B2188" s="2" t="str">
        <x:v>L00225</x:v>
      </x:c>
      <x:c r="C2188" s="2" t="str">
        <x:v>SO-26045</x:v>
      </x:c>
      <x:c r="D2188" s="2" t="str">
        <x:v>D-S-AL</x:v>
      </x:c>
      <x:c r="E2188" s="14" t="n">
        <x:v>20</x:v>
      </x:c>
      <x:c r="F2188" s="2" t="str">
        <x:v>Wash &amp; dry</x:v>
      </x:c>
      <x:c r="G2188" s="9" t="str">
        <x:v>WS-01</x:v>
      </x:c>
      <x:c r="H2188" s="15" t="n">
        <x:v>203</x:v>
      </x:c>
      <x:c r="I2188" s="9" t="str">
        <x:v>P06</x:v>
      </x:c>
      <x:c r="J2188" s="11" t="n">
        <x:v>46308.4375</x:v>
      </x:c>
      <x:c r="K2188" s="15" t="n">
        <x:v>12</x:v>
      </x:c>
      <x:c r="L2188" s="15" t="n">
        <x:v>7</x:v>
      </x:c>
      <x:c r="M2188" s="13" t="n">
        <x:f>J2188+(K2188+L2188)/1440</x:f>
        <x:v>46308.450694444444</x:v>
      </x:c>
      <x:c r="N2188" s="13" t="n">
        <x:f>VLOOKUP(C2188,'MES orders'!$A$8:$H$127,5,FALSE)</x:f>
        <x:v>46308.666666666664</x:v>
      </x:c>
      <x:c r="O2188" s="16" t="n">
        <x:f>MAX(0,(M2188-N2188)*24)</x:f>
        <x:v>0</x:v>
      </x:c>
      <x:c r="P2188" s="9" t="str">
        <x:v>No</x:v>
      </x:c>
      <x:c r="Q2188" s="15" t="n">
        <x:v>19</x:v>
      </x:c>
      <x:c r="R2188" s="13" t="n">
        <x:f>J2188+Q2188/1440</x:f>
        <x:v>46308.450694444444</x:v>
      </x:c>
      <x:c r="S2188" s="2" t="str">
        <x:f>VLOOKUP(C2188,'MES orders'!$A$8:$H$127,6,FALSE)</x:f>
        <x:v>Normal</x:v>
      </x:c>
      <x:c r="T2188" s="9" t="str"/>
    </x:row>
    <x:row r="2189" ht="22" customHeight="1">
      <x:c r="A2189" s="2" t="str">
        <x:v>L00341-010</x:v>
      </x:c>
      <x:c r="B2189" s="2" t="str">
        <x:v>L00341</x:v>
      </x:c>
      <x:c r="C2189" s="2" t="str">
        <x:v>SO-26069</x:v>
      </x:c>
      <x:c r="D2189" s="2" t="str">
        <x:v>R-S-AL</x:v>
      </x:c>
      <x:c r="E2189" s="14" t="n">
        <x:v>15</x:v>
      </x:c>
      <x:c r="F2189" s="2" t="str">
        <x:v>CNC machining</x:v>
      </x:c>
      <x:c r="G2189" s="9" t="str">
        <x:v>CNC-02</x:v>
      </x:c>
      <x:c r="H2189" s="15" t="n">
        <x:v>44</x:v>
      </x:c>
      <x:c r="I2189" s="9" t="str">
        <x:v>P02</x:v>
      </x:c>
      <x:c r="J2189" s="11" t="n">
        <x:v>46308.444444444445</x:v>
      </x:c>
      <x:c r="K2189" s="15" t="n">
        <x:v>18</x:v>
      </x:c>
      <x:c r="L2189" s="15" t="n">
        <x:v>36</x:v>
      </x:c>
      <x:c r="M2189" s="13" t="n">
        <x:f>J2189+(K2189+L2189)/1440</x:f>
        <x:v>46308.481944444444</x:v>
      </x:c>
      <x:c r="N2189" s="13" t="n">
        <x:f>VLOOKUP(C2189,'MES orders'!$A$8:$H$127,5,FALSE)</x:f>
        <x:v>46308.666666666664</x:v>
      </x:c>
      <x:c r="O2189" s="16" t="n">
        <x:f>MAX(0,(M2189-N2189)*24)</x:f>
        <x:v>0</x:v>
      </x:c>
      <x:c r="P2189" s="9" t="str">
        <x:v>No</x:v>
      </x:c>
      <x:c r="Q2189" s="15" t="n">
        <x:v>18</x:v>
      </x:c>
      <x:c r="R2189" s="13" t="n">
        <x:f>J2189+Q2189/1440</x:f>
        <x:v>46308.45694444444</x:v>
      </x:c>
      <x:c r="S2189" s="2" t="str">
        <x:f>VLOOKUP(C2189,'MES orders'!$A$8:$H$127,6,FALSE)</x:f>
        <x:v>Normal</x:v>
      </x:c>
      <x:c r="T2189" s="9" t="str"/>
    </x:row>
    <x:row r="2190" ht="22" customHeight="1">
      <x:c r="A2190" s="2" t="str">
        <x:v>L00304-030</x:v>
      </x:c>
      <x:c r="B2190" s="2" t="str">
        <x:v>L00304</x:v>
      </x:c>
      <x:c r="C2190" s="2" t="str">
        <x:v>SO-26061</x:v>
      </x:c>
      <x:c r="D2190" s="2" t="str">
        <x:v>R-C-AL</x:v>
      </x:c>
      <x:c r="E2190" s="14" t="n">
        <x:v>10</x:v>
      </x:c>
      <x:c r="F2190" s="2" t="str">
        <x:v>Wash &amp; dry</x:v>
      </x:c>
      <x:c r="G2190" s="9" t="str">
        <x:v>WS-02</x:v>
      </x:c>
      <x:c r="H2190" s="15" t="n">
        <x:v>141</x:v>
      </x:c>
      <x:c r="I2190" s="9" t="str">
        <x:v>P01</x:v>
      </x:c>
      <x:c r="J2190" s="11" t="n">
        <x:v>46308.444444444445</x:v>
      </x:c>
      <x:c r="K2190" s="15" t="n">
        <x:v>12</x:v>
      </x:c>
      <x:c r="L2190" s="15" t="n">
        <x:v>3</x:v>
      </x:c>
      <x:c r="M2190" s="13" t="n">
        <x:f>J2190+(K2190+L2190)/1440</x:f>
        <x:v>46308.45486111111</x:v>
      </x:c>
      <x:c r="N2190" s="13" t="n">
        <x:f>VLOOKUP(C2190,'MES orders'!$A$8:$H$127,5,FALSE)</x:f>
        <x:v>46308.666666666664</x:v>
      </x:c>
      <x:c r="O2190" s="16" t="n">
        <x:f>MAX(0,(M2190-N2190)*24)</x:f>
        <x:v>0</x:v>
      </x:c>
      <x:c r="P2190" s="9" t="str">
        <x:v>No</x:v>
      </x:c>
      <x:c r="Q2190" s="15" t="n">
        <x:v>15</x:v>
      </x:c>
      <x:c r="R2190" s="13" t="n">
        <x:f>J2190+Q2190/1440</x:f>
        <x:v>46308.45486111111</x:v>
      </x:c>
      <x:c r="S2190" s="2" t="str">
        <x:f>VLOOKUP(C2190,'MES orders'!$A$8:$H$127,6,FALSE)</x:f>
        <x:v>Normal</x:v>
      </x:c>
      <x:c r="T2190" s="9" t="str"/>
    </x:row>
    <x:row r="2191" ht="22" customHeight="1">
      <x:c r="A2191" s="2" t="str">
        <x:v>L00302-060</x:v>
      </x:c>
      <x:c r="B2191" s="2" t="str">
        <x:v>L00302</x:v>
      </x:c>
      <x:c r="C2191" s="2" t="str">
        <x:v>SO-26061</x:v>
      </x:c>
      <x:c r="D2191" s="2" t="str">
        <x:v>R-C-AL</x:v>
      </x:c>
      <x:c r="E2191" s="14" t="n">
        <x:v>10</x:v>
      </x:c>
      <x:c r="F2191" s="2" t="str">
        <x:v>Final leak / function test</x:v>
      </x:c>
      <x:c r="G2191" s="9" t="str">
        <x:v>QA-03</x:v>
      </x:c>
      <x:c r="H2191" s="15" t="n">
        <x:v>100</x:v>
      </x:c>
      <x:c r="I2191" s="9" t="str">
        <x:v>P10</x:v>
      </x:c>
      <x:c r="J2191" s="11" t="n">
        <x:v>46308.447916666664</x:v>
      </x:c>
      <x:c r="K2191" s="15" t="n">
        <x:v>10</x:v>
      </x:c>
      <x:c r="L2191" s="15" t="n">
        <x:v>7</x:v>
      </x:c>
      <x:c r="M2191" s="13" t="n">
        <x:f>J2191+(K2191+L2191)/1440</x:f>
        <x:v>46308.45972222222</x:v>
      </x:c>
      <x:c r="N2191" s="13" t="n">
        <x:f>VLOOKUP(C2191,'MES orders'!$A$8:$H$127,5,FALSE)</x:f>
        <x:v>46308.666666666664</x:v>
      </x:c>
      <x:c r="O2191" s="16" t="n">
        <x:f>MAX(0,(M2191-N2191)*24)</x:f>
        <x:v>0</x:v>
      </x:c>
      <x:c r="P2191" s="9" t="str">
        <x:v>No</x:v>
      </x:c>
      <x:c r="Q2191" s="15" t="n">
        <x:v>17</x:v>
      </x:c>
      <x:c r="R2191" s="13" t="n">
        <x:f>J2191+Q2191/1440</x:f>
        <x:v>46308.45972222222</x:v>
      </x:c>
      <x:c r="S2191" s="2" t="str">
        <x:f>VLOOKUP(C2191,'MES orders'!$A$8:$H$127,6,FALSE)</x:f>
        <x:v>Normal</x:v>
      </x:c>
      <x:c r="T2191" s="9" t="str"/>
    </x:row>
    <x:row r="2192" ht="22" customHeight="1">
      <x:c r="A2192" s="2" t="str">
        <x:v>L00342-010</x:v>
      </x:c>
      <x:c r="B2192" s="2" t="str">
        <x:v>L00342</x:v>
      </x:c>
      <x:c r="C2192" s="2" t="str">
        <x:v>SO-26069</x:v>
      </x:c>
      <x:c r="D2192" s="2" t="str">
        <x:v>R-S-AL</x:v>
      </x:c>
      <x:c r="E2192" s="14" t="n">
        <x:v>15</x:v>
      </x:c>
      <x:c r="F2192" s="2" t="str">
        <x:v>CNC machining</x:v>
      </x:c>
      <x:c r="G2192" s="9" t="str">
        <x:v>CNC-03</x:v>
      </x:c>
      <x:c r="H2192" s="15" t="n">
        <x:v>69</x:v>
      </x:c>
      <x:c r="I2192" s="9" t="str">
        <x:v>P03</x:v>
      </x:c>
      <x:c r="J2192" s="11" t="n">
        <x:v>46308.45</x:v>
      </x:c>
      <x:c r="K2192" s="15" t="n">
        <x:v>18</x:v>
      </x:c>
      <x:c r="L2192" s="15" t="n">
        <x:v>36</x:v>
      </x:c>
      <x:c r="M2192" s="13" t="n">
        <x:f>J2192+(K2192+L2192)/1440</x:f>
        <x:v>46308.487499999996</x:v>
      </x:c>
      <x:c r="N2192" s="13" t="n">
        <x:f>VLOOKUP(C2192,'MES orders'!$A$8:$H$127,5,FALSE)</x:f>
        <x:v>46308.666666666664</x:v>
      </x:c>
      <x:c r="O2192" s="16" t="n">
        <x:f>MAX(0,(M2192-N2192)*24)</x:f>
        <x:v>0</x:v>
      </x:c>
      <x:c r="P2192" s="9" t="str">
        <x:v>No</x:v>
      </x:c>
      <x:c r="Q2192" s="15" t="n">
        <x:v>18</x:v>
      </x:c>
      <x:c r="R2192" s="13" t="n">
        <x:f>J2192+Q2192/1440</x:f>
        <x:v>46308.462499999994</x:v>
      </x:c>
      <x:c r="S2192" s="2" t="str">
        <x:f>VLOOKUP(C2192,'MES orders'!$A$8:$H$127,6,FALSE)</x:f>
        <x:v>Normal</x:v>
      </x:c>
      <x:c r="T2192" s="9" t="str"/>
    </x:row>
    <x:row r="2193" ht="22" customHeight="1">
      <x:c r="A2193" s="2" t="str">
        <x:v>L00225-040</x:v>
      </x:c>
      <x:c r="B2193" s="2" t="str">
        <x:v>L00225</x:v>
      </x:c>
      <x:c r="C2193" s="2" t="str">
        <x:v>SO-26045</x:v>
      </x:c>
      <x:c r="D2193" s="2" t="str">
        <x:v>D-S-AL</x:v>
      </x:c>
      <x:c r="E2193" s="14" t="n">
        <x:v>20</x:v>
      </x:c>
      <x:c r="F2193" s="2" t="str">
        <x:v>Mechanical assembly</x:v>
      </x:c>
      <x:c r="G2193" s="9" t="str">
        <x:v>AS-03</x:v>
      </x:c>
      <x:c r="H2193" s="15" t="n">
        <x:v>117</x:v>
      </x:c>
      <x:c r="I2193" s="9" t="str">
        <x:v>P06</x:v>
      </x:c>
      <x:c r="J2193" s="11" t="n">
        <x:v>46308.450694444444</x:v>
      </x:c>
      <x:c r="K2193" s="15" t="n">
        <x:v>8</x:v>
      </x:c>
      <x:c r="L2193" s="15" t="n">
        <x:v>36</x:v>
      </x:c>
      <x:c r="M2193" s="13" t="n">
        <x:f>J2193+(K2193+L2193)/1440</x:f>
        <x:v>46308.48125</x:v>
      </x:c>
      <x:c r="N2193" s="13" t="n">
        <x:f>VLOOKUP(C2193,'MES orders'!$A$8:$H$127,5,FALSE)</x:f>
        <x:v>46308.666666666664</x:v>
      </x:c>
      <x:c r="O2193" s="16" t="n">
        <x:f>MAX(0,(M2193-N2193)*24)</x:f>
        <x:v>0</x:v>
      </x:c>
      <x:c r="P2193" s="9" t="str">
        <x:v>No</x:v>
      </x:c>
      <x:c r="Q2193" s="15" t="n">
        <x:v>44</x:v>
      </x:c>
      <x:c r="R2193" s="13" t="n">
        <x:f>J2193+Q2193/1440</x:f>
        <x:v>46308.48125</x:v>
      </x:c>
      <x:c r="S2193" s="2" t="str">
        <x:f>VLOOKUP(C2193,'MES orders'!$A$8:$H$127,6,FALSE)</x:f>
        <x:v>Normal</x:v>
      </x:c>
      <x:c r="T2193" s="9" t="str"/>
    </x:row>
    <x:row r="2194" ht="22" customHeight="1">
      <x:c r="A2194" s="2" t="str">
        <x:v>L00304-040</x:v>
      </x:c>
      <x:c r="B2194" s="2" t="str">
        <x:v>L00304</x:v>
      </x:c>
      <x:c r="C2194" s="2" t="str">
        <x:v>SO-26061</x:v>
      </x:c>
      <x:c r="D2194" s="2" t="str">
        <x:v>R-C-AL</x:v>
      </x:c>
      <x:c r="E2194" s="14" t="n">
        <x:v>10</x:v>
      </x:c>
      <x:c r="F2194" s="2" t="str">
        <x:v>Mechanical assembly</x:v>
      </x:c>
      <x:c r="G2194" s="9" t="str">
        <x:v>AS-04</x:v>
      </x:c>
      <x:c r="H2194" s="15" t="n">
        <x:v>76</x:v>
      </x:c>
      <x:c r="I2194" s="9" t="str">
        <x:v>P01</x:v>
      </x:c>
      <x:c r="J2194" s="11" t="n">
        <x:v>46308.45486111111</x:v>
      </x:c>
      <x:c r="K2194" s="15" t="n">
        <x:v>8</x:v>
      </x:c>
      <x:c r="L2194" s="15" t="n">
        <x:v>14</x:v>
      </x:c>
      <x:c r="M2194" s="13" t="n">
        <x:f>J2194+(K2194+L2194)/1440</x:f>
        <x:v>46308.470138888886</x:v>
      </x:c>
      <x:c r="N2194" s="13" t="n">
        <x:f>VLOOKUP(C2194,'MES orders'!$A$8:$H$127,5,FALSE)</x:f>
        <x:v>46308.666666666664</x:v>
      </x:c>
      <x:c r="O2194" s="16" t="n">
        <x:f>MAX(0,(M2194-N2194)*24)</x:f>
        <x:v>0</x:v>
      </x:c>
      <x:c r="P2194" s="9" t="str">
        <x:v>No</x:v>
      </x:c>
      <x:c r="Q2194" s="15" t="n">
        <x:v>22</x:v>
      </x:c>
      <x:c r="R2194" s="13" t="n">
        <x:f>J2194+Q2194/1440</x:f>
        <x:v>46308.470138888886</x:v>
      </x:c>
      <x:c r="S2194" s="2" t="str">
        <x:f>VLOOKUP(C2194,'MES orders'!$A$8:$H$127,6,FALSE)</x:f>
        <x:v>Normal</x:v>
      </x:c>
      <x:c r="T2194" s="9" t="str"/>
    </x:row>
    <x:row r="2195" ht="22" customHeight="1">
      <x:c r="A2195" s="2" t="str">
        <x:v>L00343-010</x:v>
      </x:c>
      <x:c r="B2195" s="2" t="str">
        <x:v>L00343</x:v>
      </x:c>
      <x:c r="C2195" s="2" t="str">
        <x:v>SO-26069</x:v>
      </x:c>
      <x:c r="D2195" s="2" t="str">
        <x:v>R-S-AL</x:v>
      </x:c>
      <x:c r="E2195" s="14" t="n">
        <x:v>15</x:v>
      </x:c>
      <x:c r="F2195" s="2" t="str">
        <x:v>CNC machining</x:v>
      </x:c>
      <x:c r="G2195" s="9" t="str">
        <x:v>CNC-04</x:v>
      </x:c>
      <x:c r="H2195" s="15" t="n">
        <x:v>66</x:v>
      </x:c>
      <x:c r="I2195" s="9" t="str">
        <x:v>P03</x:v>
      </x:c>
      <x:c r="J2195" s="11" t="n">
        <x:v>46308.4625</x:v>
      </x:c>
      <x:c r="K2195" s="15" t="n">
        <x:v>18</x:v>
      </x:c>
      <x:c r="L2195" s="15" t="n">
        <x:v>36</x:v>
      </x:c>
      <x:c r="M2195" s="13" t="n">
        <x:f>J2195+(K2195+L2195)/1440</x:f>
        <x:v>46308.5</x:v>
      </x:c>
      <x:c r="N2195" s="13" t="n">
        <x:f>VLOOKUP(C2195,'MES orders'!$A$8:$H$127,5,FALSE)</x:f>
        <x:v>46308.666666666664</x:v>
      </x:c>
      <x:c r="O2195" s="16" t="n">
        <x:f>MAX(0,(M2195-N2195)*24)</x:f>
        <x:v>0</x:v>
      </x:c>
      <x:c r="P2195" s="9" t="str">
        <x:v>No</x:v>
      </x:c>
      <x:c r="Q2195" s="15" t="n">
        <x:v>18</x:v>
      </x:c>
      <x:c r="R2195" s="13" t="n">
        <x:f>J2195+Q2195/1440</x:f>
        <x:v>46308.475</x:v>
      </x:c>
      <x:c r="S2195" s="2" t="str">
        <x:f>VLOOKUP(C2195,'MES orders'!$A$8:$H$127,6,FALSE)</x:f>
        <x:v>Normal</x:v>
      </x:c>
      <x:c r="T2195" s="9" t="str"/>
    </x:row>
    <x:row r="2196" ht="22" customHeight="1">
      <x:c r="A2196" s="2" t="str">
        <x:v>L00305-020</x:v>
      </x:c>
      <x:c r="B2196" s="2" t="str">
        <x:v>L00305</x:v>
      </x:c>
      <x:c r="C2196" s="2" t="str">
        <x:v>SO-26061</x:v>
      </x:c>
      <x:c r="D2196" s="2" t="str">
        <x:v>R-C-AL</x:v>
      </x:c>
      <x:c r="E2196" s="14" t="n">
        <x:v>10</x:v>
      </x:c>
      <x:c r="F2196" s="2" t="str">
        <x:v>Deburr &amp; inspect</x:v>
      </x:c>
      <x:c r="G2196" s="9" t="str">
        <x:v>DB-01</x:v>
      </x:c>
      <x:c r="H2196" s="15" t="n">
        <x:v>207</x:v>
      </x:c>
      <x:c r="I2196" s="9" t="str">
        <x:v>P02</x:v>
      </x:c>
      <x:c r="J2196" s="11" t="n">
        <x:v>46308.46319444444</x:v>
      </x:c>
      <x:c r="K2196" s="15" t="n">
        <x:v>4</x:v>
      </x:c>
      <x:c r="L2196" s="15" t="n">
        <x:v>6</x:v>
      </x:c>
      <x:c r="M2196" s="13" t="n">
        <x:f>J2196+(K2196+L2196)/1440</x:f>
        <x:v>46308.470138888886</x:v>
      </x:c>
      <x:c r="N2196" s="13" t="n">
        <x:f>VLOOKUP(C2196,'MES orders'!$A$8:$H$127,5,FALSE)</x:f>
        <x:v>46308.666666666664</x:v>
      </x:c>
      <x:c r="O2196" s="16" t="n">
        <x:f>MAX(0,(M2196-N2196)*24)</x:f>
        <x:v>0</x:v>
      </x:c>
      <x:c r="P2196" s="9" t="str">
        <x:v>No</x:v>
      </x:c>
      <x:c r="Q2196" s="15" t="n">
        <x:v>10</x:v>
      </x:c>
      <x:c r="R2196" s="13" t="n">
        <x:f>J2196+Q2196/1440</x:f>
        <x:v>46308.470138888886</x:v>
      </x:c>
      <x:c r="S2196" s="2" t="str">
        <x:f>VLOOKUP(C2196,'MES orders'!$A$8:$H$127,6,FALSE)</x:f>
        <x:v>Normal</x:v>
      </x:c>
      <x:c r="T2196" s="9" t="str"/>
    </x:row>
    <x:row r="2197" ht="22" customHeight="1">
      <x:c r="A2197" s="2" t="str">
        <x:v>L00262-040</x:v>
      </x:c>
      <x:c r="B2197" s="2" t="str">
        <x:v>L00262</x:v>
      </x:c>
      <x:c r="C2197" s="2" t="str">
        <x:v>SO-26053</x:v>
      </x:c>
      <x:c r="D2197" s="2" t="str">
        <x:v>D-L-AL</x:v>
      </x:c>
      <x:c r="E2197" s="14" t="n">
        <x:v>15</x:v>
      </x:c>
      <x:c r="F2197" s="2" t="str">
        <x:v>Mechanical assembly</x:v>
      </x:c>
      <x:c r="G2197" s="9" t="str">
        <x:v>AS-01</x:v>
      </x:c>
      <x:c r="H2197" s="15" t="n">
        <x:v>177</x:v>
      </x:c>
      <x:c r="I2197" s="9" t="str">
        <x:v>P04</x:v>
      </x:c>
      <x:c r="J2197" s="11" t="n">
        <x:v>46308.46805555555</x:v>
      </x:c>
      <x:c r="K2197" s="15" t="n">
        <x:v>8</x:v>
      </x:c>
      <x:c r="L2197" s="15" t="n">
        <x:v>36</x:v>
      </x:c>
      <x:c r="M2197" s="13" t="n">
        <x:f>J2197+(K2197+L2197)/1440</x:f>
        <x:v>46308.49861111111</x:v>
      </x:c>
      <x:c r="N2197" s="13" t="n">
        <x:f>VLOOKUP(C2197,'MES orders'!$A$8:$H$127,5,FALSE)</x:f>
        <x:v>46308.666666666664</x:v>
      </x:c>
      <x:c r="O2197" s="16" t="n">
        <x:f>MAX(0,(M2197-N2197)*24)</x:f>
        <x:v>0</x:v>
      </x:c>
      <x:c r="P2197" s="9" t="str">
        <x:v>No</x:v>
      </x:c>
      <x:c r="Q2197" s="15" t="n">
        <x:v>44</x:v>
      </x:c>
      <x:c r="R2197" s="13" t="n">
        <x:f>J2197+Q2197/1440</x:f>
        <x:v>46308.49861111111</x:v>
      </x:c>
      <x:c r="S2197" s="2" t="str">
        <x:f>VLOOKUP(C2197,'MES orders'!$A$8:$H$127,6,FALSE)</x:f>
        <x:v>Normal</x:v>
      </x:c>
      <x:c r="T2197" s="9" t="str"/>
    </x:row>
    <x:row r="2198" ht="22" customHeight="1">
      <x:c r="A2198" s="2" t="str">
        <x:v>L00223-050</x:v>
      </x:c>
      <x:c r="B2198" s="2" t="str">
        <x:v>L00223</x:v>
      </x:c>
      <x:c r="C2198" s="2" t="str">
        <x:v>SO-26045</x:v>
      </x:c>
      <x:c r="D2198" s="2" t="str">
        <x:v>D-S-AL</x:v>
      </x:c>
      <x:c r="E2198" s="14" t="n">
        <x:v>20</x:v>
      </x:c>
      <x:c r="F2198" s="2" t="str">
        <x:v>Final leak / function test</x:v>
      </x:c>
      <x:c r="G2198" s="9" t="str">
        <x:v>QA-01</x:v>
      </x:c>
      <x:c r="H2198" s="15" t="n">
        <x:v>82</x:v>
      </x:c>
      <x:c r="I2198" s="9" t="str">
        <x:v>P11</x:v>
      </x:c>
      <x:c r="J2198" s="11" t="n">
        <x:v>46308.46805555555</x:v>
      </x:c>
      <x:c r="K2198" s="15" t="n">
        <x:v>10</x:v>
      </x:c>
      <x:c r="L2198" s="15" t="n">
        <x:v>18</x:v>
      </x:c>
      <x:c r="M2198" s="13" t="n">
        <x:f>J2198+(K2198+L2198)/1440</x:f>
        <x:v>46308.487499999996</x:v>
      </x:c>
      <x:c r="N2198" s="13" t="n">
        <x:f>VLOOKUP(C2198,'MES orders'!$A$8:$H$127,5,FALSE)</x:f>
        <x:v>46308.666666666664</x:v>
      </x:c>
      <x:c r="O2198" s="16" t="n">
        <x:f>MAX(0,(M2198-N2198)*24)</x:f>
        <x:v>0</x:v>
      </x:c>
      <x:c r="P2198" s="9" t="str">
        <x:v>No</x:v>
      </x:c>
      <x:c r="Q2198" s="15" t="n">
        <x:v>28</x:v>
      </x:c>
      <x:c r="R2198" s="13" t="n">
        <x:f>J2198+Q2198/1440</x:f>
        <x:v>46308.487499999996</x:v>
      </x:c>
      <x:c r="S2198" s="2" t="str">
        <x:f>VLOOKUP(C2198,'MES orders'!$A$8:$H$127,6,FALSE)</x:f>
        <x:v>Normal</x:v>
      </x:c>
      <x:c r="T2198" s="9" t="str"/>
    </x:row>
    <x:row r="2199" ht="22" customHeight="1">
      <x:c r="A2199" s="2" t="str">
        <x:v>L00224-050</x:v>
      </x:c>
      <x:c r="B2199" s="2" t="str">
        <x:v>L00224</x:v>
      </x:c>
      <x:c r="C2199" s="2" t="str">
        <x:v>SO-26045</x:v>
      </x:c>
      <x:c r="D2199" s="2" t="str">
        <x:v>D-S-AL</x:v>
      </x:c>
      <x:c r="E2199" s="14" t="n">
        <x:v>20</x:v>
      </x:c>
      <x:c r="F2199" s="2" t="str">
        <x:v>Final leak / function test</x:v>
      </x:c>
      <x:c r="G2199" s="9" t="str">
        <x:v>QA-02</x:v>
      </x:c>
      <x:c r="H2199" s="15" t="n">
        <x:v>159</x:v>
      </x:c>
      <x:c r="I2199" s="9" t="str">
        <x:v>P12</x:v>
      </x:c>
      <x:c r="J2199" s="11" t="n">
        <x:v>46308.46805555555</x:v>
      </x:c>
      <x:c r="K2199" s="15" t="n">
        <x:v>10</x:v>
      </x:c>
      <x:c r="L2199" s="15" t="n">
        <x:v>18</x:v>
      </x:c>
      <x:c r="M2199" s="13" t="n">
        <x:f>J2199+(K2199+L2199)/1440</x:f>
        <x:v>46308.487499999996</x:v>
      </x:c>
      <x:c r="N2199" s="13" t="n">
        <x:f>VLOOKUP(C2199,'MES orders'!$A$8:$H$127,5,FALSE)</x:f>
        <x:v>46308.666666666664</x:v>
      </x:c>
      <x:c r="O2199" s="16" t="n">
        <x:f>MAX(0,(M2199-N2199)*24)</x:f>
        <x:v>0</x:v>
      </x:c>
      <x:c r="P2199" s="9" t="str">
        <x:v>No</x:v>
      </x:c>
      <x:c r="Q2199" s="15" t="n">
        <x:v>28</x:v>
      </x:c>
      <x:c r="R2199" s="13" t="n">
        <x:f>J2199+Q2199/1440</x:f>
        <x:v>46308.487499999996</x:v>
      </x:c>
      <x:c r="S2199" s="2" t="str">
        <x:f>VLOOKUP(C2199,'MES orders'!$A$8:$H$127,6,FALSE)</x:f>
        <x:v>Normal</x:v>
      </x:c>
      <x:c r="T2199" s="9" t="str"/>
    </x:row>
    <x:row r="2200" ht="22" customHeight="1">
      <x:c r="A2200" s="2" t="str">
        <x:v>L00263-030</x:v>
      </x:c>
      <x:c r="B2200" s="2" t="str">
        <x:v>L00263</x:v>
      </x:c>
      <x:c r="C2200" s="2" t="str">
        <x:v>SO-26053</x:v>
      </x:c>
      <x:c r="D2200" s="2" t="str">
        <x:v>D-L-AL</x:v>
      </x:c>
      <x:c r="E2200" s="14" t="n">
        <x:v>15</x:v>
      </x:c>
      <x:c r="F2200" s="2" t="str">
        <x:v>Wash &amp; dry</x:v>
      </x:c>
      <x:c r="G2200" s="9" t="str">
        <x:v>WS-01</x:v>
      </x:c>
      <x:c r="H2200" s="15" t="n">
        <x:v>204</x:v>
      </x:c>
      <x:c r="I2200" s="9" t="str">
        <x:v>P05</x:v>
      </x:c>
      <x:c r="J2200" s="11" t="n">
        <x:v>46308.46805555555</x:v>
      </x:c>
      <x:c r="K2200" s="15" t="n">
        <x:v>12</x:v>
      </x:c>
      <x:c r="L2200" s="15" t="n">
        <x:v>7</x:v>
      </x:c>
      <x:c r="M2200" s="13" t="n">
        <x:f>J2200+(K2200+L2200)/1440</x:f>
        <x:v>46308.48125</x:v>
      </x:c>
      <x:c r="N2200" s="13" t="n">
        <x:f>VLOOKUP(C2200,'MES orders'!$A$8:$H$127,5,FALSE)</x:f>
        <x:v>46308.666666666664</x:v>
      </x:c>
      <x:c r="O2200" s="16" t="n">
        <x:f>MAX(0,(M2200-N2200)*24)</x:f>
        <x:v>0</x:v>
      </x:c>
      <x:c r="P2200" s="9" t="str">
        <x:v>No</x:v>
      </x:c>
      <x:c r="Q2200" s="15" t="n">
        <x:v>19</x:v>
      </x:c>
      <x:c r="R2200" s="13" t="n">
        <x:f>J2200+Q2200/1440</x:f>
        <x:v>46308.48125</x:v>
      </x:c>
      <x:c r="S2200" s="2" t="str">
        <x:f>VLOOKUP(C2200,'MES orders'!$A$8:$H$127,6,FALSE)</x:f>
        <x:v>Normal</x:v>
      </x:c>
      <x:c r="T2200" s="9" t="str"/>
    </x:row>
    <x:row r="2201" ht="22" customHeight="1">
      <x:c r="A2201" s="2" t="str">
        <x:v>L00344-010</x:v>
      </x:c>
      <x:c r="B2201" s="2" t="str">
        <x:v>L00344</x:v>
      </x:c>
      <x:c r="C2201" s="2" t="str">
        <x:v>SO-26069</x:v>
      </x:c>
      <x:c r="D2201" s="2" t="str">
        <x:v>R-S-AL</x:v>
      </x:c>
      <x:c r="E2201" s="14" t="n">
        <x:v>15</x:v>
      </x:c>
      <x:c r="F2201" s="2" t="str">
        <x:v>CNC machining</x:v>
      </x:c>
      <x:c r="G2201" s="9" t="str">
        <x:v>CNC-01</x:v>
      </x:c>
      <x:c r="H2201" s="15" t="n">
        <x:v>63</x:v>
      </x:c>
      <x:c r="I2201" s="9" t="str">
        <x:v>P02</x:v>
      </x:c>
      <x:c r="J2201" s="11" t="n">
        <x:v>46308.470138888886</x:v>
      </x:c>
      <x:c r="K2201" s="15" t="n">
        <x:v>18</x:v>
      </x:c>
      <x:c r="L2201" s="15" t="n">
        <x:v>36</x:v>
      </x:c>
      <x:c r="M2201" s="13" t="n">
        <x:f>J2201+(K2201+L2201)/1440</x:f>
        <x:v>46308.507638888885</x:v>
      </x:c>
      <x:c r="N2201" s="13" t="n">
        <x:f>VLOOKUP(C2201,'MES orders'!$A$8:$H$127,5,FALSE)</x:f>
        <x:v>46308.666666666664</x:v>
      </x:c>
      <x:c r="O2201" s="16" t="n">
        <x:f>MAX(0,(M2201-N2201)*24)</x:f>
        <x:v>0</x:v>
      </x:c>
      <x:c r="P2201" s="9" t="str">
        <x:v>No</x:v>
      </x:c>
      <x:c r="Q2201" s="15" t="n">
        <x:v>18</x:v>
      </x:c>
      <x:c r="R2201" s="13" t="n">
        <x:f>J2201+Q2201/1440</x:f>
        <x:v>46308.48263888888</x:v>
      </x:c>
      <x:c r="S2201" s="2" t="str">
        <x:f>VLOOKUP(C2201,'MES orders'!$A$8:$H$127,6,FALSE)</x:f>
        <x:v>Normal</x:v>
      </x:c>
      <x:c r="T2201" s="9" t="str"/>
    </x:row>
    <x:row r="2202" ht="22" customHeight="1">
      <x:c r="A2202" s="2" t="str">
        <x:v>L00305-030</x:v>
      </x:c>
      <x:c r="B2202" s="2" t="str">
        <x:v>L00305</x:v>
      </x:c>
      <x:c r="C2202" s="2" t="str">
        <x:v>SO-26061</x:v>
      </x:c>
      <x:c r="D2202" s="2" t="str">
        <x:v>R-C-AL</x:v>
      </x:c>
      <x:c r="E2202" s="14" t="n">
        <x:v>10</x:v>
      </x:c>
      <x:c r="F2202" s="2" t="str">
        <x:v>Wash &amp; dry</x:v>
      </x:c>
      <x:c r="G2202" s="9" t="str">
        <x:v>WS-02</x:v>
      </x:c>
      <x:c r="H2202" s="15" t="n">
        <x:v>142</x:v>
      </x:c>
      <x:c r="I2202" s="9" t="str">
        <x:v>P01</x:v>
      </x:c>
      <x:c r="J2202" s="11" t="n">
        <x:v>46308.470138888886</x:v>
      </x:c>
      <x:c r="K2202" s="15" t="n">
        <x:v>12</x:v>
      </x:c>
      <x:c r="L2202" s="15" t="n">
        <x:v>3</x:v>
      </x:c>
      <x:c r="M2202" s="13" t="n">
        <x:f>J2202+(K2202+L2202)/1440</x:f>
        <x:v>46308.48055555555</x:v>
      </x:c>
      <x:c r="N2202" s="13" t="n">
        <x:f>VLOOKUP(C2202,'MES orders'!$A$8:$H$127,5,FALSE)</x:f>
        <x:v>46308.666666666664</x:v>
      </x:c>
      <x:c r="O2202" s="16" t="n">
        <x:f>MAX(0,(M2202-N2202)*24)</x:f>
        <x:v>0</x:v>
      </x:c>
      <x:c r="P2202" s="9" t="str">
        <x:v>No</x:v>
      </x:c>
      <x:c r="Q2202" s="15" t="n">
        <x:v>15</x:v>
      </x:c>
      <x:c r="R2202" s="13" t="n">
        <x:f>J2202+Q2202/1440</x:f>
        <x:v>46308.48055555555</x:v>
      </x:c>
      <x:c r="S2202" s="2" t="str">
        <x:f>VLOOKUP(C2202,'MES orders'!$A$8:$H$127,6,FALSE)</x:f>
        <x:v>Normal</x:v>
      </x:c>
      <x:c r="T2202" s="9" t="str"/>
    </x:row>
    <x:row r="2203" ht="22" customHeight="1">
      <x:c r="A2203" s="2" t="str">
        <x:v>L00345-010</x:v>
      </x:c>
      <x:c r="B2203" s="2" t="str">
        <x:v>L00345</x:v>
      </x:c>
      <x:c r="C2203" s="2" t="str">
        <x:v>SO-26069</x:v>
      </x:c>
      <x:c r="D2203" s="2" t="str">
        <x:v>R-S-AL</x:v>
      </x:c>
      <x:c r="E2203" s="14" t="n">
        <x:v>15</x:v>
      </x:c>
      <x:c r="F2203" s="2" t="str">
        <x:v>CNC machining</x:v>
      </x:c>
      <x:c r="G2203" s="9" t="str">
        <x:v>CNC-05</x:v>
      </x:c>
      <x:c r="H2203" s="15" t="n">
        <x:v>59</x:v>
      </x:c>
      <x:c r="I2203" s="9" t="str">
        <x:v>P03</x:v>
      </x:c>
      <x:c r="J2203" s="11" t="n">
        <x:v>46308.475</x:v>
      </x:c>
      <x:c r="K2203" s="15" t="n">
        <x:v>18</x:v>
      </x:c>
      <x:c r="L2203" s="15" t="n">
        <x:v>36</x:v>
      </x:c>
      <x:c r="M2203" s="13" t="n">
        <x:f>J2203+(K2203+L2203)/1440</x:f>
        <x:v>46308.5125</x:v>
      </x:c>
      <x:c r="N2203" s="13" t="n">
        <x:f>VLOOKUP(C2203,'MES orders'!$A$8:$H$127,5,FALSE)</x:f>
        <x:v>46308.666666666664</x:v>
      </x:c>
      <x:c r="O2203" s="16" t="n">
        <x:f>MAX(0,(M2203-N2203)*24)</x:f>
        <x:v>0</x:v>
      </x:c>
      <x:c r="P2203" s="9" t="str">
        <x:v>No</x:v>
      </x:c>
      <x:c r="Q2203" s="15" t="n">
        <x:v>18</x:v>
      </x:c>
      <x:c r="R2203" s="13" t="n">
        <x:f>J2203+Q2203/1440</x:f>
        <x:v>46308.487499999996</x:v>
      </x:c>
      <x:c r="S2203" s="2" t="str">
        <x:f>VLOOKUP(C2203,'MES orders'!$A$8:$H$127,6,FALSE)</x:f>
        <x:v>Normal</x:v>
      </x:c>
      <x:c r="T2203" s="9" t="str"/>
    </x:row>
    <x:row r="2204" ht="22" customHeight="1">
      <x:c r="A2204" s="2" t="str">
        <x:v>L00263-040</x:v>
      </x:c>
      <x:c r="B2204" s="2" t="str">
        <x:v>L00263</x:v>
      </x:c>
      <x:c r="C2204" s="2" t="str">
        <x:v>SO-26053</x:v>
      </x:c>
      <x:c r="D2204" s="2" t="str">
        <x:v>D-L-AL</x:v>
      </x:c>
      <x:c r="E2204" s="14" t="n">
        <x:v>15</x:v>
      </x:c>
      <x:c r="F2204" s="2" t="str">
        <x:v>Mechanical assembly</x:v>
      </x:c>
      <x:c r="G2204" s="9" t="str">
        <x:v>AS-02</x:v>
      </x:c>
      <x:c r="H2204" s="15" t="n">
        <x:v>144</x:v>
      </x:c>
      <x:c r="I2204" s="9" t="str">
        <x:v>P05</x:v>
      </x:c>
      <x:c r="J2204" s="11" t="n">
        <x:v>46308.48125</x:v>
      </x:c>
      <x:c r="K2204" s="15" t="n">
        <x:v>8</x:v>
      </x:c>
      <x:c r="L2204" s="15" t="n">
        <x:v>36</x:v>
      </x:c>
      <x:c r="M2204" s="13" t="n">
        <x:f>J2204+(K2204+L2204)/1440</x:f>
        <x:v>46308.51180555555</x:v>
      </x:c>
      <x:c r="N2204" s="13" t="n">
        <x:f>VLOOKUP(C2204,'MES orders'!$A$8:$H$127,5,FALSE)</x:f>
        <x:v>46308.666666666664</x:v>
      </x:c>
      <x:c r="O2204" s="16" t="n">
        <x:f>MAX(0,(M2204-N2204)*24)</x:f>
        <x:v>0</x:v>
      </x:c>
      <x:c r="P2204" s="9" t="str">
        <x:v>No</x:v>
      </x:c>
      <x:c r="Q2204" s="15" t="n">
        <x:v>44</x:v>
      </x:c>
      <x:c r="R2204" s="13" t="n">
        <x:f>J2204+Q2204/1440</x:f>
        <x:v>46308.51180555555</x:v>
      </x:c>
      <x:c r="S2204" s="2" t="str">
        <x:f>VLOOKUP(C2204,'MES orders'!$A$8:$H$127,6,FALSE)</x:f>
        <x:v>Normal</x:v>
      </x:c>
      <x:c r="T2204" s="9" t="str"/>
    </x:row>
    <x:row r="2205" ht="22" customHeight="1">
      <x:c r="A2205" s="2" t="str">
        <x:v>L00264-030</x:v>
      </x:c>
      <x:c r="B2205" s="2" t="str">
        <x:v>L00264</x:v>
      </x:c>
      <x:c r="C2205" s="2" t="str">
        <x:v>SO-26053</x:v>
      </x:c>
      <x:c r="D2205" s="2" t="str">
        <x:v>D-L-AL</x:v>
      </x:c>
      <x:c r="E2205" s="14" t="n">
        <x:v>15</x:v>
      </x:c>
      <x:c r="F2205" s="2" t="str">
        <x:v>Wash &amp; dry</x:v>
      </x:c>
      <x:c r="G2205" s="9" t="str">
        <x:v>WS-01</x:v>
      </x:c>
      <x:c r="H2205" s="15" t="n">
        <x:v>205</x:v>
      </x:c>
      <x:c r="I2205" s="9" t="str">
        <x:v>P06</x:v>
      </x:c>
      <x:c r="J2205" s="11" t="n">
        <x:v>46308.48125</x:v>
      </x:c>
      <x:c r="K2205" s="15" t="n">
        <x:v>12</x:v>
      </x:c>
      <x:c r="L2205" s="15" t="n">
        <x:v>7</x:v>
      </x:c>
      <x:c r="M2205" s="13" t="n">
        <x:f>J2205+(K2205+L2205)/1440</x:f>
        <x:v>46308.49444444444</x:v>
      </x:c>
      <x:c r="N2205" s="13" t="n">
        <x:f>VLOOKUP(C2205,'MES orders'!$A$8:$H$127,5,FALSE)</x:f>
        <x:v>46308.666666666664</x:v>
      </x:c>
      <x:c r="O2205" s="16" t="n">
        <x:f>MAX(0,(M2205-N2205)*24)</x:f>
        <x:v>0</x:v>
      </x:c>
      <x:c r="P2205" s="9" t="str">
        <x:v>No</x:v>
      </x:c>
      <x:c r="Q2205" s="15" t="n">
        <x:v>19</x:v>
      </x:c>
      <x:c r="R2205" s="13" t="n">
        <x:f>J2205+Q2205/1440</x:f>
        <x:v>46308.49444444444</x:v>
      </x:c>
      <x:c r="S2205" s="2" t="str">
        <x:f>VLOOKUP(C2205,'MES orders'!$A$8:$H$127,6,FALSE)</x:f>
        <x:v>Normal</x:v>
      </x:c>
      <x:c r="T2205" s="9" t="str"/>
    </x:row>
    <x:row r="2206" ht="22" customHeight="1">
      <x:c r="A2206" s="2" t="str">
        <x:v>L00381-010</x:v>
      </x:c>
      <x:c r="B2206" s="2" t="str">
        <x:v>L00381</x:v>
      </x:c>
      <x:c r="C2206" s="2" t="str">
        <x:v>SO-26077</x:v>
      </x:c>
      <x:c r="D2206" s="2" t="str">
        <x:v>R-L-AL</x:v>
      </x:c>
      <x:c r="E2206" s="14" t="n">
        <x:v>10</x:v>
      </x:c>
      <x:c r="F2206" s="2" t="str">
        <x:v>CNC machining</x:v>
      </x:c>
      <x:c r="G2206" s="9" t="str">
        <x:v>CNC-06</x:v>
      </x:c>
      <x:c r="H2206" s="15" t="n">
        <x:v>55</x:v>
      </x:c>
      <x:c r="I2206" s="9" t="str">
        <x:v>P02</x:v>
      </x:c>
      <x:c r="J2206" s="11" t="n">
        <x:v>46308.48263888889</x:v>
      </x:c>
      <x:c r="K2206" s="15" t="n">
        <x:v>18</x:v>
      </x:c>
      <x:c r="L2206" s="15" t="n">
        <x:v>32</x:v>
      </x:c>
      <x:c r="M2206" s="13" t="n">
        <x:f>J2206+(K2206+L2206)/1440</x:f>
        <x:v>46308.51736111111</x:v>
      </x:c>
      <x:c r="N2206" s="13" t="n">
        <x:f>VLOOKUP(C2206,'MES orders'!$A$8:$H$127,5,FALSE)</x:f>
        <x:v>46308.666666666664</x:v>
      </x:c>
      <x:c r="O2206" s="16" t="n">
        <x:f>MAX(0,(M2206-N2206)*24)</x:f>
        <x:v>0</x:v>
      </x:c>
      <x:c r="P2206" s="9" t="str">
        <x:v>No</x:v>
      </x:c>
      <x:c r="Q2206" s="15" t="n">
        <x:v>18</x:v>
      </x:c>
      <x:c r="R2206" s="13" t="n">
        <x:f>J2206+Q2206/1440</x:f>
        <x:v>46308.49513888889</x:v>
      </x:c>
      <x:c r="S2206" s="2" t="str">
        <x:f>VLOOKUP(C2206,'MES orders'!$A$8:$H$127,6,FALSE)</x:f>
        <x:v>Normal</x:v>
      </x:c>
      <x:c r="T2206" s="9" t="str"/>
    </x:row>
    <x:row r="2207" ht="22" customHeight="1">
      <x:c r="A2207" s="2" t="str">
        <x:v>L00382-010</x:v>
      </x:c>
      <x:c r="B2207" s="2" t="str">
        <x:v>L00382</x:v>
      </x:c>
      <x:c r="C2207" s="2" t="str">
        <x:v>SO-26077</x:v>
      </x:c>
      <x:c r="D2207" s="2" t="str">
        <x:v>R-L-AL</x:v>
      </x:c>
      <x:c r="E2207" s="14" t="n">
        <x:v>10</x:v>
      </x:c>
      <x:c r="F2207" s="2" t="str">
        <x:v>CNC machining</x:v>
      </x:c>
      <x:c r="G2207" s="9" t="str">
        <x:v>CNC-03</x:v>
      </x:c>
      <x:c r="H2207" s="15" t="n">
        <x:v>70</x:v>
      </x:c>
      <x:c r="I2207" s="9" t="str">
        <x:v>P03</x:v>
      </x:c>
      <x:c r="J2207" s="11" t="n">
        <x:v>46308.4875</x:v>
      </x:c>
      <x:c r="K2207" s="15" t="n">
        <x:v>18</x:v>
      </x:c>
      <x:c r="L2207" s="15" t="n">
        <x:v>32</x:v>
      </x:c>
      <x:c r="M2207" s="13" t="n">
        <x:f>J2207+(K2207+L2207)/1440</x:f>
        <x:v>46308.52222222222</x:v>
      </x:c>
      <x:c r="N2207" s="13" t="n">
        <x:f>VLOOKUP(C2207,'MES orders'!$A$8:$H$127,5,FALSE)</x:f>
        <x:v>46308.666666666664</x:v>
      </x:c>
      <x:c r="O2207" s="16" t="n">
        <x:f>MAX(0,(M2207-N2207)*24)</x:f>
        <x:v>0</x:v>
      </x:c>
      <x:c r="P2207" s="9" t="str">
        <x:v>No</x:v>
      </x:c>
      <x:c r="Q2207" s="15" t="n">
        <x:v>18</x:v>
      </x:c>
      <x:c r="R2207" s="13" t="n">
        <x:f>J2207+Q2207/1440</x:f>
        <x:v>46308.5</x:v>
      </x:c>
      <x:c r="S2207" s="2" t="str">
        <x:f>VLOOKUP(C2207,'MES orders'!$A$8:$H$127,6,FALSE)</x:f>
        <x:v>Normal</x:v>
      </x:c>
      <x:c r="T2207" s="9" t="str"/>
    </x:row>
    <x:row r="2208" ht="22" customHeight="1">
      <x:c r="A2208" s="2" t="str">
        <x:v>L00342-020</x:v>
      </x:c>
      <x:c r="B2208" s="2" t="str">
        <x:v>L00342</x:v>
      </x:c>
      <x:c r="C2208" s="2" t="str">
        <x:v>SO-26069</x:v>
      </x:c>
      <x:c r="D2208" s="2" t="str">
        <x:v>R-S-AL</x:v>
      </x:c>
      <x:c r="E2208" s="14" t="n">
        <x:v>15</x:v>
      </x:c>
      <x:c r="F2208" s="2" t="str">
        <x:v>Deburr &amp; inspect</x:v>
      </x:c>
      <x:c r="G2208" s="9" t="str">
        <x:v>DB-01</x:v>
      </x:c>
      <x:c r="H2208" s="15" t="n">
        <x:v>208</x:v>
      </x:c>
      <x:c r="I2208" s="9" t="str">
        <x:v>P01</x:v>
      </x:c>
      <x:c r="J2208" s="11" t="n">
        <x:v>46308.4875</x:v>
      </x:c>
      <x:c r="K2208" s="15" t="n">
        <x:v>4</x:v>
      </x:c>
      <x:c r="L2208" s="15" t="n">
        <x:v>10</x:v>
      </x:c>
      <x:c r="M2208" s="13" t="n">
        <x:f>J2208+(K2208+L2208)/1440</x:f>
        <x:v>46308.49722222223</x:v>
      </x:c>
      <x:c r="N2208" s="13" t="n">
        <x:f>VLOOKUP(C2208,'MES orders'!$A$8:$H$127,5,FALSE)</x:f>
        <x:v>46308.666666666664</x:v>
      </x:c>
      <x:c r="O2208" s="16" t="n">
        <x:f>MAX(0,(M2208-N2208)*24)</x:f>
        <x:v>0</x:v>
      </x:c>
      <x:c r="P2208" s="9" t="str">
        <x:v>No</x:v>
      </x:c>
      <x:c r="Q2208" s="15" t="n">
        <x:v>14</x:v>
      </x:c>
      <x:c r="R2208" s="13" t="n">
        <x:f>J2208+Q2208/1440</x:f>
        <x:v>46308.49722222223</x:v>
      </x:c>
      <x:c r="S2208" s="2" t="str">
        <x:f>VLOOKUP(C2208,'MES orders'!$A$8:$H$127,6,FALSE)</x:f>
        <x:v>Normal</x:v>
      </x:c>
      <x:c r="T2208" s="9" t="str"/>
    </x:row>
    <x:row r="2209" ht="22" customHeight="1">
      <x:c r="A2209" s="2" t="str">
        <x:v>L00225-050</x:v>
      </x:c>
      <x:c r="B2209" s="2" t="str">
        <x:v>L00225</x:v>
      </x:c>
      <x:c r="C2209" s="2" t="str">
        <x:v>SO-26045</x:v>
      </x:c>
      <x:c r="D2209" s="2" t="str">
        <x:v>D-S-AL</x:v>
      </x:c>
      <x:c r="E2209" s="14" t="n">
        <x:v>20</x:v>
      </x:c>
      <x:c r="F2209" s="2" t="str">
        <x:v>Final leak / function test</x:v>
      </x:c>
      <x:c r="G2209" s="9" t="str">
        <x:v>QA-01</x:v>
      </x:c>
      <x:c r="H2209" s="15" t="n">
        <x:v>83</x:v>
      </x:c>
      <x:c r="I2209" s="9" t="str">
        <x:v>P11</x:v>
      </x:c>
      <x:c r="J2209" s="11" t="n">
        <x:v>46308.4875</x:v>
      </x:c>
      <x:c r="K2209" s="15" t="n">
        <x:v>10</x:v>
      </x:c>
      <x:c r="L2209" s="15" t="n">
        <x:v>18</x:v>
      </x:c>
      <x:c r="M2209" s="13" t="n">
        <x:f>J2209+(K2209+L2209)/1440</x:f>
        <x:v>46308.506944444445</x:v>
      </x:c>
      <x:c r="N2209" s="13" t="n">
        <x:f>VLOOKUP(C2209,'MES orders'!$A$8:$H$127,5,FALSE)</x:f>
        <x:v>46308.666666666664</x:v>
      </x:c>
      <x:c r="O2209" s="16" t="n">
        <x:f>MAX(0,(M2209-N2209)*24)</x:f>
        <x:v>0</x:v>
      </x:c>
      <x:c r="P2209" s="9" t="str">
        <x:v>No</x:v>
      </x:c>
      <x:c r="Q2209" s="15" t="n">
        <x:v>28</x:v>
      </x:c>
      <x:c r="R2209" s="13" t="n">
        <x:f>J2209+Q2209/1440</x:f>
        <x:v>46308.506944444445</x:v>
      </x:c>
      <x:c r="S2209" s="2" t="str">
        <x:f>VLOOKUP(C2209,'MES orders'!$A$8:$H$127,6,FALSE)</x:f>
        <x:v>Normal</x:v>
      </x:c>
      <x:c r="T2209" s="9" t="str"/>
    </x:row>
    <x:row r="2210" ht="22" customHeight="1">
      <x:c r="A2210" s="2" t="str">
        <x:v>L00264-040</x:v>
      </x:c>
      <x:c r="B2210" s="2" t="str">
        <x:v>L00264</x:v>
      </x:c>
      <x:c r="C2210" s="2" t="str">
        <x:v>SO-26053</x:v>
      </x:c>
      <x:c r="D2210" s="2" t="str">
        <x:v>D-L-AL</x:v>
      </x:c>
      <x:c r="E2210" s="14" t="n">
        <x:v>15</x:v>
      </x:c>
      <x:c r="F2210" s="2" t="str">
        <x:v>Mechanical assembly</x:v>
      </x:c>
      <x:c r="G2210" s="9" t="str">
        <x:v>AS-03</x:v>
      </x:c>
      <x:c r="H2210" s="15" t="n">
        <x:v>118</x:v>
      </x:c>
      <x:c r="I2210" s="9" t="str">
        <x:v>P06</x:v>
      </x:c>
      <x:c r="J2210" s="11" t="n">
        <x:v>46308.49444444444</x:v>
      </x:c>
      <x:c r="K2210" s="15" t="n">
        <x:v>8</x:v>
      </x:c>
      <x:c r="L2210" s="15" t="n">
        <x:v>36</x:v>
      </x:c>
      <x:c r="M2210" s="13" t="n">
        <x:f>J2210+(K2210+L2210)/1440</x:f>
        <x:v>46308.524999999994</x:v>
      </x:c>
      <x:c r="N2210" s="13" t="n">
        <x:f>VLOOKUP(C2210,'MES orders'!$A$8:$H$127,5,FALSE)</x:f>
        <x:v>46308.666666666664</x:v>
      </x:c>
      <x:c r="O2210" s="16" t="n">
        <x:f>MAX(0,(M2210-N2210)*24)</x:f>
        <x:v>0</x:v>
      </x:c>
      <x:c r="P2210" s="9" t="str">
        <x:v>No</x:v>
      </x:c>
      <x:c r="Q2210" s="15" t="n">
        <x:v>44</x:v>
      </x:c>
      <x:c r="R2210" s="13" t="n">
        <x:f>J2210+Q2210/1440</x:f>
        <x:v>46308.524999999994</x:v>
      </x:c>
      <x:c r="S2210" s="2" t="str">
        <x:f>VLOOKUP(C2210,'MES orders'!$A$8:$H$127,6,FALSE)</x:f>
        <x:v>Normal</x:v>
      </x:c>
      <x:c r="T2210" s="9" t="str"/>
    </x:row>
    <x:row r="2211" ht="22" customHeight="1">
      <x:c r="A2211" s="2" t="str">
        <x:v>L00265-020</x:v>
      </x:c>
      <x:c r="B2211" s="2" t="str">
        <x:v>L00265</x:v>
      </x:c>
      <x:c r="C2211" s="2" t="str">
        <x:v>SO-26053</x:v>
      </x:c>
      <x:c r="D2211" s="2" t="str">
        <x:v>D-L-AL</x:v>
      </x:c>
      <x:c r="E2211" s="14" t="n">
        <x:v>15</x:v>
      </x:c>
      <x:c r="F2211" s="2" t="str">
        <x:v>Deburr &amp; inspect</x:v>
      </x:c>
      <x:c r="G2211" s="9" t="str">
        <x:v>DB-01</x:v>
      </x:c>
      <x:c r="H2211" s="15" t="n">
        <x:v>209</x:v>
      </x:c>
      <x:c r="I2211" s="9" t="str">
        <x:v>P04</x:v>
      </x:c>
      <x:c r="J2211" s="11" t="n">
        <x:v>46308.498611111114</x:v>
      </x:c>
      <x:c r="K2211" s="15" t="n">
        <x:v>4</x:v>
      </x:c>
      <x:c r="L2211" s="15" t="n">
        <x:v>14</x:v>
      </x:c>
      <x:c r="M2211" s="13" t="n">
        <x:f>J2211+(K2211+L2211)/1440</x:f>
        <x:v>46308.51111111111</x:v>
      </x:c>
      <x:c r="N2211" s="13" t="n">
        <x:f>VLOOKUP(C2211,'MES orders'!$A$8:$H$127,5,FALSE)</x:f>
        <x:v>46308.666666666664</x:v>
      </x:c>
      <x:c r="O2211" s="16" t="n">
        <x:f>MAX(0,(M2211-N2211)*24)</x:f>
        <x:v>0</x:v>
      </x:c>
      <x:c r="P2211" s="9" t="str">
        <x:v>No</x:v>
      </x:c>
      <x:c r="Q2211" s="15" t="n">
        <x:v>18</x:v>
      </x:c>
      <x:c r="R2211" s="13" t="n">
        <x:f>J2211+Q2211/1440</x:f>
        <x:v>46308.51111111111</x:v>
      </x:c>
      <x:c r="S2211" s="2" t="str">
        <x:f>VLOOKUP(C2211,'MES orders'!$A$8:$H$127,6,FALSE)</x:f>
        <x:v>Normal</x:v>
      </x:c>
      <x:c r="T2211" s="9" t="str"/>
    </x:row>
    <x:row r="2212" ht="22" customHeight="1">
      <x:c r="A2212" s="2" t="str">
        <x:v>L00262-050</x:v>
      </x:c>
      <x:c r="B2212" s="2" t="str">
        <x:v>L00262</x:v>
      </x:c>
      <x:c r="C2212" s="2" t="str">
        <x:v>SO-26053</x:v>
      </x:c>
      <x:c r="D2212" s="2" t="str">
        <x:v>D-L-AL</x:v>
      </x:c>
      <x:c r="E2212" s="14" t="n">
        <x:v>15</x:v>
      </x:c>
      <x:c r="F2212" s="2" t="str">
        <x:v>Final leak / function test</x:v>
      </x:c>
      <x:c r="G2212" s="9" t="str">
        <x:v>QA-02</x:v>
      </x:c>
      <x:c r="H2212" s="15" t="n">
        <x:v>160</x:v>
      </x:c>
      <x:c r="I2212" s="9" t="str">
        <x:v>P12</x:v>
      </x:c>
      <x:c r="J2212" s="11" t="n">
        <x:v>46308.498611111114</x:v>
      </x:c>
      <x:c r="K2212" s="15" t="n">
        <x:v>10</x:v>
      </x:c>
      <x:c r="L2212" s="15" t="n">
        <x:v>18</x:v>
      </x:c>
      <x:c r="M2212" s="13" t="n">
        <x:f>J2212+(K2212+L2212)/1440</x:f>
        <x:v>46308.518055555556</x:v>
      </x:c>
      <x:c r="N2212" s="13" t="n">
        <x:f>VLOOKUP(C2212,'MES orders'!$A$8:$H$127,5,FALSE)</x:f>
        <x:v>46308.666666666664</x:v>
      </x:c>
      <x:c r="O2212" s="16" t="n">
        <x:f>MAX(0,(M2212-N2212)*24)</x:f>
        <x:v>0</x:v>
      </x:c>
      <x:c r="P2212" s="9" t="str">
        <x:v>No</x:v>
      </x:c>
      <x:c r="Q2212" s="15" t="n">
        <x:v>28</x:v>
      </x:c>
      <x:c r="R2212" s="13" t="n">
        <x:f>J2212+Q2212/1440</x:f>
        <x:v>46308.518055555556</x:v>
      </x:c>
      <x:c r="S2212" s="2" t="str">
        <x:f>VLOOKUP(C2212,'MES orders'!$A$8:$H$127,6,FALSE)</x:f>
        <x:v>Normal</x:v>
      </x:c>
      <x:c r="T2212" s="9" t="str"/>
    </x:row>
    <x:row r="2213" ht="22" customHeight="1">
      <x:c r="A2213" s="2" t="str">
        <x:v>L00541-010</x:v>
      </x:c>
      <x:c r="B2213" s="2" t="str">
        <x:v>L00541</x:v>
      </x:c>
      <x:c r="C2213" s="2" t="str">
        <x:v>SO-26109</x:v>
      </x:c>
      <x:c r="D2213" s="2" t="str">
        <x:v>D-C-AL</x:v>
      </x:c>
      <x:c r="E2213" s="14" t="n">
        <x:v>15</x:v>
      </x:c>
      <x:c r="F2213" s="2" t="str">
        <x:v>CNC machining</x:v>
      </x:c>
      <x:c r="G2213" s="9" t="str">
        <x:v>CNC-02</x:v>
      </x:c>
      <x:c r="H2213" s="15" t="n">
        <x:v>45</x:v>
      </x:c>
      <x:c r="I2213" s="9" t="str">
        <x:v>P03</x:v>
      </x:c>
      <x:c r="J2213" s="11" t="n">
        <x:v>46308.5</x:v>
      </x:c>
      <x:c r="K2213" s="15" t="n">
        <x:v>18</x:v>
      </x:c>
      <x:c r="L2213" s="15" t="n">
        <x:v>29</x:v>
      </x:c>
      <x:c r="M2213" s="13" t="n">
        <x:f>J2213+(K2213+L2213)/1440</x:f>
        <x:v>46308.532638888886</x:v>
      </x:c>
      <x:c r="N2213" s="13" t="n">
        <x:f>VLOOKUP(C2213,'MES orders'!$A$8:$H$127,5,FALSE)</x:f>
        <x:v>46308.666666666664</x:v>
      </x:c>
      <x:c r="O2213" s="16" t="n">
        <x:f>MAX(0,(M2213-N2213)*24)</x:f>
        <x:v>0</x:v>
      </x:c>
      <x:c r="P2213" s="9" t="str">
        <x:v>No</x:v>
      </x:c>
      <x:c r="Q2213" s="15" t="n">
        <x:v>18</x:v>
      </x:c>
      <x:c r="R2213" s="13" t="n">
        <x:f>J2213+Q2213/1440</x:f>
        <x:v>46308.5125</x:v>
      </x:c>
      <x:c r="S2213" s="2" t="str">
        <x:f>VLOOKUP(C2213,'MES orders'!$A$8:$H$127,6,FALSE)</x:f>
        <x:v>Normal</x:v>
      </x:c>
      <x:c r="T2213" s="9" t="str"/>
    </x:row>
    <x:row r="2214" ht="22" customHeight="1">
      <x:c r="A2214" s="2" t="str">
        <x:v>L00383-010</x:v>
      </x:c>
      <x:c r="B2214" s="2" t="str">
        <x:v>L00383</x:v>
      </x:c>
      <x:c r="C2214" s="2" t="str">
        <x:v>SO-26077</x:v>
      </x:c>
      <x:c r="D2214" s="2" t="str">
        <x:v>R-L-AL</x:v>
      </x:c>
      <x:c r="E2214" s="14" t="n">
        <x:v>10</x:v>
      </x:c>
      <x:c r="F2214" s="2" t="str">
        <x:v>CNC machining</x:v>
      </x:c>
      <x:c r="G2214" s="9" t="str">
        <x:v>CNC-04</x:v>
      </x:c>
      <x:c r="H2214" s="15" t="n">
        <x:v>67</x:v>
      </x:c>
      <x:c r="I2214" s="9" t="str">
        <x:v>P02</x:v>
      </x:c>
      <x:c r="J2214" s="11" t="n">
        <x:v>46308.5</x:v>
      </x:c>
      <x:c r="K2214" s="15" t="n">
        <x:v>18</x:v>
      </x:c>
      <x:c r="L2214" s="15" t="n">
        <x:v>32</x:v>
      </x:c>
      <x:c r="M2214" s="13" t="n">
        <x:f>J2214+(K2214+L2214)/1440</x:f>
        <x:v>46308.53472222222</x:v>
      </x:c>
      <x:c r="N2214" s="13" t="n">
        <x:f>VLOOKUP(C2214,'MES orders'!$A$8:$H$127,5,FALSE)</x:f>
        <x:v>46308.666666666664</x:v>
      </x:c>
      <x:c r="O2214" s="16" t="n">
        <x:f>MAX(0,(M2214-N2214)*24)</x:f>
        <x:v>0</x:v>
      </x:c>
      <x:c r="P2214" s="9" t="str">
        <x:v>No</x:v>
      </x:c>
      <x:c r="Q2214" s="15" t="n">
        <x:v>18</x:v>
      </x:c>
      <x:c r="R2214" s="13" t="n">
        <x:f>J2214+Q2214/1440</x:f>
        <x:v>46308.5125</x:v>
      </x:c>
      <x:c r="S2214" s="2" t="str">
        <x:f>VLOOKUP(C2214,'MES orders'!$A$8:$H$127,6,FALSE)</x:f>
        <x:v>Normal</x:v>
      </x:c>
      <x:c r="T2214" s="9" t="str"/>
    </x:row>
    <x:row r="2215" ht="22" customHeight="1">
      <x:c r="A2215" s="2" t="str">
        <x:v>L00343-020</x:v>
      </x:c>
      <x:c r="B2215" s="2" t="str">
        <x:v>L00343</x:v>
      </x:c>
      <x:c r="C2215" s="2" t="str">
        <x:v>SO-26069</x:v>
      </x:c>
      <x:c r="D2215" s="2" t="str">
        <x:v>R-S-AL</x:v>
      </x:c>
      <x:c r="E2215" s="14" t="n">
        <x:v>15</x:v>
      </x:c>
      <x:c r="F2215" s="2" t="str">
        <x:v>Deburr &amp; inspect</x:v>
      </x:c>
      <x:c r="G2215" s="9" t="str">
        <x:v>DB-02</x:v>
      </x:c>
      <x:c r="H2215" s="15" t="n">
        <x:v>143</x:v>
      </x:c>
      <x:c r="I2215" s="9" t="str">
        <x:v>P01</x:v>
      </x:c>
      <x:c r="J2215" s="11" t="n">
        <x:v>46308.5</x:v>
      </x:c>
      <x:c r="K2215" s="15" t="n">
        <x:v>4</x:v>
      </x:c>
      <x:c r="L2215" s="15" t="n">
        <x:v>10</x:v>
      </x:c>
      <x:c r="M2215" s="13" t="n">
        <x:f>J2215+(K2215+L2215)/1440</x:f>
        <x:v>46308.509722222225</x:v>
      </x:c>
      <x:c r="N2215" s="13" t="n">
        <x:f>VLOOKUP(C2215,'MES orders'!$A$8:$H$127,5,FALSE)</x:f>
        <x:v>46308.666666666664</x:v>
      </x:c>
      <x:c r="O2215" s="16" t="n">
        <x:f>MAX(0,(M2215-N2215)*24)</x:f>
        <x:v>0</x:v>
      </x:c>
      <x:c r="P2215" s="9" t="str">
        <x:v>No</x:v>
      </x:c>
      <x:c r="Q2215" s="15" t="n">
        <x:v>14</x:v>
      </x:c>
      <x:c r="R2215" s="13" t="n">
        <x:f>J2215+Q2215/1440</x:f>
        <x:v>46308.509722222225</x:v>
      </x:c>
      <x:c r="S2215" s="2" t="str">
        <x:f>VLOOKUP(C2215,'MES orders'!$A$8:$H$127,6,FALSE)</x:f>
        <x:v>Normal</x:v>
      </x:c>
      <x:c r="T2215" s="9" t="str"/>
    </x:row>
    <x:row r="2216" ht="22" customHeight="1">
      <x:c r="A2216" s="2" t="str">
        <x:v>L00344-020</x:v>
      </x:c>
      <x:c r="B2216" s="2" t="str">
        <x:v>L00344</x:v>
      </x:c>
      <x:c r="C2216" s="2" t="str">
        <x:v>SO-26069</x:v>
      </x:c>
      <x:c r="D2216" s="2" t="str">
        <x:v>R-S-AL</x:v>
      </x:c>
      <x:c r="E2216" s="14" t="n">
        <x:v>15</x:v>
      </x:c>
      <x:c r="F2216" s="2" t="str">
        <x:v>Deburr &amp; inspect</x:v>
      </x:c>
      <x:c r="G2216" s="9" t="str">
        <x:v>DB-02</x:v>
      </x:c>
      <x:c r="H2216" s="15" t="n">
        <x:v>144</x:v>
      </x:c>
      <x:c r="I2216" s="9" t="str">
        <x:v>P01</x:v>
      </x:c>
      <x:c r="J2216" s="11" t="n">
        <x:v>46308.509722222225</x:v>
      </x:c>
      <x:c r="K2216" s="15" t="n">
        <x:v>4</x:v>
      </x:c>
      <x:c r="L2216" s="15" t="n">
        <x:v>10</x:v>
      </x:c>
      <x:c r="M2216" s="13" t="n">
        <x:f>J2216+(K2216+L2216)/1440</x:f>
        <x:v>46308.51944444445</x:v>
      </x:c>
      <x:c r="N2216" s="13" t="n">
        <x:f>VLOOKUP(C2216,'MES orders'!$A$8:$H$127,5,FALSE)</x:f>
        <x:v>46308.666666666664</x:v>
      </x:c>
      <x:c r="O2216" s="16" t="n">
        <x:f>MAX(0,(M2216-N2216)*24)</x:f>
        <x:v>0</x:v>
      </x:c>
      <x:c r="P2216" s="9" t="str">
        <x:v>No</x:v>
      </x:c>
      <x:c r="Q2216" s="15" t="n">
        <x:v>14</x:v>
      </x:c>
      <x:c r="R2216" s="13" t="n">
        <x:f>J2216+Q2216/1440</x:f>
        <x:v>46308.51944444445</x:v>
      </x:c>
      <x:c r="S2216" s="2" t="str">
        <x:f>VLOOKUP(C2216,'MES orders'!$A$8:$H$127,6,FALSE)</x:f>
        <x:v>Normal</x:v>
      </x:c>
      <x:c r="T2216" s="9" t="str"/>
    </x:row>
    <x:row r="2217" ht="22" customHeight="1">
      <x:c r="A2217" s="2" t="str">
        <x:v>L00265-030</x:v>
      </x:c>
      <x:c r="B2217" s="2" t="str">
        <x:v>L00265</x:v>
      </x:c>
      <x:c r="C2217" s="2" t="str">
        <x:v>SO-26053</x:v>
      </x:c>
      <x:c r="D2217" s="2" t="str">
        <x:v>D-L-AL</x:v>
      </x:c>
      <x:c r="E2217" s="14" t="n">
        <x:v>15</x:v>
      </x:c>
      <x:c r="F2217" s="2" t="str">
        <x:v>Wash &amp; dry</x:v>
      </x:c>
      <x:c r="G2217" s="9" t="str">
        <x:v>WS-01</x:v>
      </x:c>
      <x:c r="H2217" s="15" t="n">
        <x:v>206</x:v>
      </x:c>
      <x:c r="I2217" s="9" t="str">
        <x:v>P04</x:v>
      </x:c>
      <x:c r="J2217" s="11" t="n">
        <x:v>46308.51111111111</x:v>
      </x:c>
      <x:c r="K2217" s="15" t="n">
        <x:v>12</x:v>
      </x:c>
      <x:c r="L2217" s="15" t="n">
        <x:v>7</x:v>
      </x:c>
      <x:c r="M2217" s="13" t="n">
        <x:f>J2217+(K2217+L2217)/1440</x:f>
        <x:v>46308.524305555555</x:v>
      </x:c>
      <x:c r="N2217" s="13" t="n">
        <x:f>VLOOKUP(C2217,'MES orders'!$A$8:$H$127,5,FALSE)</x:f>
        <x:v>46308.666666666664</x:v>
      </x:c>
      <x:c r="O2217" s="16" t="n">
        <x:f>MAX(0,(M2217-N2217)*24)</x:f>
        <x:v>0</x:v>
      </x:c>
      <x:c r="P2217" s="9" t="str">
        <x:v>No</x:v>
      </x:c>
      <x:c r="Q2217" s="15" t="n">
        <x:v>19</x:v>
      </x:c>
      <x:c r="R2217" s="13" t="n">
        <x:f>J2217+Q2217/1440</x:f>
        <x:v>46308.524305555555</x:v>
      </x:c>
      <x:c r="S2217" s="2" t="str">
        <x:f>VLOOKUP(C2217,'MES orders'!$A$8:$H$127,6,FALSE)</x:f>
        <x:v>Normal</x:v>
      </x:c>
      <x:c r="T2217" s="9" t="str"/>
    </x:row>
    <x:row r="2218" ht="22" customHeight="1">
      <x:c r="A2218" s="2" t="str">
        <x:v>L00263-050</x:v>
      </x:c>
      <x:c r="B2218" s="2" t="str">
        <x:v>L00263</x:v>
      </x:c>
      <x:c r="C2218" s="2" t="str">
        <x:v>SO-26053</x:v>
      </x:c>
      <x:c r="D2218" s="2" t="str">
        <x:v>D-L-AL</x:v>
      </x:c>
      <x:c r="E2218" s="14" t="n">
        <x:v>15</x:v>
      </x:c>
      <x:c r="F2218" s="2" t="str">
        <x:v>Final leak / function test</x:v>
      </x:c>
      <x:c r="G2218" s="9" t="str">
        <x:v>QA-01</x:v>
      </x:c>
      <x:c r="H2218" s="15" t="n">
        <x:v>84</x:v>
      </x:c>
      <x:c r="I2218" s="9" t="str">
        <x:v>P11</x:v>
      </x:c>
      <x:c r="J2218" s="11" t="n">
        <x:v>46308.51180555556</x:v>
      </x:c>
      <x:c r="K2218" s="15" t="n">
        <x:v>10</x:v>
      </x:c>
      <x:c r="L2218" s="15" t="n">
        <x:v>18</x:v>
      </x:c>
      <x:c r="M2218" s="13" t="n">
        <x:f>J2218+(K2218+L2218)/1440</x:f>
        <x:v>46308.53125</x:v>
      </x:c>
      <x:c r="N2218" s="13" t="n">
        <x:f>VLOOKUP(C2218,'MES orders'!$A$8:$H$127,5,FALSE)</x:f>
        <x:v>46308.666666666664</x:v>
      </x:c>
      <x:c r="O2218" s="16" t="n">
        <x:f>MAX(0,(M2218-N2218)*24)</x:f>
        <x:v>0</x:v>
      </x:c>
      <x:c r="P2218" s="9" t="str">
        <x:v>No</x:v>
      </x:c>
      <x:c r="Q2218" s="15" t="n">
        <x:v>28</x:v>
      </x:c>
      <x:c r="R2218" s="13" t="n">
        <x:f>J2218+Q2218/1440</x:f>
        <x:v>46308.53125</x:v>
      </x:c>
      <x:c r="S2218" s="2" t="str">
        <x:f>VLOOKUP(C2218,'MES orders'!$A$8:$H$127,6,FALSE)</x:f>
        <x:v>Normal</x:v>
      </x:c>
      <x:c r="T2218" s="9" t="str"/>
    </x:row>
    <x:row r="2219" ht="22" customHeight="1">
      <x:c r="A2219" s="2" t="str">
        <x:v>L00301-030</x:v>
      </x:c>
      <x:c r="B2219" s="2" t="str">
        <x:v>L00301</x:v>
      </x:c>
      <x:c r="C2219" s="2" t="str">
        <x:v>SO-26061</x:v>
      </x:c>
      <x:c r="D2219" s="2" t="str">
        <x:v>R-C-AL</x:v>
      </x:c>
      <x:c r="E2219" s="14" t="n">
        <x:v>10</x:v>
      </x:c>
      <x:c r="F2219" s="2" t="str">
        <x:v>Wash &amp; dry</x:v>
      </x:c>
      <x:c r="G2219" s="9" t="str">
        <x:v>WS-02</x:v>
      </x:c>
      <x:c r="H2219" s="15" t="n">
        <x:v>143</x:v>
      </x:c>
      <x:c r="I2219" s="9" t="str">
        <x:v>P05</x:v>
      </x:c>
      <x:c r="J2219" s="11" t="n">
        <x:v>46308.51180555556</x:v>
      </x:c>
      <x:c r="K2219" s="15" t="n">
        <x:v>12</x:v>
      </x:c>
      <x:c r="L2219" s="15" t="n">
        <x:v>3</x:v>
      </x:c>
      <x:c r="M2219" s="13" t="n">
        <x:f>J2219+(K2219+L2219)/1440</x:f>
        <x:v>46308.52222222222</x:v>
      </x:c>
      <x:c r="N2219" s="13" t="n">
        <x:f>VLOOKUP(C2219,'MES orders'!$A$8:$H$127,5,FALSE)</x:f>
        <x:v>46308.666666666664</x:v>
      </x:c>
      <x:c r="O2219" s="16" t="n">
        <x:f>MAX(0,(M2219-N2219)*24)</x:f>
        <x:v>0</x:v>
      </x:c>
      <x:c r="P2219" s="9" t="str">
        <x:v>No</x:v>
      </x:c>
      <x:c r="Q2219" s="15" t="n">
        <x:v>15</x:v>
      </x:c>
      <x:c r="R2219" s="13" t="n">
        <x:f>J2219+Q2219/1440</x:f>
        <x:v>46308.52222222222</x:v>
      </x:c>
      <x:c r="S2219" s="2" t="str">
        <x:f>VLOOKUP(C2219,'MES orders'!$A$8:$H$127,6,FALSE)</x:f>
        <x:v>Normal</x:v>
      </x:c>
      <x:c r="T2219" s="9" t="str"/>
    </x:row>
    <x:row r="2220" ht="22" customHeight="1">
      <x:c r="A2220" s="2" t="str">
        <x:v>L00384-010</x:v>
      </x:c>
      <x:c r="B2220" s="2" t="str">
        <x:v>L00384</x:v>
      </x:c>
      <x:c r="C2220" s="2" t="str">
        <x:v>SO-26077</x:v>
      </x:c>
      <x:c r="D2220" s="2" t="str">
        <x:v>R-L-AL</x:v>
      </x:c>
      <x:c r="E2220" s="14" t="n">
        <x:v>10</x:v>
      </x:c>
      <x:c r="F2220" s="2" t="str">
        <x:v>CNC machining</x:v>
      </x:c>
      <x:c r="G2220" s="9" t="str">
        <x:v>CNC-05</x:v>
      </x:c>
      <x:c r="H2220" s="15" t="n">
        <x:v>60</x:v>
      </x:c>
      <x:c r="I2220" s="9" t="str">
        <x:v>P03</x:v>
      </x:c>
      <x:c r="J2220" s="11" t="n">
        <x:v>46308.5125</x:v>
      </x:c>
      <x:c r="K2220" s="15" t="n">
        <x:v>18</x:v>
      </x:c>
      <x:c r="L2220" s="15" t="n">
        <x:v>32</x:v>
      </x:c>
      <x:c r="M2220" s="13" t="n">
        <x:f>J2220+(K2220+L2220)/1440</x:f>
        <x:v>46308.547222222216</x:v>
      </x:c>
      <x:c r="N2220" s="13" t="n">
        <x:f>VLOOKUP(C2220,'MES orders'!$A$8:$H$127,5,FALSE)</x:f>
        <x:v>46308.666666666664</x:v>
      </x:c>
      <x:c r="O2220" s="16" t="n">
        <x:f>MAX(0,(M2220-N2220)*24)</x:f>
        <x:v>0</x:v>
      </x:c>
      <x:c r="P2220" s="9" t="str">
        <x:v>No</x:v>
      </x:c>
      <x:c r="Q2220" s="15" t="n">
        <x:v>18</x:v>
      </x:c>
      <x:c r="R2220" s="13" t="n">
        <x:f>J2220+Q2220/1440</x:f>
        <x:v>46308.524999999994</x:v>
      </x:c>
      <x:c r="S2220" s="2" t="str">
        <x:f>VLOOKUP(C2220,'MES orders'!$A$8:$H$127,6,FALSE)</x:f>
        <x:v>Normal</x:v>
      </x:c>
      <x:c r="T2220" s="9" t="str"/>
    </x:row>
    <x:row r="2221" ht="22" customHeight="1">
      <x:c r="A2221" s="2" t="str">
        <x:v>L00345-020</x:v>
      </x:c>
      <x:c r="B2221" s="2" t="str">
        <x:v>L00345</x:v>
      </x:c>
      <x:c r="C2221" s="2" t="str">
        <x:v>SO-26069</x:v>
      </x:c>
      <x:c r="D2221" s="2" t="str">
        <x:v>R-S-AL</x:v>
      </x:c>
      <x:c r="E2221" s="14" t="n">
        <x:v>15</x:v>
      </x:c>
      <x:c r="F2221" s="2" t="str">
        <x:v>Deburr &amp; inspect</x:v>
      </x:c>
      <x:c r="G2221" s="9" t="str">
        <x:v>DB-01</x:v>
      </x:c>
      <x:c r="H2221" s="15" t="n">
        <x:v>210</x:v>
      </x:c>
      <x:c r="I2221" s="9" t="str">
        <x:v>P02</x:v>
      </x:c>
      <x:c r="J2221" s="11" t="n">
        <x:v>46308.5125</x:v>
      </x:c>
      <x:c r="K2221" s="15" t="n">
        <x:v>4</x:v>
      </x:c>
      <x:c r="L2221" s="15" t="n">
        <x:v>10</x:v>
      </x:c>
      <x:c r="M2221" s="13" t="n">
        <x:f>J2221+(K2221+L2221)/1440</x:f>
        <x:v>46308.52222222222</x:v>
      </x:c>
      <x:c r="N2221" s="13" t="n">
        <x:f>VLOOKUP(C2221,'MES orders'!$A$8:$H$127,5,FALSE)</x:f>
        <x:v>46308.666666666664</x:v>
      </x:c>
      <x:c r="O2221" s="16" t="n">
        <x:f>MAX(0,(M2221-N2221)*24)</x:f>
        <x:v>0</x:v>
      </x:c>
      <x:c r="P2221" s="9" t="str">
        <x:v>No</x:v>
      </x:c>
      <x:c r="Q2221" s="15" t="n">
        <x:v>14</x:v>
      </x:c>
      <x:c r="R2221" s="13" t="n">
        <x:f>J2221+Q2221/1440</x:f>
        <x:v>46308.52222222222</x:v>
      </x:c>
      <x:c r="S2221" s="2" t="str">
        <x:f>VLOOKUP(C2221,'MES orders'!$A$8:$H$127,6,FALSE)</x:f>
        <x:v>Normal</x:v>
      </x:c>
      <x:c r="T2221" s="9" t="str"/>
    </x:row>
    <x:row r="2222" ht="22" customHeight="1">
      <x:c r="A2222" s="2" t="str">
        <x:v>L00301-040</x:v>
      </x:c>
      <x:c r="B2222" s="2" t="str">
        <x:v>L00301</x:v>
      </x:c>
      <x:c r="C2222" s="2" t="str">
        <x:v>SO-26061</x:v>
      </x:c>
      <x:c r="D2222" s="2" t="str">
        <x:v>R-C-AL</x:v>
      </x:c>
      <x:c r="E2222" s="14" t="n">
        <x:v>10</x:v>
      </x:c>
      <x:c r="F2222" s="2" t="str">
        <x:v>Mechanical assembly</x:v>
      </x:c>
      <x:c r="G2222" s="9" t="str">
        <x:v>AS-02</x:v>
      </x:c>
      <x:c r="H2222" s="15" t="n">
        <x:v>145</x:v>
      </x:c>
      <x:c r="I2222" s="9" t="str">
        <x:v>P05</x:v>
      </x:c>
      <x:c r="J2222" s="11" t="n">
        <x:v>46308.52222222222</x:v>
      </x:c>
      <x:c r="K2222" s="15" t="n">
        <x:v>8</x:v>
      </x:c>
      <x:c r="L2222" s="15" t="n">
        <x:v>14</x:v>
      </x:c>
      <x:c r="M2222" s="13" t="n">
        <x:f>J2222+(K2222+L2222)/1440</x:f>
        <x:v>46308.5375</x:v>
      </x:c>
      <x:c r="N2222" s="13" t="n">
        <x:f>VLOOKUP(C2222,'MES orders'!$A$8:$H$127,5,FALSE)</x:f>
        <x:v>46308.666666666664</x:v>
      </x:c>
      <x:c r="O2222" s="16" t="n">
        <x:f>MAX(0,(M2222-N2222)*24)</x:f>
        <x:v>0</x:v>
      </x:c>
      <x:c r="P2222" s="9" t="str">
        <x:v>No</x:v>
      </x:c>
      <x:c r="Q2222" s="15" t="n">
        <x:v>22</x:v>
      </x:c>
      <x:c r="R2222" s="13" t="n">
        <x:f>J2222+Q2222/1440</x:f>
        <x:v>46308.5375</x:v>
      </x:c>
      <x:c r="S2222" s="2" t="str">
        <x:f>VLOOKUP(C2222,'MES orders'!$A$8:$H$127,6,FALSE)</x:f>
        <x:v>Normal</x:v>
      </x:c>
      <x:c r="T2222" s="9" t="str"/>
    </x:row>
    <x:row r="2223" ht="22" customHeight="1">
      <x:c r="A2223" s="2" t="str">
        <x:v>L00382-020</x:v>
      </x:c>
      <x:c r="B2223" s="2" t="str">
        <x:v>L00382</x:v>
      </x:c>
      <x:c r="C2223" s="2" t="str">
        <x:v>SO-26077</x:v>
      </x:c>
      <x:c r="D2223" s="2" t="str">
        <x:v>R-L-AL</x:v>
      </x:c>
      <x:c r="E2223" s="14" t="n">
        <x:v>10</x:v>
      </x:c>
      <x:c r="F2223" s="2" t="str">
        <x:v>Deburr &amp; inspect</x:v>
      </x:c>
      <x:c r="G2223" s="9" t="str">
        <x:v>DB-01</x:v>
      </x:c>
      <x:c r="H2223" s="15" t="n">
        <x:v>211</x:v>
      </x:c>
      <x:c r="I2223" s="9" t="str">
        <x:v>P02</x:v>
      </x:c>
      <x:c r="J2223" s="11" t="n">
        <x:v>46308.52222222222</x:v>
      </x:c>
      <x:c r="K2223" s="15" t="n">
        <x:v>4</x:v>
      </x:c>
      <x:c r="L2223" s="15" t="n">
        <x:v>9</x:v>
      </x:c>
      <x:c r="M2223" s="13" t="n">
        <x:f>J2223+(K2223+L2223)/1440</x:f>
        <x:v>46308.53125</x:v>
      </x:c>
      <x:c r="N2223" s="13" t="n">
        <x:f>VLOOKUP(C2223,'MES orders'!$A$8:$H$127,5,FALSE)</x:f>
        <x:v>46308.666666666664</x:v>
      </x:c>
      <x:c r="O2223" s="16" t="n">
        <x:f>MAX(0,(M2223-N2223)*24)</x:f>
        <x:v>0</x:v>
      </x:c>
      <x:c r="P2223" s="9" t="str">
        <x:v>No</x:v>
      </x:c>
      <x:c r="Q2223" s="15" t="n">
        <x:v>13</x:v>
      </x:c>
      <x:c r="R2223" s="13" t="n">
        <x:f>J2223+Q2223/1440</x:f>
        <x:v>46308.53125</x:v>
      </x:c>
      <x:c r="S2223" s="2" t="str">
        <x:f>VLOOKUP(C2223,'MES orders'!$A$8:$H$127,6,FALSE)</x:f>
        <x:v>Normal</x:v>
      </x:c>
      <x:c r="T2223" s="9" t="str"/>
    </x:row>
    <x:row r="2224" ht="22" customHeight="1">
      <x:c r="A2224" s="2" t="str">
        <x:v>L00345-030</x:v>
      </x:c>
      <x:c r="B2224" s="2" t="str">
        <x:v>L00345</x:v>
      </x:c>
      <x:c r="C2224" s="2" t="str">
        <x:v>SO-26069</x:v>
      </x:c>
      <x:c r="D2224" s="2" t="str">
        <x:v>R-S-AL</x:v>
      </x:c>
      <x:c r="E2224" s="14" t="n">
        <x:v>15</x:v>
      </x:c>
      <x:c r="F2224" s="2" t="str">
        <x:v>Wash &amp; dry</x:v>
      </x:c>
      <x:c r="G2224" s="9" t="str">
        <x:v>WS-02</x:v>
      </x:c>
      <x:c r="H2224" s="15" t="n">
        <x:v>144</x:v>
      </x:c>
      <x:c r="I2224" s="9" t="str">
        <x:v>P01</x:v>
      </x:c>
      <x:c r="J2224" s="11" t="n">
        <x:v>46308.52222222222</x:v>
      </x:c>
      <x:c r="K2224" s="15" t="n">
        <x:v>12</x:v>
      </x:c>
      <x:c r="L2224" s="15" t="n">
        <x:v>5</x:v>
      </x:c>
      <x:c r="M2224" s="13" t="n">
        <x:f>J2224+(K2224+L2224)/1440</x:f>
        <x:v>46308.53402777778</x:v>
      </x:c>
      <x:c r="N2224" s="13" t="n">
        <x:f>VLOOKUP(C2224,'MES orders'!$A$8:$H$127,5,FALSE)</x:f>
        <x:v>46308.666666666664</x:v>
      </x:c>
      <x:c r="O2224" s="16" t="n">
        <x:f>MAX(0,(M2224-N2224)*24)</x:f>
        <x:v>0</x:v>
      </x:c>
      <x:c r="P2224" s="9" t="str">
        <x:v>No</x:v>
      </x:c>
      <x:c r="Q2224" s="15" t="n">
        <x:v>17</x:v>
      </x:c>
      <x:c r="R2224" s="13" t="n">
        <x:f>J2224+Q2224/1440</x:f>
        <x:v>46308.53402777778</x:v>
      </x:c>
      <x:c r="S2224" s="2" t="str">
        <x:f>VLOOKUP(C2224,'MES orders'!$A$8:$H$127,6,FALSE)</x:f>
        <x:v>Normal</x:v>
      </x:c>
      <x:c r="T2224" s="9" t="str"/>
    </x:row>
    <x:row r="2225" ht="22" customHeight="1">
      <x:c r="A2225" s="2" t="str">
        <x:v>L00265-040</x:v>
      </x:c>
      <x:c r="B2225" s="2" t="str">
        <x:v>L00265</x:v>
      </x:c>
      <x:c r="C2225" s="2" t="str">
        <x:v>SO-26053</x:v>
      </x:c>
      <x:c r="D2225" s="2" t="str">
        <x:v>D-L-AL</x:v>
      </x:c>
      <x:c r="E2225" s="14" t="n">
        <x:v>15</x:v>
      </x:c>
      <x:c r="F2225" s="2" t="str">
        <x:v>Mechanical assembly</x:v>
      </x:c>
      <x:c r="G2225" s="9" t="str">
        <x:v>AS-01</x:v>
      </x:c>
      <x:c r="H2225" s="15" t="n">
        <x:v>178</x:v>
      </x:c>
      <x:c r="I2225" s="9" t="str">
        <x:v>P04</x:v>
      </x:c>
      <x:c r="J2225" s="11" t="n">
        <x:v>46308.524305555555</x:v>
      </x:c>
      <x:c r="K2225" s="15" t="n">
        <x:v>8</x:v>
      </x:c>
      <x:c r="L2225" s="15" t="n">
        <x:v>36</x:v>
      </x:c>
      <x:c r="M2225" s="13" t="n">
        <x:f>J2225+(K2225+L2225)/1440</x:f>
        <x:v>46308.55486111111</x:v>
      </x:c>
      <x:c r="N2225" s="13" t="n">
        <x:f>VLOOKUP(C2225,'MES orders'!$A$8:$H$127,5,FALSE)</x:f>
        <x:v>46308.666666666664</x:v>
      </x:c>
      <x:c r="O2225" s="16" t="n">
        <x:f>MAX(0,(M2225-N2225)*24)</x:f>
        <x:v>0</x:v>
      </x:c>
      <x:c r="P2225" s="9" t="str">
        <x:v>No</x:v>
      </x:c>
      <x:c r="Q2225" s="15" t="n">
        <x:v>44</x:v>
      </x:c>
      <x:c r="R2225" s="13" t="n">
        <x:f>J2225+Q2225/1440</x:f>
        <x:v>46308.55486111111</x:v>
      </x:c>
      <x:c r="S2225" s="2" t="str">
        <x:f>VLOOKUP(C2225,'MES orders'!$A$8:$H$127,6,FALSE)</x:f>
        <x:v>Normal</x:v>
      </x:c>
      <x:c r="T2225" s="9" t="str"/>
    </x:row>
    <x:row r="2226" ht="22" customHeight="1">
      <x:c r="A2226" s="2" t="str">
        <x:v>L00264-050</x:v>
      </x:c>
      <x:c r="B2226" s="2" t="str">
        <x:v>L00264</x:v>
      </x:c>
      <x:c r="C2226" s="2" t="str">
        <x:v>SO-26053</x:v>
      </x:c>
      <x:c r="D2226" s="2" t="str">
        <x:v>D-L-AL</x:v>
      </x:c>
      <x:c r="E2226" s="14" t="n">
        <x:v>15</x:v>
      </x:c>
      <x:c r="F2226" s="2" t="str">
        <x:v>Final leak / function test</x:v>
      </x:c>
      <x:c r="G2226" s="9" t="str">
        <x:v>QA-02</x:v>
      </x:c>
      <x:c r="H2226" s="15" t="n">
        <x:v>161</x:v>
      </x:c>
      <x:c r="I2226" s="9" t="str">
        <x:v>P12</x:v>
      </x:c>
      <x:c r="J2226" s="11" t="n">
        <x:v>46308.525</x:v>
      </x:c>
      <x:c r="K2226" s="15" t="n">
        <x:v>10</x:v>
      </x:c>
      <x:c r="L2226" s="15" t="n">
        <x:v>18</x:v>
      </x:c>
      <x:c r="M2226" s="13" t="n">
        <x:f>J2226+(K2226+L2226)/1440</x:f>
        <x:v>46308.544444444444</x:v>
      </x:c>
      <x:c r="N2226" s="13" t="n">
        <x:f>VLOOKUP(C2226,'MES orders'!$A$8:$H$127,5,FALSE)</x:f>
        <x:v>46308.666666666664</x:v>
      </x:c>
      <x:c r="O2226" s="16" t="n">
        <x:f>MAX(0,(M2226-N2226)*24)</x:f>
        <x:v>0</x:v>
      </x:c>
      <x:c r="P2226" s="9" t="str">
        <x:v>No</x:v>
      </x:c>
      <x:c r="Q2226" s="15" t="n">
        <x:v>28</x:v>
      </x:c>
      <x:c r="R2226" s="13" t="n">
        <x:f>J2226+Q2226/1440</x:f>
        <x:v>46308.544444444444</x:v>
      </x:c>
      <x:c r="S2226" s="2" t="str">
        <x:f>VLOOKUP(C2226,'MES orders'!$A$8:$H$127,6,FALSE)</x:f>
        <x:v>Normal</x:v>
      </x:c>
      <x:c r="T2226" s="9" t="str"/>
    </x:row>
    <x:row r="2227" ht="22" customHeight="1">
      <x:c r="A2227" s="2" t="str">
        <x:v>L00303-030</x:v>
      </x:c>
      <x:c r="B2227" s="2" t="str">
        <x:v>L00303</x:v>
      </x:c>
      <x:c r="C2227" s="2" t="str">
        <x:v>SO-26061</x:v>
      </x:c>
      <x:c r="D2227" s="2" t="str">
        <x:v>R-C-AL</x:v>
      </x:c>
      <x:c r="E2227" s="14" t="n">
        <x:v>10</x:v>
      </x:c>
      <x:c r="F2227" s="2" t="str">
        <x:v>Wash &amp; dry</x:v>
      </x:c>
      <x:c r="G2227" s="9" t="str">
        <x:v>WS-01</x:v>
      </x:c>
      <x:c r="H2227" s="15" t="n">
        <x:v>207</x:v>
      </x:c>
      <x:c r="I2227" s="9" t="str">
        <x:v>P06</x:v>
      </x:c>
      <x:c r="J2227" s="11" t="n">
        <x:v>46308.525</x:v>
      </x:c>
      <x:c r="K2227" s="15" t="n">
        <x:v>12</x:v>
      </x:c>
      <x:c r="L2227" s="15" t="n">
        <x:v>3</x:v>
      </x:c>
      <x:c r="M2227" s="13" t="n">
        <x:f>J2227+(K2227+L2227)/1440</x:f>
        <x:v>46308.535416666666</x:v>
      </x:c>
      <x:c r="N2227" s="13" t="n">
        <x:f>VLOOKUP(C2227,'MES orders'!$A$8:$H$127,5,FALSE)</x:f>
        <x:v>46308.666666666664</x:v>
      </x:c>
      <x:c r="O2227" s="16" t="n">
        <x:f>MAX(0,(M2227-N2227)*24)</x:f>
        <x:v>0</x:v>
      </x:c>
      <x:c r="P2227" s="9" t="str">
        <x:v>No</x:v>
      </x:c>
      <x:c r="Q2227" s="15" t="n">
        <x:v>15</x:v>
      </x:c>
      <x:c r="R2227" s="13" t="n">
        <x:f>J2227+Q2227/1440</x:f>
        <x:v>46308.535416666666</x:v>
      </x:c>
      <x:c r="S2227" s="2" t="str">
        <x:f>VLOOKUP(C2227,'MES orders'!$A$8:$H$127,6,FALSE)</x:f>
        <x:v>Normal</x:v>
      </x:c>
      <x:c r="T2227" s="9" t="str"/>
    </x:row>
    <x:row r="2228" ht="22" customHeight="1">
      <x:c r="A2228" s="2" t="str">
        <x:v>L00541-020</x:v>
      </x:c>
      <x:c r="B2228" s="2" t="str">
        <x:v>L00541</x:v>
      </x:c>
      <x:c r="C2228" s="2" t="str">
        <x:v>SO-26109</x:v>
      </x:c>
      <x:c r="D2228" s="2" t="str">
        <x:v>D-C-AL</x:v>
      </x:c>
      <x:c r="E2228" s="14" t="n">
        <x:v>15</x:v>
      </x:c>
      <x:c r="F2228" s="2" t="str">
        <x:v>Deburr &amp; inspect</x:v>
      </x:c>
      <x:c r="G2228" s="9" t="str">
        <x:v>DB-02</x:v>
      </x:c>
      <x:c r="H2228" s="15" t="n">
        <x:v>145</x:v>
      </x:c>
      <x:c r="I2228" s="9" t="str">
        <x:v>P07</x:v>
      </x:c>
      <x:c r="J2228" s="11" t="n">
        <x:v>46308.532638888886</x:v>
      </x:c>
      <x:c r="K2228" s="15" t="n">
        <x:v>4</x:v>
      </x:c>
      <x:c r="L2228" s="15" t="n">
        <x:v>8</x:v>
      </x:c>
      <x:c r="M2228" s="13" t="n">
        <x:f>J2228+(K2228+L2228)/1440</x:f>
        <x:v>46308.54097222222</x:v>
      </x:c>
      <x:c r="N2228" s="13" t="n">
        <x:f>VLOOKUP(C2228,'MES orders'!$A$8:$H$127,5,FALSE)</x:f>
        <x:v>46308.666666666664</x:v>
      </x:c>
      <x:c r="O2228" s="16" t="n">
        <x:f>MAX(0,(M2228-N2228)*24)</x:f>
        <x:v>0</x:v>
      </x:c>
      <x:c r="P2228" s="9" t="str">
        <x:v>No</x:v>
      </x:c>
      <x:c r="Q2228" s="15" t="n">
        <x:v>12</x:v>
      </x:c>
      <x:c r="R2228" s="13" t="n">
        <x:f>J2228+Q2228/1440</x:f>
        <x:v>46308.54097222222</x:v>
      </x:c>
      <x:c r="S2228" s="2" t="str">
        <x:f>VLOOKUP(C2228,'MES orders'!$A$8:$H$127,6,FALSE)</x:f>
        <x:v>Normal</x:v>
      </x:c>
      <x:c r="T2228" s="9" t="str"/>
    </x:row>
    <x:row r="2229" ht="22" customHeight="1">
      <x:c r="A2229" s="2" t="str">
        <x:v>L00345-040</x:v>
      </x:c>
      <x:c r="B2229" s="2" t="str">
        <x:v>L00345</x:v>
      </x:c>
      <x:c r="C2229" s="2" t="str">
        <x:v>SO-26069</x:v>
      </x:c>
      <x:c r="D2229" s="2" t="str">
        <x:v>R-S-AL</x:v>
      </x:c>
      <x:c r="E2229" s="14" t="n">
        <x:v>15</x:v>
      </x:c>
      <x:c r="F2229" s="2" t="str">
        <x:v>Mechanical assembly</x:v>
      </x:c>
      <x:c r="G2229" s="9" t="str">
        <x:v>AS-04</x:v>
      </x:c>
      <x:c r="H2229" s="15" t="n">
        <x:v>77</x:v>
      </x:c>
      <x:c r="I2229" s="9" t="str">
        <x:v>P01</x:v>
      </x:c>
      <x:c r="J2229" s="11" t="n">
        <x:v>46308.53402777778</x:v>
      </x:c>
      <x:c r="K2229" s="15" t="n">
        <x:v>8</x:v>
      </x:c>
      <x:c r="L2229" s="15" t="n">
        <x:v>27</x:v>
      </x:c>
      <x:c r="M2229" s="13" t="n">
        <x:f>J2229+(K2229+L2229)/1440</x:f>
        <x:v>46308.558333333334</x:v>
      </x:c>
      <x:c r="N2229" s="13" t="n">
        <x:f>VLOOKUP(C2229,'MES orders'!$A$8:$H$127,5,FALSE)</x:f>
        <x:v>46308.666666666664</x:v>
      </x:c>
      <x:c r="O2229" s="16" t="n">
        <x:f>MAX(0,(M2229-N2229)*24)</x:f>
        <x:v>0</x:v>
      </x:c>
      <x:c r="P2229" s="9" t="str">
        <x:v>No</x:v>
      </x:c>
      <x:c r="Q2229" s="15" t="n">
        <x:v>35</x:v>
      </x:c>
      <x:c r="R2229" s="13" t="n">
        <x:f>J2229+Q2229/1440</x:f>
        <x:v>46308.558333333334</x:v>
      </x:c>
      <x:c r="S2229" s="2" t="str">
        <x:f>VLOOKUP(C2229,'MES orders'!$A$8:$H$127,6,FALSE)</x:f>
        <x:v>Normal</x:v>
      </x:c>
      <x:c r="T2229" s="9" t="str"/>
    </x:row>
    <x:row r="2230" ht="22" customHeight="1">
      <x:c r="A2230" s="2" t="str">
        <x:v>L00382-030</x:v>
      </x:c>
      <x:c r="B2230" s="2" t="str">
        <x:v>L00382</x:v>
      </x:c>
      <x:c r="C2230" s="2" t="str">
        <x:v>SO-26077</x:v>
      </x:c>
      <x:c r="D2230" s="2" t="str">
        <x:v>R-L-AL</x:v>
      </x:c>
      <x:c r="E2230" s="14" t="n">
        <x:v>10</x:v>
      </x:c>
      <x:c r="F2230" s="2" t="str">
        <x:v>Wash &amp; dry</x:v>
      </x:c>
      <x:c r="G2230" s="9" t="str">
        <x:v>WS-02</x:v>
      </x:c>
      <x:c r="H2230" s="15" t="n">
        <x:v>145</x:v>
      </x:c>
      <x:c r="I2230" s="9" t="str">
        <x:v>P02</x:v>
      </x:c>
      <x:c r="J2230" s="11" t="n">
        <x:v>46308.53402777778</x:v>
      </x:c>
      <x:c r="K2230" s="15" t="n">
        <x:v>12</x:v>
      </x:c>
      <x:c r="L2230" s="15" t="n">
        <x:v>5</x:v>
      </x:c>
      <x:c r="M2230" s="13" t="n">
        <x:f>J2230+(K2230+L2230)/1440</x:f>
        <x:v>46308.54583333334</x:v>
      </x:c>
      <x:c r="N2230" s="13" t="n">
        <x:f>VLOOKUP(C2230,'MES orders'!$A$8:$H$127,5,FALSE)</x:f>
        <x:v>46308.666666666664</x:v>
      </x:c>
      <x:c r="O2230" s="16" t="n">
        <x:f>MAX(0,(M2230-N2230)*24)</x:f>
        <x:v>0</x:v>
      </x:c>
      <x:c r="P2230" s="9" t="str">
        <x:v>No</x:v>
      </x:c>
      <x:c r="Q2230" s="15" t="n">
        <x:v>17</x:v>
      </x:c>
      <x:c r="R2230" s="13" t="n">
        <x:f>J2230+Q2230/1440</x:f>
        <x:v>46308.54583333334</x:v>
      </x:c>
      <x:c r="S2230" s="2" t="str">
        <x:f>VLOOKUP(C2230,'MES orders'!$A$8:$H$127,6,FALSE)</x:f>
        <x:v>Normal</x:v>
      </x:c>
      <x:c r="T2230" s="9" t="str"/>
    </x:row>
    <x:row r="2231" ht="22" customHeight="1">
      <x:c r="A2231" s="2" t="str">
        <x:v>L00383-020</x:v>
      </x:c>
      <x:c r="B2231" s="2" t="str">
        <x:v>L00383</x:v>
      </x:c>
      <x:c r="C2231" s="2" t="str">
        <x:v>SO-26077</x:v>
      </x:c>
      <x:c r="D2231" s="2" t="str">
        <x:v>R-L-AL</x:v>
      </x:c>
      <x:c r="E2231" s="14" t="n">
        <x:v>10</x:v>
      </x:c>
      <x:c r="F2231" s="2" t="str">
        <x:v>Deburr &amp; inspect</x:v>
      </x:c>
      <x:c r="G2231" s="9" t="str">
        <x:v>DB-01</x:v>
      </x:c>
      <x:c r="H2231" s="15" t="n">
        <x:v>212</x:v>
      </x:c>
      <x:c r="I2231" s="9" t="str">
        <x:v>P03</x:v>
      </x:c>
      <x:c r="J2231" s="11" t="n">
        <x:v>46308.53472222222</x:v>
      </x:c>
      <x:c r="K2231" s="15" t="n">
        <x:v>4</x:v>
      </x:c>
      <x:c r="L2231" s="15" t="n">
        <x:v>9</x:v>
      </x:c>
      <x:c r="M2231" s="13" t="n">
        <x:f>J2231+(K2231+L2231)/1440</x:f>
        <x:v>46308.54375</x:v>
      </x:c>
      <x:c r="N2231" s="13" t="n">
        <x:f>VLOOKUP(C2231,'MES orders'!$A$8:$H$127,5,FALSE)</x:f>
        <x:v>46308.666666666664</x:v>
      </x:c>
      <x:c r="O2231" s="16" t="n">
        <x:f>MAX(0,(M2231-N2231)*24)</x:f>
        <x:v>0</x:v>
      </x:c>
      <x:c r="P2231" s="9" t="str">
        <x:v>No</x:v>
      </x:c>
      <x:c r="Q2231" s="15" t="n">
        <x:v>13</x:v>
      </x:c>
      <x:c r="R2231" s="13" t="n">
        <x:f>J2231+Q2231/1440</x:f>
        <x:v>46308.54375</x:v>
      </x:c>
      <x:c r="S2231" s="2" t="str">
        <x:f>VLOOKUP(C2231,'MES orders'!$A$8:$H$127,6,FALSE)</x:f>
        <x:v>Normal</x:v>
      </x:c>
      <x:c r="T2231" s="9" t="str"/>
    </x:row>
    <x:row r="2232" ht="22" customHeight="1">
      <x:c r="A2232" s="2" t="str">
        <x:v>L00303-040</x:v>
      </x:c>
      <x:c r="B2232" s="2" t="str">
        <x:v>L00303</x:v>
      </x:c>
      <x:c r="C2232" s="2" t="str">
        <x:v>SO-26061</x:v>
      </x:c>
      <x:c r="D2232" s="2" t="str">
        <x:v>R-C-AL</x:v>
      </x:c>
      <x:c r="E2232" s="14" t="n">
        <x:v>10</x:v>
      </x:c>
      <x:c r="F2232" s="2" t="str">
        <x:v>Mechanical assembly</x:v>
      </x:c>
      <x:c r="G2232" s="9" t="str">
        <x:v>AS-03</x:v>
      </x:c>
      <x:c r="H2232" s="15" t="n">
        <x:v>119</x:v>
      </x:c>
      <x:c r="I2232" s="9" t="str">
        <x:v>P06</x:v>
      </x:c>
      <x:c r="J2232" s="11" t="n">
        <x:v>46308.535416666666</x:v>
      </x:c>
      <x:c r="K2232" s="15" t="n">
        <x:v>8</x:v>
      </x:c>
      <x:c r="L2232" s="15" t="n">
        <x:v>14</x:v>
      </x:c>
      <x:c r="M2232" s="13" t="n">
        <x:f>J2232+(K2232+L2232)/1440</x:f>
        <x:v>46308.55069444444</x:v>
      </x:c>
      <x:c r="N2232" s="13" t="n">
        <x:f>VLOOKUP(C2232,'MES orders'!$A$8:$H$127,5,FALSE)</x:f>
        <x:v>46308.666666666664</x:v>
      </x:c>
      <x:c r="O2232" s="16" t="n">
        <x:f>MAX(0,(M2232-N2232)*24)</x:f>
        <x:v>0</x:v>
      </x:c>
      <x:c r="P2232" s="9" t="str">
        <x:v>No</x:v>
      </x:c>
      <x:c r="Q2232" s="15" t="n">
        <x:v>22</x:v>
      </x:c>
      <x:c r="R2232" s="13" t="n">
        <x:f>J2232+Q2232/1440</x:f>
        <x:v>46308.55069444444</x:v>
      </x:c>
      <x:c r="S2232" s="2" t="str">
        <x:f>VLOOKUP(C2232,'MES orders'!$A$8:$H$127,6,FALSE)</x:f>
        <x:v>Normal</x:v>
      </x:c>
      <x:c r="T2232" s="9" t="str"/>
    </x:row>
    <x:row r="2233" ht="22" customHeight="1">
      <x:c r="A2233" s="2" t="str">
        <x:v>L00301-050</x:v>
      </x:c>
      <x:c r="B2233" s="2" t="str">
        <x:v>L00301</x:v>
      </x:c>
      <x:c r="C2233" s="2" t="str">
        <x:v>SO-26061</x:v>
      </x:c>
      <x:c r="D2233" s="2" t="str">
        <x:v>R-C-AL</x:v>
      </x:c>
      <x:c r="E2233" s="14" t="n">
        <x:v>10</x:v>
      </x:c>
      <x:c r="F2233" s="2" t="str">
        <x:v>Valve adjustment</x:v>
      </x:c>
      <x:c r="G2233" s="9" t="str">
        <x:v>AS-02</x:v>
      </x:c>
      <x:c r="H2233" s="15" t="n">
        <x:v>146</x:v>
      </x:c>
      <x:c r="I2233" s="9" t="str">
        <x:v>P05</x:v>
      </x:c>
      <x:c r="J2233" s="11" t="n">
        <x:v>46308.5375</x:v>
      </x:c>
      <x:c r="K2233" s="15" t="n">
        <x:v>6</x:v>
      </x:c>
      <x:c r="L2233" s="15" t="n">
        <x:v>9</x:v>
      </x:c>
      <x:c r="M2233" s="13" t="n">
        <x:f>J2233+(K2233+L2233)/1440</x:f>
        <x:v>46308.54791666666</x:v>
      </x:c>
      <x:c r="N2233" s="13" t="n">
        <x:f>VLOOKUP(C2233,'MES orders'!$A$8:$H$127,5,FALSE)</x:f>
        <x:v>46308.666666666664</x:v>
      </x:c>
      <x:c r="O2233" s="16" t="n">
        <x:f>MAX(0,(M2233-N2233)*24)</x:f>
        <x:v>0</x:v>
      </x:c>
      <x:c r="P2233" s="9" t="str">
        <x:v>No</x:v>
      </x:c>
      <x:c r="Q2233" s="15" t="n">
        <x:v>15</x:v>
      </x:c>
      <x:c r="R2233" s="13" t="n">
        <x:f>J2233+Q2233/1440</x:f>
        <x:v>46308.54791666666</x:v>
      </x:c>
      <x:c r="S2233" s="2" t="str">
        <x:f>VLOOKUP(C2233,'MES orders'!$A$8:$H$127,6,FALSE)</x:f>
        <x:v>Normal</x:v>
      </x:c>
      <x:c r="T2233" s="9" t="str"/>
    </x:row>
    <x:row r="2234" ht="22" customHeight="1">
      <x:c r="A2234" s="2" t="str">
        <x:v>L00383-030</x:v>
      </x:c>
      <x:c r="B2234" s="2" t="str">
        <x:v>L00383</x:v>
      </x:c>
      <x:c r="C2234" s="2" t="str">
        <x:v>SO-26077</x:v>
      </x:c>
      <x:c r="D2234" s="2" t="str">
        <x:v>R-L-AL</x:v>
      </x:c>
      <x:c r="E2234" s="14" t="n">
        <x:v>10</x:v>
      </x:c>
      <x:c r="F2234" s="2" t="str">
        <x:v>Wash &amp; dry</x:v>
      </x:c>
      <x:c r="G2234" s="9" t="str">
        <x:v>WS-01</x:v>
      </x:c>
      <x:c r="H2234" s="15" t="n">
        <x:v>208</x:v>
      </x:c>
      <x:c r="I2234" s="9" t="str">
        <x:v>P03</x:v>
      </x:c>
      <x:c r="J2234" s="11" t="n">
        <x:v>46308.54375</x:v>
      </x:c>
      <x:c r="K2234" s="15" t="n">
        <x:v>12</x:v>
      </x:c>
      <x:c r="L2234" s="15" t="n">
        <x:v>5</x:v>
      </x:c>
      <x:c r="M2234" s="13" t="n">
        <x:f>J2234+(K2234+L2234)/1440</x:f>
        <x:v>46308.555555555555</x:v>
      </x:c>
      <x:c r="N2234" s="13" t="n">
        <x:f>VLOOKUP(C2234,'MES orders'!$A$8:$H$127,5,FALSE)</x:f>
        <x:v>46308.666666666664</x:v>
      </x:c>
      <x:c r="O2234" s="16" t="n">
        <x:f>MAX(0,(M2234-N2234)*24)</x:f>
        <x:v>0</x:v>
      </x:c>
      <x:c r="P2234" s="9" t="str">
        <x:v>No</x:v>
      </x:c>
      <x:c r="Q2234" s="15" t="n">
        <x:v>17</x:v>
      </x:c>
      <x:c r="R2234" s="13" t="n">
        <x:f>J2234+Q2234/1440</x:f>
        <x:v>46308.555555555555</x:v>
      </x:c>
      <x:c r="S2234" s="2" t="str">
        <x:f>VLOOKUP(C2234,'MES orders'!$A$8:$H$127,6,FALSE)</x:f>
        <x:v>Normal</x:v>
      </x:c>
      <x:c r="T2234" s="9" t="str"/>
    </x:row>
    <x:row r="2235" ht="22" customHeight="1">
      <x:c r="A2235" s="2" t="str">
        <x:v>L00382-040</x:v>
      </x:c>
      <x:c r="B2235" s="2" t="str">
        <x:v>L00382</x:v>
      </x:c>
      <x:c r="C2235" s="2" t="str">
        <x:v>SO-26077</x:v>
      </x:c>
      <x:c r="D2235" s="2" t="str">
        <x:v>R-L-AL</x:v>
      </x:c>
      <x:c r="E2235" s="14" t="n">
        <x:v>10</x:v>
      </x:c>
      <x:c r="F2235" s="2" t="str">
        <x:v>Mechanical assembly</x:v>
      </x:c>
      <x:c r="G2235" s="9" t="str">
        <x:v>AS-05</x:v>
      </x:c>
      <x:c r="H2235" s="15" t="n">
        <x:v>44</x:v>
      </x:c>
      <x:c r="I2235" s="9" t="str">
        <x:v>P02</x:v>
      </x:c>
      <x:c r="J2235" s="11" t="n">
        <x:v>46308.54583333333</x:v>
      </x:c>
      <x:c r="K2235" s="15" t="n">
        <x:v>8</x:v>
      </x:c>
      <x:c r="L2235" s="15" t="n">
        <x:v>24</x:v>
      </x:c>
      <x:c r="M2235" s="13" t="n">
        <x:f>J2235+(K2235+L2235)/1440</x:f>
        <x:v>46308.56805555555</x:v>
      </x:c>
      <x:c r="N2235" s="13" t="n">
        <x:f>VLOOKUP(C2235,'MES orders'!$A$8:$H$127,5,FALSE)</x:f>
        <x:v>46308.666666666664</x:v>
      </x:c>
      <x:c r="O2235" s="16" t="n">
        <x:f>MAX(0,(M2235-N2235)*24)</x:f>
        <x:v>0</x:v>
      </x:c>
      <x:c r="P2235" s="9" t="str">
        <x:v>No</x:v>
      </x:c>
      <x:c r="Q2235" s="15" t="n">
        <x:v>32</x:v>
      </x:c>
      <x:c r="R2235" s="13" t="n">
        <x:f>J2235+Q2235/1440</x:f>
        <x:v>46308.56805555555</x:v>
      </x:c>
      <x:c r="S2235" s="2" t="str">
        <x:f>VLOOKUP(C2235,'MES orders'!$A$8:$H$127,6,FALSE)</x:f>
        <x:v>Normal</x:v>
      </x:c>
      <x:c r="T2235" s="9" t="str"/>
    </x:row>
    <x:row r="2236" ht="22" customHeight="1">
      <x:c r="A2236" s="2" t="str">
        <x:v>L00541-030</x:v>
      </x:c>
      <x:c r="B2236" s="2" t="str">
        <x:v>L00541</x:v>
      </x:c>
      <x:c r="C2236" s="2" t="str">
        <x:v>SO-26109</x:v>
      </x:c>
      <x:c r="D2236" s="2" t="str">
        <x:v>D-C-AL</x:v>
      </x:c>
      <x:c r="E2236" s="14" t="n">
        <x:v>15</x:v>
      </x:c>
      <x:c r="F2236" s="2" t="str">
        <x:v>Wash &amp; dry</x:v>
      </x:c>
      <x:c r="G2236" s="9" t="str">
        <x:v>WS-02</x:v>
      </x:c>
      <x:c r="H2236" s="15" t="n">
        <x:v>146</x:v>
      </x:c>
      <x:c r="I2236" s="9" t="str">
        <x:v>P07</x:v>
      </x:c>
      <x:c r="J2236" s="11" t="n">
        <x:v>46308.54583333333</x:v>
      </x:c>
      <x:c r="K2236" s="15" t="n">
        <x:v>12</x:v>
      </x:c>
      <x:c r="L2236" s="15" t="n">
        <x:v>4</x:v>
      </x:c>
      <x:c r="M2236" s="13" t="n">
        <x:f>J2236+(K2236+L2236)/1440</x:f>
        <x:v>46308.55694444444</x:v>
      </x:c>
      <x:c r="N2236" s="13" t="n">
        <x:f>VLOOKUP(C2236,'MES orders'!$A$8:$H$127,5,FALSE)</x:f>
        <x:v>46308.666666666664</x:v>
      </x:c>
      <x:c r="O2236" s="16" t="n">
        <x:f>MAX(0,(M2236-N2236)*24)</x:f>
        <x:v>0</x:v>
      </x:c>
      <x:c r="P2236" s="9" t="str">
        <x:v>No</x:v>
      </x:c>
      <x:c r="Q2236" s="15" t="n">
        <x:v>16</x:v>
      </x:c>
      <x:c r="R2236" s="13" t="n">
        <x:f>J2236+Q2236/1440</x:f>
        <x:v>46308.55694444444</x:v>
      </x:c>
      <x:c r="S2236" s="2" t="str">
        <x:f>VLOOKUP(C2236,'MES orders'!$A$8:$H$127,6,FALSE)</x:f>
        <x:v>Normal</x:v>
      </x:c>
      <x:c r="T2236" s="9" t="str"/>
    </x:row>
    <x:row r="2237" ht="22" customHeight="1">
      <x:c r="A2237" s="2" t="str">
        <x:v>L00301-060</x:v>
      </x:c>
      <x:c r="B2237" s="2" t="str">
        <x:v>L00301</x:v>
      </x:c>
      <x:c r="C2237" s="2" t="str">
        <x:v>SO-26061</x:v>
      </x:c>
      <x:c r="D2237" s="2" t="str">
        <x:v>R-C-AL</x:v>
      </x:c>
      <x:c r="E2237" s="14" t="n">
        <x:v>10</x:v>
      </x:c>
      <x:c r="F2237" s="2" t="str">
        <x:v>Final leak / function test</x:v>
      </x:c>
      <x:c r="G2237" s="9" t="str">
        <x:v>QA-02</x:v>
      </x:c>
      <x:c r="H2237" s="15" t="n">
        <x:v>162</x:v>
      </x:c>
      <x:c r="I2237" s="9" t="str">
        <x:v>P12</x:v>
      </x:c>
      <x:c r="J2237" s="11" t="n">
        <x:v>46308.54791666667</x:v>
      </x:c>
      <x:c r="K2237" s="15" t="n">
        <x:v>10</x:v>
      </x:c>
      <x:c r="L2237" s="15" t="n">
        <x:v>7</x:v>
      </x:c>
      <x:c r="M2237" s="13" t="n">
        <x:f>J2237+(K2237+L2237)/1440</x:f>
        <x:v>46308.55972222223</x:v>
      </x:c>
      <x:c r="N2237" s="13" t="n">
        <x:f>VLOOKUP(C2237,'MES orders'!$A$8:$H$127,5,FALSE)</x:f>
        <x:v>46308.666666666664</x:v>
      </x:c>
      <x:c r="O2237" s="16" t="n">
        <x:f>MAX(0,(M2237-N2237)*24)</x:f>
        <x:v>0</x:v>
      </x:c>
      <x:c r="P2237" s="9" t="str">
        <x:v>No</x:v>
      </x:c>
      <x:c r="Q2237" s="15" t="n">
        <x:v>17</x:v>
      </x:c>
      <x:c r="R2237" s="13" t="n">
        <x:f>J2237+Q2237/1440</x:f>
        <x:v>46308.55972222223</x:v>
      </x:c>
      <x:c r="S2237" s="2" t="str">
        <x:f>VLOOKUP(C2237,'MES orders'!$A$8:$H$127,6,FALSE)</x:f>
        <x:v>Normal</x:v>
      </x:c>
      <x:c r="T2237" s="9" t="str"/>
    </x:row>
    <x:row r="2238" ht="22" customHeight="1">
      <x:c r="A2238" s="2" t="str">
        <x:v>L00303-050</x:v>
      </x:c>
      <x:c r="B2238" s="2" t="str">
        <x:v>L00303</x:v>
      </x:c>
      <x:c r="C2238" s="2" t="str">
        <x:v>SO-26061</x:v>
      </x:c>
      <x:c r="D2238" s="2" t="str">
        <x:v>R-C-AL</x:v>
      </x:c>
      <x:c r="E2238" s="14" t="n">
        <x:v>10</x:v>
      </x:c>
      <x:c r="F2238" s="2" t="str">
        <x:v>Valve adjustment</x:v>
      </x:c>
      <x:c r="G2238" s="9" t="str">
        <x:v>AS-02</x:v>
      </x:c>
      <x:c r="H2238" s="15" t="n">
        <x:v>147</x:v>
      </x:c>
      <x:c r="I2238" s="9" t="str">
        <x:v>P05</x:v>
      </x:c>
      <x:c r="J2238" s="11" t="n">
        <x:v>46308.55069444444</x:v>
      </x:c>
      <x:c r="K2238" s="15" t="n">
        <x:v>6</x:v>
      </x:c>
      <x:c r="L2238" s="15" t="n">
        <x:v>9</x:v>
      </x:c>
      <x:c r="M2238" s="13" t="n">
        <x:f>J2238+(K2238+L2238)/1440</x:f>
        <x:v>46308.56111111111</x:v>
      </x:c>
      <x:c r="N2238" s="13" t="n">
        <x:f>VLOOKUP(C2238,'MES orders'!$A$8:$H$127,5,FALSE)</x:f>
        <x:v>46308.666666666664</x:v>
      </x:c>
      <x:c r="O2238" s="16" t="n">
        <x:f>MAX(0,(M2238-N2238)*24)</x:f>
        <x:v>0</x:v>
      </x:c>
      <x:c r="P2238" s="9" t="str">
        <x:v>No</x:v>
      </x:c>
      <x:c r="Q2238" s="15" t="n">
        <x:v>15</x:v>
      </x:c>
      <x:c r="R2238" s="13" t="n">
        <x:f>J2238+Q2238/1440</x:f>
        <x:v>46308.56111111111</x:v>
      </x:c>
      <x:c r="S2238" s="2" t="str">
        <x:f>VLOOKUP(C2238,'MES orders'!$A$8:$H$127,6,FALSE)</x:f>
        <x:v>Normal</x:v>
      </x:c>
      <x:c r="T2238" s="9" t="str"/>
    </x:row>
    <x:row r="2239" ht="22" customHeight="1">
      <x:c r="A2239" s="2" t="str">
        <x:v>L00304-050</x:v>
      </x:c>
      <x:c r="B2239" s="2" t="str">
        <x:v>L00304</x:v>
      </x:c>
      <x:c r="C2239" s="2" t="str">
        <x:v>SO-26061</x:v>
      </x:c>
      <x:c r="D2239" s="2" t="str">
        <x:v>R-C-AL</x:v>
      </x:c>
      <x:c r="E2239" s="14" t="n">
        <x:v>10</x:v>
      </x:c>
      <x:c r="F2239" s="2" t="str">
        <x:v>Valve adjustment</x:v>
      </x:c>
      <x:c r="G2239" s="9" t="str">
        <x:v>AS-03</x:v>
      </x:c>
      <x:c r="H2239" s="15" t="n">
        <x:v>120</x:v>
      </x:c>
      <x:c r="I2239" s="9" t="str">
        <x:v>P06</x:v>
      </x:c>
      <x:c r="J2239" s="11" t="n">
        <x:v>46308.55069444444</x:v>
      </x:c>
      <x:c r="K2239" s="15" t="n">
        <x:v>6</x:v>
      </x:c>
      <x:c r="L2239" s="15" t="n">
        <x:v>9</x:v>
      </x:c>
      <x:c r="M2239" s="13" t="n">
        <x:f>J2239+(K2239+L2239)/1440</x:f>
        <x:v>46308.56111111111</x:v>
      </x:c>
      <x:c r="N2239" s="13" t="n">
        <x:f>VLOOKUP(C2239,'MES orders'!$A$8:$H$127,5,FALSE)</x:f>
        <x:v>46308.666666666664</x:v>
      </x:c>
      <x:c r="O2239" s="16" t="n">
        <x:f>MAX(0,(M2239-N2239)*24)</x:f>
        <x:v>0</x:v>
      </x:c>
      <x:c r="P2239" s="9" t="str">
        <x:v>No</x:v>
      </x:c>
      <x:c r="Q2239" s="15" t="n">
        <x:v>15</x:v>
      </x:c>
      <x:c r="R2239" s="13" t="n">
        <x:f>J2239+Q2239/1440</x:f>
        <x:v>46308.56111111111</x:v>
      </x:c>
      <x:c r="S2239" s="2" t="str">
        <x:f>VLOOKUP(C2239,'MES orders'!$A$8:$H$127,6,FALSE)</x:f>
        <x:v>Normal</x:v>
      </x:c>
      <x:c r="T2239" s="9" t="str"/>
    </x:row>
    <x:row r="2240" ht="22" customHeight="1">
      <x:c r="A2240" s="2" t="str">
        <x:v>L00305-040</x:v>
      </x:c>
      <x:c r="B2240" s="2" t="str">
        <x:v>L00305</x:v>
      </x:c>
      <x:c r="C2240" s="2" t="str">
        <x:v>SO-26061</x:v>
      </x:c>
      <x:c r="D2240" s="2" t="str">
        <x:v>R-C-AL</x:v>
      </x:c>
      <x:c r="E2240" s="14" t="n">
        <x:v>10</x:v>
      </x:c>
      <x:c r="F2240" s="2" t="str">
        <x:v>Mechanical assembly</x:v>
      </x:c>
      <x:c r="G2240" s="9" t="str">
        <x:v>AS-01</x:v>
      </x:c>
      <x:c r="H2240" s="15" t="n">
        <x:v>179</x:v>
      </x:c>
      <x:c r="I2240" s="9" t="str">
        <x:v>P04</x:v>
      </x:c>
      <x:c r="J2240" s="11" t="n">
        <x:v>46308.55486111111</x:v>
      </x:c>
      <x:c r="K2240" s="15" t="n">
        <x:v>8</x:v>
      </x:c>
      <x:c r="L2240" s="15" t="n">
        <x:v>14</x:v>
      </x:c>
      <x:c r="M2240" s="13" t="n">
        <x:f>J2240+(K2240+L2240)/1440</x:f>
        <x:v>46308.570138888885</x:v>
      </x:c>
      <x:c r="N2240" s="13" t="n">
        <x:f>VLOOKUP(C2240,'MES orders'!$A$8:$H$127,5,FALSE)</x:f>
        <x:v>46308.666666666664</x:v>
      </x:c>
      <x:c r="O2240" s="16" t="n">
        <x:f>MAX(0,(M2240-N2240)*24)</x:f>
        <x:v>0</x:v>
      </x:c>
      <x:c r="P2240" s="9" t="str">
        <x:v>No</x:v>
      </x:c>
      <x:c r="Q2240" s="15" t="n">
        <x:v>22</x:v>
      </x:c>
      <x:c r="R2240" s="13" t="n">
        <x:f>J2240+Q2240/1440</x:f>
        <x:v>46308.570138888885</x:v>
      </x:c>
      <x:c r="S2240" s="2" t="str">
        <x:f>VLOOKUP(C2240,'MES orders'!$A$8:$H$127,6,FALSE)</x:f>
        <x:v>Normal</x:v>
      </x:c>
      <x:c r="T2240" s="9" t="str"/>
    </x:row>
    <x:row r="2241" ht="22" customHeight="1">
      <x:c r="A2241" s="2" t="str">
        <x:v>L00265-050</x:v>
      </x:c>
      <x:c r="B2241" s="2" t="str">
        <x:v>L00265</x:v>
      </x:c>
      <x:c r="C2241" s="2" t="str">
        <x:v>SO-26053</x:v>
      </x:c>
      <x:c r="D2241" s="2" t="str">
        <x:v>D-L-AL</x:v>
      </x:c>
      <x:c r="E2241" s="14" t="n">
        <x:v>15</x:v>
      </x:c>
      <x:c r="F2241" s="2" t="str">
        <x:v>Final leak / function test</x:v>
      </x:c>
      <x:c r="G2241" s="9" t="str">
        <x:v>QA-01</x:v>
      </x:c>
      <x:c r="H2241" s="15" t="n">
        <x:v>85</x:v>
      </x:c>
      <x:c r="I2241" s="9" t="str">
        <x:v>P11</x:v>
      </x:c>
      <x:c r="J2241" s="11" t="n">
        <x:v>46308.55486111111</x:v>
      </x:c>
      <x:c r="K2241" s="15" t="n">
        <x:v>10</x:v>
      </x:c>
      <x:c r="L2241" s="15" t="n">
        <x:v>18</x:v>
      </x:c>
      <x:c r="M2241" s="13" t="n">
        <x:f>J2241+(K2241+L2241)/1440</x:f>
        <x:v>46308.57430555555</x:v>
      </x:c>
      <x:c r="N2241" s="13" t="n">
        <x:f>VLOOKUP(C2241,'MES orders'!$A$8:$H$127,5,FALSE)</x:f>
        <x:v>46308.666666666664</x:v>
      </x:c>
      <x:c r="O2241" s="16" t="n">
        <x:f>MAX(0,(M2241-N2241)*24)</x:f>
        <x:v>0</x:v>
      </x:c>
      <x:c r="P2241" s="9" t="str">
        <x:v>No</x:v>
      </x:c>
      <x:c r="Q2241" s="15" t="n">
        <x:v>28</x:v>
      </x:c>
      <x:c r="R2241" s="13" t="n">
        <x:f>J2241+Q2241/1440</x:f>
        <x:v>46308.57430555555</x:v>
      </x:c>
      <x:c r="S2241" s="2" t="str">
        <x:f>VLOOKUP(C2241,'MES orders'!$A$8:$H$127,6,FALSE)</x:f>
        <x:v>Normal</x:v>
      </x:c>
      <x:c r="T2241" s="9" t="str"/>
    </x:row>
    <x:row r="2242" ht="22" customHeight="1">
      <x:c r="A2242" s="2" t="str">
        <x:v>L00383-040</x:v>
      </x:c>
      <x:c r="B2242" s="2" t="str">
        <x:v>L00383</x:v>
      </x:c>
      <x:c r="C2242" s="2" t="str">
        <x:v>SO-26077</x:v>
      </x:c>
      <x:c r="D2242" s="2" t="str">
        <x:v>R-L-AL</x:v>
      </x:c>
      <x:c r="E2242" s="14" t="n">
        <x:v>10</x:v>
      </x:c>
      <x:c r="F2242" s="2" t="str">
        <x:v>Mechanical assembly</x:v>
      </x:c>
      <x:c r="G2242" s="9" t="str">
        <x:v>AS-06</x:v>
      </x:c>
      <x:c r="H2242" s="15" t="n">
        <x:v>17</x:v>
      </x:c>
      <x:c r="I2242" s="9" t="str">
        <x:v>P03</x:v>
      </x:c>
      <x:c r="J2242" s="11" t="n">
        <x:v>46308.555555555555</x:v>
      </x:c>
      <x:c r="K2242" s="15" t="n">
        <x:v>8</x:v>
      </x:c>
      <x:c r="L2242" s="15" t="n">
        <x:v>24</x:v>
      </x:c>
      <x:c r="M2242" s="13" t="n">
        <x:f>J2242+(K2242+L2242)/1440</x:f>
        <x:v>46308.57777777778</x:v>
      </x:c>
      <x:c r="N2242" s="13" t="n">
        <x:f>VLOOKUP(C2242,'MES orders'!$A$8:$H$127,5,FALSE)</x:f>
        <x:v>46308.666666666664</x:v>
      </x:c>
      <x:c r="O2242" s="16" t="n">
        <x:f>MAX(0,(M2242-N2242)*24)</x:f>
        <x:v>0</x:v>
      </x:c>
      <x:c r="P2242" s="9" t="str">
        <x:v>No</x:v>
      </x:c>
      <x:c r="Q2242" s="15" t="n">
        <x:v>32</x:v>
      </x:c>
      <x:c r="R2242" s="13" t="n">
        <x:f>J2242+Q2242/1440</x:f>
        <x:v>46308.57777777778</x:v>
      </x:c>
      <x:c r="S2242" s="2" t="str">
        <x:f>VLOOKUP(C2242,'MES orders'!$A$8:$H$127,6,FALSE)</x:f>
        <x:v>Normal</x:v>
      </x:c>
      <x:c r="T2242" s="9" t="str"/>
    </x:row>
    <x:row r="2243" ht="22" customHeight="1">
      <x:c r="A2243" s="2" t="str">
        <x:v>L00541-040</x:v>
      </x:c>
      <x:c r="B2243" s="2" t="str">
        <x:v>L00541</x:v>
      </x:c>
      <x:c r="C2243" s="2" t="str">
        <x:v>SO-26109</x:v>
      </x:c>
      <x:c r="D2243" s="2" t="str">
        <x:v>D-C-AL</x:v>
      </x:c>
      <x:c r="E2243" s="14" t="n">
        <x:v>15</x:v>
      </x:c>
      <x:c r="F2243" s="2" t="str">
        <x:v>Mechanical assembly</x:v>
      </x:c>
      <x:c r="G2243" s="9" t="str">
        <x:v>AS-07</x:v>
      </x:c>
      <x:c r="H2243" s="15" t="n">
        <x:v>4</x:v>
      </x:c>
      <x:c r="I2243" s="9" t="str">
        <x:v>P07</x:v>
      </x:c>
      <x:c r="J2243" s="11" t="n">
        <x:v>46308.55694444444</x:v>
      </x:c>
      <x:c r="K2243" s="15" t="n">
        <x:v>8</x:v>
      </x:c>
      <x:c r="L2243" s="15" t="n">
        <x:v>22</x:v>
      </x:c>
      <x:c r="M2243" s="13" t="n">
        <x:f>J2243+(K2243+L2243)/1440</x:f>
        <x:v>46308.57777777778</x:v>
      </x:c>
      <x:c r="N2243" s="13" t="n">
        <x:f>VLOOKUP(C2243,'MES orders'!$A$8:$H$127,5,FALSE)</x:f>
        <x:v>46308.666666666664</x:v>
      </x:c>
      <x:c r="O2243" s="16" t="n">
        <x:f>MAX(0,(M2243-N2243)*24)</x:f>
        <x:v>0</x:v>
      </x:c>
      <x:c r="P2243" s="9" t="str">
        <x:v>No</x:v>
      </x:c>
      <x:c r="Q2243" s="15" t="n">
        <x:v>30</x:v>
      </x:c>
      <x:c r="R2243" s="13" t="n">
        <x:f>J2243+Q2243/1440</x:f>
        <x:v>46308.57777777778</x:v>
      </x:c>
      <x:c r="S2243" s="2" t="str">
        <x:f>VLOOKUP(C2243,'MES orders'!$A$8:$H$127,6,FALSE)</x:f>
        <x:v>Normal</x:v>
      </x:c>
      <x:c r="T2243" s="9" t="str"/>
    </x:row>
    <x:row r="2244" ht="22" customHeight="1">
      <x:c r="A2244" s="2" t="str">
        <x:v>L00345-050</x:v>
      </x:c>
      <x:c r="B2244" s="2" t="str">
        <x:v>L00345</x:v>
      </x:c>
      <x:c r="C2244" s="2" t="str">
        <x:v>SO-26069</x:v>
      </x:c>
      <x:c r="D2244" s="2" t="str">
        <x:v>R-S-AL</x:v>
      </x:c>
      <x:c r="E2244" s="14" t="n">
        <x:v>15</x:v>
      </x:c>
      <x:c r="F2244" s="2" t="str">
        <x:v>Valve adjustment</x:v>
      </x:c>
      <x:c r="G2244" s="9" t="str">
        <x:v>AS-04</x:v>
      </x:c>
      <x:c r="H2244" s="15" t="n">
        <x:v>78</x:v>
      </x:c>
      <x:c r="I2244" s="9" t="str">
        <x:v>P08</x:v>
      </x:c>
      <x:c r="J2244" s="11" t="n">
        <x:v>46308.558333333334</x:v>
      </x:c>
      <x:c r="K2244" s="15" t="n">
        <x:v>6</x:v>
      </x:c>
      <x:c r="L2244" s="15" t="n">
        <x:v>16</x:v>
      </x:c>
      <x:c r="M2244" s="13" t="n">
        <x:f>J2244+(K2244+L2244)/1440</x:f>
        <x:v>46308.57361111111</x:v>
      </x:c>
      <x:c r="N2244" s="13" t="n">
        <x:f>VLOOKUP(C2244,'MES orders'!$A$8:$H$127,5,FALSE)</x:f>
        <x:v>46308.666666666664</x:v>
      </x:c>
      <x:c r="O2244" s="16" t="n">
        <x:f>MAX(0,(M2244-N2244)*24)</x:f>
        <x:v>0</x:v>
      </x:c>
      <x:c r="P2244" s="9" t="str">
        <x:v>No</x:v>
      </x:c>
      <x:c r="Q2244" s="15" t="n">
        <x:v>22</x:v>
      </x:c>
      <x:c r="R2244" s="13" t="n">
        <x:f>J2244+Q2244/1440</x:f>
        <x:v>46308.57361111111</x:v>
      </x:c>
      <x:c r="S2244" s="2" t="str">
        <x:f>VLOOKUP(C2244,'MES orders'!$A$8:$H$127,6,FALSE)</x:f>
        <x:v>Normal</x:v>
      </x:c>
      <x:c r="T2244" s="9" t="str"/>
    </x:row>
    <x:row r="2245" ht="22" customHeight="1">
      <x:c r="A2245" s="2" t="str">
        <x:v>L00385-010</x:v>
      </x:c>
      <x:c r="B2245" s="2" t="str">
        <x:v>L00385</x:v>
      </x:c>
      <x:c r="C2245" s="2" t="str">
        <x:v>SO-26077</x:v>
      </x:c>
      <x:c r="D2245" s="2" t="str">
        <x:v>R-L-AL</x:v>
      </x:c>
      <x:c r="E2245" s="14" t="n">
        <x:v>10</x:v>
      </x:c>
      <x:c r="F2245" s="2" t="str">
        <x:v>CNC machining</x:v>
      </x:c>
      <x:c r="G2245" s="9" t="str">
        <x:v>CNC-03</x:v>
      </x:c>
      <x:c r="H2245" s="15" t="n">
        <x:v>71</x:v>
      </x:c>
      <x:c r="I2245" s="9" t="str">
        <x:v>P01</x:v>
      </x:c>
      <x:c r="J2245" s="11" t="n">
        <x:v>46308.558333333334</x:v>
      </x:c>
      <x:c r="K2245" s="15" t="n">
        <x:v>18</x:v>
      </x:c>
      <x:c r="L2245" s="15" t="n">
        <x:v>32</x:v>
      </x:c>
      <x:c r="M2245" s="13" t="n">
        <x:f>J2245+(K2245+L2245)/1440</x:f>
        <x:v>46308.59305555555</x:v>
      </x:c>
      <x:c r="N2245" s="13" t="n">
        <x:f>VLOOKUP(C2245,'MES orders'!$A$8:$H$127,5,FALSE)</x:f>
        <x:v>46308.666666666664</x:v>
      </x:c>
      <x:c r="O2245" s="16" t="n">
        <x:f>MAX(0,(M2245-N2245)*24)</x:f>
        <x:v>0</x:v>
      </x:c>
      <x:c r="P2245" s="9" t="str">
        <x:v>No</x:v>
      </x:c>
      <x:c r="Q2245" s="15" t="n">
        <x:v>18</x:v>
      </x:c>
      <x:c r="R2245" s="13" t="n">
        <x:f>J2245+Q2245/1440</x:f>
        <x:v>46308.57083333333</x:v>
      </x:c>
      <x:c r="S2245" s="2" t="str">
        <x:f>VLOOKUP(C2245,'MES orders'!$A$8:$H$127,6,FALSE)</x:f>
        <x:v>Normal</x:v>
      </x:c>
      <x:c r="T2245" s="9" t="str"/>
    </x:row>
    <x:row r="2246" ht="22" customHeight="1">
      <x:c r="A2246" s="2" t="str">
        <x:v>L00341-020</x:v>
      </x:c>
      <x:c r="B2246" s="2" t="str">
        <x:v>L00341</x:v>
      </x:c>
      <x:c r="C2246" s="2" t="str">
        <x:v>SO-26069</x:v>
      </x:c>
      <x:c r="D2246" s="2" t="str">
        <x:v>R-S-AL</x:v>
      </x:c>
      <x:c r="E2246" s="14" t="n">
        <x:v>15</x:v>
      </x:c>
      <x:c r="F2246" s="2" t="str">
        <x:v>Deburr &amp; inspect</x:v>
      </x:c>
      <x:c r="G2246" s="9" t="str">
        <x:v>DB-01</x:v>
      </x:c>
      <x:c r="H2246" s="15" t="n">
        <x:v>213</x:v>
      </x:c>
      <x:c r="I2246" s="9" t="str">
        <x:v>P06</x:v>
      </x:c>
      <x:c r="J2246" s="11" t="n">
        <x:v>46308.561111111114</x:v>
      </x:c>
      <x:c r="K2246" s="15" t="n">
        <x:v>4</x:v>
      </x:c>
      <x:c r="L2246" s="15" t="n">
        <x:v>10</x:v>
      </x:c>
      <x:c r="M2246" s="13" t="n">
        <x:f>J2246+(K2246+L2246)/1440</x:f>
        <x:v>46308.57083333334</x:v>
      </x:c>
      <x:c r="N2246" s="13" t="n">
        <x:f>VLOOKUP(C2246,'MES orders'!$A$8:$H$127,5,FALSE)</x:f>
        <x:v>46308.666666666664</x:v>
      </x:c>
      <x:c r="O2246" s="16" t="n">
        <x:f>MAX(0,(M2246-N2246)*24)</x:f>
        <x:v>0</x:v>
      </x:c>
      <x:c r="P2246" s="9" t="str">
        <x:v>No</x:v>
      </x:c>
      <x:c r="Q2246" s="15" t="n">
        <x:v>14</x:v>
      </x:c>
      <x:c r="R2246" s="13" t="n">
        <x:f>J2246+Q2246/1440</x:f>
        <x:v>46308.57083333334</x:v>
      </x:c>
      <x:c r="S2246" s="2" t="str">
        <x:f>VLOOKUP(C2246,'MES orders'!$A$8:$H$127,6,FALSE)</x:f>
        <x:v>Normal</x:v>
      </x:c>
      <x:c r="T2246" s="9" t="str"/>
    </x:row>
    <x:row r="2247" ht="22" customHeight="1">
      <x:c r="A2247" s="2" t="str">
        <x:v>L00381-020</x:v>
      </x:c>
      <x:c r="B2247" s="2" t="str">
        <x:v>L00381</x:v>
      </x:c>
      <x:c r="C2247" s="2" t="str">
        <x:v>SO-26077</x:v>
      </x:c>
      <x:c r="D2247" s="2" t="str">
        <x:v>R-L-AL</x:v>
      </x:c>
      <x:c r="E2247" s="14" t="n">
        <x:v>10</x:v>
      </x:c>
      <x:c r="F2247" s="2" t="str">
        <x:v>Deburr &amp; inspect</x:v>
      </x:c>
      <x:c r="G2247" s="9" t="str">
        <x:v>DB-02</x:v>
      </x:c>
      <x:c r="H2247" s="15" t="n">
        <x:v>146</x:v>
      </x:c>
      <x:c r="I2247" s="9" t="str">
        <x:v>P05</x:v>
      </x:c>
      <x:c r="J2247" s="11" t="n">
        <x:v>46308.561111111114</x:v>
      </x:c>
      <x:c r="K2247" s="15" t="n">
        <x:v>4</x:v>
      </x:c>
      <x:c r="L2247" s="15" t="n">
        <x:v>9</x:v>
      </x:c>
      <x:c r="M2247" s="13" t="n">
        <x:f>J2247+(K2247+L2247)/1440</x:f>
        <x:v>46308.57013888889</x:v>
      </x:c>
      <x:c r="N2247" s="13" t="n">
        <x:f>VLOOKUP(C2247,'MES orders'!$A$8:$H$127,5,FALSE)</x:f>
        <x:v>46308.666666666664</x:v>
      </x:c>
      <x:c r="O2247" s="16" t="n">
        <x:f>MAX(0,(M2247-N2247)*24)</x:f>
        <x:v>0</x:v>
      </x:c>
      <x:c r="P2247" s="9" t="str">
        <x:v>No</x:v>
      </x:c>
      <x:c r="Q2247" s="15" t="n">
        <x:v>13</x:v>
      </x:c>
      <x:c r="R2247" s="13" t="n">
        <x:f>J2247+Q2247/1440</x:f>
        <x:v>46308.57013888889</x:v>
      </x:c>
      <x:c r="S2247" s="2" t="str">
        <x:f>VLOOKUP(C2247,'MES orders'!$A$8:$H$127,6,FALSE)</x:f>
        <x:v>Normal</x:v>
      </x:c>
      <x:c r="T2247" s="9" t="str"/>
    </x:row>
    <x:row r="2248" ht="22" customHeight="1">
      <x:c r="A2248" s="2" t="str">
        <x:v>L00303-060</x:v>
      </x:c>
      <x:c r="B2248" s="2" t="str">
        <x:v>L00303</x:v>
      </x:c>
      <x:c r="C2248" s="2" t="str">
        <x:v>SO-26061</x:v>
      </x:c>
      <x:c r="D2248" s="2" t="str">
        <x:v>R-C-AL</x:v>
      </x:c>
      <x:c r="E2248" s="14" t="n">
        <x:v>10</x:v>
      </x:c>
      <x:c r="F2248" s="2" t="str">
        <x:v>Final leak / function test</x:v>
      </x:c>
      <x:c r="G2248" s="9" t="str">
        <x:v>QA-02</x:v>
      </x:c>
      <x:c r="H2248" s="15" t="n">
        <x:v>163</x:v>
      </x:c>
      <x:c r="I2248" s="9" t="str">
        <x:v>P12</x:v>
      </x:c>
      <x:c r="J2248" s="11" t="n">
        <x:v>46308.561111111114</x:v>
      </x:c>
      <x:c r="K2248" s="15" t="n">
        <x:v>10</x:v>
      </x:c>
      <x:c r="L2248" s="15" t="n">
        <x:v>7</x:v>
      </x:c>
      <x:c r="M2248" s="13" t="n">
        <x:f>J2248+(K2248+L2248)/1440</x:f>
        <x:v>46308.57291666667</x:v>
      </x:c>
      <x:c r="N2248" s="13" t="n">
        <x:f>VLOOKUP(C2248,'MES orders'!$A$8:$H$127,5,FALSE)</x:f>
        <x:v>46308.666666666664</x:v>
      </x:c>
      <x:c r="O2248" s="16" t="n">
        <x:f>MAX(0,(M2248-N2248)*24)</x:f>
        <x:v>0</x:v>
      </x:c>
      <x:c r="P2248" s="9" t="str">
        <x:v>No</x:v>
      </x:c>
      <x:c r="Q2248" s="15" t="n">
        <x:v>17</x:v>
      </x:c>
      <x:c r="R2248" s="13" t="n">
        <x:f>J2248+Q2248/1440</x:f>
        <x:v>46308.57291666667</x:v>
      </x:c>
      <x:c r="S2248" s="2" t="str">
        <x:f>VLOOKUP(C2248,'MES orders'!$A$8:$H$127,6,FALSE)</x:f>
        <x:v>Normal</x:v>
      </x:c>
      <x:c r="T2248" s="9" t="str"/>
    </x:row>
    <x:row r="2249" ht="22" customHeight="1">
      <x:c r="A2249" s="2" t="str">
        <x:v>L00501-010</x:v>
      </x:c>
      <x:c r="B2249" s="2" t="str">
        <x:v>L00501</x:v>
      </x:c>
      <x:c r="C2249" s="2" t="str">
        <x:v>SO-26101</x:v>
      </x:c>
      <x:c r="D2249" s="2" t="str">
        <x:v>S-L-AL</x:v>
      </x:c>
      <x:c r="E2249" s="14" t="n">
        <x:v>10</x:v>
      </x:c>
      <x:c r="F2249" s="2" t="str">
        <x:v>CNC machining</x:v>
      </x:c>
      <x:c r="G2249" s="9" t="str">
        <x:v>CNC-04</x:v>
      </x:c>
      <x:c r="H2249" s="15" t="n">
        <x:v>68</x:v>
      </x:c>
      <x:c r="I2249" s="9" t="str">
        <x:v>P02</x:v>
      </x:c>
      <x:c r="J2249" s="11" t="n">
        <x:v>46308.56805555556</x:v>
      </x:c>
      <x:c r="K2249" s="15" t="n">
        <x:v>18</x:v>
      </x:c>
      <x:c r="L2249" s="15" t="n">
        <x:v>32</x:v>
      </x:c>
      <x:c r="M2249" s="13" t="n">
        <x:f>J2249+(K2249+L2249)/1440</x:f>
        <x:v>46308.60277777778</x:v>
      </x:c>
      <x:c r="N2249" s="13" t="n">
        <x:f>VLOOKUP(C2249,'MES orders'!$A$8:$H$127,5,FALSE)</x:f>
        <x:v>46308.666666666664</x:v>
      </x:c>
      <x:c r="O2249" s="16" t="n">
        <x:f>MAX(0,(M2249-N2249)*24)</x:f>
        <x:v>0</x:v>
      </x:c>
      <x:c r="P2249" s="9" t="str">
        <x:v>No</x:v>
      </x:c>
      <x:c r="Q2249" s="15" t="n">
        <x:v>18</x:v>
      </x:c>
      <x:c r="R2249" s="13" t="n">
        <x:f>J2249+Q2249/1440</x:f>
        <x:v>46308.580555555556</x:v>
      </x:c>
      <x:c r="S2249" s="2" t="str">
        <x:f>VLOOKUP(C2249,'MES orders'!$A$8:$H$127,6,FALSE)</x:f>
        <x:v>Normal</x:v>
      </x:c>
      <x:c r="T2249" s="9" t="str"/>
    </x:row>
    <x:row r="2250" ht="22" customHeight="1">
      <x:c r="A2250" s="2" t="str">
        <x:v>L00305-050</x:v>
      </x:c>
      <x:c r="B2250" s="2" t="str">
        <x:v>L00305</x:v>
      </x:c>
      <x:c r="C2250" s="2" t="str">
        <x:v>SO-26061</x:v>
      </x:c>
      <x:c r="D2250" s="2" t="str">
        <x:v>R-C-AL</x:v>
      </x:c>
      <x:c r="E2250" s="14" t="n">
        <x:v>10</x:v>
      </x:c>
      <x:c r="F2250" s="2" t="str">
        <x:v>Valve adjustment</x:v>
      </x:c>
      <x:c r="G2250" s="9" t="str">
        <x:v>AS-01</x:v>
      </x:c>
      <x:c r="H2250" s="15" t="n">
        <x:v>180</x:v>
      </x:c>
      <x:c r="I2250" s="9" t="str">
        <x:v>P05</x:v>
      </x:c>
      <x:c r="J2250" s="11" t="n">
        <x:v>46308.57013888889</x:v>
      </x:c>
      <x:c r="K2250" s="15" t="n">
        <x:v>6</x:v>
      </x:c>
      <x:c r="L2250" s="15" t="n">
        <x:v>9</x:v>
      </x:c>
      <x:c r="M2250" s="13" t="n">
        <x:f>J2250+(K2250+L2250)/1440</x:f>
        <x:v>46308.580555555556</x:v>
      </x:c>
      <x:c r="N2250" s="13" t="n">
        <x:f>VLOOKUP(C2250,'MES orders'!$A$8:$H$127,5,FALSE)</x:f>
        <x:v>46308.666666666664</x:v>
      </x:c>
      <x:c r="O2250" s="16" t="n">
        <x:f>MAX(0,(M2250-N2250)*24)</x:f>
        <x:v>0</x:v>
      </x:c>
      <x:c r="P2250" s="9" t="str">
        <x:v>No</x:v>
      </x:c>
      <x:c r="Q2250" s="15" t="n">
        <x:v>15</x:v>
      </x:c>
      <x:c r="R2250" s="13" t="n">
        <x:f>J2250+Q2250/1440</x:f>
        <x:v>46308.580555555556</x:v>
      </x:c>
      <x:c r="S2250" s="2" t="str">
        <x:f>VLOOKUP(C2250,'MES orders'!$A$8:$H$127,6,FALSE)</x:f>
        <x:v>Normal</x:v>
      </x:c>
      <x:c r="T2250" s="9" t="str"/>
    </x:row>
    <x:row r="2251" ht="22" customHeight="1">
      <x:c r="A2251" s="2" t="str">
        <x:v>L00502-010</x:v>
      </x:c>
      <x:c r="B2251" s="2" t="str">
        <x:v>L00502</x:v>
      </x:c>
      <x:c r="C2251" s="2" t="str">
        <x:v>SO-26101</x:v>
      </x:c>
      <x:c r="D2251" s="2" t="str">
        <x:v>S-L-AL</x:v>
      </x:c>
      <x:c r="E2251" s="14" t="n">
        <x:v>10</x:v>
      </x:c>
      <x:c r="F2251" s="2" t="str">
        <x:v>CNC machining</x:v>
      </x:c>
      <x:c r="G2251" s="9" t="str">
        <x:v>CNC-05</x:v>
      </x:c>
      <x:c r="H2251" s="15" t="n">
        <x:v>61</x:v>
      </x:c>
      <x:c r="I2251" s="9" t="str">
        <x:v>P01</x:v>
      </x:c>
      <x:c r="J2251" s="11" t="n">
        <x:v>46308.57083333333</x:v>
      </x:c>
      <x:c r="K2251" s="15" t="n">
        <x:v>18</x:v>
      </x:c>
      <x:c r="L2251" s="15" t="n">
        <x:v>32</x:v>
      </x:c>
      <x:c r="M2251" s="13" t="n">
        <x:f>J2251+(K2251+L2251)/1440</x:f>
        <x:v>46308.60555555555</x:v>
      </x:c>
      <x:c r="N2251" s="13" t="n">
        <x:f>VLOOKUP(C2251,'MES orders'!$A$8:$H$127,5,FALSE)</x:f>
        <x:v>46308.666666666664</x:v>
      </x:c>
      <x:c r="O2251" s="16" t="n">
        <x:f>MAX(0,(M2251-N2251)*24)</x:f>
        <x:v>0</x:v>
      </x:c>
      <x:c r="P2251" s="9" t="str">
        <x:v>No</x:v>
      </x:c>
      <x:c r="Q2251" s="15" t="n">
        <x:v>18</x:v>
      </x:c>
      <x:c r="R2251" s="13" t="n">
        <x:f>J2251+Q2251/1440</x:f>
        <x:v>46308.58333333333</x:v>
      </x:c>
      <x:c r="S2251" s="2" t="str">
        <x:f>VLOOKUP(C2251,'MES orders'!$A$8:$H$127,6,FALSE)</x:f>
        <x:v>Normal</x:v>
      </x:c>
      <x:c r="T2251" s="9" t="str"/>
    </x:row>
    <x:row r="2252" ht="22" customHeight="1">
      <x:c r="A2252" s="2" t="str">
        <x:v>L00341-030</x:v>
      </x:c>
      <x:c r="B2252" s="2" t="str">
        <x:v>L00341</x:v>
      </x:c>
      <x:c r="C2252" s="2" t="str">
        <x:v>SO-26069</x:v>
      </x:c>
      <x:c r="D2252" s="2" t="str">
        <x:v>R-S-AL</x:v>
      </x:c>
      <x:c r="E2252" s="14" t="n">
        <x:v>15</x:v>
      </x:c>
      <x:c r="F2252" s="2" t="str">
        <x:v>Wash &amp; dry</x:v>
      </x:c>
      <x:c r="G2252" s="9" t="str">
        <x:v>WS-01</x:v>
      </x:c>
      <x:c r="H2252" s="15" t="n">
        <x:v>209</x:v>
      </x:c>
      <x:c r="I2252" s="9" t="str">
        <x:v>P04</x:v>
      </x:c>
      <x:c r="J2252" s="11" t="n">
        <x:v>46308.57083333333</x:v>
      </x:c>
      <x:c r="K2252" s="15" t="n">
        <x:v>12</x:v>
      </x:c>
      <x:c r="L2252" s="15" t="n">
        <x:v>5</x:v>
      </x:c>
      <x:c r="M2252" s="13" t="n">
        <x:f>J2252+(K2252+L2252)/1440</x:f>
        <x:v>46308.58263888889</x:v>
      </x:c>
      <x:c r="N2252" s="13" t="n">
        <x:f>VLOOKUP(C2252,'MES orders'!$A$8:$H$127,5,FALSE)</x:f>
        <x:v>46308.666666666664</x:v>
      </x:c>
      <x:c r="O2252" s="16" t="n">
        <x:f>MAX(0,(M2252-N2252)*24)</x:f>
        <x:v>0</x:v>
      </x:c>
      <x:c r="P2252" s="9" t="str">
        <x:v>No</x:v>
      </x:c>
      <x:c r="Q2252" s="15" t="n">
        <x:v>17</x:v>
      </x:c>
      <x:c r="R2252" s="13" t="n">
        <x:f>J2252+Q2252/1440</x:f>
        <x:v>46308.58263888889</x:v>
      </x:c>
      <x:c r="S2252" s="2" t="str">
        <x:f>VLOOKUP(C2252,'MES orders'!$A$8:$H$127,6,FALSE)</x:f>
        <x:v>Normal</x:v>
      </x:c>
      <x:c r="T2252" s="9" t="str"/>
    </x:row>
    <x:row r="2253" ht="22" customHeight="1">
      <x:c r="A2253" s="2" t="str">
        <x:v>L00342-030</x:v>
      </x:c>
      <x:c r="B2253" s="2" t="str">
        <x:v>L00342</x:v>
      </x:c>
      <x:c r="C2253" s="2" t="str">
        <x:v>SO-26069</x:v>
      </x:c>
      <x:c r="D2253" s="2" t="str">
        <x:v>R-S-AL</x:v>
      </x:c>
      <x:c r="E2253" s="14" t="n">
        <x:v>15</x:v>
      </x:c>
      <x:c r="F2253" s="2" t="str">
        <x:v>Wash &amp; dry</x:v>
      </x:c>
      <x:c r="G2253" s="9" t="str">
        <x:v>WS-02</x:v>
      </x:c>
      <x:c r="H2253" s="15" t="n">
        <x:v>147</x:v>
      </x:c>
      <x:c r="I2253" s="9" t="str">
        <x:v>P06</x:v>
      </x:c>
      <x:c r="J2253" s="11" t="n">
        <x:v>46308.57083333333</x:v>
      </x:c>
      <x:c r="K2253" s="15" t="n">
        <x:v>12</x:v>
      </x:c>
      <x:c r="L2253" s="15" t="n">
        <x:v>5</x:v>
      </x:c>
      <x:c r="M2253" s="13" t="n">
        <x:f>J2253+(K2253+L2253)/1440</x:f>
        <x:v>46308.58263888889</x:v>
      </x:c>
      <x:c r="N2253" s="13" t="n">
        <x:f>VLOOKUP(C2253,'MES orders'!$A$8:$H$127,5,FALSE)</x:f>
        <x:v>46308.666666666664</x:v>
      </x:c>
      <x:c r="O2253" s="16" t="n">
        <x:f>MAX(0,(M2253-N2253)*24)</x:f>
        <x:v>0</x:v>
      </x:c>
      <x:c r="P2253" s="9" t="str">
        <x:v>No</x:v>
      </x:c>
      <x:c r="Q2253" s="15" t="n">
        <x:v>17</x:v>
      </x:c>
      <x:c r="R2253" s="13" t="n">
        <x:f>J2253+Q2253/1440</x:f>
        <x:v>46308.58263888889</x:v>
      </x:c>
      <x:c r="S2253" s="2" t="str">
        <x:f>VLOOKUP(C2253,'MES orders'!$A$8:$H$127,6,FALSE)</x:f>
        <x:v>Normal</x:v>
      </x:c>
      <x:c r="T2253" s="9" t="str"/>
    </x:row>
    <x:row r="2254" ht="22" customHeight="1">
      <x:c r="A2254" s="2" t="str">
        <x:v>L00341-040</x:v>
      </x:c>
      <x:c r="B2254" s="2" t="str">
        <x:v>L00341</x:v>
      </x:c>
      <x:c r="C2254" s="2" t="str">
        <x:v>SO-26069</x:v>
      </x:c>
      <x:c r="D2254" s="2" t="str">
        <x:v>R-S-AL</x:v>
      </x:c>
      <x:c r="E2254" s="14" t="n">
        <x:v>15</x:v>
      </x:c>
      <x:c r="F2254" s="2" t="str">
        <x:v>Mechanical assembly</x:v>
      </x:c>
      <x:c r="G2254" s="9" t="str">
        <x:v>AS-01</x:v>
      </x:c>
      <x:c r="H2254" s="15" t="n">
        <x:v>181</x:v>
      </x:c>
      <x:c r="I2254" s="9" t="str">
        <x:v>P16</x:v>
      </x:c>
      <x:c r="J2254" s="11" t="n">
        <x:v>46308.583333333336</x:v>
      </x:c>
      <x:c r="K2254" s="15" t="n">
        <x:v>8</x:v>
      </x:c>
      <x:c r="L2254" s="15" t="n">
        <x:v>27</x:v>
      </x:c>
      <x:c r="M2254" s="13" t="n">
        <x:f>J2254+(K2254+L2254)/1440</x:f>
        <x:v>46308.60763888889</x:v>
      </x:c>
      <x:c r="N2254" s="13" t="n">
        <x:f>VLOOKUP(C2254,'MES orders'!$A$8:$H$127,5,FALSE)</x:f>
        <x:v>46308.666666666664</x:v>
      </x:c>
      <x:c r="O2254" s="16" t="n">
        <x:f>MAX(0,(M2254-N2254)*24)</x:f>
        <x:v>0</x:v>
      </x:c>
      <x:c r="P2254" s="9" t="str">
        <x:v>No</x:v>
      </x:c>
      <x:c r="Q2254" s="15" t="n">
        <x:v>35</x:v>
      </x:c>
      <x:c r="R2254" s="13" t="n">
        <x:f>J2254+Q2254/1440</x:f>
        <x:v>46308.60763888889</x:v>
      </x:c>
      <x:c r="S2254" s="2" t="str">
        <x:f>VLOOKUP(C2254,'MES orders'!$A$8:$H$127,6,FALSE)</x:f>
        <x:v>Normal</x:v>
      </x:c>
      <x:c r="T2254" s="9" t="str"/>
    </x:row>
    <x:row r="2255" ht="22" customHeight="1">
      <x:c r="A2255" s="2" t="str">
        <x:v>L00342-040</x:v>
      </x:c>
      <x:c r="B2255" s="2" t="str">
        <x:v>L00342</x:v>
      </x:c>
      <x:c r="C2255" s="2" t="str">
        <x:v>SO-26069</x:v>
      </x:c>
      <x:c r="D2255" s="2" t="str">
        <x:v>R-S-AL</x:v>
      </x:c>
      <x:c r="E2255" s="14" t="n">
        <x:v>15</x:v>
      </x:c>
      <x:c r="F2255" s="2" t="str">
        <x:v>Mechanical assembly</x:v>
      </x:c>
      <x:c r="G2255" s="9" t="str">
        <x:v>AS-02</x:v>
      </x:c>
      <x:c r="H2255" s="15" t="n">
        <x:v>148</x:v>
      </x:c>
      <x:c r="I2255" s="9" t="str">
        <x:v>P17</x:v>
      </x:c>
      <x:c r="J2255" s="11" t="n">
        <x:v>46308.583333333336</x:v>
      </x:c>
      <x:c r="K2255" s="15" t="n">
        <x:v>8</x:v>
      </x:c>
      <x:c r="L2255" s="15" t="n">
        <x:v>27</x:v>
      </x:c>
      <x:c r="M2255" s="13" t="n">
        <x:f>J2255+(K2255+L2255)/1440</x:f>
        <x:v>46308.60763888889</x:v>
      </x:c>
      <x:c r="N2255" s="13" t="n">
        <x:f>VLOOKUP(C2255,'MES orders'!$A$8:$H$127,5,FALSE)</x:f>
        <x:v>46308.666666666664</x:v>
      </x:c>
      <x:c r="O2255" s="16" t="n">
        <x:f>MAX(0,(M2255-N2255)*24)</x:f>
        <x:v>0</x:v>
      </x:c>
      <x:c r="P2255" s="9" t="str">
        <x:v>No</x:v>
      </x:c>
      <x:c r="Q2255" s="15" t="n">
        <x:v>35</x:v>
      </x:c>
      <x:c r="R2255" s="13" t="n">
        <x:f>J2255+Q2255/1440</x:f>
        <x:v>46308.60763888889</x:v>
      </x:c>
      <x:c r="S2255" s="2" t="str">
        <x:f>VLOOKUP(C2255,'MES orders'!$A$8:$H$127,6,FALSE)</x:f>
        <x:v>Normal</x:v>
      </x:c>
      <x:c r="T2255" s="9" t="str"/>
    </x:row>
    <x:row r="2256" ht="22" customHeight="1">
      <x:c r="A2256" s="2" t="str">
        <x:v>L00503-010</x:v>
      </x:c>
      <x:c r="B2256" s="2" t="str">
        <x:v>L00503</x:v>
      </x:c>
      <x:c r="C2256" s="2" t="str">
        <x:v>SO-26101</x:v>
      </x:c>
      <x:c r="D2256" s="2" t="str">
        <x:v>S-L-AL</x:v>
      </x:c>
      <x:c r="E2256" s="14" t="n">
        <x:v>10</x:v>
      </x:c>
      <x:c r="F2256" s="2" t="str">
        <x:v>CNC machining</x:v>
      </x:c>
      <x:c r="G2256" s="9" t="str">
        <x:v>CNC-06</x:v>
      </x:c>
      <x:c r="H2256" s="15" t="n">
        <x:v>56</x:v>
      </x:c>
      <x:c r="I2256" s="9" t="str">
        <x:v>P14</x:v>
      </x:c>
      <x:c r="J2256" s="11" t="n">
        <x:v>46308.583333333336</x:v>
      </x:c>
      <x:c r="K2256" s="15" t="n">
        <x:v>18</x:v>
      </x:c>
      <x:c r="L2256" s="15" t="n">
        <x:v>32</x:v>
      </x:c>
      <x:c r="M2256" s="13" t="n">
        <x:f>J2256+(K2256+L2256)/1440</x:f>
        <x:v>46308.618055555555</x:v>
      </x:c>
      <x:c r="N2256" s="13" t="n">
        <x:f>VLOOKUP(C2256,'MES orders'!$A$8:$H$127,5,FALSE)</x:f>
        <x:v>46308.666666666664</x:v>
      </x:c>
      <x:c r="O2256" s="16" t="n">
        <x:f>MAX(0,(M2256-N2256)*24)</x:f>
        <x:v>0</x:v>
      </x:c>
      <x:c r="P2256" s="9" t="str">
        <x:v>No</x:v>
      </x:c>
      <x:c r="Q2256" s="15" t="n">
        <x:v>18</x:v>
      </x:c>
      <x:c r="R2256" s="13" t="n">
        <x:f>J2256+Q2256/1440</x:f>
        <x:v>46308.59583333333</x:v>
      </x:c>
      <x:c r="S2256" s="2" t="str">
        <x:f>VLOOKUP(C2256,'MES orders'!$A$8:$H$127,6,FALSE)</x:f>
        <x:v>Normal</x:v>
      </x:c>
      <x:c r="T2256" s="9" t="str"/>
    </x:row>
    <x:row r="2257" ht="22" customHeight="1">
      <x:c r="A2257" s="2" t="str">
        <x:v>L00304-060</x:v>
      </x:c>
      <x:c r="B2257" s="2" t="str">
        <x:v>L00304</x:v>
      </x:c>
      <x:c r="C2257" s="2" t="str">
        <x:v>SO-26061</x:v>
      </x:c>
      <x:c r="D2257" s="2" t="str">
        <x:v>R-C-AL</x:v>
      </x:c>
      <x:c r="E2257" s="14" t="n">
        <x:v>10</x:v>
      </x:c>
      <x:c r="F2257" s="2" t="str">
        <x:v>Final leak / function test</x:v>
      </x:c>
      <x:c r="G2257" s="9" t="str">
        <x:v>QA-02</x:v>
      </x:c>
      <x:c r="H2257" s="15" t="n">
        <x:v>164</x:v>
      </x:c>
      <x:c r="I2257" s="9" t="str">
        <x:v>P23</x:v>
      </x:c>
      <x:c r="J2257" s="11" t="n">
        <x:v>46308.583333333336</x:v>
      </x:c>
      <x:c r="K2257" s="15" t="n">
        <x:v>10</x:v>
      </x:c>
      <x:c r="L2257" s="15" t="n">
        <x:v>7</x:v>
      </x:c>
      <x:c r="M2257" s="13" t="n">
        <x:f>J2257+(K2257+L2257)/1440</x:f>
        <x:v>46308.59513888889</x:v>
      </x:c>
      <x:c r="N2257" s="13" t="n">
        <x:f>VLOOKUP(C2257,'MES orders'!$A$8:$H$127,5,FALSE)</x:f>
        <x:v>46308.666666666664</x:v>
      </x:c>
      <x:c r="O2257" s="16" t="n">
        <x:f>MAX(0,(M2257-N2257)*24)</x:f>
        <x:v>0</x:v>
      </x:c>
      <x:c r="P2257" s="9" t="str">
        <x:v>No</x:v>
      </x:c>
      <x:c r="Q2257" s="15" t="n">
        <x:v>17</x:v>
      </x:c>
      <x:c r="R2257" s="13" t="n">
        <x:f>J2257+Q2257/1440</x:f>
        <x:v>46308.59513888889</x:v>
      </x:c>
      <x:c r="S2257" s="2" t="str">
        <x:f>VLOOKUP(C2257,'MES orders'!$A$8:$H$127,6,FALSE)</x:f>
        <x:v>Normal</x:v>
      </x:c>
      <x:c r="T2257" s="9" t="str"/>
    </x:row>
    <x:row r="2258" ht="22" customHeight="1">
      <x:c r="A2258" s="2" t="str">
        <x:v>L00305-060</x:v>
      </x:c>
      <x:c r="B2258" s="2" t="str">
        <x:v>L00305</x:v>
      </x:c>
      <x:c r="C2258" s="2" t="str">
        <x:v>SO-26061</x:v>
      </x:c>
      <x:c r="D2258" s="2" t="str">
        <x:v>R-C-AL</x:v>
      </x:c>
      <x:c r="E2258" s="14" t="n">
        <x:v>10</x:v>
      </x:c>
      <x:c r="F2258" s="2" t="str">
        <x:v>Final leak / function test</x:v>
      </x:c>
      <x:c r="G2258" s="9" t="str">
        <x:v>QA-03</x:v>
      </x:c>
      <x:c r="H2258" s="15" t="n">
        <x:v>101</x:v>
      </x:c>
      <x:c r="I2258" s="9" t="str">
        <x:v>P24</x:v>
      </x:c>
      <x:c r="J2258" s="11" t="n">
        <x:v>46308.583333333336</x:v>
      </x:c>
      <x:c r="K2258" s="15" t="n">
        <x:v>10</x:v>
      </x:c>
      <x:c r="L2258" s="15" t="n">
        <x:v>7</x:v>
      </x:c>
      <x:c r="M2258" s="13" t="n">
        <x:f>J2258+(K2258+L2258)/1440</x:f>
        <x:v>46308.59513888889</x:v>
      </x:c>
      <x:c r="N2258" s="13" t="n">
        <x:f>VLOOKUP(C2258,'MES orders'!$A$8:$H$127,5,FALSE)</x:f>
        <x:v>46308.666666666664</x:v>
      </x:c>
      <x:c r="O2258" s="16" t="n">
        <x:f>MAX(0,(M2258-N2258)*24)</x:f>
        <x:v>0</x:v>
      </x:c>
      <x:c r="P2258" s="9" t="str">
        <x:v>No</x:v>
      </x:c>
      <x:c r="Q2258" s="15" t="n">
        <x:v>17</x:v>
      </x:c>
      <x:c r="R2258" s="13" t="n">
        <x:f>J2258+Q2258/1440</x:f>
        <x:v>46308.59513888889</x:v>
      </x:c>
      <x:c r="S2258" s="2" t="str">
        <x:f>VLOOKUP(C2258,'MES orders'!$A$8:$H$127,6,FALSE)</x:f>
        <x:v>Normal</x:v>
      </x:c>
      <x:c r="T2258" s="9" t="str"/>
    </x:row>
    <x:row r="2259" ht="22" customHeight="1">
      <x:c r="A2259" s="2" t="str">
        <x:v>L00343-030</x:v>
      </x:c>
      <x:c r="B2259" s="2" t="str">
        <x:v>L00343</x:v>
      </x:c>
      <x:c r="C2259" s="2" t="str">
        <x:v>SO-26069</x:v>
      </x:c>
      <x:c r="D2259" s="2" t="str">
        <x:v>R-S-AL</x:v>
      </x:c>
      <x:c r="E2259" s="14" t="n">
        <x:v>15</x:v>
      </x:c>
      <x:c r="F2259" s="2" t="str">
        <x:v>Wash &amp; dry</x:v>
      </x:c>
      <x:c r="G2259" s="9" t="str">
        <x:v>WS-01</x:v>
      </x:c>
      <x:c r="H2259" s="15" t="n">
        <x:v>210</x:v>
      </x:c>
      <x:c r="I2259" s="9" t="str">
        <x:v>P18</x:v>
      </x:c>
      <x:c r="J2259" s="11" t="n">
        <x:v>46308.583333333336</x:v>
      </x:c>
      <x:c r="K2259" s="15" t="n">
        <x:v>12</x:v>
      </x:c>
      <x:c r="L2259" s="15" t="n">
        <x:v>5</x:v>
      </x:c>
      <x:c r="M2259" s="13" t="n">
        <x:f>J2259+(K2259+L2259)/1440</x:f>
        <x:v>46308.59513888889</x:v>
      </x:c>
      <x:c r="N2259" s="13" t="n">
        <x:f>VLOOKUP(C2259,'MES orders'!$A$8:$H$127,5,FALSE)</x:f>
        <x:v>46308.666666666664</x:v>
      </x:c>
      <x:c r="O2259" s="16" t="n">
        <x:f>MAX(0,(M2259-N2259)*24)</x:f>
        <x:v>0</x:v>
      </x:c>
      <x:c r="P2259" s="9" t="str">
        <x:v>No</x:v>
      </x:c>
      <x:c r="Q2259" s="15" t="n">
        <x:v>17</x:v>
      </x:c>
      <x:c r="R2259" s="13" t="n">
        <x:f>J2259+Q2259/1440</x:f>
        <x:v>46308.59513888889</x:v>
      </x:c>
      <x:c r="S2259" s="2" t="str">
        <x:f>VLOOKUP(C2259,'MES orders'!$A$8:$H$127,6,FALSE)</x:f>
        <x:v>Normal</x:v>
      </x:c>
      <x:c r="T2259" s="9" t="str"/>
    </x:row>
    <x:row r="2260" ht="22" customHeight="1">
      <x:c r="A2260" s="2" t="str">
        <x:v>L00504-010</x:v>
      </x:c>
      <x:c r="B2260" s="2" t="str">
        <x:v>L00504</x:v>
      </x:c>
      <x:c r="C2260" s="2" t="str">
        <x:v>SO-26101</x:v>
      </x:c>
      <x:c r="D2260" s="2" t="str">
        <x:v>S-L-AL</x:v>
      </x:c>
      <x:c r="E2260" s="14" t="n">
        <x:v>10</x:v>
      </x:c>
      <x:c r="F2260" s="2" t="str">
        <x:v>CNC machining</x:v>
      </x:c>
      <x:c r="G2260" s="9" t="str">
        <x:v>CNC-03</x:v>
      </x:c>
      <x:c r="H2260" s="15" t="n">
        <x:v>72</x:v>
      </x:c>
      <x:c r="I2260" s="9" t="str">
        <x:v>P15</x:v>
      </x:c>
      <x:c r="J2260" s="11" t="n">
        <x:v>46308.59305555555</x:v>
      </x:c>
      <x:c r="K2260" s="15" t="n">
        <x:v>18</x:v>
      </x:c>
      <x:c r="L2260" s="15" t="n">
        <x:v>32</x:v>
      </x:c>
      <x:c r="M2260" s="13" t="n">
        <x:f>J2260+(K2260+L2260)/1440</x:f>
        <x:v>46308.62777777777</x:v>
      </x:c>
      <x:c r="N2260" s="13" t="n">
        <x:f>VLOOKUP(C2260,'MES orders'!$A$8:$H$127,5,FALSE)</x:f>
        <x:v>46308.666666666664</x:v>
      </x:c>
      <x:c r="O2260" s="16" t="n">
        <x:f>MAX(0,(M2260-N2260)*24)</x:f>
        <x:v>0</x:v>
      </x:c>
      <x:c r="P2260" s="9" t="str">
        <x:v>No</x:v>
      </x:c>
      <x:c r="Q2260" s="15" t="n">
        <x:v>18</x:v>
      </x:c>
      <x:c r="R2260" s="13" t="n">
        <x:f>J2260+Q2260/1440</x:f>
        <x:v>46308.60555555555</x:v>
      </x:c>
      <x:c r="S2260" s="2" t="str">
        <x:f>VLOOKUP(C2260,'MES orders'!$A$8:$H$127,6,FALSE)</x:f>
        <x:v>Normal</x:v>
      </x:c>
      <x:c r="T2260" s="9" t="str"/>
    </x:row>
    <x:row r="2261" ht="22" customHeight="1">
      <x:c r="A2261" s="2" t="str">
        <x:v>L00385-020</x:v>
      </x:c>
      <x:c r="B2261" s="2" t="str">
        <x:v>L00385</x:v>
      </x:c>
      <x:c r="C2261" s="2" t="str">
        <x:v>SO-26077</x:v>
      </x:c>
      <x:c r="D2261" s="2" t="str">
        <x:v>R-L-AL</x:v>
      </x:c>
      <x:c r="E2261" s="14" t="n">
        <x:v>10</x:v>
      </x:c>
      <x:c r="F2261" s="2" t="str">
        <x:v>Deburr &amp; inspect</x:v>
      </x:c>
      <x:c r="G2261" s="9" t="str">
        <x:v>DB-01</x:v>
      </x:c>
      <x:c r="H2261" s="15" t="n">
        <x:v>214</x:v>
      </x:c>
      <x:c r="I2261" s="9" t="str">
        <x:v>P13</x:v>
      </x:c>
      <x:c r="J2261" s="11" t="n">
        <x:v>46308.59305555555</x:v>
      </x:c>
      <x:c r="K2261" s="15" t="n">
        <x:v>4</x:v>
      </x:c>
      <x:c r="L2261" s="15" t="n">
        <x:v>9</x:v>
      </x:c>
      <x:c r="M2261" s="13" t="n">
        <x:f>J2261+(K2261+L2261)/1440</x:f>
        <x:v>46308.60208333333</x:v>
      </x:c>
      <x:c r="N2261" s="13" t="n">
        <x:f>VLOOKUP(C2261,'MES orders'!$A$8:$H$127,5,FALSE)</x:f>
        <x:v>46308.666666666664</x:v>
      </x:c>
      <x:c r="O2261" s="16" t="n">
        <x:f>MAX(0,(M2261-N2261)*24)</x:f>
        <x:v>0</x:v>
      </x:c>
      <x:c r="P2261" s="9" t="str">
        <x:v>No</x:v>
      </x:c>
      <x:c r="Q2261" s="15" t="n">
        <x:v>13</x:v>
      </x:c>
      <x:c r="R2261" s="13" t="n">
        <x:f>J2261+Q2261/1440</x:f>
        <x:v>46308.60208333333</x:v>
      </x:c>
      <x:c r="S2261" s="2" t="str">
        <x:f>VLOOKUP(C2261,'MES orders'!$A$8:$H$127,6,FALSE)</x:f>
        <x:v>Normal</x:v>
      </x:c>
      <x:c r="T2261" s="9" t="str"/>
    </x:row>
    <x:row r="2262" ht="22" customHeight="1">
      <x:c r="A2262" s="2" t="str">
        <x:v>L00541-050</x:v>
      </x:c>
      <x:c r="B2262" s="2" t="str">
        <x:v>L00541</x:v>
      </x:c>
      <x:c r="C2262" s="2" t="str">
        <x:v>SO-26109</x:v>
      </x:c>
      <x:c r="D2262" s="2" t="str">
        <x:v>D-C-AL</x:v>
      </x:c>
      <x:c r="E2262" s="14" t="n">
        <x:v>15</x:v>
      </x:c>
      <x:c r="F2262" s="2" t="str">
        <x:v>Final leak / function test</x:v>
      </x:c>
      <x:c r="G2262" s="9" t="str">
        <x:v>QA-01</x:v>
      </x:c>
      <x:c r="H2262" s="15" t="n">
        <x:v>86</x:v>
      </x:c>
      <x:c r="I2262" s="9" t="str">
        <x:v>P24</x:v>
      </x:c>
      <x:c r="J2262" s="11" t="n">
        <x:v>46308.595138888886</x:v>
      </x:c>
      <x:c r="K2262" s="15" t="n">
        <x:v>10</x:v>
      </x:c>
      <x:c r="L2262" s="15" t="n">
        <x:v>11</x:v>
      </x:c>
      <x:c r="M2262" s="13" t="n">
        <x:f>J2262+(K2262+L2262)/1440</x:f>
        <x:v>46308.609722222216</x:v>
      </x:c>
      <x:c r="N2262" s="13" t="n">
        <x:f>VLOOKUP(C2262,'MES orders'!$A$8:$H$127,5,FALSE)</x:f>
        <x:v>46308.666666666664</x:v>
      </x:c>
      <x:c r="O2262" s="16" t="n">
        <x:f>MAX(0,(M2262-N2262)*24)</x:f>
        <x:v>0</x:v>
      </x:c>
      <x:c r="P2262" s="9" t="str">
        <x:v>No</x:v>
      </x:c>
      <x:c r="Q2262" s="15" t="n">
        <x:v>21</x:v>
      </x:c>
      <x:c r="R2262" s="13" t="n">
        <x:f>J2262+Q2262/1440</x:f>
        <x:v>46308.609722222216</x:v>
      </x:c>
      <x:c r="S2262" s="2" t="str">
        <x:f>VLOOKUP(C2262,'MES orders'!$A$8:$H$127,6,FALSE)</x:f>
        <x:v>Normal</x:v>
      </x:c>
      <x:c r="T2262" s="9" t="str"/>
    </x:row>
    <x:row r="2263" ht="22" customHeight="1">
      <x:c r="A2263" s="2" t="str">
        <x:v>L00345-060</x:v>
      </x:c>
      <x:c r="B2263" s="2" t="str">
        <x:v>L00345</x:v>
      </x:c>
      <x:c r="C2263" s="2" t="str">
        <x:v>SO-26069</x:v>
      </x:c>
      <x:c r="D2263" s="2" t="str">
        <x:v>R-S-AL</x:v>
      </x:c>
      <x:c r="E2263" s="14" t="n">
        <x:v>15</x:v>
      </x:c>
      <x:c r="F2263" s="2" t="str">
        <x:v>Final leak / function test</x:v>
      </x:c>
      <x:c r="G2263" s="9" t="str">
        <x:v>QA-02</x:v>
      </x:c>
      <x:c r="H2263" s="15" t="n">
        <x:v>165</x:v>
      </x:c>
      <x:c r="I2263" s="9" t="str">
        <x:v>P23</x:v>
      </x:c>
      <x:c r="J2263" s="11" t="n">
        <x:v>46308.595138888886</x:v>
      </x:c>
      <x:c r="K2263" s="15" t="n">
        <x:v>10</x:v>
      </x:c>
      <x:c r="L2263" s="15" t="n">
        <x:v>14</x:v>
      </x:c>
      <x:c r="M2263" s="13" t="n">
        <x:f>J2263+(K2263+L2263)/1440</x:f>
        <x:v>46308.611805555556</x:v>
      </x:c>
      <x:c r="N2263" s="13" t="n">
        <x:f>VLOOKUP(C2263,'MES orders'!$A$8:$H$127,5,FALSE)</x:f>
        <x:v>46308.666666666664</x:v>
      </x:c>
      <x:c r="O2263" s="16" t="n">
        <x:f>MAX(0,(M2263-N2263)*24)</x:f>
        <x:v>0</x:v>
      </x:c>
      <x:c r="P2263" s="9" t="str">
        <x:v>No</x:v>
      </x:c>
      <x:c r="Q2263" s="15" t="n">
        <x:v>24</x:v>
      </x:c>
      <x:c r="R2263" s="13" t="n">
        <x:f>J2263+Q2263/1440</x:f>
        <x:v>46308.611805555556</x:v>
      </x:c>
      <x:c r="S2263" s="2" t="str">
        <x:f>VLOOKUP(C2263,'MES orders'!$A$8:$H$127,6,FALSE)</x:f>
        <x:v>Normal</x:v>
      </x:c>
      <x:c r="T2263" s="9" t="str"/>
    </x:row>
    <x:row r="2264" ht="22" customHeight="1">
      <x:c r="A2264" s="2" t="str">
        <x:v>L00344-030</x:v>
      </x:c>
      <x:c r="B2264" s="2" t="str">
        <x:v>L00344</x:v>
      </x:c>
      <x:c r="C2264" s="2" t="str">
        <x:v>SO-26069</x:v>
      </x:c>
      <x:c r="D2264" s="2" t="str">
        <x:v>R-S-AL</x:v>
      </x:c>
      <x:c r="E2264" s="14" t="n">
        <x:v>15</x:v>
      </x:c>
      <x:c r="F2264" s="2" t="str">
        <x:v>Wash &amp; dry</x:v>
      </x:c>
      <x:c r="G2264" s="9" t="str">
        <x:v>WS-01</x:v>
      </x:c>
      <x:c r="H2264" s="15" t="n">
        <x:v>211</x:v>
      </x:c>
      <x:c r="I2264" s="9" t="str">
        <x:v>P18</x:v>
      </x:c>
      <x:c r="J2264" s="11" t="n">
        <x:v>46308.595138888886</x:v>
      </x:c>
      <x:c r="K2264" s="15" t="n">
        <x:v>12</x:v>
      </x:c>
      <x:c r="L2264" s="15" t="n">
        <x:v>5</x:v>
      </x:c>
      <x:c r="M2264" s="13" t="n">
        <x:f>J2264+(K2264+L2264)/1440</x:f>
        <x:v>46308.606944444444</x:v>
      </x:c>
      <x:c r="N2264" s="13" t="n">
        <x:f>VLOOKUP(C2264,'MES orders'!$A$8:$H$127,5,FALSE)</x:f>
        <x:v>46308.666666666664</x:v>
      </x:c>
      <x:c r="O2264" s="16" t="n">
        <x:f>MAX(0,(M2264-N2264)*24)</x:f>
        <x:v>0</x:v>
      </x:c>
      <x:c r="P2264" s="9" t="str">
        <x:v>No</x:v>
      </x:c>
      <x:c r="Q2264" s="15" t="n">
        <x:v>17</x:v>
      </x:c>
      <x:c r="R2264" s="13" t="n">
        <x:f>J2264+Q2264/1440</x:f>
        <x:v>46308.606944444444</x:v>
      </x:c>
      <x:c r="S2264" s="2" t="str">
        <x:f>VLOOKUP(C2264,'MES orders'!$A$8:$H$127,6,FALSE)</x:f>
        <x:v>Normal</x:v>
      </x:c>
      <x:c r="T2264" s="9" t="str"/>
    </x:row>
    <x:row r="2265" ht="22" customHeight="1">
      <x:c r="A2265" s="2" t="str">
        <x:v>L00505-010</x:v>
      </x:c>
      <x:c r="B2265" s="2" t="str">
        <x:v>L00505</x:v>
      </x:c>
      <x:c r="C2265" s="2" t="str">
        <x:v>SO-26101</x:v>
      </x:c>
      <x:c r="D2265" s="2" t="str">
        <x:v>S-L-AL</x:v>
      </x:c>
      <x:c r="E2265" s="14" t="n">
        <x:v>10</x:v>
      </x:c>
      <x:c r="F2265" s="2" t="str">
        <x:v>CNC machining</x:v>
      </x:c>
      <x:c r="G2265" s="9" t="str">
        <x:v>CNC-04</x:v>
      </x:c>
      <x:c r="H2265" s="15" t="n">
        <x:v>69</x:v>
      </x:c>
      <x:c r="I2265" s="9" t="str">
        <x:v>P14</x:v>
      </x:c>
      <x:c r="J2265" s="11" t="n">
        <x:v>46308.60277777778</x:v>
      </x:c>
      <x:c r="K2265" s="15" t="n">
        <x:v>18</x:v>
      </x:c>
      <x:c r="L2265" s="15" t="n">
        <x:v>32</x:v>
      </x:c>
      <x:c r="M2265" s="13" t="n">
        <x:f>J2265+(K2265+L2265)/1440</x:f>
        <x:v>46308.6375</x:v>
      </x:c>
      <x:c r="N2265" s="13" t="n">
        <x:f>VLOOKUP(C2265,'MES orders'!$A$8:$H$127,5,FALSE)</x:f>
        <x:v>46308.666666666664</x:v>
      </x:c>
      <x:c r="O2265" s="16" t="n">
        <x:f>MAX(0,(M2265-N2265)*24)</x:f>
        <x:v>0</x:v>
      </x:c>
      <x:c r="P2265" s="9" t="str">
        <x:v>No</x:v>
      </x:c>
      <x:c r="Q2265" s="15" t="n">
        <x:v>18</x:v>
      </x:c>
      <x:c r="R2265" s="13" t="n">
        <x:f>J2265+Q2265/1440</x:f>
        <x:v>46308.615277777775</x:v>
      </x:c>
      <x:c r="S2265" s="2" t="str">
        <x:f>VLOOKUP(C2265,'MES orders'!$A$8:$H$127,6,FALSE)</x:f>
        <x:v>Normal</x:v>
      </x:c>
      <x:c r="T2265" s="9" t="str"/>
    </x:row>
    <x:row r="2266" ht="22" customHeight="1">
      <x:c r="A2266" s="2" t="str">
        <x:v>L00542-010</x:v>
      </x:c>
      <x:c r="B2266" s="2" t="str">
        <x:v>L00542</x:v>
      </x:c>
      <x:c r="C2266" s="2" t="str">
        <x:v>SO-26109</x:v>
      </x:c>
      <x:c r="D2266" s="2" t="str">
        <x:v>D-C-AL</x:v>
      </x:c>
      <x:c r="E2266" s="14" t="n">
        <x:v>15</x:v>
      </x:c>
      <x:c r="F2266" s="2" t="str">
        <x:v>CNC machining</x:v>
      </x:c>
      <x:c r="G2266" s="9" t="str">
        <x:v>CNC-01</x:v>
      </x:c>
      <x:c r="H2266" s="15" t="n">
        <x:v>64</x:v>
      </x:c>
      <x:c r="I2266" s="9" t="str">
        <x:v>P15</x:v>
      </x:c>
      <x:c r="J2266" s="11" t="n">
        <x:v>46308.60555555556</x:v>
      </x:c>
      <x:c r="K2266" s="15" t="n">
        <x:v>18</x:v>
      </x:c>
      <x:c r="L2266" s="15" t="n">
        <x:v>29</x:v>
      </x:c>
      <x:c r="M2266" s="13" t="n">
        <x:f>J2266+(K2266+L2266)/1440</x:f>
        <x:v>46308.638194444444</x:v>
      </x:c>
      <x:c r="N2266" s="13" t="n">
        <x:f>VLOOKUP(C2266,'MES orders'!$A$8:$H$127,5,FALSE)</x:f>
        <x:v>46308.666666666664</x:v>
      </x:c>
      <x:c r="O2266" s="16" t="n">
        <x:f>MAX(0,(M2266-N2266)*24)</x:f>
        <x:v>0</x:v>
      </x:c>
      <x:c r="P2266" s="9" t="str">
        <x:v>No</x:v>
      </x:c>
      <x:c r="Q2266" s="15" t="n">
        <x:v>18</x:v>
      </x:c>
      <x:c r="R2266" s="13" t="n">
        <x:f>J2266+Q2266/1440</x:f>
        <x:v>46308.618055555555</x:v>
      </x:c>
      <x:c r="S2266" s="2" t="str">
        <x:f>VLOOKUP(C2266,'MES orders'!$A$8:$H$127,6,FALSE)</x:f>
        <x:v>Normal</x:v>
      </x:c>
      <x:c r="T2266" s="9" t="str"/>
    </x:row>
    <x:row r="2267" ht="22" customHeight="1">
      <x:c r="A2267" s="2" t="str">
        <x:v>L00502-020</x:v>
      </x:c>
      <x:c r="B2267" s="2" t="str">
        <x:v>L00502</x:v>
      </x:c>
      <x:c r="C2267" s="2" t="str">
        <x:v>SO-26101</x:v>
      </x:c>
      <x:c r="D2267" s="2" t="str">
        <x:v>S-L-AL</x:v>
      </x:c>
      <x:c r="E2267" s="14" t="n">
        <x:v>10</x:v>
      </x:c>
      <x:c r="F2267" s="2" t="str">
        <x:v>Deburr &amp; inspect</x:v>
      </x:c>
      <x:c r="G2267" s="9" t="str">
        <x:v>DB-01</x:v>
      </x:c>
      <x:c r="H2267" s="15" t="n">
        <x:v>215</x:v>
      </x:c>
      <x:c r="I2267" s="9" t="str">
        <x:v>P13</x:v>
      </x:c>
      <x:c r="J2267" s="11" t="n">
        <x:v>46308.60555555556</x:v>
      </x:c>
      <x:c r="K2267" s="15" t="n">
        <x:v>4</x:v>
      </x:c>
      <x:c r="L2267" s="15" t="n">
        <x:v>9</x:v>
      </x:c>
      <x:c r="M2267" s="13" t="n">
        <x:f>J2267+(K2267+L2267)/1440</x:f>
        <x:v>46308.614583333336</x:v>
      </x:c>
      <x:c r="N2267" s="13" t="n">
        <x:f>VLOOKUP(C2267,'MES orders'!$A$8:$H$127,5,FALSE)</x:f>
        <x:v>46308.666666666664</x:v>
      </x:c>
      <x:c r="O2267" s="16" t="n">
        <x:f>MAX(0,(M2267-N2267)*24)</x:f>
        <x:v>0</x:v>
      </x:c>
      <x:c r="P2267" s="9" t="str">
        <x:v>No</x:v>
      </x:c>
      <x:c r="Q2267" s="15" t="n">
        <x:v>13</x:v>
      </x:c>
      <x:c r="R2267" s="13" t="n">
        <x:f>J2267+Q2267/1440</x:f>
        <x:v>46308.614583333336</x:v>
      </x:c>
      <x:c r="S2267" s="2" t="str">
        <x:f>VLOOKUP(C2267,'MES orders'!$A$8:$H$127,6,FALSE)</x:f>
        <x:v>Normal</x:v>
      </x:c>
      <x:c r="T2267" s="9" t="str"/>
    </x:row>
    <x:row r="2268" ht="22" customHeight="1">
      <x:c r="A2268" s="2" t="str">
        <x:v>L00341-050</x:v>
      </x:c>
      <x:c r="B2268" s="2" t="str">
        <x:v>L00341</x:v>
      </x:c>
      <x:c r="C2268" s="2" t="str">
        <x:v>SO-26069</x:v>
      </x:c>
      <x:c r="D2268" s="2" t="str">
        <x:v>R-S-AL</x:v>
      </x:c>
      <x:c r="E2268" s="14" t="n">
        <x:v>15</x:v>
      </x:c>
      <x:c r="F2268" s="2" t="str">
        <x:v>Valve adjustment</x:v>
      </x:c>
      <x:c r="G2268" s="9" t="str">
        <x:v>AS-01</x:v>
      </x:c>
      <x:c r="H2268" s="15" t="n">
        <x:v>182</x:v>
      </x:c>
      <x:c r="I2268" s="9" t="str">
        <x:v>P17</x:v>
      </x:c>
      <x:c r="J2268" s="11" t="n">
        <x:v>46308.60763888889</x:v>
      </x:c>
      <x:c r="K2268" s="15" t="n">
        <x:v>6</x:v>
      </x:c>
      <x:c r="L2268" s="15" t="n">
        <x:v>16</x:v>
      </x:c>
      <x:c r="M2268" s="13" t="n">
        <x:f>J2268+(K2268+L2268)/1440</x:f>
        <x:v>46308.62291666667</x:v>
      </x:c>
      <x:c r="N2268" s="13" t="n">
        <x:f>VLOOKUP(C2268,'MES orders'!$A$8:$H$127,5,FALSE)</x:f>
        <x:v>46308.666666666664</x:v>
      </x:c>
      <x:c r="O2268" s="16" t="n">
        <x:f>MAX(0,(M2268-N2268)*24)</x:f>
        <x:v>0</x:v>
      </x:c>
      <x:c r="P2268" s="9" t="str">
        <x:v>No</x:v>
      </x:c>
      <x:c r="Q2268" s="15" t="n">
        <x:v>22</x:v>
      </x:c>
      <x:c r="R2268" s="13" t="n">
        <x:f>J2268+Q2268/1440</x:f>
        <x:v>46308.62291666667</x:v>
      </x:c>
      <x:c r="S2268" s="2" t="str">
        <x:f>VLOOKUP(C2268,'MES orders'!$A$8:$H$127,6,FALSE)</x:f>
        <x:v>Normal</x:v>
      </x:c>
      <x:c r="T2268" s="9" t="str"/>
    </x:row>
    <x:row r="2269" ht="22" customHeight="1">
      <x:c r="A2269" s="2" t="str">
        <x:v>L00342-050</x:v>
      </x:c>
      <x:c r="B2269" s="2" t="str">
        <x:v>L00342</x:v>
      </x:c>
      <x:c r="C2269" s="2" t="str">
        <x:v>SO-26069</x:v>
      </x:c>
      <x:c r="D2269" s="2" t="str">
        <x:v>R-S-AL</x:v>
      </x:c>
      <x:c r="E2269" s="14" t="n">
        <x:v>15</x:v>
      </x:c>
      <x:c r="F2269" s="2" t="str">
        <x:v>Valve adjustment</x:v>
      </x:c>
      <x:c r="G2269" s="9" t="str">
        <x:v>AS-02</x:v>
      </x:c>
      <x:c r="H2269" s="15" t="n">
        <x:v>149</x:v>
      </x:c>
      <x:c r="I2269" s="9" t="str">
        <x:v>P18</x:v>
      </x:c>
      <x:c r="J2269" s="11" t="n">
        <x:v>46308.60763888889</x:v>
      </x:c>
      <x:c r="K2269" s="15" t="n">
        <x:v>6</x:v>
      </x:c>
      <x:c r="L2269" s="15" t="n">
        <x:v>16</x:v>
      </x:c>
      <x:c r="M2269" s="13" t="n">
        <x:f>J2269+(K2269+L2269)/1440</x:f>
        <x:v>46308.62291666667</x:v>
      </x:c>
      <x:c r="N2269" s="13" t="n">
        <x:f>VLOOKUP(C2269,'MES orders'!$A$8:$H$127,5,FALSE)</x:f>
        <x:v>46308.666666666664</x:v>
      </x:c>
      <x:c r="O2269" s="16" t="n">
        <x:f>MAX(0,(M2269-N2269)*24)</x:f>
        <x:v>0</x:v>
      </x:c>
      <x:c r="P2269" s="9" t="str">
        <x:v>No</x:v>
      </x:c>
      <x:c r="Q2269" s="15" t="n">
        <x:v>22</x:v>
      </x:c>
      <x:c r="R2269" s="13" t="n">
        <x:f>J2269+Q2269/1440</x:f>
        <x:v>46308.62291666667</x:v>
      </x:c>
      <x:c r="S2269" s="2" t="str">
        <x:f>VLOOKUP(C2269,'MES orders'!$A$8:$H$127,6,FALSE)</x:f>
        <x:v>Normal</x:v>
      </x:c>
      <x:c r="T2269" s="9" t="str"/>
    </x:row>
    <x:row r="2270" ht="22" customHeight="1">
      <x:c r="A2270" s="2" t="str">
        <x:v>L00343-040</x:v>
      </x:c>
      <x:c r="B2270" s="2" t="str">
        <x:v>L00343</x:v>
      </x:c>
      <x:c r="C2270" s="2" t="str">
        <x:v>SO-26069</x:v>
      </x:c>
      <x:c r="D2270" s="2" t="str">
        <x:v>R-S-AL</x:v>
      </x:c>
      <x:c r="E2270" s="14" t="n">
        <x:v>15</x:v>
      </x:c>
      <x:c r="F2270" s="2" t="str">
        <x:v>Mechanical assembly</x:v>
      </x:c>
      <x:c r="G2270" s="9" t="str">
        <x:v>AS-03</x:v>
      </x:c>
      <x:c r="H2270" s="15" t="n">
        <x:v>121</x:v>
      </x:c>
      <x:c r="I2270" s="9" t="str">
        <x:v>P16</x:v>
      </x:c>
      <x:c r="J2270" s="11" t="n">
        <x:v>46308.60763888889</x:v>
      </x:c>
      <x:c r="K2270" s="15" t="n">
        <x:v>8</x:v>
      </x:c>
      <x:c r="L2270" s="15" t="n">
        <x:v>27</x:v>
      </x:c>
      <x:c r="M2270" s="13" t="n">
        <x:f>J2270+(K2270+L2270)/1440</x:f>
        <x:v>46308.631944444445</x:v>
      </x:c>
      <x:c r="N2270" s="13" t="n">
        <x:f>VLOOKUP(C2270,'MES orders'!$A$8:$H$127,5,FALSE)</x:f>
        <x:v>46308.666666666664</x:v>
      </x:c>
      <x:c r="O2270" s="16" t="n">
        <x:f>MAX(0,(M2270-N2270)*24)</x:f>
        <x:v>0</x:v>
      </x:c>
      <x:c r="P2270" s="9" t="str">
        <x:v>No</x:v>
      </x:c>
      <x:c r="Q2270" s="15" t="n">
        <x:v>35</x:v>
      </x:c>
      <x:c r="R2270" s="13" t="n">
        <x:f>J2270+Q2270/1440</x:f>
        <x:v>46308.631944444445</x:v>
      </x:c>
      <x:c r="S2270" s="2" t="str">
        <x:f>VLOOKUP(C2270,'MES orders'!$A$8:$H$127,6,FALSE)</x:f>
        <x:v>Normal</x:v>
      </x:c>
      <x:c r="T2270" s="9" t="str"/>
    </x:row>
    <x:row r="2271" ht="22" customHeight="1">
      <x:c r="A2271" s="2" t="str">
        <x:v>L00502-030</x:v>
      </x:c>
      <x:c r="B2271" s="2" t="str">
        <x:v>L00502</x:v>
      </x:c>
      <x:c r="C2271" s="2" t="str">
        <x:v>SO-26101</x:v>
      </x:c>
      <x:c r="D2271" s="2" t="str">
        <x:v>S-L-AL</x:v>
      </x:c>
      <x:c r="E2271" s="14" t="n">
        <x:v>10</x:v>
      </x:c>
      <x:c r="F2271" s="2" t="str">
        <x:v>Wash &amp; dry</x:v>
      </x:c>
      <x:c r="G2271" s="9" t="str">
        <x:v>WS-01</x:v>
      </x:c>
      <x:c r="H2271" s="15" t="n">
        <x:v>212</x:v>
      </x:c>
      <x:c r="I2271" s="9" t="str">
        <x:v>P13</x:v>
      </x:c>
      <x:c r="J2271" s="11" t="n">
        <x:v>46308.614583333336</x:v>
      </x:c>
      <x:c r="K2271" s="15" t="n">
        <x:v>12</x:v>
      </x:c>
      <x:c r="L2271" s="15" t="n">
        <x:v>5</x:v>
      </x:c>
      <x:c r="M2271" s="13" t="n">
        <x:f>J2271+(K2271+L2271)/1440</x:f>
        <x:v>46308.62638888889</x:v>
      </x:c>
      <x:c r="N2271" s="13" t="n">
        <x:f>VLOOKUP(C2271,'MES orders'!$A$8:$H$127,5,FALSE)</x:f>
        <x:v>46308.666666666664</x:v>
      </x:c>
      <x:c r="O2271" s="16" t="n">
        <x:f>MAX(0,(M2271-N2271)*24)</x:f>
        <x:v>0</x:v>
      </x:c>
      <x:c r="P2271" s="9" t="str">
        <x:v>No</x:v>
      </x:c>
      <x:c r="Q2271" s="15" t="n">
        <x:v>17</x:v>
      </x:c>
      <x:c r="R2271" s="13" t="n">
        <x:f>J2271+Q2271/1440</x:f>
        <x:v>46308.62638888889</x:v>
      </x:c>
      <x:c r="S2271" s="2" t="str">
        <x:f>VLOOKUP(C2271,'MES orders'!$A$8:$H$127,6,FALSE)</x:f>
        <x:v>Normal</x:v>
      </x:c>
      <x:c r="T2271" s="9" t="str"/>
    </x:row>
    <x:row r="2272" ht="22" customHeight="1">
      <x:c r="A2272" s="2" t="str">
        <x:v>L00543-010</x:v>
      </x:c>
      <x:c r="B2272" s="2" t="str">
        <x:v>L00543</x:v>
      </x:c>
      <x:c r="C2272" s="2" t="str">
        <x:v>SO-26109</x:v>
      </x:c>
      <x:c r="D2272" s="2" t="str">
        <x:v>D-C-AL</x:v>
      </x:c>
      <x:c r="E2272" s="14" t="n">
        <x:v>15</x:v>
      </x:c>
      <x:c r="F2272" s="2" t="str">
        <x:v>CNC machining</x:v>
      </x:c>
      <x:c r="G2272" s="9" t="str">
        <x:v>CNC-02</x:v>
      </x:c>
      <x:c r="H2272" s="15" t="n">
        <x:v>46</x:v>
      </x:c>
      <x:c r="I2272" s="9" t="str">
        <x:v>P14</x:v>
      </x:c>
      <x:c r="J2272" s="11" t="n">
        <x:v>46308.615277777775</x:v>
      </x:c>
      <x:c r="K2272" s="15" t="n">
        <x:v>18</x:v>
      </x:c>
      <x:c r="L2272" s="15" t="n">
        <x:v>29</x:v>
      </x:c>
      <x:c r="M2272" s="13" t="n">
        <x:f>J2272+(K2272+L2272)/1440</x:f>
        <x:v>46308.64791666666</x:v>
      </x:c>
      <x:c r="N2272" s="13" t="n">
        <x:f>VLOOKUP(C2272,'MES orders'!$A$8:$H$127,5,FALSE)</x:f>
        <x:v>46308.666666666664</x:v>
      </x:c>
      <x:c r="O2272" s="16" t="n">
        <x:f>MAX(0,(M2272-N2272)*24)</x:f>
        <x:v>0</x:v>
      </x:c>
      <x:c r="P2272" s="9" t="str">
        <x:v>No</x:v>
      </x:c>
      <x:c r="Q2272" s="15" t="n">
        <x:v>18</x:v>
      </x:c>
      <x:c r="R2272" s="13" t="n">
        <x:f>J2272+Q2272/1440</x:f>
        <x:v>46308.62777777777</x:v>
      </x:c>
      <x:c r="S2272" s="2" t="str">
        <x:f>VLOOKUP(C2272,'MES orders'!$A$8:$H$127,6,FALSE)</x:f>
        <x:v>Normal</x:v>
      </x:c>
      <x:c r="T2272" s="9" t="str"/>
    </x:row>
    <x:row r="2273" ht="22" customHeight="1">
      <x:c r="A2273" s="2" t="str">
        <x:v>L00544-010</x:v>
      </x:c>
      <x:c r="B2273" s="2" t="str">
        <x:v>L00544</x:v>
      </x:c>
      <x:c r="C2273" s="2" t="str">
        <x:v>SO-26109</x:v>
      </x:c>
      <x:c r="D2273" s="2" t="str">
        <x:v>D-C-AL</x:v>
      </x:c>
      <x:c r="E2273" s="14" t="n">
        <x:v>15</x:v>
      </x:c>
      <x:c r="F2273" s="2" t="str">
        <x:v>CNC machining</x:v>
      </x:c>
      <x:c r="G2273" s="9" t="str">
        <x:v>CNC-05</x:v>
      </x:c>
      <x:c r="H2273" s="15" t="n">
        <x:v>62</x:v>
      </x:c>
      <x:c r="I2273" s="9" t="str">
        <x:v>P15</x:v>
      </x:c>
      <x:c r="J2273" s="11" t="n">
        <x:v>46308.618055555555</x:v>
      </x:c>
      <x:c r="K2273" s="15" t="n">
        <x:v>18</x:v>
      </x:c>
      <x:c r="L2273" s="15" t="n">
        <x:v>29</x:v>
      </x:c>
      <x:c r="M2273" s="13" t="n">
        <x:f>J2273+(K2273+L2273)/1440</x:f>
        <x:v>46308.65069444444</x:v>
      </x:c>
      <x:c r="N2273" s="13" t="n">
        <x:f>VLOOKUP(C2273,'MES orders'!$A$8:$H$127,5,FALSE)</x:f>
        <x:v>46308.666666666664</x:v>
      </x:c>
      <x:c r="O2273" s="16" t="n">
        <x:f>MAX(0,(M2273-N2273)*24)</x:f>
        <x:v>0</x:v>
      </x:c>
      <x:c r="P2273" s="9" t="str">
        <x:v>No</x:v>
      </x:c>
      <x:c r="Q2273" s="15" t="n">
        <x:v>18</x:v>
      </x:c>
      <x:c r="R2273" s="13" t="n">
        <x:f>J2273+Q2273/1440</x:f>
        <x:v>46308.63055555555</x:v>
      </x:c>
      <x:c r="S2273" s="2" t="str">
        <x:f>VLOOKUP(C2273,'MES orders'!$A$8:$H$127,6,FALSE)</x:f>
        <x:v>Normal</x:v>
      </x:c>
      <x:c r="T2273" s="9" t="str"/>
    </x:row>
    <x:row r="2274" ht="22" customHeight="1">
      <x:c r="A2274" s="2" t="str">
        <x:v>L00344-040</x:v>
      </x:c>
      <x:c r="B2274" s="2" t="str">
        <x:v>L00344</x:v>
      </x:c>
      <x:c r="C2274" s="2" t="str">
        <x:v>SO-26069</x:v>
      </x:c>
      <x:c r="D2274" s="2" t="str">
        <x:v>R-S-AL</x:v>
      </x:c>
      <x:c r="E2274" s="14" t="n">
        <x:v>15</x:v>
      </x:c>
      <x:c r="F2274" s="2" t="str">
        <x:v>Mechanical assembly</x:v>
      </x:c>
      <x:c r="G2274" s="9" t="str">
        <x:v>AS-02</x:v>
      </x:c>
      <x:c r="H2274" s="15" t="n">
        <x:v>150</x:v>
      </x:c>
      <x:c r="I2274" s="9" t="str">
        <x:v>P18</x:v>
      </x:c>
      <x:c r="J2274" s="11" t="n">
        <x:v>46308.62291666667</x:v>
      </x:c>
      <x:c r="K2274" s="15" t="n">
        <x:v>8</x:v>
      </x:c>
      <x:c r="L2274" s="15" t="n">
        <x:v>27</x:v>
      </x:c>
      <x:c r="M2274" s="13" t="n">
        <x:f>J2274+(K2274+L2274)/1440</x:f>
        <x:v>46308.64722222222</x:v>
      </x:c>
      <x:c r="N2274" s="13" t="n">
        <x:f>VLOOKUP(C2274,'MES orders'!$A$8:$H$127,5,FALSE)</x:f>
        <x:v>46308.666666666664</x:v>
      </x:c>
      <x:c r="O2274" s="16" t="n">
        <x:f>MAX(0,(M2274-N2274)*24)</x:f>
        <x:v>0</x:v>
      </x:c>
      <x:c r="P2274" s="9" t="str">
        <x:v>No</x:v>
      </x:c>
      <x:c r="Q2274" s="15" t="n">
        <x:v>35</x:v>
      </x:c>
      <x:c r="R2274" s="13" t="n">
        <x:f>J2274+Q2274/1440</x:f>
        <x:v>46308.64722222222</x:v>
      </x:c>
      <x:c r="S2274" s="2" t="str">
        <x:f>VLOOKUP(C2274,'MES orders'!$A$8:$H$127,6,FALSE)</x:f>
        <x:v>Normal</x:v>
      </x:c>
      <x:c r="T2274" s="9" t="str"/>
    </x:row>
    <x:row r="2275" ht="22" customHeight="1">
      <x:c r="A2275" s="2" t="str">
        <x:v>L00384-020</x:v>
      </x:c>
      <x:c r="B2275" s="2" t="str">
        <x:v>L00384</x:v>
      </x:c>
      <x:c r="C2275" s="2" t="str">
        <x:v>SO-26077</x:v>
      </x:c>
      <x:c r="D2275" s="2" t="str">
        <x:v>R-L-AL</x:v>
      </x:c>
      <x:c r="E2275" s="14" t="n">
        <x:v>10</x:v>
      </x:c>
      <x:c r="F2275" s="2" t="str">
        <x:v>Deburr &amp; inspect</x:v>
      </x:c>
      <x:c r="G2275" s="9" t="str">
        <x:v>DB-01</x:v>
      </x:c>
      <x:c r="H2275" s="15" t="n">
        <x:v>216</x:v>
      </x:c>
      <x:c r="I2275" s="9" t="str">
        <x:v>P17</x:v>
      </x:c>
      <x:c r="J2275" s="11" t="n">
        <x:v>46308.62291666667</x:v>
      </x:c>
      <x:c r="K2275" s="15" t="n">
        <x:v>4</x:v>
      </x:c>
      <x:c r="L2275" s="15" t="n">
        <x:v>9</x:v>
      </x:c>
      <x:c r="M2275" s="13" t="n">
        <x:f>J2275+(K2275+L2275)/1440</x:f>
        <x:v>46308.631944444445</x:v>
      </x:c>
      <x:c r="N2275" s="13" t="n">
        <x:f>VLOOKUP(C2275,'MES orders'!$A$8:$H$127,5,FALSE)</x:f>
        <x:v>46308.666666666664</x:v>
      </x:c>
      <x:c r="O2275" s="16" t="n">
        <x:f>MAX(0,(M2275-N2275)*24)</x:f>
        <x:v>0</x:v>
      </x:c>
      <x:c r="P2275" s="9" t="str">
        <x:v>No</x:v>
      </x:c>
      <x:c r="Q2275" s="15" t="n">
        <x:v>13</x:v>
      </x:c>
      <x:c r="R2275" s="13" t="n">
        <x:f>J2275+Q2275/1440</x:f>
        <x:v>46308.631944444445</x:v>
      </x:c>
      <x:c r="S2275" s="2" t="str">
        <x:f>VLOOKUP(C2275,'MES orders'!$A$8:$H$127,6,FALSE)</x:f>
        <x:v>Normal</x:v>
      </x:c>
      <x:c r="T2275" s="9" t="str"/>
    </x:row>
    <x:row r="2276" ht="22" customHeight="1">
      <x:c r="A2276" s="2" t="str">
        <x:v>L00341-060</x:v>
      </x:c>
      <x:c r="B2276" s="2" t="str">
        <x:v>L00341</x:v>
      </x:c>
      <x:c r="C2276" s="2" t="str">
        <x:v>SO-26069</x:v>
      </x:c>
      <x:c r="D2276" s="2" t="str">
        <x:v>R-S-AL</x:v>
      </x:c>
      <x:c r="E2276" s="14" t="n">
        <x:v>15</x:v>
      </x:c>
      <x:c r="F2276" s="2" t="str">
        <x:v>Final leak / function test</x:v>
      </x:c>
      <x:c r="G2276" s="9" t="str">
        <x:v>QA-02</x:v>
      </x:c>
      <x:c r="H2276" s="15" t="n">
        <x:v>166</x:v>
      </x:c>
      <x:c r="I2276" s="9" t="str">
        <x:v>P23</x:v>
      </x:c>
      <x:c r="J2276" s="11" t="n">
        <x:v>46308.62291666667</x:v>
      </x:c>
      <x:c r="K2276" s="15" t="n">
        <x:v>10</x:v>
      </x:c>
      <x:c r="L2276" s="15" t="n">
        <x:v>14</x:v>
      </x:c>
      <x:c r="M2276" s="13" t="n">
        <x:f>J2276+(K2276+L2276)/1440</x:f>
        <x:v>46308.63958333334</x:v>
      </x:c>
      <x:c r="N2276" s="13" t="n">
        <x:f>VLOOKUP(C2276,'MES orders'!$A$8:$H$127,5,FALSE)</x:f>
        <x:v>46308.666666666664</x:v>
      </x:c>
      <x:c r="O2276" s="16" t="n">
        <x:f>MAX(0,(M2276-N2276)*24)</x:f>
        <x:v>0</x:v>
      </x:c>
      <x:c r="P2276" s="9" t="str">
        <x:v>No</x:v>
      </x:c>
      <x:c r="Q2276" s="15" t="n">
        <x:v>24</x:v>
      </x:c>
      <x:c r="R2276" s="13" t="n">
        <x:f>J2276+Q2276/1440</x:f>
        <x:v>46308.63958333334</x:v>
      </x:c>
      <x:c r="S2276" s="2" t="str">
        <x:f>VLOOKUP(C2276,'MES orders'!$A$8:$H$127,6,FALSE)</x:f>
        <x:v>Normal</x:v>
      </x:c>
      <x:c r="T2276" s="9" t="str"/>
    </x:row>
    <x:row r="2277" ht="22" customHeight="1">
      <x:c r="A2277" s="2" t="str">
        <x:v>L00342-060</x:v>
      </x:c>
      <x:c r="B2277" s="2" t="str">
        <x:v>L00342</x:v>
      </x:c>
      <x:c r="C2277" s="2" t="str">
        <x:v>SO-26069</x:v>
      </x:c>
      <x:c r="D2277" s="2" t="str">
        <x:v>R-S-AL</x:v>
      </x:c>
      <x:c r="E2277" s="14" t="n">
        <x:v>15</x:v>
      </x:c>
      <x:c r="F2277" s="2" t="str">
        <x:v>Final leak / function test</x:v>
      </x:c>
      <x:c r="G2277" s="9" t="str">
        <x:v>QA-03</x:v>
      </x:c>
      <x:c r="H2277" s="15" t="n">
        <x:v>102</x:v>
      </x:c>
      <x:c r="I2277" s="9" t="str">
        <x:v>P24</x:v>
      </x:c>
      <x:c r="J2277" s="11" t="n">
        <x:v>46308.62291666667</x:v>
      </x:c>
      <x:c r="K2277" s="15" t="n">
        <x:v>10</x:v>
      </x:c>
      <x:c r="L2277" s="15" t="n">
        <x:v>14</x:v>
      </x:c>
      <x:c r="M2277" s="13" t="n">
        <x:f>J2277+(K2277+L2277)/1440</x:f>
        <x:v>46308.63958333334</x:v>
      </x:c>
      <x:c r="N2277" s="13" t="n">
        <x:f>VLOOKUP(C2277,'MES orders'!$A$8:$H$127,5,FALSE)</x:f>
        <x:v>46308.666666666664</x:v>
      </x:c>
      <x:c r="O2277" s="16" t="n">
        <x:f>MAX(0,(M2277-N2277)*24)</x:f>
        <x:v>0</x:v>
      </x:c>
      <x:c r="P2277" s="9" t="str">
        <x:v>No</x:v>
      </x:c>
      <x:c r="Q2277" s="15" t="n">
        <x:v>24</x:v>
      </x:c>
      <x:c r="R2277" s="13" t="n">
        <x:f>J2277+Q2277/1440</x:f>
        <x:v>46308.63958333334</x:v>
      </x:c>
      <x:c r="S2277" s="2" t="str">
        <x:f>VLOOKUP(C2277,'MES orders'!$A$8:$H$127,6,FALSE)</x:f>
        <x:v>Normal</x:v>
      </x:c>
      <x:c r="T2277" s="9" t="str"/>
    </x:row>
    <x:row r="2278" ht="22" customHeight="1">
      <x:c r="A2278" s="2" t="str">
        <x:v>L00502-040</x:v>
      </x:c>
      <x:c r="B2278" s="2" t="str">
        <x:v>L00502</x:v>
      </x:c>
      <x:c r="C2278" s="2" t="str">
        <x:v>SO-26101</x:v>
      </x:c>
      <x:c r="D2278" s="2" t="str">
        <x:v>S-L-AL</x:v>
      </x:c>
      <x:c r="E2278" s="14" t="n">
        <x:v>10</x:v>
      </x:c>
      <x:c r="F2278" s="2" t="str">
        <x:v>Mechanical preassembly</x:v>
      </x:c>
      <x:c r="G2278" s="9" t="str">
        <x:v>AS-04</x:v>
      </x:c>
      <x:c r="H2278" s="15" t="n">
        <x:v>79</x:v>
      </x:c>
      <x:c r="I2278" s="9" t="str">
        <x:v>P13</x:v>
      </x:c>
      <x:c r="J2278" s="11" t="n">
        <x:v>46308.626388888886</x:v>
      </x:c>
      <x:c r="K2278" s="15" t="n">
        <x:v>6</x:v>
      </x:c>
      <x:c r="L2278" s="15" t="n">
        <x:v>15</x:v>
      </x:c>
      <x:c r="M2278" s="13" t="n">
        <x:f>J2278+(K2278+L2278)/1440</x:f>
        <x:v>46308.640972222216</x:v>
      </x:c>
      <x:c r="N2278" s="13" t="n">
        <x:f>VLOOKUP(C2278,'MES orders'!$A$8:$H$127,5,FALSE)</x:f>
        <x:v>46308.666666666664</x:v>
      </x:c>
      <x:c r="O2278" s="16" t="n">
        <x:f>MAX(0,(M2278-N2278)*24)</x:f>
        <x:v>0</x:v>
      </x:c>
      <x:c r="P2278" s="9" t="str">
        <x:v>No</x:v>
      </x:c>
      <x:c r="Q2278" s="15" t="n">
        <x:v>21</x:v>
      </x:c>
      <x:c r="R2278" s="13" t="n">
        <x:f>J2278+Q2278/1440</x:f>
        <x:v>46308.640972222216</x:v>
      </x:c>
      <x:c r="S2278" s="2" t="str">
        <x:f>VLOOKUP(C2278,'MES orders'!$A$8:$H$127,6,FALSE)</x:f>
        <x:v>Normal</x:v>
      </x:c>
      <x:c r="T2278" s="9" t="str"/>
    </x:row>
    <x:row r="2279" ht="22" customHeight="1">
      <x:c r="A2279" s="2" t="str">
        <x:v>L00504-020</x:v>
      </x:c>
      <x:c r="B2279" s="2" t="str">
        <x:v>L00504</x:v>
      </x:c>
      <x:c r="C2279" s="2" t="str">
        <x:v>SO-26101</x:v>
      </x:c>
      <x:c r="D2279" s="2" t="str">
        <x:v>S-L-AL</x:v>
      </x:c>
      <x:c r="E2279" s="14" t="n">
        <x:v>10</x:v>
      </x:c>
      <x:c r="F2279" s="2" t="str">
        <x:v>Deburr &amp; inspect</x:v>
      </x:c>
      <x:c r="G2279" s="9" t="str">
        <x:v>DB-02</x:v>
      </x:c>
      <x:c r="H2279" s="15" t="n">
        <x:v>147</x:v>
      </x:c>
      <x:c r="I2279" s="9" t="str">
        <x:v>P14</x:v>
      </x:c>
      <x:c r="J2279" s="11" t="n">
        <x:v>46308.62777777778</x:v>
      </x:c>
      <x:c r="K2279" s="15" t="n">
        <x:v>4</x:v>
      </x:c>
      <x:c r="L2279" s="15" t="n">
        <x:v>9</x:v>
      </x:c>
      <x:c r="M2279" s="13" t="n">
        <x:f>J2279+(K2279+L2279)/1440</x:f>
        <x:v>46308.63680555556</x:v>
      </x:c>
      <x:c r="N2279" s="13" t="n">
        <x:f>VLOOKUP(C2279,'MES orders'!$A$8:$H$127,5,FALSE)</x:f>
        <x:v>46308.666666666664</x:v>
      </x:c>
      <x:c r="O2279" s="16" t="n">
        <x:f>MAX(0,(M2279-N2279)*24)</x:f>
        <x:v>0</x:v>
      </x:c>
      <x:c r="P2279" s="9" t="str">
        <x:v>No</x:v>
      </x:c>
      <x:c r="Q2279" s="15" t="n">
        <x:v>13</x:v>
      </x:c>
      <x:c r="R2279" s="13" t="n">
        <x:f>J2279+Q2279/1440</x:f>
        <x:v>46308.63680555556</x:v>
      </x:c>
      <x:c r="S2279" s="2" t="str">
        <x:f>VLOOKUP(C2279,'MES orders'!$A$8:$H$127,6,FALSE)</x:f>
        <x:v>Normal</x:v>
      </x:c>
      <x:c r="T2279" s="9" t="str"/>
    </x:row>
    <x:row r="2280" ht="22" customHeight="1">
      <x:c r="A2280" s="2" t="str">
        <x:v>L00343-050</x:v>
      </x:c>
      <x:c r="B2280" s="2" t="str">
        <x:v>L00343</x:v>
      </x:c>
      <x:c r="C2280" s="2" t="str">
        <x:v>SO-26069</x:v>
      </x:c>
      <x:c r="D2280" s="2" t="str">
        <x:v>R-S-AL</x:v>
      </x:c>
      <x:c r="E2280" s="14" t="n">
        <x:v>15</x:v>
      </x:c>
      <x:c r="F2280" s="2" t="str">
        <x:v>Valve adjustment</x:v>
      </x:c>
      <x:c r="G2280" s="9" t="str">
        <x:v>AS-01</x:v>
      </x:c>
      <x:c r="H2280" s="15" t="n">
        <x:v>183</x:v>
      </x:c>
      <x:c r="I2280" s="9" t="str">
        <x:v>P17</x:v>
      </x:c>
      <x:c r="J2280" s="11" t="n">
        <x:v>46308.631944444445</x:v>
      </x:c>
      <x:c r="K2280" s="15" t="n">
        <x:v>6</x:v>
      </x:c>
      <x:c r="L2280" s="15" t="n">
        <x:v>16</x:v>
      </x:c>
      <x:c r="M2280" s="13" t="n">
        <x:f>J2280+(K2280+L2280)/1440</x:f>
        <x:v>46308.64722222222</x:v>
      </x:c>
      <x:c r="N2280" s="13" t="n">
        <x:f>VLOOKUP(C2280,'MES orders'!$A$8:$H$127,5,FALSE)</x:f>
        <x:v>46308.666666666664</x:v>
      </x:c>
      <x:c r="O2280" s="16" t="n">
        <x:f>MAX(0,(M2280-N2280)*24)</x:f>
        <x:v>0</x:v>
      </x:c>
      <x:c r="P2280" s="9" t="str">
        <x:v>No</x:v>
      </x:c>
      <x:c r="Q2280" s="15" t="n">
        <x:v>22</x:v>
      </x:c>
      <x:c r="R2280" s="13" t="n">
        <x:f>J2280+Q2280/1440</x:f>
        <x:v>46308.64722222222</x:v>
      </x:c>
      <x:c r="S2280" s="2" t="str">
        <x:f>VLOOKUP(C2280,'MES orders'!$A$8:$H$127,6,FALSE)</x:f>
        <x:v>Normal</x:v>
      </x:c>
      <x:c r="T2280" s="9" t="str"/>
    </x:row>
    <x:row r="2281" ht="22" customHeight="1">
      <x:c r="A2281" s="2" t="str">
        <x:v>L00381-030</x:v>
      </x:c>
      <x:c r="B2281" s="2" t="str">
        <x:v>L00381</x:v>
      </x:c>
      <x:c r="C2281" s="2" t="str">
        <x:v>SO-26077</x:v>
      </x:c>
      <x:c r="D2281" s="2" t="str">
        <x:v>R-L-AL</x:v>
      </x:c>
      <x:c r="E2281" s="14" t="n">
        <x:v>10</x:v>
      </x:c>
      <x:c r="F2281" s="2" t="str">
        <x:v>Wash &amp; dry</x:v>
      </x:c>
      <x:c r="G2281" s="9" t="str">
        <x:v>WS-01</x:v>
      </x:c>
      <x:c r="H2281" s="15" t="n">
        <x:v>213</x:v>
      </x:c>
      <x:c r="I2281" s="9" t="str">
        <x:v>P16</x:v>
      </x:c>
      <x:c r="J2281" s="11" t="n">
        <x:v>46308.631944444445</x:v>
      </x:c>
      <x:c r="K2281" s="15" t="n">
        <x:v>12</x:v>
      </x:c>
      <x:c r="L2281" s="15" t="n">
        <x:v>5</x:v>
      </x:c>
      <x:c r="M2281" s="13" t="n">
        <x:f>J2281+(K2281+L2281)/1440</x:f>
        <x:v>46308.64375</x:v>
      </x:c>
      <x:c r="N2281" s="13" t="n">
        <x:f>VLOOKUP(C2281,'MES orders'!$A$8:$H$127,5,FALSE)</x:f>
        <x:v>46308.666666666664</x:v>
      </x:c>
      <x:c r="O2281" s="16" t="n">
        <x:f>MAX(0,(M2281-N2281)*24)</x:f>
        <x:v>0</x:v>
      </x:c>
      <x:c r="P2281" s="9" t="str">
        <x:v>No</x:v>
      </x:c>
      <x:c r="Q2281" s="15" t="n">
        <x:v>17</x:v>
      </x:c>
      <x:c r="R2281" s="13" t="n">
        <x:f>J2281+Q2281/1440</x:f>
        <x:v>46308.64375</x:v>
      </x:c>
      <x:c r="S2281" s="2" t="str">
        <x:f>VLOOKUP(C2281,'MES orders'!$A$8:$H$127,6,FALSE)</x:f>
        <x:v>Normal</x:v>
      </x:c>
      <x:c r="T2281" s="9" t="str"/>
    </x:row>
    <x:row r="2282" ht="22" customHeight="1">
      <x:c r="A2282" s="2" t="str">
        <x:v>L00504-030</x:v>
      </x:c>
      <x:c r="B2282" s="2" t="str">
        <x:v>L00504</x:v>
      </x:c>
      <x:c r="C2282" s="2" t="str">
        <x:v>SO-26101</x:v>
      </x:c>
      <x:c r="D2282" s="2" t="str">
        <x:v>S-L-AL</x:v>
      </x:c>
      <x:c r="E2282" s="14" t="n">
        <x:v>10</x:v>
      </x:c>
      <x:c r="F2282" s="2" t="str">
        <x:v>Wash &amp; dry</x:v>
      </x:c>
      <x:c r="G2282" s="9" t="str">
        <x:v>WS-02</x:v>
      </x:c>
      <x:c r="H2282" s="15" t="n">
        <x:v>148</x:v>
      </x:c>
      <x:c r="I2282" s="9" t="str">
        <x:v>P14</x:v>
      </x:c>
      <x:c r="J2282" s="11" t="n">
        <x:v>46308.63680555556</x:v>
      </x:c>
      <x:c r="K2282" s="15" t="n">
        <x:v>12</x:v>
      </x:c>
      <x:c r="L2282" s="15" t="n">
        <x:v>5</x:v>
      </x:c>
      <x:c r="M2282" s="13" t="n">
        <x:f>J2282+(K2282+L2282)/1440</x:f>
        <x:v>46308.648611111115</x:v>
      </x:c>
      <x:c r="N2282" s="13" t="n">
        <x:f>VLOOKUP(C2282,'MES orders'!$A$8:$H$127,5,FALSE)</x:f>
        <x:v>46308.666666666664</x:v>
      </x:c>
      <x:c r="O2282" s="16" t="n">
        <x:f>MAX(0,(M2282-N2282)*24)</x:f>
        <x:v>0</x:v>
      </x:c>
      <x:c r="P2282" s="9" t="str">
        <x:v>No</x:v>
      </x:c>
      <x:c r="Q2282" s="15" t="n">
        <x:v>17</x:v>
      </x:c>
      <x:c r="R2282" s="13" t="n">
        <x:f>J2282+Q2282/1440</x:f>
        <x:v>46308.648611111115</x:v>
      </x:c>
      <x:c r="S2282" s="2" t="str">
        <x:f>VLOOKUP(C2282,'MES orders'!$A$8:$H$127,6,FALSE)</x:f>
        <x:v>Normal</x:v>
      </x:c>
      <x:c r="T2282" s="9" t="str"/>
    </x:row>
    <x:row r="2283" ht="22" customHeight="1">
      <x:c r="A2283" s="2" t="str">
        <x:v>L00505-020</x:v>
      </x:c>
      <x:c r="B2283" s="2" t="str">
        <x:v>L00505</x:v>
      </x:c>
      <x:c r="C2283" s="2" t="str">
        <x:v>SO-26101</x:v>
      </x:c>
      <x:c r="D2283" s="2" t="str">
        <x:v>S-L-AL</x:v>
      </x:c>
      <x:c r="E2283" s="14" t="n">
        <x:v>10</x:v>
      </x:c>
      <x:c r="F2283" s="2" t="str">
        <x:v>Deburr &amp; inspect</x:v>
      </x:c>
      <x:c r="G2283" s="9" t="str">
        <x:v>DB-01</x:v>
      </x:c>
      <x:c r="H2283" s="15" t="n">
        <x:v>217</x:v>
      </x:c>
      <x:c r="I2283" s="9" t="str">
        <x:v>P15</x:v>
      </x:c>
      <x:c r="J2283" s="11" t="n">
        <x:v>46308.6375</x:v>
      </x:c>
      <x:c r="K2283" s="15" t="n">
        <x:v>4</x:v>
      </x:c>
      <x:c r="L2283" s="15" t="n">
        <x:v>9</x:v>
      </x:c>
      <x:c r="M2283" s="13" t="n">
        <x:f>J2283+(K2283+L2283)/1440</x:f>
        <x:v>46308.646527777775</x:v>
      </x:c>
      <x:c r="N2283" s="13" t="n">
        <x:f>VLOOKUP(C2283,'MES orders'!$A$8:$H$127,5,FALSE)</x:f>
        <x:v>46308.666666666664</x:v>
      </x:c>
      <x:c r="O2283" s="16" t="n">
        <x:f>MAX(0,(M2283-N2283)*24)</x:f>
        <x:v>0</x:v>
      </x:c>
      <x:c r="P2283" s="9" t="str">
        <x:v>No</x:v>
      </x:c>
      <x:c r="Q2283" s="15" t="n">
        <x:v>13</x:v>
      </x:c>
      <x:c r="R2283" s="13" t="n">
        <x:f>J2283+Q2283/1440</x:f>
        <x:v>46308.646527777775</x:v>
      </x:c>
      <x:c r="S2283" s="2" t="str">
        <x:f>VLOOKUP(C2283,'MES orders'!$A$8:$H$127,6,FALSE)</x:f>
        <x:v>Normal</x:v>
      </x:c>
      <x:c r="T2283" s="9" t="str"/>
    </x:row>
    <x:row r="2284" ht="22" customHeight="1">
      <x:c r="A2284" s="2" t="str">
        <x:v>L00542-020</x:v>
      </x:c>
      <x:c r="B2284" s="2" t="str">
        <x:v>L00542</x:v>
      </x:c>
      <x:c r="C2284" s="2" t="str">
        <x:v>SO-26109</x:v>
      </x:c>
      <x:c r="D2284" s="2" t="str">
        <x:v>D-C-AL</x:v>
      </x:c>
      <x:c r="E2284" s="14" t="n">
        <x:v>15</x:v>
      </x:c>
      <x:c r="F2284" s="2" t="str">
        <x:v>Deburr &amp; inspect</x:v>
      </x:c>
      <x:c r="G2284" s="9" t="str">
        <x:v>DB-02</x:v>
      </x:c>
      <x:c r="H2284" s="15" t="n">
        <x:v>148</x:v>
      </x:c>
      <x:c r="I2284" s="9" t="str">
        <x:v>P20</x:v>
      </x:c>
      <x:c r="J2284" s="11" t="n">
        <x:v>46308.638194444444</x:v>
      </x:c>
      <x:c r="K2284" s="15" t="n">
        <x:v>4</x:v>
      </x:c>
      <x:c r="L2284" s="15" t="n">
        <x:v>8</x:v>
      </x:c>
      <x:c r="M2284" s="13" t="n">
        <x:f>J2284+(K2284+L2284)/1440</x:f>
        <x:v>46308.646527777775</x:v>
      </x:c>
      <x:c r="N2284" s="13" t="n">
        <x:f>VLOOKUP(C2284,'MES orders'!$A$8:$H$127,5,FALSE)</x:f>
        <x:v>46308.666666666664</x:v>
      </x:c>
      <x:c r="O2284" s="16" t="n">
        <x:f>MAX(0,(M2284-N2284)*24)</x:f>
        <x:v>0</x:v>
      </x:c>
      <x:c r="P2284" s="9" t="str">
        <x:v>No</x:v>
      </x:c>
      <x:c r="Q2284" s="15" t="n">
        <x:v>12</x:v>
      </x:c>
      <x:c r="R2284" s="13" t="n">
        <x:f>J2284+Q2284/1440</x:f>
        <x:v>46308.646527777775</x:v>
      </x:c>
      <x:c r="S2284" s="2" t="str">
        <x:f>VLOOKUP(C2284,'MES orders'!$A$8:$H$127,6,FALSE)</x:f>
        <x:v>Normal</x:v>
      </x:c>
      <x:c r="T2284" s="9" t="str"/>
    </x:row>
    <x:row r="2285" ht="22" customHeight="1">
      <x:c r="A2285" s="2" t="str">
        <x:v>L00502-050</x:v>
      </x:c>
      <x:c r="B2285" s="2" t="str">
        <x:v>L00502</x:v>
      </x:c>
      <x:c r="C2285" s="2" t="str">
        <x:v>SO-26101</x:v>
      </x:c>
      <x:c r="D2285" s="2" t="str">
        <x:v>S-L-AL</x:v>
      </x:c>
      <x:c r="E2285" s="14" t="n">
        <x:v>10</x:v>
      </x:c>
      <x:c r="F2285" s="2" t="str">
        <x:v>Sensor installation</x:v>
      </x:c>
      <x:c r="G2285" s="9" t="str">
        <x:v>EL-01</x:v>
      </x:c>
      <x:c r="H2285" s="15" t="n">
        <x:v>77</x:v>
      </x:c>
      <x:c r="I2285" s="9" t="str">
        <x:v>P19</x:v>
      </x:c>
      <x:c r="J2285" s="11" t="n">
        <x:v>46308.64097222222</x:v>
      </x:c>
      <x:c r="K2285" s="15" t="n">
        <x:v>8</x:v>
      </x:c>
      <x:c r="L2285" s="15" t="n">
        <x:v>16</x:v>
      </x:c>
      <x:c r="M2285" s="13" t="n">
        <x:f>J2285+(K2285+L2285)/1440</x:f>
        <x:v>46308.65763888889</x:v>
      </x:c>
      <x:c r="N2285" s="13" t="n">
        <x:f>VLOOKUP(C2285,'MES orders'!$A$8:$H$127,5,FALSE)</x:f>
        <x:v>46308.666666666664</x:v>
      </x:c>
      <x:c r="O2285" s="16" t="n">
        <x:f>MAX(0,(M2285-N2285)*24)</x:f>
        <x:v>0</x:v>
      </x:c>
      <x:c r="P2285" s="9" t="str">
        <x:v>No</x:v>
      </x:c>
      <x:c r="Q2285" s="15" t="n">
        <x:v>24</x:v>
      </x:c>
      <x:c r="R2285" s="13" t="n">
        <x:f>J2285+Q2285/1440</x:f>
        <x:v>46308.65763888889</x:v>
      </x:c>
      <x:c r="S2285" s="2" t="str">
        <x:f>VLOOKUP(C2285,'MES orders'!$A$8:$H$127,6,FALSE)</x:f>
        <x:v>Normal</x:v>
      </x:c>
      <x:c r="T2285" s="9" t="str"/>
    </x:row>
    <x:row r="2286" ht="22" customHeight="1">
      <x:c r="A2286" s="2" t="str">
        <x:v>L00381-040</x:v>
      </x:c>
      <x:c r="B2286" s="2" t="str">
        <x:v>L00381</x:v>
      </x:c>
      <x:c r="C2286" s="2" t="str">
        <x:v>SO-26077</x:v>
      </x:c>
      <x:c r="D2286" s="2" t="str">
        <x:v>R-L-AL</x:v>
      </x:c>
      <x:c r="E2286" s="14" t="n">
        <x:v>10</x:v>
      </x:c>
      <x:c r="F2286" s="2" t="str">
        <x:v>Mechanical assembly</x:v>
      </x:c>
      <x:c r="G2286" s="9" t="str">
        <x:v>AS-03</x:v>
      </x:c>
      <x:c r="H2286" s="15" t="n">
        <x:v>122</x:v>
      </x:c>
      <x:c r="I2286" s="9" t="str">
        <x:v>P16</x:v>
      </x:c>
      <x:c r="J2286" s="11" t="n">
        <x:v>46308.64375</x:v>
      </x:c>
      <x:c r="K2286" s="15" t="n">
        <x:v>8</x:v>
      </x:c>
      <x:c r="L2286" s="15" t="n">
        <x:v>24</x:v>
      </x:c>
      <x:c r="M2286" s="13" t="n">
        <x:f>J2286+(K2286+L2286)/1440</x:f>
        <x:v>46308.665972222225</x:v>
      </x:c>
      <x:c r="N2286" s="13" t="n">
        <x:f>VLOOKUP(C2286,'MES orders'!$A$8:$H$127,5,FALSE)</x:f>
        <x:v>46308.666666666664</x:v>
      </x:c>
      <x:c r="O2286" s="16" t="n">
        <x:f>MAX(0,(M2286-N2286)*24)</x:f>
        <x:v>0</x:v>
      </x:c>
      <x:c r="P2286" s="9" t="str">
        <x:v>No</x:v>
      </x:c>
      <x:c r="Q2286" s="15" t="n">
        <x:v>32</x:v>
      </x:c>
      <x:c r="R2286" s="13" t="n">
        <x:f>J2286+Q2286/1440</x:f>
        <x:v>46308.665972222225</x:v>
      </x:c>
      <x:c r="S2286" s="2" t="str">
        <x:f>VLOOKUP(C2286,'MES orders'!$A$8:$H$127,6,FALSE)</x:f>
        <x:v>Normal</x:v>
      </x:c>
      <x:c r="T2286" s="9" t="str"/>
    </x:row>
    <x:row r="2287" ht="22" customHeight="1">
      <x:c r="A2287" s="2" t="str">
        <x:v>L00542-030</x:v>
      </x:c>
      <x:c r="B2287" s="2" t="str">
        <x:v>L00542</x:v>
      </x:c>
      <x:c r="C2287" s="2" t="str">
        <x:v>SO-26109</x:v>
      </x:c>
      <x:c r="D2287" s="2" t="str">
        <x:v>D-C-AL</x:v>
      </x:c>
      <x:c r="E2287" s="14" t="n">
        <x:v>15</x:v>
      </x:c>
      <x:c r="F2287" s="2" t="str">
        <x:v>Wash &amp; dry</x:v>
      </x:c>
      <x:c r="G2287" s="9" t="str">
        <x:v>WS-01</x:v>
      </x:c>
      <x:c r="H2287" s="15" t="n">
        <x:v>214</x:v>
      </x:c>
      <x:c r="I2287" s="9" t="str">
        <x:v>P13</x:v>
      </x:c>
      <x:c r="J2287" s="11" t="n">
        <x:v>46308.646527777775</x:v>
      </x:c>
      <x:c r="K2287" s="15" t="n">
        <x:v>12</x:v>
      </x:c>
      <x:c r="L2287" s="15" t="n">
        <x:v>4</x:v>
      </x:c>
      <x:c r="M2287" s="13" t="n">
        <x:f>J2287+(K2287+L2287)/1440</x:f>
        <x:v>46308.657638888886</x:v>
      </x:c>
      <x:c r="N2287" s="13" t="n">
        <x:f>VLOOKUP(C2287,'MES orders'!$A$8:$H$127,5,FALSE)</x:f>
        <x:v>46308.666666666664</x:v>
      </x:c>
      <x:c r="O2287" s="16" t="n">
        <x:f>MAX(0,(M2287-N2287)*24)</x:f>
        <x:v>0</x:v>
      </x:c>
      <x:c r="P2287" s="9" t="str">
        <x:v>No</x:v>
      </x:c>
      <x:c r="Q2287" s="15" t="n">
        <x:v>16</x:v>
      </x:c>
      <x:c r="R2287" s="13" t="n">
        <x:f>J2287+Q2287/1440</x:f>
        <x:v>46308.657638888886</x:v>
      </x:c>
      <x:c r="S2287" s="2" t="str">
        <x:f>VLOOKUP(C2287,'MES orders'!$A$8:$H$127,6,FALSE)</x:f>
        <x:v>Normal</x:v>
      </x:c>
      <x:c r="T2287" s="9" t="str"/>
    </x:row>
    <x:row r="2288" ht="22" customHeight="1">
      <x:c r="A2288" s="2" t="str">
        <x:v>L00344-050</x:v>
      </x:c>
      <x:c r="B2288" s="2" t="str">
        <x:v>L00344</x:v>
      </x:c>
      <x:c r="C2288" s="2" t="str">
        <x:v>SO-26069</x:v>
      </x:c>
      <x:c r="D2288" s="2" t="str">
        <x:v>R-S-AL</x:v>
      </x:c>
      <x:c r="E2288" s="14" t="n">
        <x:v>15</x:v>
      </x:c>
      <x:c r="F2288" s="2" t="str">
        <x:v>Valve adjustment</x:v>
      </x:c>
      <x:c r="G2288" s="9" t="str">
        <x:v>AS-01</x:v>
      </x:c>
      <x:c r="H2288" s="15" t="n">
        <x:v>184</x:v>
      </x:c>
      <x:c r="I2288" s="9" t="str">
        <x:v>P17</x:v>
      </x:c>
      <x:c r="J2288" s="11" t="n">
        <x:v>46308.64722222222</x:v>
      </x:c>
      <x:c r="K2288" s="15" t="n">
        <x:v>6</x:v>
      </x:c>
      <x:c r="L2288" s="15" t="n">
        <x:v>16</x:v>
      </x:c>
      <x:c r="M2288" s="13" t="n">
        <x:f>J2288+(K2288+L2288)/1440</x:f>
        <x:v>46308.6625</x:v>
      </x:c>
      <x:c r="N2288" s="13" t="n">
        <x:f>VLOOKUP(C2288,'MES orders'!$A$8:$H$127,5,FALSE)</x:f>
        <x:v>46308.666666666664</x:v>
      </x:c>
      <x:c r="O2288" s="16" t="n">
        <x:f>MAX(0,(M2288-N2288)*24)</x:f>
        <x:v>0</x:v>
      </x:c>
      <x:c r="P2288" s="9" t="str">
        <x:v>No</x:v>
      </x:c>
      <x:c r="Q2288" s="15" t="n">
        <x:v>22</x:v>
      </x:c>
      <x:c r="R2288" s="13" t="n">
        <x:f>J2288+Q2288/1440</x:f>
        <x:v>46308.6625</x:v>
      </x:c>
      <x:c r="S2288" s="2" t="str">
        <x:f>VLOOKUP(C2288,'MES orders'!$A$8:$H$127,6,FALSE)</x:f>
        <x:v>Normal</x:v>
      </x:c>
      <x:c r="T2288" s="9" t="str"/>
    </x:row>
    <x:row r="2289" ht="22" customHeight="1">
      <x:c r="A2289" s="2" t="str">
        <x:v>L00382-050</x:v>
      </x:c>
      <x:c r="B2289" s="2" t="str">
        <x:v>L00382</x:v>
      </x:c>
      <x:c r="C2289" s="2" t="str">
        <x:v>SO-26077</x:v>
      </x:c>
      <x:c r="D2289" s="2" t="str">
        <x:v>R-L-AL</x:v>
      </x:c>
      <x:c r="E2289" s="14" t="n">
        <x:v>10</x:v>
      </x:c>
      <x:c r="F2289" s="2" t="str">
        <x:v>Valve adjustment</x:v>
      </x:c>
      <x:c r="G2289" s="9" t="str">
        <x:v>AS-02</x:v>
      </x:c>
      <x:c r="H2289" s="15" t="n">
        <x:v>151</x:v>
      </x:c>
      <x:c r="I2289" s="9" t="str">
        <x:v>P18</x:v>
      </x:c>
      <x:c r="J2289" s="11" t="n">
        <x:v>46308.64722222222</x:v>
      </x:c>
      <x:c r="K2289" s="15" t="n">
        <x:v>6</x:v>
      </x:c>
      <x:c r="L2289" s="15" t="n">
        <x:v>15</x:v>
      </x:c>
      <x:c r="M2289" s="13" t="n">
        <x:f>J2289+(K2289+L2289)/1440</x:f>
        <x:v>46308.66180555555</x:v>
      </x:c>
      <x:c r="N2289" s="13" t="n">
        <x:f>VLOOKUP(C2289,'MES orders'!$A$8:$H$127,5,FALSE)</x:f>
        <x:v>46308.666666666664</x:v>
      </x:c>
      <x:c r="O2289" s="16" t="n">
        <x:f>MAX(0,(M2289-N2289)*24)</x:f>
        <x:v>0</x:v>
      </x:c>
      <x:c r="P2289" s="9" t="str">
        <x:v>No</x:v>
      </x:c>
      <x:c r="Q2289" s="15" t="n">
        <x:v>21</x:v>
      </x:c>
      <x:c r="R2289" s="13" t="n">
        <x:f>J2289+Q2289/1440</x:f>
        <x:v>46308.66180555555</x:v>
      </x:c>
      <x:c r="S2289" s="2" t="str">
        <x:f>VLOOKUP(C2289,'MES orders'!$A$8:$H$127,6,FALSE)</x:f>
        <x:v>Normal</x:v>
      </x:c>
      <x:c r="T2289" s="9" t="str"/>
    </x:row>
    <x:row r="2290" ht="22" customHeight="1">
      <x:c r="A2290" s="2" t="str">
        <x:v>L00343-060</x:v>
      </x:c>
      <x:c r="B2290" s="2" t="str">
        <x:v>L00343</x:v>
      </x:c>
      <x:c r="C2290" s="2" t="str">
        <x:v>SO-26069</x:v>
      </x:c>
      <x:c r="D2290" s="2" t="str">
        <x:v>R-S-AL</x:v>
      </x:c>
      <x:c r="E2290" s="14" t="n">
        <x:v>15</x:v>
      </x:c>
      <x:c r="F2290" s="2" t="str">
        <x:v>Final leak / function test</x:v>
      </x:c>
      <x:c r="G2290" s="9" t="str">
        <x:v>QA-02</x:v>
      </x:c>
      <x:c r="H2290" s="15" t="n">
        <x:v>167</x:v>
      </x:c>
      <x:c r="I2290" s="9" t="str">
        <x:v>P23</x:v>
      </x:c>
      <x:c r="J2290" s="11" t="n">
        <x:v>46308.64722222222</x:v>
      </x:c>
      <x:c r="K2290" s="15" t="n">
        <x:v>10</x:v>
      </x:c>
      <x:c r="L2290" s="15" t="n">
        <x:v>14</x:v>
      </x:c>
      <x:c r="M2290" s="13" t="n">
        <x:f>J2290+(K2290+L2290)/1440</x:f>
        <x:v>46308.66388888889</x:v>
      </x:c>
      <x:c r="N2290" s="13" t="n">
        <x:f>VLOOKUP(C2290,'MES orders'!$A$8:$H$127,5,FALSE)</x:f>
        <x:v>46308.666666666664</x:v>
      </x:c>
      <x:c r="O2290" s="16" t="n">
        <x:f>MAX(0,(M2290-N2290)*24)</x:f>
        <x:v>0</x:v>
      </x:c>
      <x:c r="P2290" s="9" t="str">
        <x:v>No</x:v>
      </x:c>
      <x:c r="Q2290" s="15" t="n">
        <x:v>24</x:v>
      </x:c>
      <x:c r="R2290" s="13" t="n">
        <x:f>J2290+Q2290/1440</x:f>
        <x:v>46308.66388888889</x:v>
      </x:c>
      <x:c r="S2290" s="2" t="str">
        <x:f>VLOOKUP(C2290,'MES orders'!$A$8:$H$127,6,FALSE)</x:f>
        <x:v>Normal</x:v>
      </x:c>
      <x:c r="T2290" s="9" t="str"/>
    </x:row>
    <x:row r="2291" ht="22" customHeight="1">
      <x:c r="A2291" s="2" t="str">
        <x:v>L00543-020</x:v>
      </x:c>
      <x:c r="B2291" s="2" t="str">
        <x:v>L00543</x:v>
      </x:c>
      <x:c r="C2291" s="2" t="str">
        <x:v>SO-26109</x:v>
      </x:c>
      <x:c r="D2291" s="2" t="str">
        <x:v>D-C-AL</x:v>
      </x:c>
      <x:c r="E2291" s="14" t="n">
        <x:v>15</x:v>
      </x:c>
      <x:c r="F2291" s="2" t="str">
        <x:v>Deburr &amp; inspect</x:v>
      </x:c>
      <x:c r="G2291" s="9" t="str">
        <x:v>DB-01</x:v>
      </x:c>
      <x:c r="H2291" s="15" t="n">
        <x:v>218</x:v>
      </x:c>
      <x:c r="I2291" s="9" t="str">
        <x:v>P15</x:v>
      </x:c>
      <x:c r="J2291" s="11" t="n">
        <x:v>46308.64791666667</x:v>
      </x:c>
      <x:c r="K2291" s="15" t="n">
        <x:v>4</x:v>
      </x:c>
      <x:c r="L2291" s="15" t="n">
        <x:v>8</x:v>
      </x:c>
      <x:c r="M2291" s="13" t="n">
        <x:f>J2291+(K2291+L2291)/1440</x:f>
        <x:v>46308.65625</x:v>
      </x:c>
      <x:c r="N2291" s="13" t="n">
        <x:f>VLOOKUP(C2291,'MES orders'!$A$8:$H$127,5,FALSE)</x:f>
        <x:v>46308.666666666664</x:v>
      </x:c>
      <x:c r="O2291" s="16" t="n">
        <x:f>MAX(0,(M2291-N2291)*24)</x:f>
        <x:v>0</x:v>
      </x:c>
      <x:c r="P2291" s="9" t="str">
        <x:v>No</x:v>
      </x:c>
      <x:c r="Q2291" s="15" t="n">
        <x:v>12</x:v>
      </x:c>
      <x:c r="R2291" s="13" t="n">
        <x:f>J2291+Q2291/1440</x:f>
        <x:v>46308.65625</x:v>
      </x:c>
      <x:c r="S2291" s="2" t="str">
        <x:f>VLOOKUP(C2291,'MES orders'!$A$8:$H$127,6,FALSE)</x:f>
        <x:v>Normal</x:v>
      </x:c>
      <x:c r="T2291" s="9" t="str"/>
    </x:row>
    <x:row r="2292" ht="22" customHeight="1">
      <x:c r="A2292" s="2" t="str">
        <x:v>L00544-020</x:v>
      </x:c>
      <x:c r="B2292" s="2" t="str">
        <x:v>L00544</x:v>
      </x:c>
      <x:c r="C2292" s="2" t="str">
        <x:v>SO-26109</x:v>
      </x:c>
      <x:c r="D2292" s="2" t="str">
        <x:v>D-C-AL</x:v>
      </x:c>
      <x:c r="E2292" s="14" t="n">
        <x:v>15</x:v>
      </x:c>
      <x:c r="F2292" s="2" t="str">
        <x:v>Deburr &amp; inspect</x:v>
      </x:c>
      <x:c r="G2292" s="9" t="str">
        <x:v>DB-02</x:v>
      </x:c>
      <x:c r="H2292" s="15" t="n">
        <x:v>149</x:v>
      </x:c>
      <x:c r="I2292" s="9" t="str">
        <x:v>P14</x:v>
      </x:c>
      <x:c r="J2292" s="11" t="n">
        <x:v>46308.65069444444</x:v>
      </x:c>
      <x:c r="K2292" s="15" t="n">
        <x:v>4</x:v>
      </x:c>
      <x:c r="L2292" s="15" t="n">
        <x:v>8</x:v>
      </x:c>
      <x:c r="M2292" s="13" t="n">
        <x:f>J2292+(K2292+L2292)/1440</x:f>
        <x:v>46308.65902777777</x:v>
      </x:c>
      <x:c r="N2292" s="13" t="n">
        <x:f>VLOOKUP(C2292,'MES orders'!$A$8:$H$127,5,FALSE)</x:f>
        <x:v>46308.666666666664</x:v>
      </x:c>
      <x:c r="O2292" s="16" t="n">
        <x:f>MAX(0,(M2292-N2292)*24)</x:f>
        <x:v>0</x:v>
      </x:c>
      <x:c r="P2292" s="9" t="str">
        <x:v>No</x:v>
      </x:c>
      <x:c r="Q2292" s="15" t="n">
        <x:v>12</x:v>
      </x:c>
      <x:c r="R2292" s="13" t="n">
        <x:f>J2292+Q2292/1440</x:f>
        <x:v>46308.65902777777</x:v>
      </x:c>
      <x:c r="S2292" s="2" t="str">
        <x:f>VLOOKUP(C2292,'MES orders'!$A$8:$H$127,6,FALSE)</x:f>
        <x:v>Normal</x:v>
      </x:c>
      <x:c r="T2292" s="9" t="str"/>
    </x:row>
    <x:row r="2293" ht="22" customHeight="1">
      <x:c r="A2293" s="2" t="str">
        <x:v>L00545-010</x:v>
      </x:c>
      <x:c r="B2293" s="2" t="str">
        <x:v>L00545</x:v>
      </x:c>
      <x:c r="C2293" s="2" t="str">
        <x:v>SO-26109</x:v>
      </x:c>
      <x:c r="D2293" s="2" t="str">
        <x:v>D-C-AL</x:v>
      </x:c>
      <x:c r="E2293" s="14" t="n">
        <x:v>15</x:v>
      </x:c>
      <x:c r="F2293" s="2" t="str">
        <x:v>CNC machining</x:v>
      </x:c>
      <x:c r="G2293" s="9" t="str">
        <x:v>CNC-01</x:v>
      </x:c>
      <x:c r="H2293" s="15" t="n">
        <x:v>65</x:v>
      </x:c>
      <x:c r="I2293" s="9" t="str">
        <x:v>P15</x:v>
      </x:c>
      <x:c r="J2293" s="11" t="n">
        <x:v>46308.65625</x:v>
      </x:c>
      <x:c r="K2293" s="15" t="n">
        <x:v>18</x:v>
      </x:c>
      <x:c r="L2293" s="15" t="n">
        <x:v>29</x:v>
      </x:c>
      <x:c r="M2293" s="13" t="n">
        <x:f>J2293+(K2293+L2293)/1440</x:f>
        <x:v>46308.688888888886</x:v>
      </x:c>
      <x:c r="N2293" s="13" t="n">
        <x:f>VLOOKUP(C2293,'MES orders'!$A$8:$H$127,5,FALSE)</x:f>
        <x:v>46308.666666666664</x:v>
      </x:c>
      <x:c r="O2293" s="16" t="n">
        <x:f>MAX(0,(M2293-N2293)*24)</x:f>
        <x:v>0.5333333333255723</x:v>
      </x:c>
      <x:c r="P2293" s="9" t="str">
        <x:v>No</x:v>
      </x:c>
      <x:c r="Q2293" s="15" t="n">
        <x:v>18</x:v>
      </x:c>
      <x:c r="R2293" s="13" t="n">
        <x:f>J2293+Q2293/1440</x:f>
        <x:v>46308.66875</x:v>
      </x:c>
      <x:c r="S2293" s="2" t="str">
        <x:f>VLOOKUP(C2293,'MES orders'!$A$8:$H$127,6,FALSE)</x:f>
        <x:v>Normal</x:v>
      </x:c>
      <x:c r="T2293" s="9" t="str"/>
    </x:row>
    <x:row r="2294" ht="22" customHeight="1">
      <x:c r="A2294" s="2" t="str">
        <x:v>L00542-040</x:v>
      </x:c>
      <x:c r="B2294" s="2" t="str">
        <x:v>L00542</x:v>
      </x:c>
      <x:c r="C2294" s="2" t="str">
        <x:v>SO-26109</x:v>
      </x:c>
      <x:c r="D2294" s="2" t="str">
        <x:v>D-C-AL</x:v>
      </x:c>
      <x:c r="E2294" s="14" t="n">
        <x:v>15</x:v>
      </x:c>
      <x:c r="F2294" s="2" t="str">
        <x:v>Mechanical assembly</x:v>
      </x:c>
      <x:c r="G2294" s="9" t="str">
        <x:v>AS-04</x:v>
      </x:c>
      <x:c r="H2294" s="15" t="n">
        <x:v>80</x:v>
      </x:c>
      <x:c r="I2294" s="9" t="str">
        <x:v>P13</x:v>
      </x:c>
      <x:c r="J2294" s="11" t="n">
        <x:v>46308.657638888886</x:v>
      </x:c>
      <x:c r="K2294" s="15" t="n">
        <x:v>8</x:v>
      </x:c>
      <x:c r="L2294" s="15" t="n">
        <x:v>22</x:v>
      </x:c>
      <x:c r="M2294" s="13" t="n">
        <x:f>J2294+(K2294+L2294)/1440</x:f>
        <x:v>46308.67847222222</x:v>
      </x:c>
      <x:c r="N2294" s="13" t="n">
        <x:f>VLOOKUP(C2294,'MES orders'!$A$8:$H$127,5,FALSE)</x:f>
        <x:v>46308.666666666664</x:v>
      </x:c>
      <x:c r="O2294" s="16" t="n">
        <x:f>MAX(0,(M2294-N2294)*24)</x:f>
        <x:v>0.28333333338378</x:v>
      </x:c>
      <x:c r="P2294" s="9" t="str">
        <x:v>No</x:v>
      </x:c>
      <x:c r="Q2294" s="15" t="n">
        <x:v>30</x:v>
      </x:c>
      <x:c r="R2294" s="13" t="n">
        <x:f>J2294+Q2294/1440</x:f>
        <x:v>46308.67847222222</x:v>
      </x:c>
      <x:c r="S2294" s="2" t="str">
        <x:f>VLOOKUP(C2294,'MES orders'!$A$8:$H$127,6,FALSE)</x:f>
        <x:v>Normal</x:v>
      </x:c>
      <x:c r="T2294" s="9" t="str"/>
    </x:row>
    <x:row r="2295" ht="22" customHeight="1">
      <x:c r="A2295" s="2" t="str">
        <x:v>L00502-060</x:v>
      </x:c>
      <x:c r="B2295" s="2" t="str">
        <x:v>L00502</x:v>
      </x:c>
      <x:c r="C2295" s="2" t="str">
        <x:v>SO-26101</x:v>
      </x:c>
      <x:c r="D2295" s="2" t="str">
        <x:v>S-L-AL</x:v>
      </x:c>
      <x:c r="E2295" s="14" t="n">
        <x:v>10</x:v>
      </x:c>
      <x:c r="F2295" s="2" t="str">
        <x:v>Sensor calibration</x:v>
      </x:c>
      <x:c r="G2295" s="9" t="str">
        <x:v>CAL-01</x:v>
      </x:c>
      <x:c r="H2295" s="15" t="n">
        <x:v>116</x:v>
      </x:c>
      <x:c r="I2295" s="9" t="str">
        <x:v>P21</x:v>
      </x:c>
      <x:c r="J2295" s="11" t="n">
        <x:v>46308.657638888886</x:v>
      </x:c>
      <x:c r="K2295" s="15" t="n">
        <x:v>10</x:v>
      </x:c>
      <x:c r="L2295" s="15" t="n">
        <x:v>18</x:v>
      </x:c>
      <x:c r="M2295" s="13" t="n">
        <x:f>J2295+(K2295+L2295)/1440</x:f>
        <x:v>46308.67708333333</x:v>
      </x:c>
      <x:c r="N2295" s="13" t="n">
        <x:f>VLOOKUP(C2295,'MES orders'!$A$8:$H$127,5,FALSE)</x:f>
        <x:v>46308.666666666664</x:v>
      </x:c>
      <x:c r="O2295" s="16" t="n">
        <x:f>MAX(0,(M2295-N2295)*24)</x:f>
        <x:v>0.24999999994179234</x:v>
      </x:c>
      <x:c r="P2295" s="9" t="str">
        <x:v>No</x:v>
      </x:c>
      <x:c r="Q2295" s="15" t="n">
        <x:v>28</x:v>
      </x:c>
      <x:c r="R2295" s="13" t="n">
        <x:f>J2295+Q2295/1440</x:f>
        <x:v>46308.67708333333</x:v>
      </x:c>
      <x:c r="S2295" s="2" t="str">
        <x:f>VLOOKUP(C2295,'MES orders'!$A$8:$H$127,6,FALSE)</x:f>
        <x:v>Normal</x:v>
      </x:c>
      <x:c r="T2295" s="9" t="str"/>
    </x:row>
    <x:row r="2296" ht="22" customHeight="1">
      <x:c r="A2296" s="2" t="str">
        <x:v>L00581-010</x:v>
      </x:c>
      <x:c r="B2296" s="2" t="str">
        <x:v>L00581</x:v>
      </x:c>
      <x:c r="C2296" s="2" t="str">
        <x:v>SO-26117</x:v>
      </x:c>
      <x:c r="D2296" s="2" t="str">
        <x:v>D-S-AL</x:v>
      </x:c>
      <x:c r="E2296" s="14" t="n">
        <x:v>10</x:v>
      </x:c>
      <x:c r="F2296" s="2" t="str">
        <x:v>CNC machining</x:v>
      </x:c>
      <x:c r="G2296" s="9" t="str">
        <x:v>CNC-02</x:v>
      </x:c>
      <x:c r="H2296" s="15" t="n">
        <x:v>47</x:v>
      </x:c>
      <x:c r="I2296" s="9" t="str">
        <x:v>P14</x:v>
      </x:c>
      <x:c r="J2296" s="11" t="n">
        <x:v>46308.65902777778</x:v>
      </x:c>
      <x:c r="K2296" s="15" t="n">
        <x:v>18</x:v>
      </x:c>
      <x:c r="L2296" s="15" t="n">
        <x:v>24</x:v>
      </x:c>
      <x:c r="M2296" s="13" t="n">
        <x:f>J2296+(K2296+L2296)/1440</x:f>
        <x:v>46308.68819444445</x:v>
      </x:c>
      <x:c r="N2296" s="13" t="n">
        <x:f>VLOOKUP(C2296,'MES orders'!$A$8:$H$127,5,FALSE)</x:f>
        <x:v>46308.666666666664</x:v>
      </x:c>
      <x:c r="O2296" s="16" t="n">
        <x:f>MAX(0,(M2296-N2296)*24)</x:f>
        <x:v>0.5166666667792015</x:v>
      </x:c>
      <x:c r="P2296" s="9" t="str">
        <x:v>No</x:v>
      </x:c>
      <x:c r="Q2296" s="15" t="n">
        <x:v>18</x:v>
      </x:c>
      <x:c r="R2296" s="13" t="n">
        <x:f>J2296+Q2296/1440</x:f>
        <x:v>46308.67152777778</x:v>
      </x:c>
      <x:c r="S2296" s="2" t="str">
        <x:f>VLOOKUP(C2296,'MES orders'!$A$8:$H$127,6,FALSE)</x:f>
        <x:v>Normal</x:v>
      </x:c>
      <x:c r="T2296" s="9" t="str"/>
    </x:row>
    <x:row r="2297" ht="22" customHeight="1">
      <x:c r="A2297" s="2" t="str">
        <x:v>L00383-050</x:v>
      </x:c>
      <x:c r="B2297" s="2" t="str">
        <x:v>L00383</x:v>
      </x:c>
      <x:c r="C2297" s="2" t="str">
        <x:v>SO-26077</x:v>
      </x:c>
      <x:c r="D2297" s="2" t="str">
        <x:v>R-L-AL</x:v>
      </x:c>
      <x:c r="E2297" s="14" t="n">
        <x:v>10</x:v>
      </x:c>
      <x:c r="F2297" s="2" t="str">
        <x:v>Valve adjustment</x:v>
      </x:c>
      <x:c r="G2297" s="9" t="str">
        <x:v>AS-02</x:v>
      </x:c>
      <x:c r="H2297" s="15" t="n">
        <x:v>152</x:v>
      </x:c>
      <x:c r="I2297" s="9" t="str">
        <x:v>P18</x:v>
      </x:c>
      <x:c r="J2297" s="11" t="n">
        <x:v>46308.66180555556</x:v>
      </x:c>
      <x:c r="K2297" s="15" t="n">
        <x:v>6</x:v>
      </x:c>
      <x:c r="L2297" s="15" t="n">
        <x:v>15</x:v>
      </x:c>
      <x:c r="M2297" s="13" t="n">
        <x:f>J2297+(K2297+L2297)/1440</x:f>
        <x:v>46308.67638888889</x:v>
      </x:c>
      <x:c r="N2297" s="13" t="n">
        <x:f>VLOOKUP(C2297,'MES orders'!$A$8:$H$127,5,FALSE)</x:f>
        <x:v>46308.666666666664</x:v>
      </x:c>
      <x:c r="O2297" s="16" t="n">
        <x:f>MAX(0,(M2297-N2297)*24)</x:f>
        <x:v>0.2333333333954215</x:v>
      </x:c>
      <x:c r="P2297" s="9" t="str">
        <x:v>No</x:v>
      </x:c>
      <x:c r="Q2297" s="15" t="n">
        <x:v>21</x:v>
      </x:c>
      <x:c r="R2297" s="13" t="n">
        <x:f>J2297+Q2297/1440</x:f>
        <x:v>46308.67638888889</x:v>
      </x:c>
      <x:c r="S2297" s="2" t="str">
        <x:f>VLOOKUP(C2297,'MES orders'!$A$8:$H$127,6,FALSE)</x:f>
        <x:v>Normal</x:v>
      </x:c>
      <x:c r="T2297" s="9" t="str"/>
    </x:row>
    <x:row r="2298" ht="22" customHeight="1">
      <x:c r="A2298" s="2" t="str">
        <x:v>L00344-060</x:v>
      </x:c>
      <x:c r="B2298" s="2" t="str">
        <x:v>L00344</x:v>
      </x:c>
      <x:c r="C2298" s="2" t="str">
        <x:v>SO-26069</x:v>
      </x:c>
      <x:c r="D2298" s="2" t="str">
        <x:v>R-S-AL</x:v>
      </x:c>
      <x:c r="E2298" s="14" t="n">
        <x:v>15</x:v>
      </x:c>
      <x:c r="F2298" s="2" t="str">
        <x:v>Final leak / function test</x:v>
      </x:c>
      <x:c r="G2298" s="9" t="str">
        <x:v>QA-03</x:v>
      </x:c>
      <x:c r="H2298" s="15" t="n">
        <x:v>103</x:v>
      </x:c>
      <x:c r="I2298" s="9" t="str">
        <x:v>P24</x:v>
      </x:c>
      <x:c r="J2298" s="11" t="n">
        <x:v>46308.6625</x:v>
      </x:c>
      <x:c r="K2298" s="15" t="n">
        <x:v>10</x:v>
      </x:c>
      <x:c r="L2298" s="15" t="n">
        <x:v>14</x:v>
      </x:c>
      <x:c r="M2298" s="13" t="n">
        <x:f>J2298+(K2298+L2298)/1440</x:f>
        <x:v>46308.67916666667</x:v>
      </x:c>
      <x:c r="N2298" s="13" t="n">
        <x:f>VLOOKUP(C2298,'MES orders'!$A$8:$H$127,5,FALSE)</x:f>
        <x:v>46308.666666666664</x:v>
      </x:c>
      <x:c r="O2298" s="16" t="n">
        <x:f>MAX(0,(M2298-N2298)*24)</x:f>
        <x:v>0.3000000001047738</x:v>
      </x:c>
      <x:c r="P2298" s="9" t="str">
        <x:v>No</x:v>
      </x:c>
      <x:c r="Q2298" s="15" t="n">
        <x:v>24</x:v>
      </x:c>
      <x:c r="R2298" s="13" t="n">
        <x:f>J2298+Q2298/1440</x:f>
        <x:v>46308.67916666667</x:v>
      </x:c>
      <x:c r="S2298" s="2" t="str">
        <x:f>VLOOKUP(C2298,'MES orders'!$A$8:$H$127,6,FALSE)</x:f>
        <x:v>Normal</x:v>
      </x:c>
      <x:c r="T2298" s="9" t="str"/>
    </x:row>
    <x:row r="2299" ht="22" customHeight="1">
      <x:c r="A2299" s="2" t="str">
        <x:v>L00382-060</x:v>
      </x:c>
      <x:c r="B2299" s="2" t="str">
        <x:v>L00382</x:v>
      </x:c>
      <x:c r="C2299" s="2" t="str">
        <x:v>SO-26077</x:v>
      </x:c>
      <x:c r="D2299" s="2" t="str">
        <x:v>R-L-AL</x:v>
      </x:c>
      <x:c r="E2299" s="14" t="n">
        <x:v>10</x:v>
      </x:c>
      <x:c r="F2299" s="2" t="str">
        <x:v>Final leak / function test</x:v>
      </x:c>
      <x:c r="G2299" s="9" t="str">
        <x:v>QA-02</x:v>
      </x:c>
      <x:c r="H2299" s="15" t="n">
        <x:v>168</x:v>
      </x:c>
      <x:c r="I2299" s="9" t="str">
        <x:v>P23</x:v>
      </x:c>
      <x:c r="J2299" s="11" t="n">
        <x:v>46308.66388888889</x:v>
      </x:c>
      <x:c r="K2299" s="15" t="n">
        <x:v>10</x:v>
      </x:c>
      <x:c r="L2299" s="15" t="n">
        <x:v>12</x:v>
      </x:c>
      <x:c r="M2299" s="13" t="n">
        <x:f>J2299+(K2299+L2299)/1440</x:f>
        <x:v>46308.67916666667</x:v>
      </x:c>
      <x:c r="N2299" s="13" t="n">
        <x:f>VLOOKUP(C2299,'MES orders'!$A$8:$H$127,5,FALSE)</x:f>
        <x:v>46308.666666666664</x:v>
      </x:c>
      <x:c r="O2299" s="16" t="n">
        <x:f>MAX(0,(M2299-N2299)*24)</x:f>
        <x:v>0.3000000001047738</x:v>
      </x:c>
      <x:c r="P2299" s="9" t="str">
        <x:v>No</x:v>
      </x:c>
      <x:c r="Q2299" s="15" t="n">
        <x:v>22</x:v>
      </x:c>
      <x:c r="R2299" s="13" t="n">
        <x:f>J2299+Q2299/1440</x:f>
        <x:v>46308.67916666667</x:v>
      </x:c>
      <x:c r="S2299" s="2" t="str">
        <x:f>VLOOKUP(C2299,'MES orders'!$A$8:$H$127,6,FALSE)</x:f>
        <x:v>Normal</x:v>
      </x:c>
      <x:c r="T2299" s="9" t="str"/>
    </x:row>
    <x:row r="2300" ht="22" customHeight="1">
      <x:c r="A2300" s="2" t="str">
        <x:v>L00381-050</x:v>
      </x:c>
      <x:c r="B2300" s="2" t="str">
        <x:v>L00381</x:v>
      </x:c>
      <x:c r="C2300" s="2" t="str">
        <x:v>SO-26077</x:v>
      </x:c>
      <x:c r="D2300" s="2" t="str">
        <x:v>R-L-AL</x:v>
      </x:c>
      <x:c r="E2300" s="14" t="n">
        <x:v>10</x:v>
      </x:c>
      <x:c r="F2300" s="2" t="str">
        <x:v>Valve adjustment</x:v>
      </x:c>
      <x:c r="G2300" s="9" t="str">
        <x:v>AS-01</x:v>
      </x:c>
      <x:c r="H2300" s="15" t="n">
        <x:v>185</x:v>
      </x:c>
      <x:c r="I2300" s="9" t="str">
        <x:v>P17</x:v>
      </x:c>
      <x:c r="J2300" s="11" t="n">
        <x:v>46308.665972222225</x:v>
      </x:c>
      <x:c r="K2300" s="15" t="n">
        <x:v>6</x:v>
      </x:c>
      <x:c r="L2300" s="15" t="n">
        <x:v>15</x:v>
      </x:c>
      <x:c r="M2300" s="13" t="n">
        <x:f>J2300+(K2300+L2300)/1440</x:f>
        <x:v>46308.680555555555</x:v>
      </x:c>
      <x:c r="N2300" s="13" t="n">
        <x:f>VLOOKUP(C2300,'MES orders'!$A$8:$H$127,5,FALSE)</x:f>
        <x:v>46308.666666666664</x:v>
      </x:c>
      <x:c r="O2300" s="16" t="n">
        <x:f>MAX(0,(M2300-N2300)*24)</x:f>
        <x:v>0.33333333337213844</x:v>
      </x:c>
      <x:c r="P2300" s="9" t="str">
        <x:v>No</x:v>
      </x:c>
      <x:c r="Q2300" s="15" t="n">
        <x:v>21</x:v>
      </x:c>
      <x:c r="R2300" s="13" t="n">
        <x:f>J2300+Q2300/1440</x:f>
        <x:v>46308.680555555555</x:v>
      </x:c>
      <x:c r="S2300" s="2" t="str">
        <x:f>VLOOKUP(C2300,'MES orders'!$A$8:$H$127,6,FALSE)</x:f>
        <x:v>Normal</x:v>
      </x:c>
      <x:c r="T2300" s="9" t="str"/>
    </x:row>
    <x:row r="2301" ht="22" customHeight="1">
      <x:c r="A2301" s="2" t="str">
        <x:v>L00384-030</x:v>
      </x:c>
      <x:c r="B2301" s="2" t="str">
        <x:v>L00384</x:v>
      </x:c>
      <x:c r="C2301" s="2" t="str">
        <x:v>SO-26077</x:v>
      </x:c>
      <x:c r="D2301" s="2" t="str">
        <x:v>R-L-AL</x:v>
      </x:c>
      <x:c r="E2301" s="14" t="n">
        <x:v>10</x:v>
      </x:c>
      <x:c r="F2301" s="2" t="str">
        <x:v>Wash &amp; dry</x:v>
      </x:c>
      <x:c r="G2301" s="9" t="str">
        <x:v>WS-01</x:v>
      </x:c>
      <x:c r="H2301" s="15" t="n">
        <x:v>215</x:v>
      </x:c>
      <x:c r="I2301" s="9" t="str">
        <x:v>P16</x:v>
      </x:c>
      <x:c r="J2301" s="11" t="n">
        <x:v>46308.665972222225</x:v>
      </x:c>
      <x:c r="K2301" s="15" t="n">
        <x:v>12</x:v>
      </x:c>
      <x:c r="L2301" s="15" t="n">
        <x:v>5</x:v>
      </x:c>
      <x:c r="M2301" s="13" t="n">
        <x:f>J2301+(K2301+L2301)/1440</x:f>
        <x:v>46308.67777777778</x:v>
      </x:c>
      <x:c r="N2301" s="13" t="n">
        <x:f>VLOOKUP(C2301,'MES orders'!$A$8:$H$127,5,FALSE)</x:f>
        <x:v>46308.666666666664</x:v>
      </x:c>
      <x:c r="O2301" s="16" t="n">
        <x:f>MAX(0,(M2301-N2301)*24)</x:f>
        <x:v>0.26666666683740914</x:v>
      </x:c>
      <x:c r="P2301" s="9" t="str">
        <x:v>No</x:v>
      </x:c>
      <x:c r="Q2301" s="15" t="n">
        <x:v>17</x:v>
      </x:c>
      <x:c r="R2301" s="13" t="n">
        <x:f>J2301+Q2301/1440</x:f>
        <x:v>46308.67777777778</x:v>
      </x:c>
      <x:c r="S2301" s="2" t="str">
        <x:f>VLOOKUP(C2301,'MES orders'!$A$8:$H$127,6,FALSE)</x:f>
        <x:v>Normal</x:v>
      </x:c>
      <x:c r="T2301" s="9" t="str"/>
    </x:row>
    <x:row r="2302" ht="22" customHeight="1">
      <x:c r="A2302" s="2" t="str">
        <x:v>L00582-010</x:v>
      </x:c>
      <x:c r="B2302" s="2" t="str">
        <x:v>L00582</x:v>
      </x:c>
      <x:c r="C2302" s="2" t="str">
        <x:v>SO-26117</x:v>
      </x:c>
      <x:c r="D2302" s="2" t="str">
        <x:v>D-S-AL</x:v>
      </x:c>
      <x:c r="E2302" s="14" t="n">
        <x:v>10</x:v>
      </x:c>
      <x:c r="F2302" s="2" t="str">
        <x:v>CNC machining</x:v>
      </x:c>
      <x:c r="G2302" s="9" t="str">
        <x:v>CNC-03</x:v>
      </x:c>
      <x:c r="H2302" s="15" t="n">
        <x:v>73</x:v>
      </x:c>
      <x:c r="I2302" s="9" t="str">
        <x:v>P15</x:v>
      </x:c>
      <x:c r="J2302" s="11" t="n">
        <x:v>46308.66875</x:v>
      </x:c>
      <x:c r="K2302" s="15" t="n">
        <x:v>18</x:v>
      </x:c>
      <x:c r="L2302" s="15" t="n">
        <x:v>24</x:v>
      </x:c>
      <x:c r="M2302" s="13" t="n">
        <x:f>J2302+(K2302+L2302)/1440</x:f>
        <x:v>46308.697916666664</x:v>
      </x:c>
      <x:c r="N2302" s="13" t="n">
        <x:f>VLOOKUP(C2302,'MES orders'!$A$8:$H$127,5,FALSE)</x:f>
        <x:v>46308.666666666664</x:v>
      </x:c>
      <x:c r="O2302" s="16" t="n">
        <x:f>MAX(0,(M2302-N2302)*24)</x:f>
        <x:v>0.75</x:v>
      </x:c>
      <x:c r="P2302" s="9" t="str">
        <x:v>No</x:v>
      </x:c>
      <x:c r="Q2302" s="15" t="n">
        <x:v>18</x:v>
      </x:c>
      <x:c r="R2302" s="13" t="n">
        <x:f>J2302+Q2302/1440</x:f>
        <x:v>46308.681249999994</x:v>
      </x:c>
      <x:c r="S2302" s="2" t="str">
        <x:f>VLOOKUP(C2302,'MES orders'!$A$8:$H$127,6,FALSE)</x:f>
        <x:v>Normal</x:v>
      </x:c>
      <x:c r="T2302" s="9" t="str"/>
    </x:row>
    <x:row r="2303" ht="22" customHeight="1">
      <x:c r="A2303" s="2" t="str">
        <x:v>L00583-010</x:v>
      </x:c>
      <x:c r="B2303" s="2" t="str">
        <x:v>L00583</x:v>
      </x:c>
      <x:c r="C2303" s="2" t="str">
        <x:v>SO-26117</x:v>
      </x:c>
      <x:c r="D2303" s="2" t="str">
        <x:v>D-S-AL</x:v>
      </x:c>
      <x:c r="E2303" s="14" t="n">
        <x:v>10</x:v>
      </x:c>
      <x:c r="F2303" s="2" t="str">
        <x:v>CNC machining</x:v>
      </x:c>
      <x:c r="G2303" s="9" t="str">
        <x:v>CNC-04</x:v>
      </x:c>
      <x:c r="H2303" s="15" t="n">
        <x:v>70</x:v>
      </x:c>
      <x:c r="I2303" s="9" t="str">
        <x:v>P14</x:v>
      </x:c>
      <x:c r="J2303" s="11" t="n">
        <x:v>46308.67152777778</x:v>
      </x:c>
      <x:c r="K2303" s="15" t="n">
        <x:v>18</x:v>
      </x:c>
      <x:c r="L2303" s="15" t="n">
        <x:v>24</x:v>
      </x:c>
      <x:c r="M2303" s="13" t="n">
        <x:f>J2303+(K2303+L2303)/1440</x:f>
        <x:v>46308.700694444444</x:v>
      </x:c>
      <x:c r="N2303" s="13" t="n">
        <x:f>VLOOKUP(C2303,'MES orders'!$A$8:$H$127,5,FALSE)</x:f>
        <x:v>46308.666666666664</x:v>
      </x:c>
      <x:c r="O2303" s="16" t="n">
        <x:f>MAX(0,(M2303-N2303)*24)</x:f>
        <x:v>0.8166666667093523</x:v>
      </x:c>
      <x:c r="P2303" s="9" t="str">
        <x:v>No</x:v>
      </x:c>
      <x:c r="Q2303" s="15" t="n">
        <x:v>18</x:v>
      </x:c>
      <x:c r="R2303" s="13" t="n">
        <x:f>J2303+Q2303/1440</x:f>
        <x:v>46308.684027777774</x:v>
      </x:c>
      <x:c r="S2303" s="2" t="str">
        <x:f>VLOOKUP(C2303,'MES orders'!$A$8:$H$127,6,FALSE)</x:f>
        <x:v>Normal</x:v>
      </x:c>
      <x:c r="T2303" s="9" t="str"/>
    </x:row>
    <x:row r="2304" ht="22" customHeight="1">
      <x:c r="A2304" s="2" t="str">
        <x:v>L00385-030</x:v>
      </x:c>
      <x:c r="B2304" s="2" t="str">
        <x:v>L00385</x:v>
      </x:c>
      <x:c r="C2304" s="2" t="str">
        <x:v>SO-26077</x:v>
      </x:c>
      <x:c r="D2304" s="2" t="str">
        <x:v>R-L-AL</x:v>
      </x:c>
      <x:c r="E2304" s="14" t="n">
        <x:v>10</x:v>
      </x:c>
      <x:c r="F2304" s="2" t="str">
        <x:v>Wash &amp; dry</x:v>
      </x:c>
      <x:c r="G2304" s="9" t="str">
        <x:v>WS-02</x:v>
      </x:c>
      <x:c r="H2304" s="15" t="n">
        <x:v>149</x:v>
      </x:c>
      <x:c r="I2304" s="9" t="str">
        <x:v>P18</x:v>
      </x:c>
      <x:c r="J2304" s="11" t="n">
        <x:v>46308.67638888889</x:v>
      </x:c>
      <x:c r="K2304" s="15" t="n">
        <x:v>12</x:v>
      </x:c>
      <x:c r="L2304" s="15" t="n">
        <x:v>5</x:v>
      </x:c>
      <x:c r="M2304" s="13" t="n">
        <x:f>J2304+(K2304+L2304)/1440</x:f>
        <x:v>46308.68819444445</x:v>
      </x:c>
      <x:c r="N2304" s="13" t="n">
        <x:f>VLOOKUP(C2304,'MES orders'!$A$8:$H$127,5,FALSE)</x:f>
        <x:v>46308.666666666664</x:v>
      </x:c>
      <x:c r="O2304" s="16" t="n">
        <x:f>MAX(0,(M2304-N2304)*24)</x:f>
        <x:v>0.5166666667792015</x:v>
      </x:c>
      <x:c r="P2304" s="9" t="str">
        <x:v>No</x:v>
      </x:c>
      <x:c r="Q2304" s="15" t="n">
        <x:v>17</x:v>
      </x:c>
      <x:c r="R2304" s="13" t="n">
        <x:f>J2304+Q2304/1440</x:f>
        <x:v>46308.68819444445</x:v>
      </x:c>
      <x:c r="S2304" s="2" t="str">
        <x:f>VLOOKUP(C2304,'MES orders'!$A$8:$H$127,6,FALSE)</x:f>
        <x:v>Normal</x:v>
      </x:c>
      <x:c r="T2304" s="9" t="str"/>
    </x:row>
    <x:row r="2305" ht="22" customHeight="1">
      <x:c r="A2305" s="2" t="str">
        <x:v>L00384-040</x:v>
      </x:c>
      <x:c r="B2305" s="2" t="str">
        <x:v>L00384</x:v>
      </x:c>
      <x:c r="C2305" s="2" t="str">
        <x:v>SO-26077</x:v>
      </x:c>
      <x:c r="D2305" s="2" t="str">
        <x:v>R-L-AL</x:v>
      </x:c>
      <x:c r="E2305" s="14" t="n">
        <x:v>10</x:v>
      </x:c>
      <x:c r="F2305" s="2" t="str">
        <x:v>Mechanical assembly</x:v>
      </x:c>
      <x:c r="G2305" s="9" t="str">
        <x:v>AS-02</x:v>
      </x:c>
      <x:c r="H2305" s="15" t="n">
        <x:v>153</x:v>
      </x:c>
      <x:c r="I2305" s="9" t="str">
        <x:v>P16</x:v>
      </x:c>
      <x:c r="J2305" s="11" t="n">
        <x:v>46308.677777777775</x:v>
      </x:c>
      <x:c r="K2305" s="15" t="n">
        <x:v>8</x:v>
      </x:c>
      <x:c r="L2305" s="15" t="n">
        <x:v>24</x:v>
      </x:c>
      <x:c r="M2305" s="13" t="n">
        <x:f>J2305+(K2305+L2305)/1440</x:f>
        <x:v>46308.7</x:v>
      </x:c>
      <x:c r="N2305" s="13" t="n">
        <x:f>VLOOKUP(C2305,'MES orders'!$A$8:$H$127,5,FALSE)</x:f>
        <x:v>46308.666666666664</x:v>
      </x:c>
      <x:c r="O2305" s="16" t="n">
        <x:f>MAX(0,(M2305-N2305)*24)</x:f>
        <x:v>0.7999999999883585</x:v>
      </x:c>
      <x:c r="P2305" s="9" t="str">
        <x:v>No</x:v>
      </x:c>
      <x:c r="Q2305" s="15" t="n">
        <x:v>32</x:v>
      </x:c>
      <x:c r="R2305" s="13" t="n">
        <x:f>J2305+Q2305/1440</x:f>
        <x:v>46308.7</x:v>
      </x:c>
      <x:c r="S2305" s="2" t="str">
        <x:f>VLOOKUP(C2305,'MES orders'!$A$8:$H$127,6,FALSE)</x:f>
        <x:v>Normal</x:v>
      </x:c>
      <x:c r="T2305" s="9" t="str"/>
    </x:row>
    <x:row r="2306" ht="22" customHeight="1">
      <x:c r="A2306" s="2" t="str">
        <x:v>L00383-060</x:v>
      </x:c>
      <x:c r="B2306" s="2" t="str">
        <x:v>L00383</x:v>
      </x:c>
      <x:c r="C2306" s="2" t="str">
        <x:v>SO-26077</x:v>
      </x:c>
      <x:c r="D2306" s="2" t="str">
        <x:v>R-L-AL</x:v>
      </x:c>
      <x:c r="E2306" s="14" t="n">
        <x:v>10</x:v>
      </x:c>
      <x:c r="F2306" s="2" t="str">
        <x:v>Final leak / function test</x:v>
      </x:c>
      <x:c r="G2306" s="9" t="str">
        <x:v>QA-03</x:v>
      </x:c>
      <x:c r="H2306" s="15" t="n">
        <x:v>104</x:v>
      </x:c>
      <x:c r="I2306" s="9" t="str">
        <x:v>P24</x:v>
      </x:c>
      <x:c r="J2306" s="11" t="n">
        <x:v>46308.67916666667</x:v>
      </x:c>
      <x:c r="K2306" s="15" t="n">
        <x:v>10</x:v>
      </x:c>
      <x:c r="L2306" s="15" t="n">
        <x:v>12</x:v>
      </x:c>
      <x:c r="M2306" s="13" t="n">
        <x:f>J2306+(K2306+L2306)/1440</x:f>
        <x:v>46308.694444444445</x:v>
      </x:c>
      <x:c r="N2306" s="13" t="n">
        <x:f>VLOOKUP(C2306,'MES orders'!$A$8:$H$127,5,FALSE)</x:f>
        <x:v>46308.666666666664</x:v>
      </x:c>
      <x:c r="O2306" s="16" t="n">
        <x:f>MAX(0,(M2306-N2306)*24)</x:f>
        <x:v>0.6666666667442769</x:v>
      </x:c>
      <x:c r="P2306" s="9" t="str">
        <x:v>No</x:v>
      </x:c>
      <x:c r="Q2306" s="15" t="n">
        <x:v>22</x:v>
      </x:c>
      <x:c r="R2306" s="13" t="n">
        <x:f>J2306+Q2306/1440</x:f>
        <x:v>46308.694444444445</x:v>
      </x:c>
      <x:c r="S2306" s="2" t="str">
        <x:f>VLOOKUP(C2306,'MES orders'!$A$8:$H$127,6,FALSE)</x:f>
        <x:v>Normal</x:v>
      </x:c>
      <x:c r="T2306" s="9" t="str"/>
    </x:row>
    <x:row r="2307" ht="22" customHeight="1">
      <x:c r="A2307" s="2" t="str">
        <x:v>L00501-020</x:v>
      </x:c>
      <x:c r="B2307" s="2" t="str">
        <x:v>L00501</x:v>
      </x:c>
      <x:c r="C2307" s="2" t="str">
        <x:v>SO-26101</x:v>
      </x:c>
      <x:c r="D2307" s="2" t="str">
        <x:v>S-L-AL</x:v>
      </x:c>
      <x:c r="E2307" s="14" t="n">
        <x:v>10</x:v>
      </x:c>
      <x:c r="F2307" s="2" t="str">
        <x:v>Deburr &amp; inspect</x:v>
      </x:c>
      <x:c r="G2307" s="9" t="str">
        <x:v>DB-01</x:v>
      </x:c>
      <x:c r="H2307" s="15" t="n">
        <x:v>219</x:v>
      </x:c>
      <x:c r="I2307" s="9" t="str">
        <x:v>P17</x:v>
      </x:c>
      <x:c r="J2307" s="11" t="n">
        <x:v>46308.680555555555</x:v>
      </x:c>
      <x:c r="K2307" s="15" t="n">
        <x:v>4</x:v>
      </x:c>
      <x:c r="L2307" s="15" t="n">
        <x:v>9</x:v>
      </x:c>
      <x:c r="M2307" s="13" t="n">
        <x:f>J2307+(K2307+L2307)/1440</x:f>
        <x:v>46308.68958333333</x:v>
      </x:c>
      <x:c r="N2307" s="13" t="n">
        <x:f>VLOOKUP(C2307,'MES orders'!$A$8:$H$127,5,FALSE)</x:f>
        <x:v>46308.666666666664</x:v>
      </x:c>
      <x:c r="O2307" s="16" t="n">
        <x:f>MAX(0,(M2307-N2307)*24)</x:f>
        <x:v>0.5500000000465661</x:v>
      </x:c>
      <x:c r="P2307" s="9" t="str">
        <x:v>No</x:v>
      </x:c>
      <x:c r="Q2307" s="15" t="n">
        <x:v>13</x:v>
      </x:c>
      <x:c r="R2307" s="13" t="n">
        <x:f>J2307+Q2307/1440</x:f>
        <x:v>46308.68958333333</x:v>
      </x:c>
      <x:c r="S2307" s="2" t="str">
        <x:f>VLOOKUP(C2307,'MES orders'!$A$8:$H$127,6,FALSE)</x:f>
        <x:v>Normal</x:v>
      </x:c>
      <x:c r="T2307" s="9" t="str"/>
    </x:row>
    <x:row r="2308" ht="22" customHeight="1">
      <x:c r="A2308" s="2" t="str">
        <x:v>L00381-060</x:v>
      </x:c>
      <x:c r="B2308" s="2" t="str">
        <x:v>L00381</x:v>
      </x:c>
      <x:c r="C2308" s="2" t="str">
        <x:v>SO-26077</x:v>
      </x:c>
      <x:c r="D2308" s="2" t="str">
        <x:v>R-L-AL</x:v>
      </x:c>
      <x:c r="E2308" s="14" t="n">
        <x:v>10</x:v>
      </x:c>
      <x:c r="F2308" s="2" t="str">
        <x:v>Final leak / function test</x:v>
      </x:c>
      <x:c r="G2308" s="9" t="str">
        <x:v>QA-02</x:v>
      </x:c>
      <x:c r="H2308" s="15" t="n">
        <x:v>169</x:v>
      </x:c>
      <x:c r="I2308" s="9" t="str">
        <x:v>P23</x:v>
      </x:c>
      <x:c r="J2308" s="11" t="n">
        <x:v>46308.680555555555</x:v>
      </x:c>
      <x:c r="K2308" s="15" t="n">
        <x:v>10</x:v>
      </x:c>
      <x:c r="L2308" s="15" t="n">
        <x:v>12</x:v>
      </x:c>
      <x:c r="M2308" s="13" t="n">
        <x:f>J2308+(K2308+L2308)/1440</x:f>
        <x:v>46308.69583333333</x:v>
      </x:c>
      <x:c r="N2308" s="13" t="n">
        <x:f>VLOOKUP(C2308,'MES orders'!$A$8:$H$127,5,FALSE)</x:f>
        <x:v>46308.666666666664</x:v>
      </x:c>
      <x:c r="O2308" s="16" t="n">
        <x:f>MAX(0,(M2308-N2308)*24)</x:f>
        <x:v>0.7000000000116415</x:v>
      </x:c>
      <x:c r="P2308" s="9" t="str">
        <x:v>No</x:v>
      </x:c>
      <x:c r="Q2308" s="15" t="n">
        <x:v>22</x:v>
      </x:c>
      <x:c r="R2308" s="13" t="n">
        <x:f>J2308+Q2308/1440</x:f>
        <x:v>46308.69583333333</x:v>
      </x:c>
      <x:c r="S2308" s="2" t="str">
        <x:f>VLOOKUP(C2308,'MES orders'!$A$8:$H$127,6,FALSE)</x:f>
        <x:v>Normal</x:v>
      </x:c>
      <x:c r="T2308" s="9" t="str"/>
    </x:row>
    <x:row r="2309" ht="22" customHeight="1">
      <x:c r="A2309" s="2" t="str">
        <x:v>L00584-010</x:v>
      </x:c>
      <x:c r="B2309" s="2" t="str">
        <x:v>L00584</x:v>
      </x:c>
      <x:c r="C2309" s="2" t="str">
        <x:v>SO-26117</x:v>
      </x:c>
      <x:c r="D2309" s="2" t="str">
        <x:v>D-S-AL</x:v>
      </x:c>
      <x:c r="E2309" s="14" t="n">
        <x:v>10</x:v>
      </x:c>
      <x:c r="F2309" s="2" t="str">
        <x:v>CNC machining</x:v>
      </x:c>
      <x:c r="G2309" s="9" t="str">
        <x:v>CNC-05</x:v>
      </x:c>
      <x:c r="H2309" s="15" t="n">
        <x:v>63</x:v>
      </x:c>
      <x:c r="I2309" s="9" t="str">
        <x:v>P15</x:v>
      </x:c>
      <x:c r="J2309" s="11" t="n">
        <x:v>46308.68125</x:v>
      </x:c>
      <x:c r="K2309" s="15" t="n">
        <x:v>18</x:v>
      </x:c>
      <x:c r="L2309" s="15" t="n">
        <x:v>24</x:v>
      </x:c>
      <x:c r="M2309" s="13" t="n">
        <x:f>J2309+(K2309+L2309)/1440</x:f>
        <x:v>46308.71041666667</x:v>
      </x:c>
      <x:c r="N2309" s="13" t="n">
        <x:f>VLOOKUP(C2309,'MES orders'!$A$8:$H$127,5,FALSE)</x:f>
        <x:v>46308.666666666664</x:v>
      </x:c>
      <x:c r="O2309" s="16" t="n">
        <x:f>MAX(0,(M2309-N2309)*24)</x:f>
        <x:v>1.0500000001047738</x:v>
      </x:c>
      <x:c r="P2309" s="9" t="str">
        <x:v>No</x:v>
      </x:c>
      <x:c r="Q2309" s="15" t="n">
        <x:v>18</x:v>
      </x:c>
      <x:c r="R2309" s="13" t="n">
        <x:f>J2309+Q2309/1440</x:f>
        <x:v>46308.69375</x:v>
      </x:c>
      <x:c r="S2309" s="2" t="str">
        <x:f>VLOOKUP(C2309,'MES orders'!$A$8:$H$127,6,FALSE)</x:f>
        <x:v>Normal</x:v>
      </x:c>
      <x:c r="T2309" s="9" t="str"/>
    </x:row>
    <x:row r="2310" ht="22" customHeight="1">
      <x:c r="A2310" s="2" t="str">
        <x:v>L00585-010</x:v>
      </x:c>
      <x:c r="B2310" s="2" t="str">
        <x:v>L00585</x:v>
      </x:c>
      <x:c r="C2310" s="2" t="str">
        <x:v>SO-26117</x:v>
      </x:c>
      <x:c r="D2310" s="2" t="str">
        <x:v>D-S-AL</x:v>
      </x:c>
      <x:c r="E2310" s="14" t="n">
        <x:v>10</x:v>
      </x:c>
      <x:c r="F2310" s="2" t="str">
        <x:v>CNC machining</x:v>
      </x:c>
      <x:c r="G2310" s="9" t="str">
        <x:v>CNC-06</x:v>
      </x:c>
      <x:c r="H2310" s="15" t="n">
        <x:v>57</x:v>
      </x:c>
      <x:c r="I2310" s="9" t="str">
        <x:v>P14</x:v>
      </x:c>
      <x:c r="J2310" s="11" t="n">
        <x:v>46308.68402777778</x:v>
      </x:c>
      <x:c r="K2310" s="15" t="n">
        <x:v>18</x:v>
      </x:c>
      <x:c r="L2310" s="15" t="n">
        <x:v>24</x:v>
      </x:c>
      <x:c r="M2310" s="13" t="n">
        <x:f>J2310+(K2310+L2310)/1440</x:f>
        <x:v>46308.71319444445</x:v>
      </x:c>
      <x:c r="N2310" s="13" t="n">
        <x:f>VLOOKUP(C2310,'MES orders'!$A$8:$H$127,5,FALSE)</x:f>
        <x:v>46308.666666666664</x:v>
      </x:c>
      <x:c r="O2310" s="16" t="n">
        <x:f>MAX(0,(M2310-N2310)*24)</x:f>
        <x:v>1.116666666814126</x:v>
      </x:c>
      <x:c r="P2310" s="9" t="str">
        <x:v>No</x:v>
      </x:c>
      <x:c r="Q2310" s="15" t="n">
        <x:v>18</x:v>
      </x:c>
      <x:c r="R2310" s="13" t="n">
        <x:f>J2310+Q2310/1440</x:f>
        <x:v>46308.69652777778</x:v>
      </x:c>
      <x:c r="S2310" s="2" t="str">
        <x:f>VLOOKUP(C2310,'MES orders'!$A$8:$H$127,6,FALSE)</x:f>
        <x:v>Normal</x:v>
      </x:c>
      <x:c r="T2310" s="9" t="str"/>
    </x:row>
    <x:row r="2311" ht="22" customHeight="1">
      <x:c r="A2311" s="2" t="str">
        <x:v>L00385-040</x:v>
      </x:c>
      <x:c r="B2311" s="2" t="str">
        <x:v>L00385</x:v>
      </x:c>
      <x:c r="C2311" s="2" t="str">
        <x:v>SO-26077</x:v>
      </x:c>
      <x:c r="D2311" s="2" t="str">
        <x:v>R-L-AL</x:v>
      </x:c>
      <x:c r="E2311" s="14" t="n">
        <x:v>10</x:v>
      </x:c>
      <x:c r="F2311" s="2" t="str">
        <x:v>Mechanical assembly</x:v>
      </x:c>
      <x:c r="G2311" s="9" t="str">
        <x:v>AS-03</x:v>
      </x:c>
      <x:c r="H2311" s="15" t="n">
        <x:v>123</x:v>
      </x:c>
      <x:c r="I2311" s="9" t="str">
        <x:v>P18</x:v>
      </x:c>
      <x:c r="J2311" s="11" t="n">
        <x:v>46308.68819444445</x:v>
      </x:c>
      <x:c r="K2311" s="15" t="n">
        <x:v>8</x:v>
      </x:c>
      <x:c r="L2311" s="15" t="n">
        <x:v>24</x:v>
      </x:c>
      <x:c r="M2311" s="13" t="n">
        <x:f>J2311+(K2311+L2311)/1440</x:f>
        <x:v>46308.71041666667</x:v>
      </x:c>
      <x:c r="N2311" s="13" t="n">
        <x:f>VLOOKUP(C2311,'MES orders'!$A$8:$H$127,5,FALSE)</x:f>
        <x:v>46308.666666666664</x:v>
      </x:c>
      <x:c r="O2311" s="16" t="n">
        <x:f>MAX(0,(M2311-N2311)*24)</x:f>
        <x:v>1.0500000001047738</x:v>
      </x:c>
      <x:c r="P2311" s="9" t="str">
        <x:v>No</x:v>
      </x:c>
      <x:c r="Q2311" s="15" t="n">
        <x:v>32</x:v>
      </x:c>
      <x:c r="R2311" s="13" t="n">
        <x:f>J2311+Q2311/1440</x:f>
        <x:v>46308.71041666667</x:v>
      </x:c>
      <x:c r="S2311" s="2" t="str">
        <x:f>VLOOKUP(C2311,'MES orders'!$A$8:$H$127,6,FALSE)</x:f>
        <x:v>Normal</x:v>
      </x:c>
      <x:c r="T2311" s="9" t="str"/>
    </x:row>
    <x:row r="2312" ht="22" customHeight="1">
      <x:c r="A2312" s="2" t="str">
        <x:v>L00581-020</x:v>
      </x:c>
      <x:c r="B2312" s="2" t="str">
        <x:v>L00581</x:v>
      </x:c>
      <x:c r="C2312" s="2" t="str">
        <x:v>SO-26117</x:v>
      </x:c>
      <x:c r="D2312" s="2" t="str">
        <x:v>D-S-AL</x:v>
      </x:c>
      <x:c r="E2312" s="14" t="n">
        <x:v>10</x:v>
      </x:c>
      <x:c r="F2312" s="2" t="str">
        <x:v>Deburr &amp; inspect</x:v>
      </x:c>
      <x:c r="G2312" s="9" t="str">
        <x:v>DB-02</x:v>
      </x:c>
      <x:c r="H2312" s="15" t="n">
        <x:v>150</x:v>
      </x:c>
      <x:c r="I2312" s="9" t="str">
        <x:v>P13</x:v>
      </x:c>
      <x:c r="J2312" s="11" t="n">
        <x:v>46308.68819444445</x:v>
      </x:c>
      <x:c r="K2312" s="15" t="n">
        <x:v>4</x:v>
      </x:c>
      <x:c r="L2312" s="15" t="n">
        <x:v>7</x:v>
      </x:c>
      <x:c r="M2312" s="13" t="n">
        <x:f>J2312+(K2312+L2312)/1440</x:f>
        <x:v>46308.69583333334</x:v>
      </x:c>
      <x:c r="N2312" s="13" t="n">
        <x:f>VLOOKUP(C2312,'MES orders'!$A$8:$H$127,5,FALSE)</x:f>
        <x:v>46308.666666666664</x:v>
      </x:c>
      <x:c r="O2312" s="16" t="n">
        <x:f>MAX(0,(M2312-N2312)*24)</x:f>
        <x:v>0.7000000001862645</x:v>
      </x:c>
      <x:c r="P2312" s="9" t="str">
        <x:v>No</x:v>
      </x:c>
      <x:c r="Q2312" s="15" t="n">
        <x:v>11</x:v>
      </x:c>
      <x:c r="R2312" s="13" t="n">
        <x:f>J2312+Q2312/1440</x:f>
        <x:v>46308.69583333334</x:v>
      </x:c>
      <x:c r="S2312" s="2" t="str">
        <x:f>VLOOKUP(C2312,'MES orders'!$A$8:$H$127,6,FALSE)</x:f>
        <x:v>Normal</x:v>
      </x:c>
      <x:c r="T2312" s="9" t="str"/>
    </x:row>
    <x:row r="2313" ht="22" customHeight="1">
      <x:c r="A2313" s="2" t="str">
        <x:v>L00503-020</x:v>
      </x:c>
      <x:c r="B2313" s="2" t="str">
        <x:v>L00503</x:v>
      </x:c>
      <x:c r="C2313" s="2" t="str">
        <x:v>SO-26101</x:v>
      </x:c>
      <x:c r="D2313" s="2" t="str">
        <x:v>S-L-AL</x:v>
      </x:c>
      <x:c r="E2313" s="14" t="n">
        <x:v>10</x:v>
      </x:c>
      <x:c r="F2313" s="2" t="str">
        <x:v>Deburr &amp; inspect</x:v>
      </x:c>
      <x:c r="G2313" s="9" t="str">
        <x:v>DB-01</x:v>
      </x:c>
      <x:c r="H2313" s="15" t="n">
        <x:v>220</x:v>
      </x:c>
      <x:c r="I2313" s="9" t="str">
        <x:v>P17</x:v>
      </x:c>
      <x:c r="J2313" s="11" t="n">
        <x:v>46308.68958333333</x:v>
      </x:c>
      <x:c r="K2313" s="15" t="n">
        <x:v>4</x:v>
      </x:c>
      <x:c r="L2313" s="15" t="n">
        <x:v>9</x:v>
      </x:c>
      <x:c r="M2313" s="13" t="n">
        <x:f>J2313+(K2313+L2313)/1440</x:f>
        <x:v>46308.69861111111</x:v>
      </x:c>
      <x:c r="N2313" s="13" t="n">
        <x:f>VLOOKUP(C2313,'MES orders'!$A$8:$H$127,5,FALSE)</x:f>
        <x:v>46308.666666666664</x:v>
      </x:c>
      <x:c r="O2313" s="16" t="n">
        <x:f>MAX(0,(M2313-N2313)*24)</x:f>
        <x:v>0.7666666667209938</x:v>
      </x:c>
      <x:c r="P2313" s="9" t="str">
        <x:v>No</x:v>
      </x:c>
      <x:c r="Q2313" s="15" t="n">
        <x:v>13</x:v>
      </x:c>
      <x:c r="R2313" s="13" t="n">
        <x:f>J2313+Q2313/1440</x:f>
        <x:v>46308.69861111111</x:v>
      </x:c>
      <x:c r="S2313" s="2" t="str">
        <x:f>VLOOKUP(C2313,'MES orders'!$A$8:$H$127,6,FALSE)</x:f>
        <x:v>Normal</x:v>
      </x:c>
      <x:c r="T2313" s="9" t="str"/>
    </x:row>
    <x:row r="2314" ht="22" customHeight="1">
      <x:c r="A2314" s="2" t="str">
        <x:v>L00542-050</x:v>
      </x:c>
      <x:c r="B2314" s="2" t="str">
        <x:v>L00542</x:v>
      </x:c>
      <x:c r="C2314" s="2" t="str">
        <x:v>SO-26109</x:v>
      </x:c>
      <x:c r="D2314" s="2" t="str">
        <x:v>D-C-AL</x:v>
      </x:c>
      <x:c r="E2314" s="14" t="n">
        <x:v>15</x:v>
      </x:c>
      <x:c r="F2314" s="2" t="str">
        <x:v>Final leak / function test</x:v>
      </x:c>
      <x:c r="G2314" s="9" t="str">
        <x:v>QA-01</x:v>
      </x:c>
      <x:c r="H2314" s="15" t="n">
        <x:v>87</x:v>
      </x:c>
      <x:c r="I2314" s="9" t="str">
        <x:v>P24</x:v>
      </x:c>
      <x:c r="J2314" s="11" t="n">
        <x:v>46308.694444444445</x:v>
      </x:c>
      <x:c r="K2314" s="15" t="n">
        <x:v>10</x:v>
      </x:c>
      <x:c r="L2314" s="15" t="n">
        <x:v>11</x:v>
      </x:c>
      <x:c r="M2314" s="13" t="n">
        <x:f>J2314+(K2314+L2314)/1440</x:f>
        <x:v>46308.709027777775</x:v>
      </x:c>
      <x:c r="N2314" s="13" t="n">
        <x:f>VLOOKUP(C2314,'MES orders'!$A$8:$H$127,5,FALSE)</x:f>
        <x:v>46308.666666666664</x:v>
      </x:c>
      <x:c r="O2314" s="16" t="n">
        <x:f>MAX(0,(M2314-N2314)*24)</x:f>
        <x:v>1.0166666666627862</x:v>
      </x:c>
      <x:c r="P2314" s="9" t="str">
        <x:v>No</x:v>
      </x:c>
      <x:c r="Q2314" s="15" t="n">
        <x:v>21</x:v>
      </x:c>
      <x:c r="R2314" s="13" t="n">
        <x:f>J2314+Q2314/1440</x:f>
        <x:v>46308.709027777775</x:v>
      </x:c>
      <x:c r="S2314" s="2" t="str">
        <x:f>VLOOKUP(C2314,'MES orders'!$A$8:$H$127,6,FALSE)</x:f>
        <x:v>Normal</x:v>
      </x:c>
      <x:c r="T2314" s="9" t="str"/>
    </x:row>
    <x:row r="2315" ht="22" customHeight="1">
      <x:c r="A2315" s="2" t="str">
        <x:v>L00581-030</x:v>
      </x:c>
      <x:c r="B2315" s="2" t="str">
        <x:v>L00581</x:v>
      </x:c>
      <x:c r="C2315" s="2" t="str">
        <x:v>SO-26117</x:v>
      </x:c>
      <x:c r="D2315" s="2" t="str">
        <x:v>D-S-AL</x:v>
      </x:c>
      <x:c r="E2315" s="14" t="n">
        <x:v>10</x:v>
      </x:c>
      <x:c r="F2315" s="2" t="str">
        <x:v>Wash &amp; dry</x:v>
      </x:c>
      <x:c r="G2315" s="9" t="str">
        <x:v>WS-02</x:v>
      </x:c>
      <x:c r="H2315" s="15" t="n">
        <x:v>150</x:v>
      </x:c>
      <x:c r="I2315" s="9" t="str">
        <x:v>P13</x:v>
      </x:c>
      <x:c r="J2315" s="11" t="n">
        <x:v>46308.69583333333</x:v>
      </x:c>
      <x:c r="K2315" s="15" t="n">
        <x:v>12</x:v>
      </x:c>
      <x:c r="L2315" s="15" t="n">
        <x:v>4</x:v>
      </x:c>
      <x:c r="M2315" s="13" t="n">
        <x:f>J2315+(K2315+L2315)/1440</x:f>
        <x:v>46308.70694444444</x:v>
      </x:c>
      <x:c r="N2315" s="13" t="n">
        <x:f>VLOOKUP(C2315,'MES orders'!$A$8:$H$127,5,FALSE)</x:f>
        <x:v>46308.666666666664</x:v>
      </x:c>
      <x:c r="O2315" s="16" t="n">
        <x:f>MAX(0,(M2315-N2315)*24)</x:f>
        <x:v>0.9666666666744277</x:v>
      </x:c>
      <x:c r="P2315" s="9" t="str">
        <x:v>No</x:v>
      </x:c>
      <x:c r="Q2315" s="15" t="n">
        <x:v>16</x:v>
      </x:c>
      <x:c r="R2315" s="13" t="n">
        <x:f>J2315+Q2315/1440</x:f>
        <x:v>46308.70694444444</x:v>
      </x:c>
      <x:c r="S2315" s="2" t="str">
        <x:f>VLOOKUP(C2315,'MES orders'!$A$8:$H$127,6,FALSE)</x:f>
        <x:v>Normal</x:v>
      </x:c>
      <x:c r="T2315" s="9" t="str"/>
    </x:row>
    <x:row r="2316" ht="22" customHeight="1">
      <x:c r="A2316" s="2" t="str">
        <x:v>L00582-020</x:v>
      </x:c>
      <x:c r="B2316" s="2" t="str">
        <x:v>L00582</x:v>
      </x:c>
      <x:c r="C2316" s="2" t="str">
        <x:v>SO-26117</x:v>
      </x:c>
      <x:c r="D2316" s="2" t="str">
        <x:v>D-S-AL</x:v>
      </x:c>
      <x:c r="E2316" s="14" t="n">
        <x:v>10</x:v>
      </x:c>
      <x:c r="F2316" s="2" t="str">
        <x:v>Deburr &amp; inspect</x:v>
      </x:c>
      <x:c r="G2316" s="9" t="str">
        <x:v>DB-02</x:v>
      </x:c>
      <x:c r="H2316" s="15" t="n">
        <x:v>151</x:v>
      </x:c>
      <x:c r="I2316" s="9" t="str">
        <x:v>P14</x:v>
      </x:c>
      <x:c r="J2316" s="11" t="n">
        <x:v>46308.697916666664</x:v>
      </x:c>
      <x:c r="K2316" s="15" t="n">
        <x:v>4</x:v>
      </x:c>
      <x:c r="L2316" s="15" t="n">
        <x:v>7</x:v>
      </x:c>
      <x:c r="M2316" s="13" t="n">
        <x:f>J2316+(K2316+L2316)/1440</x:f>
        <x:v>46308.705555555556</x:v>
      </x:c>
      <x:c r="N2316" s="13" t="n">
        <x:f>VLOOKUP(C2316,'MES orders'!$A$8:$H$127,5,FALSE)</x:f>
        <x:v>46308.666666666664</x:v>
      </x:c>
      <x:c r="O2316" s="16" t="n">
        <x:f>MAX(0,(M2316-N2316)*24)</x:f>
        <x:v>0.933333333407063</x:v>
      </x:c>
      <x:c r="P2316" s="9" t="str">
        <x:v>No</x:v>
      </x:c>
      <x:c r="Q2316" s="15" t="n">
        <x:v>11</x:v>
      </x:c>
      <x:c r="R2316" s="13" t="n">
        <x:f>J2316+Q2316/1440</x:f>
        <x:v>46308.705555555556</x:v>
      </x:c>
      <x:c r="S2316" s="2" t="str">
        <x:f>VLOOKUP(C2316,'MES orders'!$A$8:$H$127,6,FALSE)</x:f>
        <x:v>Normal</x:v>
      </x:c>
      <x:c r="T2316" s="9" t="str"/>
    </x:row>
    <x:row r="2317" ht="22" customHeight="1">
      <x:c r="A2317" s="2" t="str">
        <x:v>L00384-050</x:v>
      </x:c>
      <x:c r="B2317" s="2" t="str">
        <x:v>L00384</x:v>
      </x:c>
      <x:c r="C2317" s="2" t="str">
        <x:v>SO-26077</x:v>
      </x:c>
      <x:c r="D2317" s="2" t="str">
        <x:v>R-L-AL</x:v>
      </x:c>
      <x:c r="E2317" s="14" t="n">
        <x:v>10</x:v>
      </x:c>
      <x:c r="F2317" s="2" t="str">
        <x:v>Valve adjustment</x:v>
      </x:c>
      <x:c r="G2317" s="9" t="str">
        <x:v>AS-01</x:v>
      </x:c>
      <x:c r="H2317" s="15" t="n">
        <x:v>186</x:v>
      </x:c>
      <x:c r="I2317" s="9" t="str">
        <x:v>P17</x:v>
      </x:c>
      <x:c r="J2317" s="11" t="n">
        <x:v>46308.7</x:v>
      </x:c>
      <x:c r="K2317" s="15" t="n">
        <x:v>6</x:v>
      </x:c>
      <x:c r="L2317" s="15" t="n">
        <x:v>15</x:v>
      </x:c>
      <x:c r="M2317" s="13" t="n">
        <x:f>J2317+(K2317+L2317)/1440</x:f>
        <x:v>46308.71458333333</x:v>
      </x:c>
      <x:c r="N2317" s="13" t="n">
        <x:f>VLOOKUP(C2317,'MES orders'!$A$8:$H$127,5,FALSE)</x:f>
        <x:v>46308.666666666664</x:v>
      </x:c>
      <x:c r="O2317" s="16" t="n">
        <x:f>MAX(0,(M2317-N2317)*24)</x:f>
        <x:v>1.1499999999068677</x:v>
      </x:c>
      <x:c r="P2317" s="9" t="str">
        <x:v>No</x:v>
      </x:c>
      <x:c r="Q2317" s="15" t="n">
        <x:v>21</x:v>
      </x:c>
      <x:c r="R2317" s="13" t="n">
        <x:f>J2317+Q2317/1440</x:f>
        <x:v>46308.71458333333</x:v>
      </x:c>
      <x:c r="S2317" s="2" t="str">
        <x:f>VLOOKUP(C2317,'MES orders'!$A$8:$H$127,6,FALSE)</x:f>
        <x:v>Normal</x:v>
      </x:c>
      <x:c r="T2317" s="9" t="str"/>
    </x:row>
    <x:row r="2318" ht="22" customHeight="1">
      <x:c r="A2318" s="2" t="str">
        <x:v>L00501-030</x:v>
      </x:c>
      <x:c r="B2318" s="2" t="str">
        <x:v>L00501</x:v>
      </x:c>
      <x:c r="C2318" s="2" t="str">
        <x:v>SO-26101</x:v>
      </x:c>
      <x:c r="D2318" s="2" t="str">
        <x:v>S-L-AL</x:v>
      </x:c>
      <x:c r="E2318" s="14" t="n">
        <x:v>10</x:v>
      </x:c>
      <x:c r="F2318" s="2" t="str">
        <x:v>Wash &amp; dry</x:v>
      </x:c>
      <x:c r="G2318" s="9" t="str">
        <x:v>WS-01</x:v>
      </x:c>
      <x:c r="H2318" s="15" t="n">
        <x:v>216</x:v>
      </x:c>
      <x:c r="I2318" s="9" t="str">
        <x:v>P16</x:v>
      </x:c>
      <x:c r="J2318" s="11" t="n">
        <x:v>46308.7</x:v>
      </x:c>
      <x:c r="K2318" s="15" t="n">
        <x:v>12</x:v>
      </x:c>
      <x:c r="L2318" s="15" t="n">
        <x:v>5</x:v>
      </x:c>
      <x:c r="M2318" s="13" t="n">
        <x:f>J2318+(K2318+L2318)/1440</x:f>
        <x:v>46308.711805555555</x:v>
      </x:c>
      <x:c r="N2318" s="13" t="n">
        <x:f>VLOOKUP(C2318,'MES orders'!$A$8:$H$127,5,FALSE)</x:f>
        <x:v>46308.666666666664</x:v>
      </x:c>
      <x:c r="O2318" s="16" t="n">
        <x:f>MAX(0,(M2318-N2318)*24)</x:f>
        <x:v>1.0833333333721384</x:v>
      </x:c>
      <x:c r="P2318" s="9" t="str">
        <x:v>No</x:v>
      </x:c>
      <x:c r="Q2318" s="15" t="n">
        <x:v>17</x:v>
      </x:c>
      <x:c r="R2318" s="13" t="n">
        <x:f>J2318+Q2318/1440</x:f>
        <x:v>46308.711805555555</x:v>
      </x:c>
      <x:c r="S2318" s="2" t="str">
        <x:f>VLOOKUP(C2318,'MES orders'!$A$8:$H$127,6,FALSE)</x:f>
        <x:v>Normal</x:v>
      </x:c>
      <x:c r="T2318" s="9" t="str"/>
    </x:row>
    <x:row r="2319" ht="22" customHeight="1">
      <x:c r="A2319" s="2" t="str">
        <x:v>L00583-020</x:v>
      </x:c>
      <x:c r="B2319" s="2" t="str">
        <x:v>L00583</x:v>
      </x:c>
      <x:c r="C2319" s="2" t="str">
        <x:v>SO-26117</x:v>
      </x:c>
      <x:c r="D2319" s="2" t="str">
        <x:v>D-S-AL</x:v>
      </x:c>
      <x:c r="E2319" s="14" t="n">
        <x:v>10</x:v>
      </x:c>
      <x:c r="F2319" s="2" t="str">
        <x:v>Deburr &amp; inspect</x:v>
      </x:c>
      <x:c r="G2319" s="9" t="str">
        <x:v>DB-01</x:v>
      </x:c>
      <x:c r="H2319" s="15" t="n">
        <x:v>221</x:v>
      </x:c>
      <x:c r="I2319" s="9" t="str">
        <x:v>P15</x:v>
      </x:c>
      <x:c r="J2319" s="11" t="n">
        <x:v>46308.700694444444</x:v>
      </x:c>
      <x:c r="K2319" s="15" t="n">
        <x:v>4</x:v>
      </x:c>
      <x:c r="L2319" s="15" t="n">
        <x:v>7</x:v>
      </x:c>
      <x:c r="M2319" s="13" t="n">
        <x:f>J2319+(K2319+L2319)/1440</x:f>
        <x:v>46308.708333333336</x:v>
      </x:c>
      <x:c r="N2319" s="13" t="n">
        <x:f>VLOOKUP(C2319,'MES orders'!$A$8:$H$127,5,FALSE)</x:f>
        <x:v>46308.666666666664</x:v>
      </x:c>
      <x:c r="O2319" s="16" t="n">
        <x:f>MAX(0,(M2319-N2319)*24)</x:f>
        <x:v>1.0000000001164153</x:v>
      </x:c>
      <x:c r="P2319" s="9" t="str">
        <x:v>No</x:v>
      </x:c>
      <x:c r="Q2319" s="15" t="n">
        <x:v>11</x:v>
      </x:c>
      <x:c r="R2319" s="13" t="n">
        <x:f>J2319+Q2319/1440</x:f>
        <x:v>46308.708333333336</x:v>
      </x:c>
      <x:c r="S2319" s="2" t="str">
        <x:f>VLOOKUP(C2319,'MES orders'!$A$8:$H$127,6,FALSE)</x:f>
        <x:v>Normal</x:v>
      </x:c>
      <x:c r="T2319" s="9" t="str"/>
    </x:row>
    <x:row r="2320" ht="22" customHeight="1">
      <x:c r="A2320" s="2" t="str">
        <x:v>L00581-040</x:v>
      </x:c>
      <x:c r="B2320" s="2" t="str">
        <x:v>L00581</x:v>
      </x:c>
      <x:c r="C2320" s="2" t="str">
        <x:v>SO-26117</x:v>
      </x:c>
      <x:c r="D2320" s="2" t="str">
        <x:v>D-S-AL</x:v>
      </x:c>
      <x:c r="E2320" s="14" t="n">
        <x:v>10</x:v>
      </x:c>
      <x:c r="F2320" s="2" t="str">
        <x:v>Mechanical assembly</x:v>
      </x:c>
      <x:c r="G2320" s="9" t="str">
        <x:v>AS-04</x:v>
      </x:c>
      <x:c r="H2320" s="15" t="n">
        <x:v>81</x:v>
      </x:c>
      <x:c r="I2320" s="9" t="str">
        <x:v>P13</x:v>
      </x:c>
      <x:c r="J2320" s="11" t="n">
        <x:v>46308.70694444444</x:v>
      </x:c>
      <x:c r="K2320" s="15" t="n">
        <x:v>8</x:v>
      </x:c>
      <x:c r="L2320" s="15" t="n">
        <x:v>18</x:v>
      </x:c>
      <x:c r="M2320" s="13" t="n">
        <x:f>J2320+(K2320+L2320)/1440</x:f>
        <x:v>46308.725</x:v>
      </x:c>
      <x:c r="N2320" s="13" t="n">
        <x:f>VLOOKUP(C2320,'MES orders'!$A$8:$H$127,5,FALSE)</x:f>
        <x:v>46308.666666666664</x:v>
      </x:c>
      <x:c r="O2320" s="16" t="n">
        <x:f>MAX(0,(M2320-N2320)*24)</x:f>
        <x:v>1.400000000023283</x:v>
      </x:c>
      <x:c r="P2320" s="9" t="str">
        <x:v>No</x:v>
      </x:c>
      <x:c r="Q2320" s="15" t="n">
        <x:v>26</x:v>
      </x:c>
      <x:c r="R2320" s="13" t="n">
        <x:f>J2320+Q2320/1440</x:f>
        <x:v>46308.725</x:v>
      </x:c>
      <x:c r="S2320" s="2" t="str">
        <x:f>VLOOKUP(C2320,'MES orders'!$A$8:$H$127,6,FALSE)</x:f>
        <x:v>Normal</x:v>
      </x:c>
      <x:c r="T2320" s="9" t="str"/>
    </x:row>
    <x:row r="2321" ht="22" customHeight="1">
      <x:c r="A2321" s="2" t="str">
        <x:v>L00582-030</x:v>
      </x:c>
      <x:c r="B2321" s="2" t="str">
        <x:v>L00582</x:v>
      </x:c>
      <x:c r="C2321" s="2" t="str">
        <x:v>SO-26117</x:v>
      </x:c>
      <x:c r="D2321" s="2" t="str">
        <x:v>D-S-AL</x:v>
      </x:c>
      <x:c r="E2321" s="14" t="n">
        <x:v>10</x:v>
      </x:c>
      <x:c r="F2321" s="2" t="str">
        <x:v>Wash &amp; dry</x:v>
      </x:c>
      <x:c r="G2321" s="9" t="str">
        <x:v>WS-02</x:v>
      </x:c>
      <x:c r="H2321" s="15" t="n">
        <x:v>151</x:v>
      </x:c>
      <x:c r="I2321" s="9" t="str">
        <x:v>P14</x:v>
      </x:c>
      <x:c r="J2321" s="11" t="n">
        <x:v>46308.70694444444</x:v>
      </x:c>
      <x:c r="K2321" s="15" t="n">
        <x:v>12</x:v>
      </x:c>
      <x:c r="L2321" s="15" t="n">
        <x:v>4</x:v>
      </x:c>
      <x:c r="M2321" s="13" t="n">
        <x:f>J2321+(K2321+L2321)/1440</x:f>
        <x:v>46308.71805555555</x:v>
      </x:c>
      <x:c r="N2321" s="13" t="n">
        <x:f>VLOOKUP(C2321,'MES orders'!$A$8:$H$127,5,FALSE)</x:f>
        <x:v>46308.666666666664</x:v>
      </x:c>
      <x:c r="O2321" s="16" t="n">
        <x:f>MAX(0,(M2321-N2321)*24)</x:f>
        <x:v>1.2333333333372138</x:v>
      </x:c>
      <x:c r="P2321" s="9" t="str">
        <x:v>No</x:v>
      </x:c>
      <x:c r="Q2321" s="15" t="n">
        <x:v>16</x:v>
      </x:c>
      <x:c r="R2321" s="13" t="n">
        <x:f>J2321+Q2321/1440</x:f>
        <x:v>46308.71805555555</x:v>
      </x:c>
      <x:c r="S2321" s="2" t="str">
        <x:f>VLOOKUP(C2321,'MES orders'!$A$8:$H$127,6,FALSE)</x:f>
        <x:v>Normal</x:v>
      </x:c>
      <x:c r="T2321" s="9" t="str"/>
    </x:row>
    <x:row r="2322" ht="22" customHeight="1">
      <x:c r="A2322" s="2" t="str">
        <x:v>L00385-050</x:v>
      </x:c>
      <x:c r="B2322" s="2" t="str">
        <x:v>L00385</x:v>
      </x:c>
      <x:c r="C2322" s="2" t="str">
        <x:v>SO-26077</x:v>
      </x:c>
      <x:c r="D2322" s="2" t="str">
        <x:v>R-L-AL</x:v>
      </x:c>
      <x:c r="E2322" s="14" t="n">
        <x:v>10</x:v>
      </x:c>
      <x:c r="F2322" s="2" t="str">
        <x:v>Valve adjustment</x:v>
      </x:c>
      <x:c r="G2322" s="9" t="str">
        <x:v>AS-02</x:v>
      </x:c>
      <x:c r="H2322" s="15" t="n">
        <x:v>154</x:v>
      </x:c>
      <x:c r="I2322" s="9" t="str">
        <x:v>P18</x:v>
      </x:c>
      <x:c r="J2322" s="11" t="n">
        <x:v>46308.71041666667</x:v>
      </x:c>
      <x:c r="K2322" s="15" t="n">
        <x:v>6</x:v>
      </x:c>
      <x:c r="L2322" s="15" t="n">
        <x:v>15</x:v>
      </x:c>
      <x:c r="M2322" s="13" t="n">
        <x:f>J2322+(K2322+L2322)/1440</x:f>
        <x:v>46308.725</x:v>
      </x:c>
      <x:c r="N2322" s="13" t="n">
        <x:f>VLOOKUP(C2322,'MES orders'!$A$8:$H$127,5,FALSE)</x:f>
        <x:v>46308.666666666664</x:v>
      </x:c>
      <x:c r="O2322" s="16" t="n">
        <x:f>MAX(0,(M2322-N2322)*24)</x:f>
        <x:v>1.400000000023283</x:v>
      </x:c>
      <x:c r="P2322" s="9" t="str">
        <x:v>No</x:v>
      </x:c>
      <x:c r="Q2322" s="15" t="n">
        <x:v>21</x:v>
      </x:c>
      <x:c r="R2322" s="13" t="n">
        <x:f>J2322+Q2322/1440</x:f>
        <x:v>46308.725</x:v>
      </x:c>
      <x:c r="S2322" s="2" t="str">
        <x:f>VLOOKUP(C2322,'MES orders'!$A$8:$H$127,6,FALSE)</x:f>
        <x:v>Normal</x:v>
      </x:c>
      <x:c r="T2322" s="9" t="str"/>
    </x:row>
    <x:row r="2323" ht="22" customHeight="1">
      <x:c r="A2323" s="2" t="str">
        <x:v>L00584-020</x:v>
      </x:c>
      <x:c r="B2323" s="2" t="str">
        <x:v>L00584</x:v>
      </x:c>
      <x:c r="C2323" s="2" t="str">
        <x:v>SO-26117</x:v>
      </x:c>
      <x:c r="D2323" s="2" t="str">
        <x:v>D-S-AL</x:v>
      </x:c>
      <x:c r="E2323" s="14" t="n">
        <x:v>10</x:v>
      </x:c>
      <x:c r="F2323" s="2" t="str">
        <x:v>Deburr &amp; inspect</x:v>
      </x:c>
      <x:c r="G2323" s="9" t="str">
        <x:v>DB-01</x:v>
      </x:c>
      <x:c r="H2323" s="15" t="n">
        <x:v>222</x:v>
      </x:c>
      <x:c r="I2323" s="9" t="str">
        <x:v>P19</x:v>
      </x:c>
      <x:c r="J2323" s="11" t="n">
        <x:v>46308.71041666667</x:v>
      </x:c>
      <x:c r="K2323" s="15" t="n">
        <x:v>4</x:v>
      </x:c>
      <x:c r="L2323" s="15" t="n">
        <x:v>7</x:v>
      </x:c>
      <x:c r="M2323" s="13" t="n">
        <x:f>J2323+(K2323+L2323)/1440</x:f>
        <x:v>46308.71805555556</x:v>
      </x:c>
      <x:c r="N2323" s="13" t="n">
        <x:f>VLOOKUP(C2323,'MES orders'!$A$8:$H$127,5,FALSE)</x:f>
        <x:v>46308.666666666664</x:v>
      </x:c>
      <x:c r="O2323" s="16" t="n">
        <x:f>MAX(0,(M2323-N2323)*24)</x:f>
        <x:v>1.2333333335118368</x:v>
      </x:c>
      <x:c r="P2323" s="9" t="str">
        <x:v>No</x:v>
      </x:c>
      <x:c r="Q2323" s="15" t="n">
        <x:v>11</x:v>
      </x:c>
      <x:c r="R2323" s="13" t="n">
        <x:f>J2323+Q2323/1440</x:f>
        <x:v>46308.71805555556</x:v>
      </x:c>
      <x:c r="S2323" s="2" t="str">
        <x:f>VLOOKUP(C2323,'MES orders'!$A$8:$H$127,6,FALSE)</x:f>
        <x:v>Normal</x:v>
      </x:c>
      <x:c r="T2323" s="9" t="str"/>
    </x:row>
    <x:row r="2324" ht="22" customHeight="1">
      <x:c r="A2324" s="2" t="str">
        <x:v>L00501-040</x:v>
      </x:c>
      <x:c r="B2324" s="2" t="str">
        <x:v>L00501</x:v>
      </x:c>
      <x:c r="C2324" s="2" t="str">
        <x:v>SO-26101</x:v>
      </x:c>
      <x:c r="D2324" s="2" t="str">
        <x:v>S-L-AL</x:v>
      </x:c>
      <x:c r="E2324" s="14" t="n">
        <x:v>10</x:v>
      </x:c>
      <x:c r="F2324" s="2" t="str">
        <x:v>Mechanical preassembly</x:v>
      </x:c>
      <x:c r="G2324" s="9" t="str">
        <x:v>AS-03</x:v>
      </x:c>
      <x:c r="H2324" s="15" t="n">
        <x:v>124</x:v>
      </x:c>
      <x:c r="I2324" s="9" t="str">
        <x:v>P16</x:v>
      </x:c>
      <x:c r="J2324" s="11" t="n">
        <x:v>46308.711805555555</x:v>
      </x:c>
      <x:c r="K2324" s="15" t="n">
        <x:v>6</x:v>
      </x:c>
      <x:c r="L2324" s="15" t="n">
        <x:v>15</x:v>
      </x:c>
      <x:c r="M2324" s="13" t="n">
        <x:f>J2324+(K2324+L2324)/1440</x:f>
        <x:v>46308.726388888885</x:v>
      </x:c>
      <x:c r="N2324" s="13" t="n">
        <x:f>VLOOKUP(C2324,'MES orders'!$A$8:$H$127,5,FALSE)</x:f>
        <x:v>46308.666666666664</x:v>
      </x:c>
      <x:c r="O2324" s="16" t="n">
        <x:f>MAX(0,(M2324-N2324)*24)</x:f>
        <x:v>1.4333333332906477</x:v>
      </x:c>
      <x:c r="P2324" s="9" t="str">
        <x:v>No</x:v>
      </x:c>
      <x:c r="Q2324" s="15" t="n">
        <x:v>21</x:v>
      </x:c>
      <x:c r="R2324" s="13" t="n">
        <x:f>J2324+Q2324/1440</x:f>
        <x:v>46308.726388888885</x:v>
      </x:c>
      <x:c r="S2324" s="2" t="str">
        <x:f>VLOOKUP(C2324,'MES orders'!$A$8:$H$127,6,FALSE)</x:f>
        <x:v>Normal</x:v>
      </x:c>
      <x:c r="T2324" s="9" t="str"/>
    </x:row>
    <x:row r="2325" ht="22" customHeight="1">
      <x:c r="A2325" s="2" t="str">
        <x:v>L00583-030</x:v>
      </x:c>
      <x:c r="B2325" s="2" t="str">
        <x:v>L00583</x:v>
      </x:c>
      <x:c r="C2325" s="2" t="str">
        <x:v>SO-26117</x:v>
      </x:c>
      <x:c r="D2325" s="2" t="str">
        <x:v>D-S-AL</x:v>
      </x:c>
      <x:c r="E2325" s="14" t="n">
        <x:v>10</x:v>
      </x:c>
      <x:c r="F2325" s="2" t="str">
        <x:v>Wash &amp; dry</x:v>
      </x:c>
      <x:c r="G2325" s="9" t="str">
        <x:v>WS-01</x:v>
      </x:c>
      <x:c r="H2325" s="15" t="n">
        <x:v>217</x:v>
      </x:c>
      <x:c r="I2325" s="9" t="str">
        <x:v>P15</x:v>
      </x:c>
      <x:c r="J2325" s="11" t="n">
        <x:v>46308.711805555555</x:v>
      </x:c>
      <x:c r="K2325" s="15" t="n">
        <x:v>12</x:v>
      </x:c>
      <x:c r="L2325" s="15" t="n">
        <x:v>4</x:v>
      </x:c>
      <x:c r="M2325" s="13" t="n">
        <x:f>J2325+(K2325+L2325)/1440</x:f>
        <x:v>46308.722916666666</x:v>
      </x:c>
      <x:c r="N2325" s="13" t="n">
        <x:f>VLOOKUP(C2325,'MES orders'!$A$8:$H$127,5,FALSE)</x:f>
        <x:v>46308.666666666664</x:v>
      </x:c>
      <x:c r="O2325" s="16" t="n">
        <x:f>MAX(0,(M2325-N2325)*24)</x:f>
        <x:v>1.3500000000349246</x:v>
      </x:c>
      <x:c r="P2325" s="9" t="str">
        <x:v>No</x:v>
      </x:c>
      <x:c r="Q2325" s="15" t="n">
        <x:v>16</x:v>
      </x:c>
      <x:c r="R2325" s="13" t="n">
        <x:f>J2325+Q2325/1440</x:f>
        <x:v>46308.722916666666</x:v>
      </x:c>
      <x:c r="S2325" s="2" t="str">
        <x:f>VLOOKUP(C2325,'MES orders'!$A$8:$H$127,6,FALSE)</x:f>
        <x:v>Normal</x:v>
      </x:c>
      <x:c r="T2325" s="9" t="str"/>
    </x:row>
    <x:row r="2326" ht="22" customHeight="1">
      <x:c r="A2326" s="2" t="str">
        <x:v>L00585-020</x:v>
      </x:c>
      <x:c r="B2326" s="2" t="str">
        <x:v>L00585</x:v>
      </x:c>
      <x:c r="C2326" s="2" t="str">
        <x:v>SO-26117</x:v>
      </x:c>
      <x:c r="D2326" s="2" t="str">
        <x:v>D-S-AL</x:v>
      </x:c>
      <x:c r="E2326" s="14" t="n">
        <x:v>10</x:v>
      </x:c>
      <x:c r="F2326" s="2" t="str">
        <x:v>Deburr &amp; inspect</x:v>
      </x:c>
      <x:c r="G2326" s="9" t="str">
        <x:v>DB-02</x:v>
      </x:c>
      <x:c r="H2326" s="15" t="n">
        <x:v>152</x:v>
      </x:c>
      <x:c r="I2326" s="9" t="str">
        <x:v>P20</x:v>
      </x:c>
      <x:c r="J2326" s="11" t="n">
        <x:v>46308.71319444444</x:v>
      </x:c>
      <x:c r="K2326" s="15" t="n">
        <x:v>4</x:v>
      </x:c>
      <x:c r="L2326" s="15" t="n">
        <x:v>7</x:v>
      </x:c>
      <x:c r="M2326" s="13" t="n">
        <x:f>J2326+(K2326+L2326)/1440</x:f>
        <x:v>46308.72083333333</x:v>
      </x:c>
      <x:c r="N2326" s="13" t="n">
        <x:f>VLOOKUP(C2326,'MES orders'!$A$8:$H$127,5,FALSE)</x:f>
        <x:v>46308.666666666664</x:v>
      </x:c>
      <x:c r="O2326" s="16" t="n">
        <x:f>MAX(0,(M2326-N2326)*24)</x:f>
        <x:v>1.3000000000465661</x:v>
      </x:c>
      <x:c r="P2326" s="9" t="str">
        <x:v>No</x:v>
      </x:c>
      <x:c r="Q2326" s="15" t="n">
        <x:v>11</x:v>
      </x:c>
      <x:c r="R2326" s="13" t="n">
        <x:f>J2326+Q2326/1440</x:f>
        <x:v>46308.72083333333</x:v>
      </x:c>
      <x:c r="S2326" s="2" t="str">
        <x:f>VLOOKUP(C2326,'MES orders'!$A$8:$H$127,6,FALSE)</x:f>
        <x:v>Normal</x:v>
      </x:c>
      <x:c r="T2326" s="9" t="str"/>
    </x:row>
    <x:row r="2327" ht="22" customHeight="1">
      <x:c r="A2327" s="2" t="str">
        <x:v>L00502-070</x:v>
      </x:c>
      <x:c r="B2327" s="2" t="str">
        <x:v>L00502</x:v>
      </x:c>
      <x:c r="C2327" s="2" t="str">
        <x:v>SO-26101</x:v>
      </x:c>
      <x:c r="D2327" s="2" t="str">
        <x:v>S-L-AL</x:v>
      </x:c>
      <x:c r="E2327" s="14" t="n">
        <x:v>10</x:v>
      </x:c>
      <x:c r="F2327" s="2" t="str">
        <x:v>Final assembly</x:v>
      </x:c>
      <x:c r="G2327" s="9" t="str">
        <x:v>AS-01</x:v>
      </x:c>
      <x:c r="H2327" s="15" t="n">
        <x:v>187</x:v>
      </x:c>
      <x:c r="I2327" s="9" t="str">
        <x:v>P17</x:v>
      </x:c>
      <x:c r="J2327" s="11" t="n">
        <x:v>46308.714583333334</x:v>
      </x:c>
      <x:c r="K2327" s="15" t="n">
        <x:v>5</x:v>
      </x:c>
      <x:c r="L2327" s="15" t="n">
        <x:v>11</x:v>
      </x:c>
      <x:c r="M2327" s="13" t="n">
        <x:f>J2327+(K2327+L2327)/1440</x:f>
        <x:v>46308.725694444445</x:v>
      </x:c>
      <x:c r="N2327" s="13" t="n">
        <x:f>VLOOKUP(C2327,'MES orders'!$A$8:$H$127,5,FALSE)</x:f>
        <x:v>46308.666666666664</x:v>
      </x:c>
      <x:c r="O2327" s="16" t="n">
        <x:f>MAX(0,(M2327-N2327)*24)</x:f>
        <x:v>1.4166666667442769</x:v>
      </x:c>
      <x:c r="P2327" s="9" t="str">
        <x:v>No</x:v>
      </x:c>
      <x:c r="Q2327" s="15" t="n">
        <x:v>16</x:v>
      </x:c>
      <x:c r="R2327" s="13" t="n">
        <x:f>J2327+Q2327/1440</x:f>
        <x:v>46308.725694444445</x:v>
      </x:c>
      <x:c r="S2327" s="2" t="str">
        <x:f>VLOOKUP(C2327,'MES orders'!$A$8:$H$127,6,FALSE)</x:f>
        <x:v>Normal</x:v>
      </x:c>
      <x:c r="T2327" s="9" t="str"/>
    </x:row>
    <x:row r="2328" ht="22" customHeight="1">
      <x:c r="A2328" s="2" t="str">
        <x:v>L00384-060</x:v>
      </x:c>
      <x:c r="B2328" s="2" t="str">
        <x:v>L00384</x:v>
      </x:c>
      <x:c r="C2328" s="2" t="str">
        <x:v>SO-26077</x:v>
      </x:c>
      <x:c r="D2328" s="2" t="str">
        <x:v>R-L-AL</x:v>
      </x:c>
      <x:c r="E2328" s="14" t="n">
        <x:v>10</x:v>
      </x:c>
      <x:c r="F2328" s="2" t="str">
        <x:v>Final leak / function test</x:v>
      </x:c>
      <x:c r="G2328" s="9" t="str">
        <x:v>QA-02</x:v>
      </x:c>
      <x:c r="H2328" s="15" t="n">
        <x:v>170</x:v>
      </x:c>
      <x:c r="I2328" s="9" t="str">
        <x:v>P23</x:v>
      </x:c>
      <x:c r="J2328" s="11" t="n">
        <x:v>46308.714583333334</x:v>
      </x:c>
      <x:c r="K2328" s="15" t="n">
        <x:v>10</x:v>
      </x:c>
      <x:c r="L2328" s="15" t="n">
        <x:v>12</x:v>
      </x:c>
      <x:c r="M2328" s="13" t="n">
        <x:f>J2328+(K2328+L2328)/1440</x:f>
        <x:v>46308.72986111111</x:v>
      </x:c>
      <x:c r="N2328" s="13" t="n">
        <x:f>VLOOKUP(C2328,'MES orders'!$A$8:$H$127,5,FALSE)</x:f>
        <x:v>46308.666666666664</x:v>
      </x:c>
      <x:c r="O2328" s="16" t="n">
        <x:f>MAX(0,(M2328-N2328)*24)</x:f>
        <x:v>1.5166666667209938</x:v>
      </x:c>
      <x:c r="P2328" s="9" t="str">
        <x:v>No</x:v>
      </x:c>
      <x:c r="Q2328" s="15" t="n">
        <x:v>22</x:v>
      </x:c>
      <x:c r="R2328" s="13" t="n">
        <x:f>J2328+Q2328/1440</x:f>
        <x:v>46308.72986111111</x:v>
      </x:c>
      <x:c r="S2328" s="2" t="str">
        <x:f>VLOOKUP(C2328,'MES orders'!$A$8:$H$127,6,FALSE)</x:f>
        <x:v>Normal</x:v>
      </x:c>
      <x:c r="T2328" s="9" t="str"/>
    </x:row>
    <x:row r="2329" ht="22" customHeight="1">
      <x:c r="A2329" s="2" t="str">
        <x:v>L00582-040</x:v>
      </x:c>
      <x:c r="B2329" s="2" t="str">
        <x:v>L00582</x:v>
      </x:c>
      <x:c r="C2329" s="2" t="str">
        <x:v>SO-26117</x:v>
      </x:c>
      <x:c r="D2329" s="2" t="str">
        <x:v>D-S-AL</x:v>
      </x:c>
      <x:c r="E2329" s="14" t="n">
        <x:v>10</x:v>
      </x:c>
      <x:c r="F2329" s="2" t="str">
        <x:v>Mechanical assembly</x:v>
      </x:c>
      <x:c r="G2329" s="9" t="str">
        <x:v>AS-05</x:v>
      </x:c>
      <x:c r="H2329" s="15" t="n">
        <x:v>45</x:v>
      </x:c>
      <x:c r="I2329" s="9" t="str">
        <x:v>P14</x:v>
      </x:c>
      <x:c r="J2329" s="11" t="n">
        <x:v>46308.71805555555</x:v>
      </x:c>
      <x:c r="K2329" s="15" t="n">
        <x:v>8</x:v>
      </x:c>
      <x:c r="L2329" s="15" t="n">
        <x:v>18</x:v>
      </x:c>
      <x:c r="M2329" s="13" t="n">
        <x:f>J2329+(K2329+L2329)/1440</x:f>
        <x:v>46308.73611111111</x:v>
      </x:c>
      <x:c r="N2329" s="13" t="n">
        <x:f>VLOOKUP(C2329,'MES orders'!$A$8:$H$127,5,FALSE)</x:f>
        <x:v>46308.666666666664</x:v>
      </x:c>
      <x:c r="O2329" s="16" t="n">
        <x:f>MAX(0,(M2329-N2329)*24)</x:f>
        <x:v>1.6666666666860692</x:v>
      </x:c>
      <x:c r="P2329" s="9" t="str">
        <x:v>No</x:v>
      </x:c>
      <x:c r="Q2329" s="15" t="n">
        <x:v>26</x:v>
      </x:c>
      <x:c r="R2329" s="13" t="n">
        <x:f>J2329+Q2329/1440</x:f>
        <x:v>46308.73611111111</x:v>
      </x:c>
      <x:c r="S2329" s="2" t="str">
        <x:f>VLOOKUP(C2329,'MES orders'!$A$8:$H$127,6,FALSE)</x:f>
        <x:v>Normal</x:v>
      </x:c>
      <x:c r="T2329" s="9" t="str"/>
    </x:row>
    <x:row r="2330" ht="22" customHeight="1">
      <x:c r="A2330" s="2" t="str">
        <x:v>L00346-010</x:v>
      </x:c>
      <x:c r="B2330" s="2" t="str">
        <x:v>L00346</x:v>
      </x:c>
      <x:c r="C2330" s="2" t="str">
        <x:v>SO-26070</x:v>
      </x:c>
      <x:c r="D2330" s="2" t="str">
        <x:v>S-S-SS</x:v>
      </x:c>
      <x:c r="E2330" s="14" t="n">
        <x:v>10</x:v>
      </x:c>
      <x:c r="F2330" s="2" t="str">
        <x:v>CNC machining</x:v>
      </x:c>
      <x:c r="G2330" s="9" t="str">
        <x:v>CNC-03</x:v>
      </x:c>
      <x:c r="H2330" s="15" t="n">
        <x:v>74</x:v>
      </x:c>
      <x:c r="I2330" s="9" t="str">
        <x:v>P15</x:v>
      </x:c>
      <x:c r="J2330" s="11" t="n">
        <x:v>46308.722916666666</x:v>
      </x:c>
      <x:c r="K2330" s="15" t="n">
        <x:v>18</x:v>
      </x:c>
      <x:c r="L2330" s="15" t="n">
        <x:v>30</x:v>
      </x:c>
      <x:c r="M2330" s="13" t="n">
        <x:f>J2330+(K2330+L2330)/1440</x:f>
        <x:v>46308.75625</x:v>
      </x:c>
      <x:c r="N2330" s="13" t="n">
        <x:f>VLOOKUP(C2330,'MES orders'!$A$8:$H$127,5,FALSE)</x:f>
        <x:v>46309.666666666664</x:v>
      </x:c>
      <x:c r="O2330" s="16" t="n">
        <x:f>MAX(0,(M2330-N2330)*24)</x:f>
        <x:v>0</x:v>
      </x:c>
      <x:c r="P2330" s="9" t="str">
        <x:v>No</x:v>
      </x:c>
      <x:c r="Q2330" s="15" t="n">
        <x:v>18</x:v>
      </x:c>
      <x:c r="R2330" s="13" t="n">
        <x:f>J2330+Q2330/1440</x:f>
        <x:v>46308.73541666666</x:v>
      </x:c>
      <x:c r="S2330" s="2" t="str">
        <x:f>VLOOKUP(C2330,'MES orders'!$A$8:$H$127,6,FALSE)</x:f>
        <x:v>Urgent</x:v>
      </x:c>
      <x:c r="T2330" s="9" t="str"/>
    </x:row>
    <x:row r="2331" ht="22" customHeight="1">
      <x:c r="A2331" s="2" t="str">
        <x:v>L00347-010</x:v>
      </x:c>
      <x:c r="B2331" s="2" t="str">
        <x:v>L00347</x:v>
      </x:c>
      <x:c r="C2331" s="2" t="str">
        <x:v>SO-26070</x:v>
      </x:c>
      <x:c r="D2331" s="2" t="str">
        <x:v>S-S-SS</x:v>
      </x:c>
      <x:c r="E2331" s="14" t="n">
        <x:v>10</x:v>
      </x:c>
      <x:c r="F2331" s="2" t="str">
        <x:v>CNC machining</x:v>
      </x:c>
      <x:c r="G2331" s="9" t="str">
        <x:v>CNC-04</x:v>
      </x:c>
      <x:c r="H2331" s="15" t="n">
        <x:v>71</x:v>
      </x:c>
      <x:c r="I2331" s="9" t="str">
        <x:v>P13</x:v>
      </x:c>
      <x:c r="J2331" s="11" t="n">
        <x:v>46308.725</x:v>
      </x:c>
      <x:c r="K2331" s="15" t="n">
        <x:v>18</x:v>
      </x:c>
      <x:c r="L2331" s="15" t="n">
        <x:v>30</x:v>
      </x:c>
      <x:c r="M2331" s="13" t="n">
        <x:f>J2331+(K2331+L2331)/1440</x:f>
        <x:v>46308.75833333333</x:v>
      </x:c>
      <x:c r="N2331" s="13" t="n">
        <x:f>VLOOKUP(C2331,'MES orders'!$A$8:$H$127,5,FALSE)</x:f>
        <x:v>46309.666666666664</x:v>
      </x:c>
      <x:c r="O2331" s="16" t="n">
        <x:f>MAX(0,(M2331-N2331)*24)</x:f>
        <x:v>0</x:v>
      </x:c>
      <x:c r="P2331" s="9" t="str">
        <x:v>No</x:v>
      </x:c>
      <x:c r="Q2331" s="15" t="n">
        <x:v>18</x:v>
      </x:c>
      <x:c r="R2331" s="13" t="n">
        <x:f>J2331+Q2331/1440</x:f>
        <x:v>46308.737499999996</x:v>
      </x:c>
      <x:c r="S2331" s="2" t="str">
        <x:f>VLOOKUP(C2331,'MES orders'!$A$8:$H$127,6,FALSE)</x:f>
        <x:v>Urgent</x:v>
      </x:c>
      <x:c r="T2331" s="9" t="str"/>
    </x:row>
    <x:row r="2332" ht="22" customHeight="1">
      <x:c r="A2332" s="2" t="str">
        <x:v>L00385-060</x:v>
      </x:c>
      <x:c r="B2332" s="2" t="str">
        <x:v>L00385</x:v>
      </x:c>
      <x:c r="C2332" s="2" t="str">
        <x:v>SO-26077</x:v>
      </x:c>
      <x:c r="D2332" s="2" t="str">
        <x:v>R-L-AL</x:v>
      </x:c>
      <x:c r="E2332" s="14" t="n">
        <x:v>10</x:v>
      </x:c>
      <x:c r="F2332" s="2" t="str">
        <x:v>Final leak / function test</x:v>
      </x:c>
      <x:c r="G2332" s="9" t="str">
        <x:v>QA-03</x:v>
      </x:c>
      <x:c r="H2332" s="15" t="n">
        <x:v>105</x:v>
      </x:c>
      <x:c r="I2332" s="9" t="str">
        <x:v>P24</x:v>
      </x:c>
      <x:c r="J2332" s="11" t="n">
        <x:v>46308.725</x:v>
      </x:c>
      <x:c r="K2332" s="15" t="n">
        <x:v>10</x:v>
      </x:c>
      <x:c r="L2332" s="15" t="n">
        <x:v>12</x:v>
      </x:c>
      <x:c r="M2332" s="13" t="n">
        <x:f>J2332+(K2332+L2332)/1440</x:f>
        <x:v>46308.740277777775</x:v>
      </x:c>
      <x:c r="N2332" s="13" t="n">
        <x:f>VLOOKUP(C2332,'MES orders'!$A$8:$H$127,5,FALSE)</x:f>
        <x:v>46308.666666666664</x:v>
      </x:c>
      <x:c r="O2332" s="16" t="n">
        <x:f>MAX(0,(M2332-N2332)*24)</x:f>
        <x:v>1.7666666666627862</x:v>
      </x:c>
      <x:c r="P2332" s="9" t="str">
        <x:v>No</x:v>
      </x:c>
      <x:c r="Q2332" s="15" t="n">
        <x:v>22</x:v>
      </x:c>
      <x:c r="R2332" s="13" t="n">
        <x:f>J2332+Q2332/1440</x:f>
        <x:v>46308.740277777775</x:v>
      </x:c>
      <x:c r="S2332" s="2" t="str">
        <x:f>VLOOKUP(C2332,'MES orders'!$A$8:$H$127,6,FALSE)</x:f>
        <x:v>Normal</x:v>
      </x:c>
      <x:c r="T2332" s="9" t="str"/>
    </x:row>
    <x:row r="2333" ht="22" customHeight="1">
      <x:c r="A2333" s="2" t="str">
        <x:v>L00503-030</x:v>
      </x:c>
      <x:c r="B2333" s="2" t="str">
        <x:v>L00503</x:v>
      </x:c>
      <x:c r="C2333" s="2" t="str">
        <x:v>SO-26101</x:v>
      </x:c>
      <x:c r="D2333" s="2" t="str">
        <x:v>S-L-AL</x:v>
      </x:c>
      <x:c r="E2333" s="14" t="n">
        <x:v>10</x:v>
      </x:c>
      <x:c r="F2333" s="2" t="str">
        <x:v>Wash &amp; dry</x:v>
      </x:c>
      <x:c r="G2333" s="9" t="str">
        <x:v>WS-01</x:v>
      </x:c>
      <x:c r="H2333" s="15" t="n">
        <x:v>218</x:v>
      </x:c>
      <x:c r="I2333" s="9" t="str">
        <x:v>P18</x:v>
      </x:c>
      <x:c r="J2333" s="11" t="n">
        <x:v>46308.725</x:v>
      </x:c>
      <x:c r="K2333" s="15" t="n">
        <x:v>12</x:v>
      </x:c>
      <x:c r="L2333" s="15" t="n">
        <x:v>5</x:v>
      </x:c>
      <x:c r="M2333" s="13" t="n">
        <x:f>J2333+(K2333+L2333)/1440</x:f>
        <x:v>46308.736805555556</x:v>
      </x:c>
      <x:c r="N2333" s="13" t="n">
        <x:f>VLOOKUP(C2333,'MES orders'!$A$8:$H$127,5,FALSE)</x:f>
        <x:v>46308.666666666664</x:v>
      </x:c>
      <x:c r="O2333" s="16" t="n">
        <x:f>MAX(0,(M2333-N2333)*24)</x:f>
        <x:v>1.683333333407063</x:v>
      </x:c>
      <x:c r="P2333" s="9" t="str">
        <x:v>No</x:v>
      </x:c>
      <x:c r="Q2333" s="15" t="n">
        <x:v>17</x:v>
      </x:c>
      <x:c r="R2333" s="13" t="n">
        <x:f>J2333+Q2333/1440</x:f>
        <x:v>46308.736805555556</x:v>
      </x:c>
      <x:c r="S2333" s="2" t="str">
        <x:f>VLOOKUP(C2333,'MES orders'!$A$8:$H$127,6,FALSE)</x:f>
        <x:v>Normal</x:v>
      </x:c>
      <x:c r="T2333" s="9" t="str"/>
    </x:row>
    <x:row r="2334" ht="22" customHeight="1">
      <x:c r="A2334" s="2" t="str">
        <x:v>L00504-040</x:v>
      </x:c>
      <x:c r="B2334" s="2" t="str">
        <x:v>L00504</x:v>
      </x:c>
      <x:c r="C2334" s="2" t="str">
        <x:v>SO-26101</x:v>
      </x:c>
      <x:c r="D2334" s="2" t="str">
        <x:v>S-L-AL</x:v>
      </x:c>
      <x:c r="E2334" s="14" t="n">
        <x:v>10</x:v>
      </x:c>
      <x:c r="F2334" s="2" t="str">
        <x:v>Mechanical preassembly</x:v>
      </x:c>
      <x:c r="G2334" s="9" t="str">
        <x:v>AS-01</x:v>
      </x:c>
      <x:c r="H2334" s="15" t="n">
        <x:v>188</x:v>
      </x:c>
      <x:c r="I2334" s="9" t="str">
        <x:v>P17</x:v>
      </x:c>
      <x:c r="J2334" s="11" t="n">
        <x:v>46308.725694444445</x:v>
      </x:c>
      <x:c r="K2334" s="15" t="n">
        <x:v>6</x:v>
      </x:c>
      <x:c r="L2334" s="15" t="n">
        <x:v>15</x:v>
      </x:c>
      <x:c r="M2334" s="13" t="n">
        <x:f>J2334+(K2334+L2334)/1440</x:f>
        <x:v>46308.740277777775</x:v>
      </x:c>
      <x:c r="N2334" s="13" t="n">
        <x:f>VLOOKUP(C2334,'MES orders'!$A$8:$H$127,5,FALSE)</x:f>
        <x:v>46308.666666666664</x:v>
      </x:c>
      <x:c r="O2334" s="16" t="n">
        <x:f>MAX(0,(M2334-N2334)*24)</x:f>
        <x:v>1.7666666666627862</x:v>
      </x:c>
      <x:c r="P2334" s="9" t="str">
        <x:v>No</x:v>
      </x:c>
      <x:c r="Q2334" s="15" t="n">
        <x:v>21</x:v>
      </x:c>
      <x:c r="R2334" s="13" t="n">
        <x:f>J2334+Q2334/1440</x:f>
        <x:v>46308.740277777775</x:v>
      </x:c>
      <x:c r="S2334" s="2" t="str">
        <x:f>VLOOKUP(C2334,'MES orders'!$A$8:$H$127,6,FALSE)</x:f>
        <x:v>Normal</x:v>
      </x:c>
      <x:c r="T2334" s="9" t="str"/>
    </x:row>
    <x:row r="2335" ht="22" customHeight="1">
      <x:c r="A2335" s="2" t="str">
        <x:v>L00501-050</x:v>
      </x:c>
      <x:c r="B2335" s="2" t="str">
        <x:v>L00501</x:v>
      </x:c>
      <x:c r="C2335" s="2" t="str">
        <x:v>SO-26101</x:v>
      </x:c>
      <x:c r="D2335" s="2" t="str">
        <x:v>S-L-AL</x:v>
      </x:c>
      <x:c r="E2335" s="14" t="n">
        <x:v>10</x:v>
      </x:c>
      <x:c r="F2335" s="2" t="str">
        <x:v>Sensor installation</x:v>
      </x:c>
      <x:c r="G2335" s="9" t="str">
        <x:v>EL-01</x:v>
      </x:c>
      <x:c r="H2335" s="15" t="n">
        <x:v>78</x:v>
      </x:c>
      <x:c r="I2335" s="9" t="str">
        <x:v>P19</x:v>
      </x:c>
      <x:c r="J2335" s="11" t="n">
        <x:v>46308.72638888889</x:v>
      </x:c>
      <x:c r="K2335" s="15" t="n">
        <x:v>8</x:v>
      </x:c>
      <x:c r="L2335" s="15" t="n">
        <x:v>16</x:v>
      </x:c>
      <x:c r="M2335" s="13" t="n">
        <x:f>J2335+(K2335+L2335)/1440</x:f>
        <x:v>46308.74305555556</x:v>
      </x:c>
      <x:c r="N2335" s="13" t="n">
        <x:f>VLOOKUP(C2335,'MES orders'!$A$8:$H$127,5,FALSE)</x:f>
        <x:v>46308.666666666664</x:v>
      </x:c>
      <x:c r="O2335" s="16" t="n">
        <x:f>MAX(0,(M2335-N2335)*24)</x:f>
        <x:v>1.8333333335467614</x:v>
      </x:c>
      <x:c r="P2335" s="9" t="str">
        <x:v>No</x:v>
      </x:c>
      <x:c r="Q2335" s="15" t="n">
        <x:v>24</x:v>
      </x:c>
      <x:c r="R2335" s="13" t="n">
        <x:f>J2335+Q2335/1440</x:f>
        <x:v>46308.74305555556</x:v>
      </x:c>
      <x:c r="S2335" s="2" t="str">
        <x:f>VLOOKUP(C2335,'MES orders'!$A$8:$H$127,6,FALSE)</x:f>
        <x:v>Normal</x:v>
      </x:c>
      <x:c r="T2335" s="9" t="str"/>
    </x:row>
    <x:row r="2336" ht="22" customHeight="1">
      <x:c r="A2336" s="2" t="str">
        <x:v>L00505-030</x:v>
      </x:c>
      <x:c r="B2336" s="2" t="str">
        <x:v>L00505</x:v>
      </x:c>
      <x:c r="C2336" s="2" t="str">
        <x:v>SO-26101</x:v>
      </x:c>
      <x:c r="D2336" s="2" t="str">
        <x:v>S-L-AL</x:v>
      </x:c>
      <x:c r="E2336" s="14" t="n">
        <x:v>10</x:v>
      </x:c>
      <x:c r="F2336" s="2" t="str">
        <x:v>Wash &amp; dry</x:v>
      </x:c>
      <x:c r="G2336" s="9" t="str">
        <x:v>WS-02</x:v>
      </x:c>
      <x:c r="H2336" s="15" t="n">
        <x:v>152</x:v>
      </x:c>
      <x:c r="I2336" s="9" t="str">
        <x:v>P16</x:v>
      </x:c>
      <x:c r="J2336" s="11" t="n">
        <x:v>46308.72638888889</x:v>
      </x:c>
      <x:c r="K2336" s="15" t="n">
        <x:v>12</x:v>
      </x:c>
      <x:c r="L2336" s="15" t="n">
        <x:v>5</x:v>
      </x:c>
      <x:c r="M2336" s="13" t="n">
        <x:f>J2336+(K2336+L2336)/1440</x:f>
        <x:v>46308.73819444445</x:v>
      </x:c>
      <x:c r="N2336" s="13" t="n">
        <x:f>VLOOKUP(C2336,'MES orders'!$A$8:$H$127,5,FALSE)</x:f>
        <x:v>46308.666666666664</x:v>
      </x:c>
      <x:c r="O2336" s="16" t="n">
        <x:f>MAX(0,(M2336-N2336)*24)</x:f>
        <x:v>1.7166666668490507</x:v>
      </x:c>
      <x:c r="P2336" s="9" t="str">
        <x:v>No</x:v>
      </x:c>
      <x:c r="Q2336" s="15" t="n">
        <x:v>17</x:v>
      </x:c>
      <x:c r="R2336" s="13" t="n">
        <x:f>J2336+Q2336/1440</x:f>
        <x:v>46308.73819444445</x:v>
      </x:c>
      <x:c r="S2336" s="2" t="str">
        <x:f>VLOOKUP(C2336,'MES orders'!$A$8:$H$127,6,FALSE)</x:f>
        <x:v>Normal</x:v>
      </x:c>
      <x:c r="T2336" s="9" t="str"/>
    </x:row>
    <x:row r="2337" ht="22" customHeight="1">
      <x:c r="A2337" s="2" t="str">
        <x:v>L00502-080</x:v>
      </x:c>
      <x:c r="B2337" s="2" t="str">
        <x:v>L00502</x:v>
      </x:c>
      <x:c r="C2337" s="2" t="str">
        <x:v>SO-26101</x:v>
      </x:c>
      <x:c r="D2337" s="2" t="str">
        <x:v>S-L-AL</x:v>
      </x:c>
      <x:c r="E2337" s="14" t="n">
        <x:v>10</x:v>
      </x:c>
      <x:c r="F2337" s="2" t="str">
        <x:v>Final leak / function test</x:v>
      </x:c>
      <x:c r="G2337" s="9" t="str">
        <x:v>QA-02</x:v>
      </x:c>
      <x:c r="H2337" s="15" t="n">
        <x:v>171</x:v>
      </x:c>
      <x:c r="I2337" s="9" t="str">
        <x:v>P23</x:v>
      </x:c>
      <x:c r="J2337" s="11" t="n">
        <x:v>46308.72986111111</x:v>
      </x:c>
      <x:c r="K2337" s="15" t="n">
        <x:v>10</x:v>
      </x:c>
      <x:c r="L2337" s="15" t="n">
        <x:v>12</x:v>
      </x:c>
      <x:c r="M2337" s="13" t="n">
        <x:f>J2337+(K2337+L2337)/1440</x:f>
        <x:v>46308.74513888889</x:v>
      </x:c>
      <x:c r="N2337" s="13" t="n">
        <x:f>VLOOKUP(C2337,'MES orders'!$A$8:$H$127,5,FALSE)</x:f>
        <x:v>46308.666666666664</x:v>
      </x:c>
      <x:c r="O2337" s="16" t="n">
        <x:f>MAX(0,(M2337-N2337)*24)</x:f>
        <x:v>1.883333333360497</x:v>
      </x:c>
      <x:c r="P2337" s="9" t="str">
        <x:v>No</x:v>
      </x:c>
      <x:c r="Q2337" s="15" t="n">
        <x:v>22</x:v>
      </x:c>
      <x:c r="R2337" s="13" t="n">
        <x:f>J2337+Q2337/1440</x:f>
        <x:v>46308.74513888889</x:v>
      </x:c>
      <x:c r="S2337" s="2" t="str">
        <x:f>VLOOKUP(C2337,'MES orders'!$A$8:$H$127,6,FALSE)</x:f>
        <x:v>Normal</x:v>
      </x:c>
      <x:c r="T2337" s="9" t="str"/>
    </x:row>
    <x:row r="2338" ht="22" customHeight="1">
      <x:c r="A2338" s="2" t="str">
        <x:v>L00348-010</x:v>
      </x:c>
      <x:c r="B2338" s="2" t="str">
        <x:v>L00348</x:v>
      </x:c>
      <x:c r="C2338" s="2" t="str">
        <x:v>SO-26070</x:v>
      </x:c>
      <x:c r="D2338" s="2" t="str">
        <x:v>S-S-SS</x:v>
      </x:c>
      <x:c r="E2338" s="14" t="n">
        <x:v>10</x:v>
      </x:c>
      <x:c r="F2338" s="2" t="str">
        <x:v>CNC machining</x:v>
      </x:c>
      <x:c r="G2338" s="9" t="str">
        <x:v>CNC-05</x:v>
      </x:c>
      <x:c r="H2338" s="15" t="n">
        <x:v>64</x:v>
      </x:c>
      <x:c r="I2338" s="9" t="str">
        <x:v>P15</x:v>
      </x:c>
      <x:c r="J2338" s="11" t="n">
        <x:v>46308.73541666667</x:v>
      </x:c>
      <x:c r="K2338" s="15" t="n">
        <x:v>18</x:v>
      </x:c>
      <x:c r="L2338" s="15" t="n">
        <x:v>30</x:v>
      </x:c>
      <x:c r="M2338" s="13" t="n">
        <x:f>J2338+(K2338+L2338)/1440</x:f>
        <x:v>46308.76875</x:v>
      </x:c>
      <x:c r="N2338" s="13" t="n">
        <x:f>VLOOKUP(C2338,'MES orders'!$A$8:$H$127,5,FALSE)</x:f>
        <x:v>46309.666666666664</x:v>
      </x:c>
      <x:c r="O2338" s="16" t="n">
        <x:f>MAX(0,(M2338-N2338)*24)</x:f>
        <x:v>0</x:v>
      </x:c>
      <x:c r="P2338" s="9" t="str">
        <x:v>No</x:v>
      </x:c>
      <x:c r="Q2338" s="15" t="n">
        <x:v>18</x:v>
      </x:c>
      <x:c r="R2338" s="13" t="n">
        <x:f>J2338+Q2338/1440</x:f>
        <x:v>46308.74791666667</x:v>
      </x:c>
      <x:c r="S2338" s="2" t="str">
        <x:f>VLOOKUP(C2338,'MES orders'!$A$8:$H$127,6,FALSE)</x:f>
        <x:v>Urgent</x:v>
      </x:c>
      <x:c r="T2338" s="9" t="str"/>
    </x:row>
    <x:row r="2339" ht="22" customHeight="1">
      <x:c r="A2339" s="2" t="str">
        <x:v>L00349-010</x:v>
      </x:c>
      <x:c r="B2339" s="2" t="str">
        <x:v>L00349</x:v>
      </x:c>
      <x:c r="C2339" s="2" t="str">
        <x:v>SO-26070</x:v>
      </x:c>
      <x:c r="D2339" s="2" t="str">
        <x:v>S-S-SS</x:v>
      </x:c>
      <x:c r="E2339" s="14" t="n">
        <x:v>10</x:v>
      </x:c>
      <x:c r="F2339" s="2" t="str">
        <x:v>CNC machining</x:v>
      </x:c>
      <x:c r="G2339" s="9" t="str">
        <x:v>CNC-06</x:v>
      </x:c>
      <x:c r="H2339" s="15" t="n">
        <x:v>58</x:v>
      </x:c>
      <x:c r="I2339" s="9" t="str">
        <x:v>P14</x:v>
      </x:c>
      <x:c r="J2339" s="11" t="n">
        <x:v>46308.73611111111</x:v>
      </x:c>
      <x:c r="K2339" s="15" t="n">
        <x:v>18</x:v>
      </x:c>
      <x:c r="L2339" s="15" t="n">
        <x:v>30</x:v>
      </x:c>
      <x:c r="M2339" s="13" t="n">
        <x:f>J2339+(K2339+L2339)/1440</x:f>
        <x:v>46308.76944444444</x:v>
      </x:c>
      <x:c r="N2339" s="13" t="n">
        <x:f>VLOOKUP(C2339,'MES orders'!$A$8:$H$127,5,FALSE)</x:f>
        <x:v>46309.666666666664</x:v>
      </x:c>
      <x:c r="O2339" s="16" t="n">
        <x:f>MAX(0,(M2339-N2339)*24)</x:f>
        <x:v>0</x:v>
      </x:c>
      <x:c r="P2339" s="9" t="str">
        <x:v>No</x:v>
      </x:c>
      <x:c r="Q2339" s="15" t="n">
        <x:v>18</x:v>
      </x:c>
      <x:c r="R2339" s="13" t="n">
        <x:f>J2339+Q2339/1440</x:f>
        <x:v>46308.74861111111</x:v>
      </x:c>
      <x:c r="S2339" s="2" t="str">
        <x:f>VLOOKUP(C2339,'MES orders'!$A$8:$H$127,6,FALSE)</x:f>
        <x:v>Urgent</x:v>
      </x:c>
      <x:c r="T2339" s="9" t="str"/>
    </x:row>
    <x:row r="2340" ht="22" customHeight="1">
      <x:c r="A2340" s="2" t="str">
        <x:v>L00543-030</x:v>
      </x:c>
      <x:c r="B2340" s="2" t="str">
        <x:v>L00543</x:v>
      </x:c>
      <x:c r="C2340" s="2" t="str">
        <x:v>SO-26109</x:v>
      </x:c>
      <x:c r="D2340" s="2" t="str">
        <x:v>D-C-AL</x:v>
      </x:c>
      <x:c r="E2340" s="14" t="n">
        <x:v>15</x:v>
      </x:c>
      <x:c r="F2340" s="2" t="str">
        <x:v>Wash &amp; dry</x:v>
      </x:c>
      <x:c r="G2340" s="9" t="str">
        <x:v>WS-01</x:v>
      </x:c>
      <x:c r="H2340" s="15" t="n">
        <x:v>219</x:v>
      </x:c>
      <x:c r="I2340" s="9" t="str">
        <x:v>P18</x:v>
      </x:c>
      <x:c r="J2340" s="11" t="n">
        <x:v>46308.736805555556</x:v>
      </x:c>
      <x:c r="K2340" s="15" t="n">
        <x:v>12</x:v>
      </x:c>
      <x:c r="L2340" s="15" t="n">
        <x:v>4</x:v>
      </x:c>
      <x:c r="M2340" s="13" t="n">
        <x:f>J2340+(K2340+L2340)/1440</x:f>
        <x:v>46308.74791666667</x:v>
      </x:c>
      <x:c r="N2340" s="13" t="n">
        <x:f>VLOOKUP(C2340,'MES orders'!$A$8:$H$127,5,FALSE)</x:f>
        <x:v>46308.666666666664</x:v>
      </x:c>
      <x:c r="O2340" s="16" t="n">
        <x:f>MAX(0,(M2340-N2340)*24)</x:f>
        <x:v>1.9500000000698492</x:v>
      </x:c>
      <x:c r="P2340" s="9" t="str">
        <x:v>No</x:v>
      </x:c>
      <x:c r="Q2340" s="15" t="n">
        <x:v>16</x:v>
      </x:c>
      <x:c r="R2340" s="13" t="n">
        <x:f>J2340+Q2340/1440</x:f>
        <x:v>46308.74791666667</x:v>
      </x:c>
      <x:c r="S2340" s="2" t="str">
        <x:f>VLOOKUP(C2340,'MES orders'!$A$8:$H$127,6,FALSE)</x:f>
        <x:v>Normal</x:v>
      </x:c>
      <x:c r="T2340" s="9" t="str"/>
    </x:row>
    <x:row r="2341" ht="22" customHeight="1">
      <x:c r="A2341" s="2" t="str">
        <x:v>L00071-010</x:v>
      </x:c>
      <x:c r="B2341" s="2" t="str">
        <x:v>L00071</x:v>
      </x:c>
      <x:c r="C2341" s="2" t="str">
        <x:v>SO-26015</x:v>
      </x:c>
      <x:c r="D2341" s="2" t="str">
        <x:v>R-S-AL</x:v>
      </x:c>
      <x:c r="E2341" s="14" t="n">
        <x:v>10</x:v>
      </x:c>
      <x:c r="F2341" s="2" t="str">
        <x:v>CNC machining</x:v>
      </x:c>
      <x:c r="G2341" s="9" t="str">
        <x:v>CNC-01</x:v>
      </x:c>
      <x:c r="H2341" s="15" t="n">
        <x:v>66</x:v>
      </x:c>
      <x:c r="I2341" s="9" t="str">
        <x:v>P13</x:v>
      </x:c>
      <x:c r="J2341" s="11" t="n">
        <x:v>46308.7375</x:v>
      </x:c>
      <x:c r="K2341" s="15" t="n">
        <x:v>18</x:v>
      </x:c>
      <x:c r="L2341" s="15" t="n">
        <x:v>24</x:v>
      </x:c>
      <x:c r="M2341" s="13" t="n">
        <x:f>J2341+(K2341+L2341)/1440</x:f>
        <x:v>46308.76666666667</x:v>
      </x:c>
      <x:c r="N2341" s="13" t="n">
        <x:f>VLOOKUP(C2341,'MES orders'!$A$8:$H$127,5,FALSE)</x:f>
        <x:v>46310.666666666664</x:v>
      </x:c>
      <x:c r="O2341" s="16" t="n">
        <x:f>MAX(0,(M2341-N2341)*24)</x:f>
        <x:v>0</x:v>
      </x:c>
      <x:c r="P2341" s="9" t="str">
        <x:v>No</x:v>
      </x:c>
      <x:c r="Q2341" s="15" t="n">
        <x:v>18</x:v>
      </x:c>
      <x:c r="R2341" s="13" t="n">
        <x:f>J2341+Q2341/1440</x:f>
        <x:v>46308.75</x:v>
      </x:c>
      <x:c r="S2341" s="2" t="str">
        <x:f>VLOOKUP(C2341,'MES orders'!$A$8:$H$127,6,FALSE)</x:f>
        <x:v>High</x:v>
      </x:c>
      <x:c r="T2341" s="9" t="str"/>
    </x:row>
    <x:row r="2342" ht="22" customHeight="1">
      <x:c r="A2342" s="2" t="str">
        <x:v>L00544-030</x:v>
      </x:c>
      <x:c r="B2342" s="2" t="str">
        <x:v>L00544</x:v>
      </x:c>
      <x:c r="C2342" s="2" t="str">
        <x:v>SO-26109</x:v>
      </x:c>
      <x:c r="D2342" s="2" t="str">
        <x:v>D-C-AL</x:v>
      </x:c>
      <x:c r="E2342" s="14" t="n">
        <x:v>15</x:v>
      </x:c>
      <x:c r="F2342" s="2" t="str">
        <x:v>Wash &amp; dry</x:v>
      </x:c>
      <x:c r="G2342" s="9" t="str">
        <x:v>WS-02</x:v>
      </x:c>
      <x:c r="H2342" s="15" t="n">
        <x:v>153</x:v>
      </x:c>
      <x:c r="I2342" s="9" t="str">
        <x:v>P16</x:v>
      </x:c>
      <x:c r="J2342" s="11" t="n">
        <x:v>46308.73819444444</x:v>
      </x:c>
      <x:c r="K2342" s="15" t="n">
        <x:v>12</x:v>
      </x:c>
      <x:c r="L2342" s="15" t="n">
        <x:v>4</x:v>
      </x:c>
      <x:c r="M2342" s="13" t="n">
        <x:f>J2342+(K2342+L2342)/1440</x:f>
        <x:v>46308.74930555555</x:v>
      </x:c>
      <x:c r="N2342" s="13" t="n">
        <x:f>VLOOKUP(C2342,'MES orders'!$A$8:$H$127,5,FALSE)</x:f>
        <x:v>46308.666666666664</x:v>
      </x:c>
      <x:c r="O2342" s="16" t="n">
        <x:f>MAX(0,(M2342-N2342)*24)</x:f>
        <x:v>1.9833333333372138</x:v>
      </x:c>
      <x:c r="P2342" s="9" t="str">
        <x:v>No</x:v>
      </x:c>
      <x:c r="Q2342" s="15" t="n">
        <x:v>16</x:v>
      </x:c>
      <x:c r="R2342" s="13" t="n">
        <x:f>J2342+Q2342/1440</x:f>
        <x:v>46308.74930555555</x:v>
      </x:c>
      <x:c r="S2342" s="2" t="str">
        <x:f>VLOOKUP(C2342,'MES orders'!$A$8:$H$127,6,FALSE)</x:f>
        <x:v>Normal</x:v>
      </x:c>
      <x:c r="T2342" s="9" t="str"/>
    </x:row>
    <x:row r="2343" ht="22" customHeight="1">
      <x:c r="A2343" s="2" t="str">
        <x:v>L00545-020</x:v>
      </x:c>
      <x:c r="B2343" s="2" t="str">
        <x:v>L00545</x:v>
      </x:c>
      <x:c r="C2343" s="2" t="str">
        <x:v>SO-26109</x:v>
      </x:c>
      <x:c r="D2343" s="2" t="str">
        <x:v>D-C-AL</x:v>
      </x:c>
      <x:c r="E2343" s="14" t="n">
        <x:v>15</x:v>
      </x:c>
      <x:c r="F2343" s="2" t="str">
        <x:v>Deburr &amp; inspect</x:v>
      </x:c>
      <x:c r="G2343" s="9" t="str">
        <x:v>DB-01</x:v>
      </x:c>
      <x:c r="H2343" s="15" t="n">
        <x:v>223</x:v>
      </x:c>
      <x:c r="I2343" s="9" t="str">
        <x:v>P17</x:v>
      </x:c>
      <x:c r="J2343" s="11" t="n">
        <x:v>46308.740277777775</x:v>
      </x:c>
      <x:c r="K2343" s="15" t="n">
        <x:v>4</x:v>
      </x:c>
      <x:c r="L2343" s="15" t="n">
        <x:v>8</x:v>
      </x:c>
      <x:c r="M2343" s="13" t="n">
        <x:f>J2343+(K2343+L2343)/1440</x:f>
        <x:v>46308.74861111111</x:v>
      </x:c>
      <x:c r="N2343" s="13" t="n">
        <x:f>VLOOKUP(C2343,'MES orders'!$A$8:$H$127,5,FALSE)</x:f>
        <x:v>46308.666666666664</x:v>
      </x:c>
      <x:c r="O2343" s="16" t="n">
        <x:f>MAX(0,(M2343-N2343)*24)</x:f>
        <x:v>1.96666666661622</x:v>
      </x:c>
      <x:c r="P2343" s="9" t="str">
        <x:v>No</x:v>
      </x:c>
      <x:c r="Q2343" s="15" t="n">
        <x:v>12</x:v>
      </x:c>
      <x:c r="R2343" s="13" t="n">
        <x:f>J2343+Q2343/1440</x:f>
        <x:v>46308.74861111111</x:v>
      </x:c>
      <x:c r="S2343" s="2" t="str">
        <x:f>VLOOKUP(C2343,'MES orders'!$A$8:$H$127,6,FALSE)</x:f>
        <x:v>Normal</x:v>
      </x:c>
      <x:c r="T2343" s="9" t="str"/>
    </x:row>
    <x:row r="2344" ht="22" customHeight="1">
      <x:c r="A2344" s="2" t="str">
        <x:v>L00503-040</x:v>
      </x:c>
      <x:c r="B2344" s="2" t="str">
        <x:v>L00503</x:v>
      </x:c>
      <x:c r="C2344" s="2" t="str">
        <x:v>SO-26101</x:v>
      </x:c>
      <x:c r="D2344" s="2" t="str">
        <x:v>S-L-AL</x:v>
      </x:c>
      <x:c r="E2344" s="14" t="n">
        <x:v>10</x:v>
      </x:c>
      <x:c r="F2344" s="2" t="str">
        <x:v>Mechanical preassembly</x:v>
      </x:c>
      <x:c r="G2344" s="9" t="str">
        <x:v>AS-01</x:v>
      </x:c>
      <x:c r="H2344" s="15" t="n">
        <x:v>189</x:v>
      </x:c>
      <x:c r="I2344" s="9" t="str">
        <x:v>P16</x:v>
      </x:c>
      <x:c r="J2344" s="11" t="n">
        <x:v>46308.770833333336</x:v>
      </x:c>
      <x:c r="K2344" s="15" t="n">
        <x:v>6</x:v>
      </x:c>
      <x:c r="L2344" s="15" t="n">
        <x:v>15</x:v>
      </x:c>
      <x:c r="M2344" s="13" t="n">
        <x:f>J2344+(K2344+L2344)/1440</x:f>
        <x:v>46308.785416666666</x:v>
      </x:c>
      <x:c r="N2344" s="13" t="n">
        <x:f>VLOOKUP(C2344,'MES orders'!$A$8:$H$127,5,FALSE)</x:f>
        <x:v>46308.666666666664</x:v>
      </x:c>
      <x:c r="O2344" s="16" t="n">
        <x:f>MAX(0,(M2344-N2344)*24)</x:f>
        <x:v>2.8500000000349246</x:v>
      </x:c>
      <x:c r="P2344" s="9" t="str">
        <x:v>No</x:v>
      </x:c>
      <x:c r="Q2344" s="15" t="n">
        <x:v>21</x:v>
      </x:c>
      <x:c r="R2344" s="13" t="n">
        <x:f>J2344+Q2344/1440</x:f>
        <x:v>46308.785416666666</x:v>
      </x:c>
      <x:c r="S2344" s="2" t="str">
        <x:f>VLOOKUP(C2344,'MES orders'!$A$8:$H$127,6,FALSE)</x:f>
        <x:v>Normal</x:v>
      </x:c>
      <x:c r="T2344" s="9" t="str"/>
    </x:row>
    <x:row r="2345" ht="22" customHeight="1">
      <x:c r="A2345" s="2" t="str">
        <x:v>L00505-040</x:v>
      </x:c>
      <x:c r="B2345" s="2" t="str">
        <x:v>L00505</x:v>
      </x:c>
      <x:c r="C2345" s="2" t="str">
        <x:v>SO-26101</x:v>
      </x:c>
      <x:c r="D2345" s="2" t="str">
        <x:v>S-L-AL</x:v>
      </x:c>
      <x:c r="E2345" s="14" t="n">
        <x:v>10</x:v>
      </x:c>
      <x:c r="F2345" s="2" t="str">
        <x:v>Mechanical preassembly</x:v>
      </x:c>
      <x:c r="G2345" s="9" t="str">
        <x:v>AS-02</x:v>
      </x:c>
      <x:c r="H2345" s="15" t="n">
        <x:v>155</x:v>
      </x:c>
      <x:c r="I2345" s="9" t="str">
        <x:v>P17</x:v>
      </x:c>
      <x:c r="J2345" s="11" t="n">
        <x:v>46308.770833333336</x:v>
      </x:c>
      <x:c r="K2345" s="15" t="n">
        <x:v>6</x:v>
      </x:c>
      <x:c r="L2345" s="15" t="n">
        <x:v>15</x:v>
      </x:c>
      <x:c r="M2345" s="13" t="n">
        <x:f>J2345+(K2345+L2345)/1440</x:f>
        <x:v>46308.785416666666</x:v>
      </x:c>
      <x:c r="N2345" s="13" t="n">
        <x:f>VLOOKUP(C2345,'MES orders'!$A$8:$H$127,5,FALSE)</x:f>
        <x:v>46308.666666666664</x:v>
      </x:c>
      <x:c r="O2345" s="16" t="n">
        <x:f>MAX(0,(M2345-N2345)*24)</x:f>
        <x:v>2.8500000000349246</x:v>
      </x:c>
      <x:c r="P2345" s="9" t="str">
        <x:v>No</x:v>
      </x:c>
      <x:c r="Q2345" s="15" t="n">
        <x:v>21</x:v>
      </x:c>
      <x:c r="R2345" s="13" t="n">
        <x:f>J2345+Q2345/1440</x:f>
        <x:v>46308.785416666666</x:v>
      </x:c>
      <x:c r="S2345" s="2" t="str">
        <x:f>VLOOKUP(C2345,'MES orders'!$A$8:$H$127,6,FALSE)</x:f>
        <x:v>Normal</x:v>
      </x:c>
      <x:c r="T2345" s="9" t="str"/>
    </x:row>
    <x:row r="2346" ht="22" customHeight="1">
      <x:c r="A2346" s="2" t="str">
        <x:v>L00543-040</x:v>
      </x:c>
      <x:c r="B2346" s="2" t="str">
        <x:v>L00543</x:v>
      </x:c>
      <x:c r="C2346" s="2" t="str">
        <x:v>SO-26109</x:v>
      </x:c>
      <x:c r="D2346" s="2" t="str">
        <x:v>D-C-AL</x:v>
      </x:c>
      <x:c r="E2346" s="14" t="n">
        <x:v>15</x:v>
      </x:c>
      <x:c r="F2346" s="2" t="str">
        <x:v>Mechanical assembly</x:v>
      </x:c>
      <x:c r="G2346" s="9" t="str">
        <x:v>AS-03</x:v>
      </x:c>
      <x:c r="H2346" s="15" t="n">
        <x:v>125</x:v>
      </x:c>
      <x:c r="I2346" s="9" t="str">
        <x:v>P18</x:v>
      </x:c>
      <x:c r="J2346" s="11" t="n">
        <x:v>46308.770833333336</x:v>
      </x:c>
      <x:c r="K2346" s="15" t="n">
        <x:v>8</x:v>
      </x:c>
      <x:c r="L2346" s="15" t="n">
        <x:v>22</x:v>
      </x:c>
      <x:c r="M2346" s="13" t="n">
        <x:f>J2346+(K2346+L2346)/1440</x:f>
        <x:v>46308.79166666667</x:v>
      </x:c>
      <x:c r="N2346" s="13" t="n">
        <x:f>VLOOKUP(C2346,'MES orders'!$A$8:$H$127,5,FALSE)</x:f>
        <x:v>46308.666666666664</x:v>
      </x:c>
      <x:c r="O2346" s="16" t="n">
        <x:f>MAX(0,(M2346-N2346)*24)</x:f>
        <x:v>3.000000000174623</x:v>
      </x:c>
      <x:c r="P2346" s="9" t="str">
        <x:v>No</x:v>
      </x:c>
      <x:c r="Q2346" s="15" t="n">
        <x:v>30</x:v>
      </x:c>
      <x:c r="R2346" s="13" t="n">
        <x:f>J2346+Q2346/1440</x:f>
        <x:v>46308.79166666667</x:v>
      </x:c>
      <x:c r="S2346" s="2" t="str">
        <x:f>VLOOKUP(C2346,'MES orders'!$A$8:$H$127,6,FALSE)</x:f>
        <x:v>Normal</x:v>
      </x:c>
      <x:c r="T2346" s="9" t="str"/>
    </x:row>
    <x:row r="2347" ht="22" customHeight="1">
      <x:c r="A2347" s="2" t="str">
        <x:v>L00501-060</x:v>
      </x:c>
      <x:c r="B2347" s="2" t="str">
        <x:v>L00501</x:v>
      </x:c>
      <x:c r="C2347" s="2" t="str">
        <x:v>SO-26101</x:v>
      </x:c>
      <x:c r="D2347" s="2" t="str">
        <x:v>S-L-AL</x:v>
      </x:c>
      <x:c r="E2347" s="14" t="n">
        <x:v>10</x:v>
      </x:c>
      <x:c r="F2347" s="2" t="str">
        <x:v>Sensor calibration</x:v>
      </x:c>
      <x:c r="G2347" s="9" t="str">
        <x:v>CAL-01</x:v>
      </x:c>
      <x:c r="H2347" s="15" t="n">
        <x:v>117</x:v>
      </x:c>
      <x:c r="I2347" s="9" t="str">
        <x:v>P21</x:v>
      </x:c>
      <x:c r="J2347" s="11" t="n">
        <x:v>46308.770833333336</x:v>
      </x:c>
      <x:c r="K2347" s="15" t="n">
        <x:v>10</x:v>
      </x:c>
      <x:c r="L2347" s="15" t="n">
        <x:v>18</x:v>
      </x:c>
      <x:c r="M2347" s="13" t="n">
        <x:f>J2347+(K2347+L2347)/1440</x:f>
        <x:v>46308.79027777778</x:v>
      </x:c>
      <x:c r="N2347" s="13" t="n">
        <x:f>VLOOKUP(C2347,'MES orders'!$A$8:$H$127,5,FALSE)</x:f>
        <x:v>46308.666666666664</x:v>
      </x:c>
      <x:c r="O2347" s="16" t="n">
        <x:f>MAX(0,(M2347-N2347)*24)</x:f>
        <x:v>2.9666666667326353</x:v>
      </x:c>
      <x:c r="P2347" s="9" t="str">
        <x:v>No</x:v>
      </x:c>
      <x:c r="Q2347" s="15" t="n">
        <x:v>28</x:v>
      </x:c>
      <x:c r="R2347" s="13" t="n">
        <x:f>J2347+Q2347/1440</x:f>
        <x:v>46308.79027777778</x:v>
      </x:c>
      <x:c r="S2347" s="2" t="str">
        <x:f>VLOOKUP(C2347,'MES orders'!$A$8:$H$127,6,FALSE)</x:f>
        <x:v>Normal</x:v>
      </x:c>
      <x:c r="T2347" s="9" t="str"/>
    </x:row>
    <x:row r="2348" ht="22" customHeight="1">
      <x:c r="A2348" s="2" t="str">
        <x:v>L00350-010</x:v>
      </x:c>
      <x:c r="B2348" s="2" t="str">
        <x:v>L00350</x:v>
      </x:c>
      <x:c r="C2348" s="2" t="str">
        <x:v>SO-26070</x:v>
      </x:c>
      <x:c r="D2348" s="2" t="str">
        <x:v>S-S-SS</x:v>
      </x:c>
      <x:c r="E2348" s="14" t="n">
        <x:v>10</x:v>
      </x:c>
      <x:c r="F2348" s="2" t="str">
        <x:v>CNC machining</x:v>
      </x:c>
      <x:c r="G2348" s="9" t="str">
        <x:v>CNC-03</x:v>
      </x:c>
      <x:c r="H2348" s="15" t="n">
        <x:v>75</x:v>
      </x:c>
      <x:c r="I2348" s="9" t="str">
        <x:v>P15</x:v>
      </x:c>
      <x:c r="J2348" s="11" t="n">
        <x:v>46308.770833333336</x:v>
      </x:c>
      <x:c r="K2348" s="15" t="n">
        <x:v>18</x:v>
      </x:c>
      <x:c r="L2348" s="15" t="n">
        <x:v>30</x:v>
      </x:c>
      <x:c r="M2348" s="13" t="n">
        <x:f>J2348+(K2348+L2348)/1440</x:f>
        <x:v>46308.80416666667</x:v>
      </x:c>
      <x:c r="N2348" s="13" t="n">
        <x:f>VLOOKUP(C2348,'MES orders'!$A$8:$H$127,5,FALSE)</x:f>
        <x:v>46309.666666666664</x:v>
      </x:c>
      <x:c r="O2348" s="16" t="n">
        <x:f>MAX(0,(M2348-N2348)*24)</x:f>
        <x:v>0</x:v>
      </x:c>
      <x:c r="P2348" s="9" t="str">
        <x:v>No</x:v>
      </x:c>
      <x:c r="Q2348" s="15" t="n">
        <x:v>18</x:v>
      </x:c>
      <x:c r="R2348" s="13" t="n">
        <x:f>J2348+Q2348/1440</x:f>
        <x:v>46308.78333333333</x:v>
      </x:c>
      <x:c r="S2348" s="2" t="str">
        <x:f>VLOOKUP(C2348,'MES orders'!$A$8:$H$127,6,FALSE)</x:f>
        <x:v>Urgent</x:v>
      </x:c>
      <x:c r="T2348" s="9" t="str"/>
    </x:row>
    <x:row r="2349" ht="22" customHeight="1">
      <x:c r="A2349" s="2" t="str">
        <x:v>L00348-020</x:v>
      </x:c>
      <x:c r="B2349" s="2" t="str">
        <x:v>L00348</x:v>
      </x:c>
      <x:c r="C2349" s="2" t="str">
        <x:v>SO-26070</x:v>
      </x:c>
      <x:c r="D2349" s="2" t="str">
        <x:v>S-S-SS</x:v>
      </x:c>
      <x:c r="E2349" s="14" t="n">
        <x:v>10</x:v>
      </x:c>
      <x:c r="F2349" s="2" t="str">
        <x:v>Deburr &amp; inspect</x:v>
      </x:c>
      <x:c r="G2349" s="9" t="str">
        <x:v>DB-01</x:v>
      </x:c>
      <x:c r="H2349" s="15" t="n">
        <x:v>224</x:v>
      </x:c>
      <x:c r="I2349" s="9" t="str">
        <x:v>P13</x:v>
      </x:c>
      <x:c r="J2349" s="11" t="n">
        <x:v>46308.770833333336</x:v>
      </x:c>
      <x:c r="K2349" s="15" t="n">
        <x:v>4</x:v>
      </x:c>
      <x:c r="L2349" s="15" t="n">
        <x:v>7</x:v>
      </x:c>
      <x:c r="M2349" s="13" t="n">
        <x:f>J2349+(K2349+L2349)/1440</x:f>
        <x:v>46308.77847222223</x:v>
      </x:c>
      <x:c r="N2349" s="13" t="n">
        <x:f>VLOOKUP(C2349,'MES orders'!$A$8:$H$127,5,FALSE)</x:f>
        <x:v>46309.666666666664</x:v>
      </x:c>
      <x:c r="O2349" s="16" t="n">
        <x:f>MAX(0,(M2349-N2349)*24)</x:f>
        <x:v>0</x:v>
      </x:c>
      <x:c r="P2349" s="9" t="str">
        <x:v>No</x:v>
      </x:c>
      <x:c r="Q2349" s="15" t="n">
        <x:v>11</x:v>
      </x:c>
      <x:c r="R2349" s="13" t="n">
        <x:f>J2349+Q2349/1440</x:f>
        <x:v>46308.77847222223</x:v>
      </x:c>
      <x:c r="S2349" s="2" t="str">
        <x:f>VLOOKUP(C2349,'MES orders'!$A$8:$H$127,6,FALSE)</x:f>
        <x:v>Urgent</x:v>
      </x:c>
      <x:c r="T2349" s="9" t="str"/>
    </x:row>
    <x:row r="2350" ht="22" customHeight="1">
      <x:c r="A2350" s="2" t="str">
        <x:v>L00349-020</x:v>
      </x:c>
      <x:c r="B2350" s="2" t="str">
        <x:v>L00349</x:v>
      </x:c>
      <x:c r="C2350" s="2" t="str">
        <x:v>SO-26070</x:v>
      </x:c>
      <x:c r="D2350" s="2" t="str">
        <x:v>S-S-SS</x:v>
      </x:c>
      <x:c r="E2350" s="14" t="n">
        <x:v>10</x:v>
      </x:c>
      <x:c r="F2350" s="2" t="str">
        <x:v>Deburr &amp; inspect</x:v>
      </x:c>
      <x:c r="G2350" s="9" t="str">
        <x:v>DB-02</x:v>
      </x:c>
      <x:c r="H2350" s="15" t="n">
        <x:v>153</x:v>
      </x:c>
      <x:c r="I2350" s="9" t="str">
        <x:v>P14</x:v>
      </x:c>
      <x:c r="J2350" s="11" t="n">
        <x:v>46308.770833333336</x:v>
      </x:c>
      <x:c r="K2350" s="15" t="n">
        <x:v>4</x:v>
      </x:c>
      <x:c r="L2350" s="15" t="n">
        <x:v>7</x:v>
      </x:c>
      <x:c r="M2350" s="13" t="n">
        <x:f>J2350+(K2350+L2350)/1440</x:f>
        <x:v>46308.77847222223</x:v>
      </x:c>
      <x:c r="N2350" s="13" t="n">
        <x:f>VLOOKUP(C2350,'MES orders'!$A$8:$H$127,5,FALSE)</x:f>
        <x:v>46309.666666666664</x:v>
      </x:c>
      <x:c r="O2350" s="16" t="n">
        <x:f>MAX(0,(M2350-N2350)*24)</x:f>
        <x:v>0</x:v>
      </x:c>
      <x:c r="P2350" s="9" t="str">
        <x:v>No</x:v>
      </x:c>
      <x:c r="Q2350" s="15" t="n">
        <x:v>11</x:v>
      </x:c>
      <x:c r="R2350" s="13" t="n">
        <x:f>J2350+Q2350/1440</x:f>
        <x:v>46308.77847222223</x:v>
      </x:c>
      <x:c r="S2350" s="2" t="str">
        <x:f>VLOOKUP(C2350,'MES orders'!$A$8:$H$127,6,FALSE)</x:f>
        <x:v>Urgent</x:v>
      </x:c>
      <x:c r="T2350" s="9" t="str"/>
    </x:row>
    <x:row r="2351" ht="22" customHeight="1">
      <x:c r="A2351" s="2" t="str">
        <x:v>L00504-050</x:v>
      </x:c>
      <x:c r="B2351" s="2" t="str">
        <x:v>L00504</x:v>
      </x:c>
      <x:c r="C2351" s="2" t="str">
        <x:v>SO-26101</x:v>
      </x:c>
      <x:c r="D2351" s="2" t="str">
        <x:v>S-L-AL</x:v>
      </x:c>
      <x:c r="E2351" s="14" t="n">
        <x:v>10</x:v>
      </x:c>
      <x:c r="F2351" s="2" t="str">
        <x:v>Sensor installation</x:v>
      </x:c>
      <x:c r="G2351" s="9" t="str">
        <x:v>EL-02</x:v>
      </x:c>
      <x:c r="H2351" s="15" t="n">
        <x:v>40</x:v>
      </x:c>
      <x:c r="I2351" s="9" t="str">
        <x:v>P20</x:v>
      </x:c>
      <x:c r="J2351" s="11" t="n">
        <x:v>46308.770833333336</x:v>
      </x:c>
      <x:c r="K2351" s="15" t="n">
        <x:v>8</x:v>
      </x:c>
      <x:c r="L2351" s="15" t="n">
        <x:v>16</x:v>
      </x:c>
      <x:c r="M2351" s="13" t="n">
        <x:f>J2351+(K2351+L2351)/1440</x:f>
        <x:v>46308.787500000006</x:v>
      </x:c>
      <x:c r="N2351" s="13" t="n">
        <x:f>VLOOKUP(C2351,'MES orders'!$A$8:$H$127,5,FALSE)</x:f>
        <x:v>46308.666666666664</x:v>
      </x:c>
      <x:c r="O2351" s="16" t="n">
        <x:f>MAX(0,(M2351-N2351)*24)</x:f>
        <x:v>2.900000000197906</x:v>
      </x:c>
      <x:c r="P2351" s="9" t="str">
        <x:v>No</x:v>
      </x:c>
      <x:c r="Q2351" s="15" t="n">
        <x:v>24</x:v>
      </x:c>
      <x:c r="R2351" s="13" t="n">
        <x:f>J2351+Q2351/1440</x:f>
        <x:v>46308.787500000006</x:v>
      </x:c>
      <x:c r="S2351" s="2" t="str">
        <x:f>VLOOKUP(C2351,'MES orders'!$A$8:$H$127,6,FALSE)</x:f>
        <x:v>Normal</x:v>
      </x:c>
      <x:c r="T2351" s="9" t="str"/>
    </x:row>
    <x:row r="2352" ht="22" customHeight="1">
      <x:c r="A2352" s="2" t="str">
        <x:v>L00581-050</x:v>
      </x:c>
      <x:c r="B2352" s="2" t="str">
        <x:v>L00581</x:v>
      </x:c>
      <x:c r="C2352" s="2" t="str">
        <x:v>SO-26117</x:v>
      </x:c>
      <x:c r="D2352" s="2" t="str">
        <x:v>D-S-AL</x:v>
      </x:c>
      <x:c r="E2352" s="14" t="n">
        <x:v>10</x:v>
      </x:c>
      <x:c r="F2352" s="2" t="str">
        <x:v>Final leak / function test</x:v>
      </x:c>
      <x:c r="G2352" s="9" t="str">
        <x:v>QA-01</x:v>
      </x:c>
      <x:c r="H2352" s="15" t="n">
        <x:v>88</x:v>
      </x:c>
      <x:c r="I2352" s="9" t="str">
        <x:v>P23</x:v>
      </x:c>
      <x:c r="J2352" s="11" t="n">
        <x:v>46308.770833333336</x:v>
      </x:c>
      <x:c r="K2352" s="15" t="n">
        <x:v>10</x:v>
      </x:c>
      <x:c r="L2352" s="15" t="n">
        <x:v>9</x:v>
      </x:c>
      <x:c r="M2352" s="13" t="n">
        <x:f>J2352+(K2352+L2352)/1440</x:f>
        <x:v>46308.78402777778</x:v>
      </x:c>
      <x:c r="N2352" s="13" t="n">
        <x:f>VLOOKUP(C2352,'MES orders'!$A$8:$H$127,5,FALSE)</x:f>
        <x:v>46308.666666666664</x:v>
      </x:c>
      <x:c r="O2352" s="16" t="n">
        <x:f>MAX(0,(M2352-N2352)*24)</x:f>
        <x:v>2.81666666676756</x:v>
      </x:c>
      <x:c r="P2352" s="9" t="str">
        <x:v>No</x:v>
      </x:c>
      <x:c r="Q2352" s="15" t="n">
        <x:v>19</x:v>
      </x:c>
      <x:c r="R2352" s="13" t="n">
        <x:f>J2352+Q2352/1440</x:f>
        <x:v>46308.78402777778</x:v>
      </x:c>
      <x:c r="S2352" s="2" t="str">
        <x:f>VLOOKUP(C2352,'MES orders'!$A$8:$H$127,6,FALSE)</x:f>
        <x:v>Normal</x:v>
      </x:c>
      <x:c r="T2352" s="9" t="str"/>
    </x:row>
    <x:row r="2353" ht="22" customHeight="1">
      <x:c r="A2353" s="2" t="str">
        <x:v>L00582-050</x:v>
      </x:c>
      <x:c r="B2353" s="2" t="str">
        <x:v>L00582</x:v>
      </x:c>
      <x:c r="C2353" s="2" t="str">
        <x:v>SO-26117</x:v>
      </x:c>
      <x:c r="D2353" s="2" t="str">
        <x:v>D-S-AL</x:v>
      </x:c>
      <x:c r="E2353" s="14" t="n">
        <x:v>10</x:v>
      </x:c>
      <x:c r="F2353" s="2" t="str">
        <x:v>Final leak / function test</x:v>
      </x:c>
      <x:c r="G2353" s="9" t="str">
        <x:v>QA-02</x:v>
      </x:c>
      <x:c r="H2353" s="15" t="n">
        <x:v>172</x:v>
      </x:c>
      <x:c r="I2353" s="9" t="str">
        <x:v>P24</x:v>
      </x:c>
      <x:c r="J2353" s="11" t="n">
        <x:v>46308.770833333336</x:v>
      </x:c>
      <x:c r="K2353" s="15" t="n">
        <x:v>10</x:v>
      </x:c>
      <x:c r="L2353" s="15" t="n">
        <x:v>9</x:v>
      </x:c>
      <x:c r="M2353" s="13" t="n">
        <x:f>J2353+(K2353+L2353)/1440</x:f>
        <x:v>46308.78402777778</x:v>
      </x:c>
      <x:c r="N2353" s="13" t="n">
        <x:f>VLOOKUP(C2353,'MES orders'!$A$8:$H$127,5,FALSE)</x:f>
        <x:v>46308.666666666664</x:v>
      </x:c>
      <x:c r="O2353" s="16" t="n">
        <x:f>MAX(0,(M2353-N2353)*24)</x:f>
        <x:v>2.81666666676756</x:v>
      </x:c>
      <x:c r="P2353" s="9" t="str">
        <x:v>No</x:v>
      </x:c>
      <x:c r="Q2353" s="15" t="n">
        <x:v>19</x:v>
      </x:c>
      <x:c r="R2353" s="13" t="n">
        <x:f>J2353+Q2353/1440</x:f>
        <x:v>46308.78402777778</x:v>
      </x:c>
      <x:c r="S2353" s="2" t="str">
        <x:f>VLOOKUP(C2353,'MES orders'!$A$8:$H$127,6,FALSE)</x:f>
        <x:v>Normal</x:v>
      </x:c>
      <x:c r="T2353" s="9" t="str"/>
    </x:row>
    <x:row r="2354" ht="22" customHeight="1">
      <x:c r="A2354" s="2" t="str">
        <x:v>L00348-030</x:v>
      </x:c>
      <x:c r="B2354" s="2" t="str">
        <x:v>L00348</x:v>
      </x:c>
      <x:c r="C2354" s="2" t="str">
        <x:v>SO-26070</x:v>
      </x:c>
      <x:c r="D2354" s="2" t="str">
        <x:v>S-S-SS</x:v>
      </x:c>
      <x:c r="E2354" s="14" t="n">
        <x:v>10</x:v>
      </x:c>
      <x:c r="F2354" s="2" t="str">
        <x:v>Wash &amp; dry</x:v>
      </x:c>
      <x:c r="G2354" s="9" t="str">
        <x:v>WS-01</x:v>
      </x:c>
      <x:c r="H2354" s="15" t="n">
        <x:v>220</x:v>
      </x:c>
      <x:c r="I2354" s="9" t="str">
        <x:v>P13</x:v>
      </x:c>
      <x:c r="J2354" s="11" t="n">
        <x:v>46308.77847222222</x:v>
      </x:c>
      <x:c r="K2354" s="15" t="n">
        <x:v>12</x:v>
      </x:c>
      <x:c r="L2354" s="15" t="n">
        <x:v>4</x:v>
      </x:c>
      <x:c r="M2354" s="13" t="n">
        <x:f>J2354+(K2354+L2354)/1440</x:f>
        <x:v>46308.78958333333</x:v>
      </x:c>
      <x:c r="N2354" s="13" t="n">
        <x:f>VLOOKUP(C2354,'MES orders'!$A$8:$H$127,5,FALSE)</x:f>
        <x:v>46309.666666666664</x:v>
      </x:c>
      <x:c r="O2354" s="16" t="n">
        <x:f>MAX(0,(M2354-N2354)*24)</x:f>
        <x:v>0</x:v>
      </x:c>
      <x:c r="P2354" s="9" t="str">
        <x:v>No</x:v>
      </x:c>
      <x:c r="Q2354" s="15" t="n">
        <x:v>16</x:v>
      </x:c>
      <x:c r="R2354" s="13" t="n">
        <x:f>J2354+Q2354/1440</x:f>
        <x:v>46308.78958333333</x:v>
      </x:c>
      <x:c r="S2354" s="2" t="str">
        <x:f>VLOOKUP(C2354,'MES orders'!$A$8:$H$127,6,FALSE)</x:f>
        <x:v>Urgent</x:v>
      </x:c>
      <x:c r="T2354" s="9" t="str"/>
    </x:row>
    <x:row r="2355" ht="22" customHeight="1">
      <x:c r="A2355" s="2" t="str">
        <x:v>L00349-030</x:v>
      </x:c>
      <x:c r="B2355" s="2" t="str">
        <x:v>L00349</x:v>
      </x:c>
      <x:c r="C2355" s="2" t="str">
        <x:v>SO-26070</x:v>
      </x:c>
      <x:c r="D2355" s="2" t="str">
        <x:v>S-S-SS</x:v>
      </x:c>
      <x:c r="E2355" s="14" t="n">
        <x:v>10</x:v>
      </x:c>
      <x:c r="F2355" s="2" t="str">
        <x:v>Wash &amp; dry</x:v>
      </x:c>
      <x:c r="G2355" s="9" t="str">
        <x:v>WS-02</x:v>
      </x:c>
      <x:c r="H2355" s="15" t="n">
        <x:v>154</x:v>
      </x:c>
      <x:c r="I2355" s="9" t="str">
        <x:v>P14</x:v>
      </x:c>
      <x:c r="J2355" s="11" t="n">
        <x:v>46308.77847222222</x:v>
      </x:c>
      <x:c r="K2355" s="15" t="n">
        <x:v>12</x:v>
      </x:c>
      <x:c r="L2355" s="15" t="n">
        <x:v>4</x:v>
      </x:c>
      <x:c r="M2355" s="13" t="n">
        <x:f>J2355+(K2355+L2355)/1440</x:f>
        <x:v>46308.78958333333</x:v>
      </x:c>
      <x:c r="N2355" s="13" t="n">
        <x:f>VLOOKUP(C2355,'MES orders'!$A$8:$H$127,5,FALSE)</x:f>
        <x:v>46309.666666666664</x:v>
      </x:c>
      <x:c r="O2355" s="16" t="n">
        <x:f>MAX(0,(M2355-N2355)*24)</x:f>
        <x:v>0</x:v>
      </x:c>
      <x:c r="P2355" s="9" t="str">
        <x:v>No</x:v>
      </x:c>
      <x:c r="Q2355" s="15" t="n">
        <x:v>16</x:v>
      </x:c>
      <x:c r="R2355" s="13" t="n">
        <x:f>J2355+Q2355/1440</x:f>
        <x:v>46308.78958333333</x:v>
      </x:c>
      <x:c r="S2355" s="2" t="str">
        <x:f>VLOOKUP(C2355,'MES orders'!$A$8:$H$127,6,FALSE)</x:f>
        <x:v>Urgent</x:v>
      </x:c>
      <x:c r="T2355" s="9" t="str"/>
    </x:row>
    <x:row r="2356" ht="22" customHeight="1">
      <x:c r="A2356" s="2" t="str">
        <x:v>L00106-010</x:v>
      </x:c>
      <x:c r="B2356" s="2" t="str">
        <x:v>L00106</x:v>
      </x:c>
      <x:c r="C2356" s="2" t="str">
        <x:v>SO-26022</x:v>
      </x:c>
      <x:c r="D2356" s="2" t="str">
        <x:v>D-S-SS</x:v>
      </x:c>
      <x:c r="E2356" s="14" t="n">
        <x:v>25</x:v>
      </x:c>
      <x:c r="F2356" s="2" t="str">
        <x:v>CNC machining</x:v>
      </x:c>
      <x:c r="G2356" s="9" t="str">
        <x:v>CNC-04</x:v>
      </x:c>
      <x:c r="H2356" s="15" t="n">
        <x:v>72</x:v>
      </x:c>
      <x:c r="I2356" s="9" t="str">
        <x:v>P15</x:v>
      </x:c>
      <x:c r="J2356" s="11" t="n">
        <x:v>46308.78333333333</x:v>
      </x:c>
      <x:c r="K2356" s="15" t="n">
        <x:v>18</x:v>
      </x:c>
      <x:c r="L2356" s="15" t="n">
        <x:v>75</x:v>
      </x:c>
      <x:c r="M2356" s="13" t="n">
        <x:f>J2356+(K2356+L2356)/1440</x:f>
        <x:v>46308.847916666666</x:v>
      </x:c>
      <x:c r="N2356" s="13" t="n">
        <x:f>VLOOKUP(C2356,'MES orders'!$A$8:$H$127,5,FALSE)</x:f>
        <x:v>46309.666666666664</x:v>
      </x:c>
      <x:c r="O2356" s="16" t="n">
        <x:f>MAX(0,(M2356-N2356)*24)</x:f>
        <x:v>0</x:v>
      </x:c>
      <x:c r="P2356" s="9" t="str">
        <x:v>No</x:v>
      </x:c>
      <x:c r="Q2356" s="15" t="n">
        <x:v>18</x:v>
      </x:c>
      <x:c r="R2356" s="13" t="n">
        <x:f>J2356+Q2356/1440</x:f>
        <x:v>46308.79583333333</x:v>
      </x:c>
      <x:c r="S2356" s="2" t="str">
        <x:f>VLOOKUP(C2356,'MES orders'!$A$8:$H$127,6,FALSE)</x:f>
        <x:v>High</x:v>
      </x:c>
      <x:c r="T2356" s="9" t="str"/>
    </x:row>
    <x:row r="2357" ht="22" customHeight="1">
      <x:c r="A2357" s="2" t="str">
        <x:v>L00071-020</x:v>
      </x:c>
      <x:c r="B2357" s="2" t="str">
        <x:v>L00071</x:v>
      </x:c>
      <x:c r="C2357" s="2" t="str">
        <x:v>SO-26015</x:v>
      </x:c>
      <x:c r="D2357" s="2" t="str">
        <x:v>R-S-AL</x:v>
      </x:c>
      <x:c r="E2357" s="14" t="n">
        <x:v>10</x:v>
      </x:c>
      <x:c r="F2357" s="2" t="str">
        <x:v>Deburr &amp; inspect</x:v>
      </x:c>
      <x:c r="G2357" s="9" t="str">
        <x:v>DB-01</x:v>
      </x:c>
      <x:c r="H2357" s="15" t="n">
        <x:v>225</x:v>
      </x:c>
      <x:c r="I2357" s="9" t="str">
        <x:v>P23</x:v>
      </x:c>
      <x:c r="J2357" s="11" t="n">
        <x:v>46308.78402777778</x:v>
      </x:c>
      <x:c r="K2357" s="15" t="n">
        <x:v>4</x:v>
      </x:c>
      <x:c r="L2357" s="15" t="n">
        <x:v>7</x:v>
      </x:c>
      <x:c r="M2357" s="13" t="n">
        <x:f>J2357+(K2357+L2357)/1440</x:f>
        <x:v>46308.79166666667</x:v>
      </x:c>
      <x:c r="N2357" s="13" t="n">
        <x:f>VLOOKUP(C2357,'MES orders'!$A$8:$H$127,5,FALSE)</x:f>
        <x:v>46310.666666666664</x:v>
      </x:c>
      <x:c r="O2357" s="16" t="n">
        <x:f>MAX(0,(M2357-N2357)*24)</x:f>
        <x:v>0</x:v>
      </x:c>
      <x:c r="P2357" s="9" t="str">
        <x:v>No</x:v>
      </x:c>
      <x:c r="Q2357" s="15" t="n">
        <x:v>11</x:v>
      </x:c>
      <x:c r="R2357" s="13" t="n">
        <x:f>J2357+Q2357/1440</x:f>
        <x:v>46308.79166666667</x:v>
      </x:c>
      <x:c r="S2357" s="2" t="str">
        <x:f>VLOOKUP(C2357,'MES orders'!$A$8:$H$127,6,FALSE)</x:f>
        <x:v>High</x:v>
      </x:c>
      <x:c r="T2357" s="9" t="str"/>
    </x:row>
    <x:row r="2358" ht="22" customHeight="1">
      <x:c r="A2358" s="2" t="str">
        <x:v>L00544-040</x:v>
      </x:c>
      <x:c r="B2358" s="2" t="str">
        <x:v>L00544</x:v>
      </x:c>
      <x:c r="C2358" s="2" t="str">
        <x:v>SO-26109</x:v>
      </x:c>
      <x:c r="D2358" s="2" t="str">
        <x:v>D-C-AL</x:v>
      </x:c>
      <x:c r="E2358" s="14" t="n">
        <x:v>15</x:v>
      </x:c>
      <x:c r="F2358" s="2" t="str">
        <x:v>Mechanical assembly</x:v>
      </x:c>
      <x:c r="G2358" s="9" t="str">
        <x:v>AS-02</x:v>
      </x:c>
      <x:c r="H2358" s="15" t="n">
        <x:v>156</x:v>
      </x:c>
      <x:c r="I2358" s="9" t="str">
        <x:v>P16</x:v>
      </x:c>
      <x:c r="J2358" s="11" t="n">
        <x:v>46308.785416666666</x:v>
      </x:c>
      <x:c r="K2358" s="15" t="n">
        <x:v>8</x:v>
      </x:c>
      <x:c r="L2358" s="15" t="n">
        <x:v>22</x:v>
      </x:c>
      <x:c r="M2358" s="13" t="n">
        <x:f>J2358+(K2358+L2358)/1440</x:f>
        <x:v>46308.80625</x:v>
      </x:c>
      <x:c r="N2358" s="13" t="n">
        <x:f>VLOOKUP(C2358,'MES orders'!$A$8:$H$127,5,FALSE)</x:f>
        <x:v>46308.666666666664</x:v>
      </x:c>
      <x:c r="O2358" s="16" t="n">
        <x:f>MAX(0,(M2358-N2358)*24)</x:f>
        <x:v>3.3500000000931323</x:v>
      </x:c>
      <x:c r="P2358" s="9" t="str">
        <x:v>No</x:v>
      </x:c>
      <x:c r="Q2358" s="15" t="n">
        <x:v>30</x:v>
      </x:c>
      <x:c r="R2358" s="13" t="n">
        <x:f>J2358+Q2358/1440</x:f>
        <x:v>46308.80625</x:v>
      </x:c>
      <x:c r="S2358" s="2" t="str">
        <x:f>VLOOKUP(C2358,'MES orders'!$A$8:$H$127,6,FALSE)</x:f>
        <x:v>Normal</x:v>
      </x:c>
      <x:c r="T2358" s="9" t="str"/>
    </x:row>
    <x:row r="2359" ht="22" customHeight="1">
      <x:c r="A2359" s="2" t="str">
        <x:v>L00503-050</x:v>
      </x:c>
      <x:c r="B2359" s="2" t="str">
        <x:v>L00503</x:v>
      </x:c>
      <x:c r="C2359" s="2" t="str">
        <x:v>SO-26101</x:v>
      </x:c>
      <x:c r="D2359" s="2" t="str">
        <x:v>S-L-AL</x:v>
      </x:c>
      <x:c r="E2359" s="14" t="n">
        <x:v>10</x:v>
      </x:c>
      <x:c r="F2359" s="2" t="str">
        <x:v>Sensor installation</x:v>
      </x:c>
      <x:c r="G2359" s="9" t="str">
        <x:v>EL-01</x:v>
      </x:c>
      <x:c r="H2359" s="15" t="n">
        <x:v>79</x:v>
      </x:c>
      <x:c r="I2359" s="9" t="str">
        <x:v>P19</x:v>
      </x:c>
      <x:c r="J2359" s="11" t="n">
        <x:v>46308.785416666666</x:v>
      </x:c>
      <x:c r="K2359" s="15" t="n">
        <x:v>8</x:v>
      </x:c>
      <x:c r="L2359" s="15" t="n">
        <x:v>16</x:v>
      </x:c>
      <x:c r="M2359" s="13" t="n">
        <x:f>J2359+(K2359+L2359)/1440</x:f>
        <x:v>46308.802083333336</x:v>
      </x:c>
      <x:c r="N2359" s="13" t="n">
        <x:f>VLOOKUP(C2359,'MES orders'!$A$8:$H$127,5,FALSE)</x:f>
        <x:v>46308.666666666664</x:v>
      </x:c>
      <x:c r="O2359" s="16" t="n">
        <x:f>MAX(0,(M2359-N2359)*24)</x:f>
        <x:v>3.2500000001164153</x:v>
      </x:c>
      <x:c r="P2359" s="9" t="str">
        <x:v>No</x:v>
      </x:c>
      <x:c r="Q2359" s="15" t="n">
        <x:v>24</x:v>
      </x:c>
      <x:c r="R2359" s="13" t="n">
        <x:f>J2359+Q2359/1440</x:f>
        <x:v>46308.802083333336</x:v>
      </x:c>
      <x:c r="S2359" s="2" t="str">
        <x:f>VLOOKUP(C2359,'MES orders'!$A$8:$H$127,6,FALSE)</x:f>
        <x:v>Normal</x:v>
      </x:c>
      <x:c r="T2359" s="9" t="str"/>
    </x:row>
    <x:row r="2360" ht="22" customHeight="1">
      <x:c r="A2360" s="2" t="str">
        <x:v>L00505-050</x:v>
      </x:c>
      <x:c r="B2360" s="2" t="str">
        <x:v>L00505</x:v>
      </x:c>
      <x:c r="C2360" s="2" t="str">
        <x:v>SO-26101</x:v>
      </x:c>
      <x:c r="D2360" s="2" t="str">
        <x:v>S-L-AL</x:v>
      </x:c>
      <x:c r="E2360" s="14" t="n">
        <x:v>10</x:v>
      </x:c>
      <x:c r="F2360" s="2" t="str">
        <x:v>Sensor installation</x:v>
      </x:c>
      <x:c r="G2360" s="9" t="str">
        <x:v>EL-02</x:v>
      </x:c>
      <x:c r="H2360" s="15" t="n">
        <x:v>41</x:v>
      </x:c>
      <x:c r="I2360" s="9" t="str">
        <x:v>P20</x:v>
      </x:c>
      <x:c r="J2360" s="11" t="n">
        <x:v>46308.7875</x:v>
      </x:c>
      <x:c r="K2360" s="15" t="n">
        <x:v>8</x:v>
      </x:c>
      <x:c r="L2360" s="15" t="n">
        <x:v>16</x:v>
      </x:c>
      <x:c r="M2360" s="13" t="n">
        <x:f>J2360+(K2360+L2360)/1440</x:f>
        <x:v>46308.80416666667</x:v>
      </x:c>
      <x:c r="N2360" s="13" t="n">
        <x:f>VLOOKUP(C2360,'MES orders'!$A$8:$H$127,5,FALSE)</x:f>
        <x:v>46308.666666666664</x:v>
      </x:c>
      <x:c r="O2360" s="16" t="n">
        <x:f>MAX(0,(M2360-N2360)*24)</x:f>
        <x:v>3.300000000104774</x:v>
      </x:c>
      <x:c r="P2360" s="9" t="str">
        <x:v>No</x:v>
      </x:c>
      <x:c r="Q2360" s="15" t="n">
        <x:v>24</x:v>
      </x:c>
      <x:c r="R2360" s="13" t="n">
        <x:f>J2360+Q2360/1440</x:f>
        <x:v>46308.80416666667</x:v>
      </x:c>
      <x:c r="S2360" s="2" t="str">
        <x:f>VLOOKUP(C2360,'MES orders'!$A$8:$H$127,6,FALSE)</x:f>
        <x:v>Normal</x:v>
      </x:c>
      <x:c r="T2360" s="9" t="str"/>
    </x:row>
    <x:row r="2361" ht="22" customHeight="1">
      <x:c r="A2361" s="2" t="str">
        <x:v>L00107-010</x:v>
      </x:c>
      <x:c r="B2361" s="2" t="str">
        <x:v>L00107</x:v>
      </x:c>
      <x:c r="C2361" s="2" t="str">
        <x:v>SO-26022</x:v>
      </x:c>
      <x:c r="D2361" s="2" t="str">
        <x:v>D-S-SS</x:v>
      </x:c>
      <x:c r="E2361" s="14" t="n">
        <x:v>25</x:v>
      </x:c>
      <x:c r="F2361" s="2" t="str">
        <x:v>CNC machining</x:v>
      </x:c>
      <x:c r="G2361" s="9" t="str">
        <x:v>CNC-05</x:v>
      </x:c>
      <x:c r="H2361" s="15" t="n">
        <x:v>65</x:v>
      </x:c>
      <x:c r="I2361" s="9" t="str">
        <x:v>P13</x:v>
      </x:c>
      <x:c r="J2361" s="11" t="n">
        <x:v>46308.78958333333</x:v>
      </x:c>
      <x:c r="K2361" s="15" t="n">
        <x:v>18</x:v>
      </x:c>
      <x:c r="L2361" s="15" t="n">
        <x:v>75</x:v>
      </x:c>
      <x:c r="M2361" s="13" t="n">
        <x:f>J2361+(K2361+L2361)/1440</x:f>
        <x:v>46308.854166666664</x:v>
      </x:c>
      <x:c r="N2361" s="13" t="n">
        <x:f>VLOOKUP(C2361,'MES orders'!$A$8:$H$127,5,FALSE)</x:f>
        <x:v>46309.666666666664</x:v>
      </x:c>
      <x:c r="O2361" s="16" t="n">
        <x:f>MAX(0,(M2361-N2361)*24)</x:f>
        <x:v>0</x:v>
      </x:c>
      <x:c r="P2361" s="9" t="str">
        <x:v>No</x:v>
      </x:c>
      <x:c r="Q2361" s="15" t="n">
        <x:v>18</x:v>
      </x:c>
      <x:c r="R2361" s="13" t="n">
        <x:f>J2361+Q2361/1440</x:f>
        <x:v>46308.80208333333</x:v>
      </x:c>
      <x:c r="S2361" s="2" t="str">
        <x:f>VLOOKUP(C2361,'MES orders'!$A$8:$H$127,6,FALSE)</x:f>
        <x:v>High</x:v>
      </x:c>
      <x:c r="T2361" s="9" t="str"/>
    </x:row>
    <x:row r="2362" ht="22" customHeight="1">
      <x:c r="A2362" s="2" t="str">
        <x:v>L00108-010</x:v>
      </x:c>
      <x:c r="B2362" s="2" t="str">
        <x:v>L00108</x:v>
      </x:c>
      <x:c r="C2362" s="2" t="str">
        <x:v>SO-26022</x:v>
      </x:c>
      <x:c r="D2362" s="2" t="str">
        <x:v>D-S-SS</x:v>
      </x:c>
      <x:c r="E2362" s="14" t="n">
        <x:v>25</x:v>
      </x:c>
      <x:c r="F2362" s="2" t="str">
        <x:v>CNC machining</x:v>
      </x:c>
      <x:c r="G2362" s="9" t="str">
        <x:v>CNC-06</x:v>
      </x:c>
      <x:c r="H2362" s="15" t="n">
        <x:v>59</x:v>
      </x:c>
      <x:c r="I2362" s="9" t="str">
        <x:v>P14</x:v>
      </x:c>
      <x:c r="J2362" s="11" t="n">
        <x:v>46308.78958333333</x:v>
      </x:c>
      <x:c r="K2362" s="15" t="n">
        <x:v>18</x:v>
      </x:c>
      <x:c r="L2362" s="15" t="n">
        <x:v>75</x:v>
      </x:c>
      <x:c r="M2362" s="13" t="n">
        <x:f>J2362+(K2362+L2362)/1440</x:f>
        <x:v>46308.854166666664</x:v>
      </x:c>
      <x:c r="N2362" s="13" t="n">
        <x:f>VLOOKUP(C2362,'MES orders'!$A$8:$H$127,5,FALSE)</x:f>
        <x:v>46309.666666666664</x:v>
      </x:c>
      <x:c r="O2362" s="16" t="n">
        <x:f>MAX(0,(M2362-N2362)*24)</x:f>
        <x:v>0</x:v>
      </x:c>
      <x:c r="P2362" s="9" t="str">
        <x:v>No</x:v>
      </x:c>
      <x:c r="Q2362" s="15" t="n">
        <x:v>18</x:v>
      </x:c>
      <x:c r="R2362" s="13" t="n">
        <x:f>J2362+Q2362/1440</x:f>
        <x:v>46308.80208333333</x:v>
      </x:c>
      <x:c r="S2362" s="2" t="str">
        <x:f>VLOOKUP(C2362,'MES orders'!$A$8:$H$127,6,FALSE)</x:f>
        <x:v>High</x:v>
      </x:c>
      <x:c r="T2362" s="9" t="str"/>
    </x:row>
    <x:row r="2363" ht="22" customHeight="1">
      <x:c r="A2363" s="2" t="str">
        <x:v>L00501-070</x:v>
      </x:c>
      <x:c r="B2363" s="2" t="str">
        <x:v>L00501</x:v>
      </x:c>
      <x:c r="C2363" s="2" t="str">
        <x:v>SO-26101</x:v>
      </x:c>
      <x:c r="D2363" s="2" t="str">
        <x:v>S-L-AL</x:v>
      </x:c>
      <x:c r="E2363" s="14" t="n">
        <x:v>10</x:v>
      </x:c>
      <x:c r="F2363" s="2" t="str">
        <x:v>Final assembly</x:v>
      </x:c>
      <x:c r="G2363" s="9" t="str">
        <x:v>AS-01</x:v>
      </x:c>
      <x:c r="H2363" s="15" t="n">
        <x:v>190</x:v>
      </x:c>
      <x:c r="I2363" s="9" t="str">
        <x:v>P17</x:v>
      </x:c>
      <x:c r="J2363" s="11" t="n">
        <x:v>46308.79027777778</x:v>
      </x:c>
      <x:c r="K2363" s="15" t="n">
        <x:v>5</x:v>
      </x:c>
      <x:c r="L2363" s="15" t="n">
        <x:v>11</x:v>
      </x:c>
      <x:c r="M2363" s="13" t="n">
        <x:f>J2363+(K2363+L2363)/1440</x:f>
        <x:v>46308.80138888889</x:v>
      </x:c>
      <x:c r="N2363" s="13" t="n">
        <x:f>VLOOKUP(C2363,'MES orders'!$A$8:$H$127,5,FALSE)</x:f>
        <x:v>46308.666666666664</x:v>
      </x:c>
      <x:c r="O2363" s="16" t="n">
        <x:f>MAX(0,(M2363-N2363)*24)</x:f>
        <x:v>3.2333333333954215</x:v>
      </x:c>
      <x:c r="P2363" s="9" t="str">
        <x:v>No</x:v>
      </x:c>
      <x:c r="Q2363" s="15" t="n">
        <x:v>16</x:v>
      </x:c>
      <x:c r="R2363" s="13" t="n">
        <x:f>J2363+Q2363/1440</x:f>
        <x:v>46308.80138888889</x:v>
      </x:c>
      <x:c r="S2363" s="2" t="str">
        <x:f>VLOOKUP(C2363,'MES orders'!$A$8:$H$127,6,FALSE)</x:f>
        <x:v>Normal</x:v>
      </x:c>
      <x:c r="T2363" s="9" t="str"/>
    </x:row>
    <x:row r="2364" ht="22" customHeight="1">
      <x:c r="A2364" s="2" t="str">
        <x:v>L00543-050</x:v>
      </x:c>
      <x:c r="B2364" s="2" t="str">
        <x:v>L00543</x:v>
      </x:c>
      <x:c r="C2364" s="2" t="str">
        <x:v>SO-26109</x:v>
      </x:c>
      <x:c r="D2364" s="2" t="str">
        <x:v>D-C-AL</x:v>
      </x:c>
      <x:c r="E2364" s="14" t="n">
        <x:v>15</x:v>
      </x:c>
      <x:c r="F2364" s="2" t="str">
        <x:v>Final leak / function test</x:v>
      </x:c>
      <x:c r="G2364" s="9" t="str">
        <x:v>QA-01</x:v>
      </x:c>
      <x:c r="H2364" s="15" t="n">
        <x:v>89</x:v>
      </x:c>
      <x:c r="I2364" s="9" t="str">
        <x:v>P24</x:v>
      </x:c>
      <x:c r="J2364" s="11" t="n">
        <x:v>46308.791666666664</x:v>
      </x:c>
      <x:c r="K2364" s="15" t="n">
        <x:v>10</x:v>
      </x:c>
      <x:c r="L2364" s="15" t="n">
        <x:v>11</x:v>
      </x:c>
      <x:c r="M2364" s="13" t="n">
        <x:f>J2364+(K2364+L2364)/1440</x:f>
        <x:v>46308.806249999994</x:v>
      </x:c>
      <x:c r="N2364" s="13" t="n">
        <x:f>VLOOKUP(C2364,'MES orders'!$A$8:$H$127,5,FALSE)</x:f>
        <x:v>46308.666666666664</x:v>
      </x:c>
      <x:c r="O2364" s="16" t="n">
        <x:f>MAX(0,(M2364-N2364)*24)</x:f>
        <x:v>3.3499999999185093</x:v>
      </x:c>
      <x:c r="P2364" s="9" t="str">
        <x:v>No</x:v>
      </x:c>
      <x:c r="Q2364" s="15" t="n">
        <x:v>21</x:v>
      </x:c>
      <x:c r="R2364" s="13" t="n">
        <x:f>J2364+Q2364/1440</x:f>
        <x:v>46308.806249999994</x:v>
      </x:c>
      <x:c r="S2364" s="2" t="str">
        <x:f>VLOOKUP(C2364,'MES orders'!$A$8:$H$127,6,FALSE)</x:f>
        <x:v>Normal</x:v>
      </x:c>
      <x:c r="T2364" s="9" t="str"/>
    </x:row>
    <x:row r="2365" ht="22" customHeight="1">
      <x:c r="A2365" s="2" t="str">
        <x:v>L00545-030</x:v>
      </x:c>
      <x:c r="B2365" s="2" t="str">
        <x:v>L00545</x:v>
      </x:c>
      <x:c r="C2365" s="2" t="str">
        <x:v>SO-26109</x:v>
      </x:c>
      <x:c r="D2365" s="2" t="str">
        <x:v>D-C-AL</x:v>
      </x:c>
      <x:c r="E2365" s="14" t="n">
        <x:v>15</x:v>
      </x:c>
      <x:c r="F2365" s="2" t="str">
        <x:v>Wash &amp; dry</x:v>
      </x:c>
      <x:c r="G2365" s="9" t="str">
        <x:v>WS-01</x:v>
      </x:c>
      <x:c r="H2365" s="15" t="n">
        <x:v>221</x:v>
      </x:c>
      <x:c r="I2365" s="9" t="str">
        <x:v>P18</x:v>
      </x:c>
      <x:c r="J2365" s="11" t="n">
        <x:v>46308.791666666664</x:v>
      </x:c>
      <x:c r="K2365" s="15" t="n">
        <x:v>12</x:v>
      </x:c>
      <x:c r="L2365" s="15" t="n">
        <x:v>4</x:v>
      </x:c>
      <x:c r="M2365" s="13" t="n">
        <x:f>J2365+(K2365+L2365)/1440</x:f>
        <x:v>46308.802777777775</x:v>
      </x:c>
      <x:c r="N2365" s="13" t="n">
        <x:f>VLOOKUP(C2365,'MES orders'!$A$8:$H$127,5,FALSE)</x:f>
        <x:v>46308.666666666664</x:v>
      </x:c>
      <x:c r="O2365" s="16" t="n">
        <x:f>MAX(0,(M2365-N2365)*24)</x:f>
        <x:v>3.266666666662786</x:v>
      </x:c>
      <x:c r="P2365" s="9" t="str">
        <x:v>No</x:v>
      </x:c>
      <x:c r="Q2365" s="15" t="n">
        <x:v>16</x:v>
      </x:c>
      <x:c r="R2365" s="13" t="n">
        <x:f>J2365+Q2365/1440</x:f>
        <x:v>46308.802777777775</x:v>
      </x:c>
      <x:c r="S2365" s="2" t="str">
        <x:f>VLOOKUP(C2365,'MES orders'!$A$8:$H$127,6,FALSE)</x:f>
        <x:v>Normal</x:v>
      </x:c>
      <x:c r="T2365" s="9" t="str"/>
    </x:row>
    <x:row r="2366" ht="22" customHeight="1">
      <x:c r="A2366" s="2" t="str">
        <x:v>L00071-030</x:v>
      </x:c>
      <x:c r="B2366" s="2" t="str">
        <x:v>L00071</x:v>
      </x:c>
      <x:c r="C2366" s="2" t="str">
        <x:v>SO-26015</x:v>
      </x:c>
      <x:c r="D2366" s="2" t="str">
        <x:v>R-S-AL</x:v>
      </x:c>
      <x:c r="E2366" s="14" t="n">
        <x:v>10</x:v>
      </x:c>
      <x:c r="F2366" s="2" t="str">
        <x:v>Wash &amp; dry</x:v>
      </x:c>
      <x:c r="G2366" s="9" t="str">
        <x:v>WS-02</x:v>
      </x:c>
      <x:c r="H2366" s="15" t="n">
        <x:v>155</x:v>
      </x:c>
      <x:c r="I2366" s="9" t="str">
        <x:v>P15</x:v>
      </x:c>
      <x:c r="J2366" s="11" t="n">
        <x:v>46308.79583333333</x:v>
      </x:c>
      <x:c r="K2366" s="15" t="n">
        <x:v>12</x:v>
      </x:c>
      <x:c r="L2366" s="15" t="n">
        <x:v>4</x:v>
      </x:c>
      <x:c r="M2366" s="13" t="n">
        <x:f>J2366+(K2366+L2366)/1440</x:f>
        <x:v>46308.80694444444</x:v>
      </x:c>
      <x:c r="N2366" s="13" t="n">
        <x:f>VLOOKUP(C2366,'MES orders'!$A$8:$H$127,5,FALSE)</x:f>
        <x:v>46310.666666666664</x:v>
      </x:c>
      <x:c r="O2366" s="16" t="n">
        <x:f>MAX(0,(M2366-N2366)*24)</x:f>
        <x:v>0</x:v>
      </x:c>
      <x:c r="P2366" s="9" t="str">
        <x:v>No</x:v>
      </x:c>
      <x:c r="Q2366" s="15" t="n">
        <x:v>16</x:v>
      </x:c>
      <x:c r="R2366" s="13" t="n">
        <x:f>J2366+Q2366/1440</x:f>
        <x:v>46308.80694444444</x:v>
      </x:c>
      <x:c r="S2366" s="2" t="str">
        <x:f>VLOOKUP(C2366,'MES orders'!$A$8:$H$127,6,FALSE)</x:f>
        <x:v>High</x:v>
      </x:c>
      <x:c r="T2366" s="9" t="str"/>
    </x:row>
    <x:row r="2367" ht="22" customHeight="1">
      <x:c r="A2367" s="2" t="str">
        <x:v>L00583-040</x:v>
      </x:c>
      <x:c r="B2367" s="2" t="str">
        <x:v>L00583</x:v>
      </x:c>
      <x:c r="C2367" s="2" t="str">
        <x:v>SO-26117</x:v>
      </x:c>
      <x:c r="D2367" s="2" t="str">
        <x:v>D-S-AL</x:v>
      </x:c>
      <x:c r="E2367" s="14" t="n">
        <x:v>10</x:v>
      </x:c>
      <x:c r="F2367" s="2" t="str">
        <x:v>Mechanical assembly</x:v>
      </x:c>
      <x:c r="G2367" s="9" t="str">
        <x:v>AS-01</x:v>
      </x:c>
      <x:c r="H2367" s="15" t="n">
        <x:v>191</x:v>
      </x:c>
      <x:c r="I2367" s="9" t="str">
        <x:v>P17</x:v>
      </x:c>
      <x:c r="J2367" s="11" t="n">
        <x:v>46308.80138888889</x:v>
      </x:c>
      <x:c r="K2367" s="15" t="n">
        <x:v>8</x:v>
      </x:c>
      <x:c r="L2367" s="15" t="n">
        <x:v>18</x:v>
      </x:c>
      <x:c r="M2367" s="13" t="n">
        <x:f>J2367+(K2367+L2367)/1440</x:f>
        <x:v>46308.819444444445</x:v>
      </x:c>
      <x:c r="N2367" s="13" t="n">
        <x:f>VLOOKUP(C2367,'MES orders'!$A$8:$H$127,5,FALSE)</x:f>
        <x:v>46308.666666666664</x:v>
      </x:c>
      <x:c r="O2367" s="16" t="n">
        <x:f>MAX(0,(M2367-N2367)*24)</x:f>
        <x:v>3.666666666744277</x:v>
      </x:c>
      <x:c r="P2367" s="9" t="str">
        <x:v>No</x:v>
      </x:c>
      <x:c r="Q2367" s="15" t="n">
        <x:v>26</x:v>
      </x:c>
      <x:c r="R2367" s="13" t="n">
        <x:f>J2367+Q2367/1440</x:f>
        <x:v>46308.819444444445</x:v>
      </x:c>
      <x:c r="S2367" s="2" t="str">
        <x:f>VLOOKUP(C2367,'MES orders'!$A$8:$H$127,6,FALSE)</x:f>
        <x:v>Normal</x:v>
      </x:c>
      <x:c r="T2367" s="9" t="str"/>
    </x:row>
    <x:row r="2368" ht="22" customHeight="1">
      <x:c r="A2368" s="2" t="str">
        <x:v>L00501-080</x:v>
      </x:c>
      <x:c r="B2368" s="2" t="str">
        <x:v>L00501</x:v>
      </x:c>
      <x:c r="C2368" s="2" t="str">
        <x:v>SO-26101</x:v>
      </x:c>
      <x:c r="D2368" s="2" t="str">
        <x:v>S-L-AL</x:v>
      </x:c>
      <x:c r="E2368" s="14" t="n">
        <x:v>10</x:v>
      </x:c>
      <x:c r="F2368" s="2" t="str">
        <x:v>Final leak / function test</x:v>
      </x:c>
      <x:c r="G2368" s="9" t="str">
        <x:v>QA-02</x:v>
      </x:c>
      <x:c r="H2368" s="15" t="n">
        <x:v>173</x:v>
      </x:c>
      <x:c r="I2368" s="9" t="str">
        <x:v>P23</x:v>
      </x:c>
      <x:c r="J2368" s="11" t="n">
        <x:v>46308.80138888889</x:v>
      </x:c>
      <x:c r="K2368" s="15" t="n">
        <x:v>10</x:v>
      </x:c>
      <x:c r="L2368" s="15" t="n">
        <x:v>12</x:v>
      </x:c>
      <x:c r="M2368" s="13" t="n">
        <x:f>J2368+(K2368+L2368)/1440</x:f>
        <x:v>46308.816666666666</x:v>
      </x:c>
      <x:c r="N2368" s="13" t="n">
        <x:f>VLOOKUP(C2368,'MES orders'!$A$8:$H$127,5,FALSE)</x:f>
        <x:v>46308.666666666664</x:v>
      </x:c>
      <x:c r="O2368" s="16" t="n">
        <x:f>MAX(0,(M2368-N2368)*24)</x:f>
        <x:v>3.6000000000349246</x:v>
      </x:c>
      <x:c r="P2368" s="9" t="str">
        <x:v>No</x:v>
      </x:c>
      <x:c r="Q2368" s="15" t="n">
        <x:v>22</x:v>
      </x:c>
      <x:c r="R2368" s="13" t="n">
        <x:f>J2368+Q2368/1440</x:f>
        <x:v>46308.816666666666</x:v>
      </x:c>
      <x:c r="S2368" s="2" t="str">
        <x:f>VLOOKUP(C2368,'MES orders'!$A$8:$H$127,6,FALSE)</x:f>
        <x:v>Normal</x:v>
      </x:c>
      <x:c r="T2368" s="9" t="str"/>
    </x:row>
    <x:row r="2369" ht="22" customHeight="1">
      <x:c r="A2369" s="2" t="str">
        <x:v>L00503-060</x:v>
      </x:c>
      <x:c r="B2369" s="2" t="str">
        <x:v>L00503</x:v>
      </x:c>
      <x:c r="C2369" s="2" t="str">
        <x:v>SO-26101</x:v>
      </x:c>
      <x:c r="D2369" s="2" t="str">
        <x:v>S-L-AL</x:v>
      </x:c>
      <x:c r="E2369" s="14" t="n">
        <x:v>10</x:v>
      </x:c>
      <x:c r="F2369" s="2" t="str">
        <x:v>Sensor calibration</x:v>
      </x:c>
      <x:c r="G2369" s="9" t="str">
        <x:v>CAL-01</x:v>
      </x:c>
      <x:c r="H2369" s="15" t="n">
        <x:v>118</x:v>
      </x:c>
      <x:c r="I2369" s="9" t="str">
        <x:v>P21</x:v>
      </x:c>
      <x:c r="J2369" s="11" t="n">
        <x:v>46308.802083333336</x:v>
      </x:c>
      <x:c r="K2369" s="15" t="n">
        <x:v>10</x:v>
      </x:c>
      <x:c r="L2369" s="15" t="n">
        <x:v>18</x:v>
      </x:c>
      <x:c r="M2369" s="13" t="n">
        <x:f>J2369+(K2369+L2369)/1440</x:f>
        <x:v>46308.82152777778</x:v>
      </x:c>
      <x:c r="N2369" s="13" t="n">
        <x:f>VLOOKUP(C2369,'MES orders'!$A$8:$H$127,5,FALSE)</x:f>
        <x:v>46308.666666666664</x:v>
      </x:c>
      <x:c r="O2369" s="16" t="n">
        <x:f>MAX(0,(M2369-N2369)*24)</x:f>
        <x:v>3.7166666667326353</x:v>
      </x:c>
      <x:c r="P2369" s="9" t="str">
        <x:v>No</x:v>
      </x:c>
      <x:c r="Q2369" s="15" t="n">
        <x:v>28</x:v>
      </x:c>
      <x:c r="R2369" s="13" t="n">
        <x:f>J2369+Q2369/1440</x:f>
        <x:v>46308.82152777778</x:v>
      </x:c>
      <x:c r="S2369" s="2" t="str">
        <x:f>VLOOKUP(C2369,'MES orders'!$A$8:$H$127,6,FALSE)</x:f>
        <x:v>Normal</x:v>
      </x:c>
      <x:c r="T2369" s="9" t="str"/>
    </x:row>
    <x:row r="2370" ht="22" customHeight="1">
      <x:c r="A2370" s="2" t="str">
        <x:v>L00545-040</x:v>
      </x:c>
      <x:c r="B2370" s="2" t="str">
        <x:v>L00545</x:v>
      </x:c>
      <x:c r="C2370" s="2" t="str">
        <x:v>SO-26109</x:v>
      </x:c>
      <x:c r="D2370" s="2" t="str">
        <x:v>D-C-AL</x:v>
      </x:c>
      <x:c r="E2370" s="14" t="n">
        <x:v>15</x:v>
      </x:c>
      <x:c r="F2370" s="2" t="str">
        <x:v>Mechanical assembly</x:v>
      </x:c>
      <x:c r="G2370" s="9" t="str">
        <x:v>AS-03</x:v>
      </x:c>
      <x:c r="H2370" s="15" t="n">
        <x:v>126</x:v>
      </x:c>
      <x:c r="I2370" s="9" t="str">
        <x:v>P18</x:v>
      </x:c>
      <x:c r="J2370" s="11" t="n">
        <x:v>46308.802777777775</x:v>
      </x:c>
      <x:c r="K2370" s="15" t="n">
        <x:v>8</x:v>
      </x:c>
      <x:c r="L2370" s="15" t="n">
        <x:v>22</x:v>
      </x:c>
      <x:c r="M2370" s="13" t="n">
        <x:f>J2370+(K2370+L2370)/1440</x:f>
        <x:v>46308.82361111111</x:v>
      </x:c>
      <x:c r="N2370" s="13" t="n">
        <x:f>VLOOKUP(C2370,'MES orders'!$A$8:$H$127,5,FALSE)</x:f>
        <x:v>46308.666666666664</x:v>
      </x:c>
      <x:c r="O2370" s="16" t="n">
        <x:f>MAX(0,(M2370-N2370)*24)</x:f>
        <x:v>3.766666666720994</x:v>
      </x:c>
      <x:c r="P2370" s="9" t="str">
        <x:v>No</x:v>
      </x:c>
      <x:c r="Q2370" s="15" t="n">
        <x:v>30</x:v>
      </x:c>
      <x:c r="R2370" s="13" t="n">
        <x:f>J2370+Q2370/1440</x:f>
        <x:v>46308.82361111111</x:v>
      </x:c>
      <x:c r="S2370" s="2" t="str">
        <x:f>VLOOKUP(C2370,'MES orders'!$A$8:$H$127,6,FALSE)</x:f>
        <x:v>Normal</x:v>
      </x:c>
      <x:c r="T2370" s="9" t="str"/>
    </x:row>
    <x:row r="2371" ht="22" customHeight="1">
      <x:c r="A2371" s="2" t="str">
        <x:v>L00109-010</x:v>
      </x:c>
      <x:c r="B2371" s="2" t="str">
        <x:v>L00109</x:v>
      </x:c>
      <x:c r="C2371" s="2" t="str">
        <x:v>SO-26022</x:v>
      </x:c>
      <x:c r="D2371" s="2" t="str">
        <x:v>D-S-SS</x:v>
      </x:c>
      <x:c r="E2371" s="14" t="n">
        <x:v>25</x:v>
      </x:c>
      <x:c r="F2371" s="2" t="str">
        <x:v>CNC machining</x:v>
      </x:c>
      <x:c r="G2371" s="9" t="str">
        <x:v>CNC-03</x:v>
      </x:c>
      <x:c r="H2371" s="15" t="n">
        <x:v>76</x:v>
      </x:c>
      <x:c r="I2371" s="9" t="str">
        <x:v>P13</x:v>
      </x:c>
      <x:c r="J2371" s="11" t="n">
        <x:v>46308.80416666667</x:v>
      </x:c>
      <x:c r="K2371" s="15" t="n">
        <x:v>18</x:v>
      </x:c>
      <x:c r="L2371" s="15" t="n">
        <x:v>75</x:v>
      </x:c>
      <x:c r="M2371" s="13" t="n">
        <x:f>J2371+(K2371+L2371)/1440</x:f>
        <x:v>46308.86875</x:v>
      </x:c>
      <x:c r="N2371" s="13" t="n">
        <x:f>VLOOKUP(C2371,'MES orders'!$A$8:$H$127,5,FALSE)</x:f>
        <x:v>46309.666666666664</x:v>
      </x:c>
      <x:c r="O2371" s="16" t="n">
        <x:f>MAX(0,(M2371-N2371)*24)</x:f>
        <x:v>0</x:v>
      </x:c>
      <x:c r="P2371" s="9" t="str">
        <x:v>No</x:v>
      </x:c>
      <x:c r="Q2371" s="15" t="n">
        <x:v>18</x:v>
      </x:c>
      <x:c r="R2371" s="13" t="n">
        <x:f>J2371+Q2371/1440</x:f>
        <x:v>46308.816666666666</x:v>
      </x:c>
      <x:c r="S2371" s="2" t="str">
        <x:f>VLOOKUP(C2371,'MES orders'!$A$8:$H$127,6,FALSE)</x:f>
        <x:v>High</x:v>
      </x:c>
      <x:c r="T2371" s="9" t="str"/>
    </x:row>
    <x:row r="2372" ht="22" customHeight="1">
      <x:c r="A2372" s="2" t="str">
        <x:v>L00544-050</x:v>
      </x:c>
      <x:c r="B2372" s="2" t="str">
        <x:v>L00544</x:v>
      </x:c>
      <x:c r="C2372" s="2" t="str">
        <x:v>SO-26109</x:v>
      </x:c>
      <x:c r="D2372" s="2" t="str">
        <x:v>D-C-AL</x:v>
      </x:c>
      <x:c r="E2372" s="14" t="n">
        <x:v>15</x:v>
      </x:c>
      <x:c r="F2372" s="2" t="str">
        <x:v>Final leak / function test</x:v>
      </x:c>
      <x:c r="G2372" s="9" t="str">
        <x:v>QA-01</x:v>
      </x:c>
      <x:c r="H2372" s="15" t="n">
        <x:v>90</x:v>
      </x:c>
      <x:c r="I2372" s="9" t="str">
        <x:v>P24</x:v>
      </x:c>
      <x:c r="J2372" s="11" t="n">
        <x:v>46308.80625</x:v>
      </x:c>
      <x:c r="K2372" s="15" t="n">
        <x:v>10</x:v>
      </x:c>
      <x:c r="L2372" s="15" t="n">
        <x:v>11</x:v>
      </x:c>
      <x:c r="M2372" s="13" t="n">
        <x:f>J2372+(K2372+L2372)/1440</x:f>
        <x:v>46308.82083333333</x:v>
      </x:c>
      <x:c r="N2372" s="13" t="n">
        <x:f>VLOOKUP(C2372,'MES orders'!$A$8:$H$127,5,FALSE)</x:f>
        <x:v>46308.666666666664</x:v>
      </x:c>
      <x:c r="O2372" s="16" t="n">
        <x:f>MAX(0,(M2372-N2372)*24)</x:f>
        <x:v>3.7000000000116415</x:v>
      </x:c>
      <x:c r="P2372" s="9" t="str">
        <x:v>No</x:v>
      </x:c>
      <x:c r="Q2372" s="15" t="n">
        <x:v>21</x:v>
      </x:c>
      <x:c r="R2372" s="13" t="n">
        <x:f>J2372+Q2372/1440</x:f>
        <x:v>46308.82083333333</x:v>
      </x:c>
      <x:c r="S2372" s="2" t="str">
        <x:f>VLOOKUP(C2372,'MES orders'!$A$8:$H$127,6,FALSE)</x:f>
        <x:v>Normal</x:v>
      </x:c>
      <x:c r="T2372" s="9" t="str"/>
    </x:row>
    <x:row r="2373" ht="22" customHeight="1">
      <x:c r="A2373" s="2" t="str">
        <x:v>L00584-030</x:v>
      </x:c>
      <x:c r="B2373" s="2" t="str">
        <x:v>L00584</x:v>
      </x:c>
      <x:c r="C2373" s="2" t="str">
        <x:v>SO-26117</x:v>
      </x:c>
      <x:c r="D2373" s="2" t="str">
        <x:v>D-S-AL</x:v>
      </x:c>
      <x:c r="E2373" s="14" t="n">
        <x:v>10</x:v>
      </x:c>
      <x:c r="F2373" s="2" t="str">
        <x:v>Wash &amp; dry</x:v>
      </x:c>
      <x:c r="G2373" s="9" t="str">
        <x:v>WS-01</x:v>
      </x:c>
      <x:c r="H2373" s="15" t="n">
        <x:v>222</x:v>
      </x:c>
      <x:c r="I2373" s="9" t="str">
        <x:v>P16</x:v>
      </x:c>
      <x:c r="J2373" s="11" t="n">
        <x:v>46308.80625</x:v>
      </x:c>
      <x:c r="K2373" s="15" t="n">
        <x:v>12</x:v>
      </x:c>
      <x:c r="L2373" s="15" t="n">
        <x:v>4</x:v>
      </x:c>
      <x:c r="M2373" s="13" t="n">
        <x:f>J2373+(K2373+L2373)/1440</x:f>
        <x:v>46308.81736111111</x:v>
      </x:c>
      <x:c r="N2373" s="13" t="n">
        <x:f>VLOOKUP(C2373,'MES orders'!$A$8:$H$127,5,FALSE)</x:f>
        <x:v>46308.666666666664</x:v>
      </x:c>
      <x:c r="O2373" s="16" t="n">
        <x:f>MAX(0,(M2373-N2373)*24)</x:f>
        <x:v>3.6166666667559184</x:v>
      </x:c>
      <x:c r="P2373" s="9" t="str">
        <x:v>No</x:v>
      </x:c>
      <x:c r="Q2373" s="15" t="n">
        <x:v>16</x:v>
      </x:c>
      <x:c r="R2373" s="13" t="n">
        <x:f>J2373+Q2373/1440</x:f>
        <x:v>46308.81736111111</x:v>
      </x:c>
      <x:c r="S2373" s="2" t="str">
        <x:f>VLOOKUP(C2373,'MES orders'!$A$8:$H$127,6,FALSE)</x:f>
        <x:v>Normal</x:v>
      </x:c>
      <x:c r="T2373" s="9" t="str"/>
    </x:row>
    <x:row r="2374" ht="22" customHeight="1">
      <x:c r="A2374" s="2" t="str">
        <x:v>L00071-040</x:v>
      </x:c>
      <x:c r="B2374" s="2" t="str">
        <x:v>L00071</x:v>
      </x:c>
      <x:c r="C2374" s="2" t="str">
        <x:v>SO-26015</x:v>
      </x:c>
      <x:c r="D2374" s="2" t="str">
        <x:v>R-S-AL</x:v>
      </x:c>
      <x:c r="E2374" s="14" t="n">
        <x:v>10</x:v>
      </x:c>
      <x:c r="F2374" s="2" t="str">
        <x:v>Mechanical assembly</x:v>
      </x:c>
      <x:c r="G2374" s="9" t="str">
        <x:v>AS-04</x:v>
      </x:c>
      <x:c r="H2374" s="15" t="n">
        <x:v>82</x:v>
      </x:c>
      <x:c r="I2374" s="9" t="str">
        <x:v>P14</x:v>
      </x:c>
      <x:c r="J2374" s="11" t="n">
        <x:v>46308.80694444444</x:v>
      </x:c>
      <x:c r="K2374" s="15" t="n">
        <x:v>8</x:v>
      </x:c>
      <x:c r="L2374" s="15" t="n">
        <x:v>18</x:v>
      </x:c>
      <x:c r="M2374" s="13" t="n">
        <x:f>J2374+(K2374+L2374)/1440</x:f>
        <x:v>46308.825</x:v>
      </x:c>
      <x:c r="N2374" s="13" t="n">
        <x:f>VLOOKUP(C2374,'MES orders'!$A$8:$H$127,5,FALSE)</x:f>
        <x:v>46310.666666666664</x:v>
      </x:c>
      <x:c r="O2374" s="16" t="n">
        <x:f>MAX(0,(M2374-N2374)*24)</x:f>
        <x:v>0</x:v>
      </x:c>
      <x:c r="P2374" s="9" t="str">
        <x:v>No</x:v>
      </x:c>
      <x:c r="Q2374" s="15" t="n">
        <x:v>26</x:v>
      </x:c>
      <x:c r="R2374" s="13" t="n">
        <x:f>J2374+Q2374/1440</x:f>
        <x:v>46308.825</x:v>
      </x:c>
      <x:c r="S2374" s="2" t="str">
        <x:f>VLOOKUP(C2374,'MES orders'!$A$8:$H$127,6,FALSE)</x:f>
        <x:v>High</x:v>
      </x:c>
      <x:c r="T2374" s="9" t="str"/>
    </x:row>
    <x:row r="2375" ht="22" customHeight="1">
      <x:c r="A2375" s="2" t="str">
        <x:v>L00072-010</x:v>
      </x:c>
      <x:c r="B2375" s="2" t="str">
        <x:v>L00072</x:v>
      </x:c>
      <x:c r="C2375" s="2" t="str">
        <x:v>SO-26015</x:v>
      </x:c>
      <x:c r="D2375" s="2" t="str">
        <x:v>R-S-AL</x:v>
      </x:c>
      <x:c r="E2375" s="14" t="n">
        <x:v>10</x:v>
      </x:c>
      <x:c r="F2375" s="2" t="str">
        <x:v>CNC machining</x:v>
      </x:c>
      <x:c r="G2375" s="9" t="str">
        <x:v>CNC-01</x:v>
      </x:c>
      <x:c r="H2375" s="15" t="n">
        <x:v>67</x:v>
      </x:c>
      <x:c r="I2375" s="9" t="str">
        <x:v>P15</x:v>
      </x:c>
      <x:c r="J2375" s="11" t="n">
        <x:v>46308.80694444444</x:v>
      </x:c>
      <x:c r="K2375" s="15" t="n">
        <x:v>18</x:v>
      </x:c>
      <x:c r="L2375" s="15" t="n">
        <x:v>24</x:v>
      </x:c>
      <x:c r="M2375" s="13" t="n">
        <x:f>J2375+(K2375+L2375)/1440</x:f>
        <x:v>46308.83611111111</x:v>
      </x:c>
      <x:c r="N2375" s="13" t="n">
        <x:f>VLOOKUP(C2375,'MES orders'!$A$8:$H$127,5,FALSE)</x:f>
        <x:v>46310.666666666664</x:v>
      </x:c>
      <x:c r="O2375" s="16" t="n">
        <x:f>MAX(0,(M2375-N2375)*24)</x:f>
        <x:v>0</x:v>
      </x:c>
      <x:c r="P2375" s="9" t="str">
        <x:v>No</x:v>
      </x:c>
      <x:c r="Q2375" s="15" t="n">
        <x:v>18</x:v>
      </x:c>
      <x:c r="R2375" s="13" t="n">
        <x:f>J2375+Q2375/1440</x:f>
        <x:v>46308.81944444444</x:v>
      </x:c>
      <x:c r="S2375" s="2" t="str">
        <x:f>VLOOKUP(C2375,'MES orders'!$A$8:$H$127,6,FALSE)</x:f>
        <x:v>High</x:v>
      </x:c>
      <x:c r="T2375" s="9" t="str"/>
    </x:row>
    <x:row r="2376" ht="22" customHeight="1">
      <x:c r="A2376" s="2" t="str">
        <x:v>L00073-010</x:v>
      </x:c>
      <x:c r="B2376" s="2" t="str">
        <x:v>L00073</x:v>
      </x:c>
      <x:c r="C2376" s="2" t="str">
        <x:v>SO-26015</x:v>
      </x:c>
      <x:c r="D2376" s="2" t="str">
        <x:v>R-S-AL</x:v>
      </x:c>
      <x:c r="E2376" s="14" t="n">
        <x:v>10</x:v>
      </x:c>
      <x:c r="F2376" s="2" t="str">
        <x:v>CNC machining</x:v>
      </x:c>
      <x:c r="G2376" s="9" t="str">
        <x:v>CNC-02</x:v>
      </x:c>
      <x:c r="H2376" s="15" t="n">
        <x:v>48</x:v>
      </x:c>
      <x:c r="I2376" s="9" t="str">
        <x:v>P13</x:v>
      </x:c>
      <x:c r="J2376" s="11" t="n">
        <x:v>46308.816666666666</x:v>
      </x:c>
      <x:c r="K2376" s="15" t="n">
        <x:v>18</x:v>
      </x:c>
      <x:c r="L2376" s="15" t="n">
        <x:v>24</x:v>
      </x:c>
      <x:c r="M2376" s="13" t="n">
        <x:f>J2376+(K2376+L2376)/1440</x:f>
        <x:v>46308.84583333333</x:v>
      </x:c>
      <x:c r="N2376" s="13" t="n">
        <x:f>VLOOKUP(C2376,'MES orders'!$A$8:$H$127,5,FALSE)</x:f>
        <x:v>46310.666666666664</x:v>
      </x:c>
      <x:c r="O2376" s="16" t="n">
        <x:f>MAX(0,(M2376-N2376)*24)</x:f>
        <x:v>0</x:v>
      </x:c>
      <x:c r="P2376" s="9" t="str">
        <x:v>No</x:v>
      </x:c>
      <x:c r="Q2376" s="15" t="n">
        <x:v>18</x:v>
      </x:c>
      <x:c r="R2376" s="13" t="n">
        <x:f>J2376+Q2376/1440</x:f>
        <x:v>46308.82916666666</x:v>
      </x:c>
      <x:c r="S2376" s="2" t="str">
        <x:f>VLOOKUP(C2376,'MES orders'!$A$8:$H$127,6,FALSE)</x:f>
        <x:v>High</x:v>
      </x:c>
      <x:c r="T2376" s="9" t="str"/>
    </x:row>
    <x:row r="2377" ht="22" customHeight="1">
      <x:c r="A2377" s="2" t="str">
        <x:v>L00584-040</x:v>
      </x:c>
      <x:c r="B2377" s="2" t="str">
        <x:v>L00584</x:v>
      </x:c>
      <x:c r="C2377" s="2" t="str">
        <x:v>SO-26117</x:v>
      </x:c>
      <x:c r="D2377" s="2" t="str">
        <x:v>D-S-AL</x:v>
      </x:c>
      <x:c r="E2377" s="14" t="n">
        <x:v>10</x:v>
      </x:c>
      <x:c r="F2377" s="2" t="str">
        <x:v>Mechanical assembly</x:v>
      </x:c>
      <x:c r="G2377" s="9" t="str">
        <x:v>AS-02</x:v>
      </x:c>
      <x:c r="H2377" s="15" t="n">
        <x:v>157</x:v>
      </x:c>
      <x:c r="I2377" s="9" t="str">
        <x:v>P16</x:v>
      </x:c>
      <x:c r="J2377" s="11" t="n">
        <x:v>46308.81736111111</x:v>
      </x:c>
      <x:c r="K2377" s="15" t="n">
        <x:v>8</x:v>
      </x:c>
      <x:c r="L2377" s="15" t="n">
        <x:v>18</x:v>
      </x:c>
      <x:c r="M2377" s="13" t="n">
        <x:f>J2377+(K2377+L2377)/1440</x:f>
        <x:v>46308.83541666667</x:v>
      </x:c>
      <x:c r="N2377" s="13" t="n">
        <x:f>VLOOKUP(C2377,'MES orders'!$A$8:$H$127,5,FALSE)</x:f>
        <x:v>46308.666666666664</x:v>
      </x:c>
      <x:c r="O2377" s="16" t="n">
        <x:f>MAX(0,(M2377-N2377)*24)</x:f>
        <x:v>4.050000000104774</x:v>
      </x:c>
      <x:c r="P2377" s="9" t="str">
        <x:v>No</x:v>
      </x:c>
      <x:c r="Q2377" s="15" t="n">
        <x:v>26</x:v>
      </x:c>
      <x:c r="R2377" s="13" t="n">
        <x:f>J2377+Q2377/1440</x:f>
        <x:v>46308.83541666667</x:v>
      </x:c>
      <x:c r="S2377" s="2" t="str">
        <x:f>VLOOKUP(C2377,'MES orders'!$A$8:$H$127,6,FALSE)</x:f>
        <x:v>Normal</x:v>
      </x:c>
      <x:c r="T2377" s="9" t="str"/>
    </x:row>
    <x:row r="2378" ht="22" customHeight="1">
      <x:c r="A2378" s="2" t="str">
        <x:v>L00583-050</x:v>
      </x:c>
      <x:c r="B2378" s="2" t="str">
        <x:v>L00583</x:v>
      </x:c>
      <x:c r="C2378" s="2" t="str">
        <x:v>SO-26117</x:v>
      </x:c>
      <x:c r="D2378" s="2" t="str">
        <x:v>D-S-AL</x:v>
      </x:c>
      <x:c r="E2378" s="14" t="n">
        <x:v>10</x:v>
      </x:c>
      <x:c r="F2378" s="2" t="str">
        <x:v>Final leak / function test</x:v>
      </x:c>
      <x:c r="G2378" s="9" t="str">
        <x:v>QA-02</x:v>
      </x:c>
      <x:c r="H2378" s="15" t="n">
        <x:v>174</x:v>
      </x:c>
      <x:c r="I2378" s="9" t="str">
        <x:v>P23</x:v>
      </x:c>
      <x:c r="J2378" s="11" t="n">
        <x:v>46308.819444444445</x:v>
      </x:c>
      <x:c r="K2378" s="15" t="n">
        <x:v>10</x:v>
      </x:c>
      <x:c r="L2378" s="15" t="n">
        <x:v>9</x:v>
      </x:c>
      <x:c r="M2378" s="13" t="n">
        <x:f>J2378+(K2378+L2378)/1440</x:f>
        <x:v>46308.83263888889</x:v>
      </x:c>
      <x:c r="N2378" s="13" t="n">
        <x:f>VLOOKUP(C2378,'MES orders'!$A$8:$H$127,5,FALSE)</x:f>
        <x:v>46308.666666666664</x:v>
      </x:c>
      <x:c r="O2378" s="16" t="n">
        <x:f>MAX(0,(M2378-N2378)*24)</x:f>
        <x:v>3.9833333333954215</x:v>
      </x:c>
      <x:c r="P2378" s="9" t="str">
        <x:v>No</x:v>
      </x:c>
      <x:c r="Q2378" s="15" t="n">
        <x:v>19</x:v>
      </x:c>
      <x:c r="R2378" s="13" t="n">
        <x:f>J2378+Q2378/1440</x:f>
        <x:v>46308.83263888889</x:v>
      </x:c>
      <x:c r="S2378" s="2" t="str">
        <x:f>VLOOKUP(C2378,'MES orders'!$A$8:$H$127,6,FALSE)</x:f>
        <x:v>Normal</x:v>
      </x:c>
      <x:c r="T2378" s="9" t="str"/>
    </x:row>
    <x:row r="2379" ht="22" customHeight="1">
      <x:c r="A2379" s="2" t="str">
        <x:v>L00503-070</x:v>
      </x:c>
      <x:c r="B2379" s="2" t="str">
        <x:v>L00503</x:v>
      </x:c>
      <x:c r="C2379" s="2" t="str">
        <x:v>SO-26101</x:v>
      </x:c>
      <x:c r="D2379" s="2" t="str">
        <x:v>S-L-AL</x:v>
      </x:c>
      <x:c r="E2379" s="14" t="n">
        <x:v>10</x:v>
      </x:c>
      <x:c r="F2379" s="2" t="str">
        <x:v>Final assembly</x:v>
      </x:c>
      <x:c r="G2379" s="9" t="str">
        <x:v>AS-01</x:v>
      </x:c>
      <x:c r="H2379" s="15" t="n">
        <x:v>192</x:v>
      </x:c>
      <x:c r="I2379" s="9" t="str">
        <x:v>P17</x:v>
      </x:c>
      <x:c r="J2379" s="11" t="n">
        <x:v>46308.82152777778</x:v>
      </x:c>
      <x:c r="K2379" s="15" t="n">
        <x:v>5</x:v>
      </x:c>
      <x:c r="L2379" s="15" t="n">
        <x:v>11</x:v>
      </x:c>
      <x:c r="M2379" s="13" t="n">
        <x:f>J2379+(K2379+L2379)/1440</x:f>
        <x:v>46308.83263888889</x:v>
      </x:c>
      <x:c r="N2379" s="13" t="n">
        <x:f>VLOOKUP(C2379,'MES orders'!$A$8:$H$127,5,FALSE)</x:f>
        <x:v>46308.666666666664</x:v>
      </x:c>
      <x:c r="O2379" s="16" t="n">
        <x:f>MAX(0,(M2379-N2379)*24)</x:f>
        <x:v>3.9833333333954215</x:v>
      </x:c>
      <x:c r="P2379" s="9" t="str">
        <x:v>No</x:v>
      </x:c>
      <x:c r="Q2379" s="15" t="n">
        <x:v>16</x:v>
      </x:c>
      <x:c r="R2379" s="13" t="n">
        <x:f>J2379+Q2379/1440</x:f>
        <x:v>46308.83263888889</x:v>
      </x:c>
      <x:c r="S2379" s="2" t="str">
        <x:f>VLOOKUP(C2379,'MES orders'!$A$8:$H$127,6,FALSE)</x:f>
        <x:v>Normal</x:v>
      </x:c>
      <x:c r="T2379" s="9" t="str"/>
    </x:row>
    <x:row r="2380" ht="22" customHeight="1">
      <x:c r="A2380" s="2" t="str">
        <x:v>L00504-060</x:v>
      </x:c>
      <x:c r="B2380" s="2" t="str">
        <x:v>L00504</x:v>
      </x:c>
      <x:c r="C2380" s="2" t="str">
        <x:v>SO-26101</x:v>
      </x:c>
      <x:c r="D2380" s="2" t="str">
        <x:v>S-L-AL</x:v>
      </x:c>
      <x:c r="E2380" s="14" t="n">
        <x:v>10</x:v>
      </x:c>
      <x:c r="F2380" s="2" t="str">
        <x:v>Sensor calibration</x:v>
      </x:c>
      <x:c r="G2380" s="9" t="str">
        <x:v>CAL-01</x:v>
      </x:c>
      <x:c r="H2380" s="15" t="n">
        <x:v>119</x:v>
      </x:c>
      <x:c r="I2380" s="9" t="str">
        <x:v>P21</x:v>
      </x:c>
      <x:c r="J2380" s="11" t="n">
        <x:v>46308.82152777778</x:v>
      </x:c>
      <x:c r="K2380" s="15" t="n">
        <x:v>10</x:v>
      </x:c>
      <x:c r="L2380" s="15" t="n">
        <x:v>18</x:v>
      </x:c>
      <x:c r="M2380" s="13" t="n">
        <x:f>J2380+(K2380+L2380)/1440</x:f>
        <x:v>46308.84097222222</x:v>
      </x:c>
      <x:c r="N2380" s="13" t="n">
        <x:f>VLOOKUP(C2380,'MES orders'!$A$8:$H$127,5,FALSE)</x:f>
        <x:v>46308.666666666664</x:v>
      </x:c>
      <x:c r="O2380" s="16" t="n">
        <x:f>MAX(0,(M2380-N2380)*24)</x:f>
        <x:v>4.183333333348855</x:v>
      </x:c>
      <x:c r="P2380" s="9" t="str">
        <x:v>No</x:v>
      </x:c>
      <x:c r="Q2380" s="15" t="n">
        <x:v>28</x:v>
      </x:c>
      <x:c r="R2380" s="13" t="n">
        <x:f>J2380+Q2380/1440</x:f>
        <x:v>46308.84097222222</x:v>
      </x:c>
      <x:c r="S2380" s="2" t="str">
        <x:f>VLOOKUP(C2380,'MES orders'!$A$8:$H$127,6,FALSE)</x:f>
        <x:v>Normal</x:v>
      </x:c>
      <x:c r="T2380" s="9" t="str"/>
    </x:row>
    <x:row r="2381" ht="22" customHeight="1">
      <x:c r="A2381" s="2" t="str">
        <x:v>L00545-050</x:v>
      </x:c>
      <x:c r="B2381" s="2" t="str">
        <x:v>L00545</x:v>
      </x:c>
      <x:c r="C2381" s="2" t="str">
        <x:v>SO-26109</x:v>
      </x:c>
      <x:c r="D2381" s="2" t="str">
        <x:v>D-C-AL</x:v>
      </x:c>
      <x:c r="E2381" s="14" t="n">
        <x:v>15</x:v>
      </x:c>
      <x:c r="F2381" s="2" t="str">
        <x:v>Final leak / function test</x:v>
      </x:c>
      <x:c r="G2381" s="9" t="str">
        <x:v>QA-01</x:v>
      </x:c>
      <x:c r="H2381" s="15" t="n">
        <x:v>91</x:v>
      </x:c>
      <x:c r="I2381" s="9" t="str">
        <x:v>P24</x:v>
      </x:c>
      <x:c r="J2381" s="11" t="n">
        <x:v>46308.82361111111</x:v>
      </x:c>
      <x:c r="K2381" s="15" t="n">
        <x:v>10</x:v>
      </x:c>
      <x:c r="L2381" s="15" t="n">
        <x:v>11</x:v>
      </x:c>
      <x:c r="M2381" s="13" t="n">
        <x:f>J2381+(K2381+L2381)/1440</x:f>
        <x:v>46308.83819444444</x:v>
      </x:c>
      <x:c r="N2381" s="13" t="n">
        <x:f>VLOOKUP(C2381,'MES orders'!$A$8:$H$127,5,FALSE)</x:f>
        <x:v>46308.666666666664</x:v>
      </x:c>
      <x:c r="O2381" s="16" t="n">
        <x:f>MAX(0,(M2381-N2381)*24)</x:f>
        <x:v>4.116666666639503</x:v>
      </x:c>
      <x:c r="P2381" s="9" t="str">
        <x:v>No</x:v>
      </x:c>
      <x:c r="Q2381" s="15" t="n">
        <x:v>21</x:v>
      </x:c>
      <x:c r="R2381" s="13" t="n">
        <x:f>J2381+Q2381/1440</x:f>
        <x:v>46308.83819444444</x:v>
      </x:c>
      <x:c r="S2381" s="2" t="str">
        <x:f>VLOOKUP(C2381,'MES orders'!$A$8:$H$127,6,FALSE)</x:f>
        <x:v>Normal</x:v>
      </x:c>
      <x:c r="T2381" s="9" t="str"/>
    </x:row>
    <x:row r="2382" ht="22" customHeight="1">
      <x:c r="A2382" s="2" t="str">
        <x:v>L00585-030</x:v>
      </x:c>
      <x:c r="B2382" s="2" t="str">
        <x:v>L00585</x:v>
      </x:c>
      <x:c r="C2382" s="2" t="str">
        <x:v>SO-26117</x:v>
      </x:c>
      <x:c r="D2382" s="2" t="str">
        <x:v>D-S-AL</x:v>
      </x:c>
      <x:c r="E2382" s="14" t="n">
        <x:v>10</x:v>
      </x:c>
      <x:c r="F2382" s="2" t="str">
        <x:v>Wash &amp; dry</x:v>
      </x:c>
      <x:c r="G2382" s="9" t="str">
        <x:v>WS-01</x:v>
      </x:c>
      <x:c r="H2382" s="15" t="n">
        <x:v>223</x:v>
      </x:c>
      <x:c r="I2382" s="9" t="str">
        <x:v>P18</x:v>
      </x:c>
      <x:c r="J2382" s="11" t="n">
        <x:v>46308.82361111111</x:v>
      </x:c>
      <x:c r="K2382" s="15" t="n">
        <x:v>12</x:v>
      </x:c>
      <x:c r="L2382" s="15" t="n">
        <x:v>4</x:v>
      </x:c>
      <x:c r="M2382" s="13" t="n">
        <x:f>J2382+(K2382+L2382)/1440</x:f>
        <x:v>46308.83472222222</x:v>
      </x:c>
      <x:c r="N2382" s="13" t="n">
        <x:f>VLOOKUP(C2382,'MES orders'!$A$8:$H$127,5,FALSE)</x:f>
        <x:v>46308.666666666664</x:v>
      </x:c>
      <x:c r="O2382" s="16" t="n">
        <x:f>MAX(0,(M2382-N2382)*24)</x:f>
        <x:v>4.03333333338378</x:v>
      </x:c>
      <x:c r="P2382" s="9" t="str">
        <x:v>No</x:v>
      </x:c>
      <x:c r="Q2382" s="15" t="n">
        <x:v>16</x:v>
      </x:c>
      <x:c r="R2382" s="13" t="n">
        <x:f>J2382+Q2382/1440</x:f>
        <x:v>46308.83472222222</x:v>
      </x:c>
      <x:c r="S2382" s="2" t="str">
        <x:f>VLOOKUP(C2382,'MES orders'!$A$8:$H$127,6,FALSE)</x:f>
        <x:v>Normal</x:v>
      </x:c>
      <x:c r="T2382" s="9" t="str"/>
    </x:row>
    <x:row r="2383" ht="22" customHeight="1">
      <x:c r="A2383" s="2" t="str">
        <x:v>L00071-050</x:v>
      </x:c>
      <x:c r="B2383" s="2" t="str">
        <x:v>L00071</x:v>
      </x:c>
      <x:c r="C2383" s="2" t="str">
        <x:v>SO-26015</x:v>
      </x:c>
      <x:c r="D2383" s="2" t="str">
        <x:v>R-S-AL</x:v>
      </x:c>
      <x:c r="E2383" s="14" t="n">
        <x:v>10</x:v>
      </x:c>
      <x:c r="F2383" s="2" t="str">
        <x:v>Valve adjustment</x:v>
      </x:c>
      <x:c r="G2383" s="9" t="str">
        <x:v>AS-04</x:v>
      </x:c>
      <x:c r="H2383" s="15" t="n">
        <x:v>83</x:v>
      </x:c>
      <x:c r="I2383" s="9" t="str">
        <x:v>P20</x:v>
      </x:c>
      <x:c r="J2383" s="11" t="n">
        <x:v>46308.825</x:v>
      </x:c>
      <x:c r="K2383" s="15" t="n">
        <x:v>6</x:v>
      </x:c>
      <x:c r="L2383" s="15" t="n">
        <x:v>11</x:v>
      </x:c>
      <x:c r="M2383" s="13" t="n">
        <x:f>J2383+(K2383+L2383)/1440</x:f>
        <x:v>46308.836805555555</x:v>
      </x:c>
      <x:c r="N2383" s="13" t="n">
        <x:f>VLOOKUP(C2383,'MES orders'!$A$8:$H$127,5,FALSE)</x:f>
        <x:v>46310.666666666664</x:v>
      </x:c>
      <x:c r="O2383" s="16" t="n">
        <x:f>MAX(0,(M2383-N2383)*24)</x:f>
        <x:v>0</x:v>
      </x:c>
      <x:c r="P2383" s="9" t="str">
        <x:v>No</x:v>
      </x:c>
      <x:c r="Q2383" s="15" t="n">
        <x:v>17</x:v>
      </x:c>
      <x:c r="R2383" s="13" t="n">
        <x:f>J2383+Q2383/1440</x:f>
        <x:v>46308.836805555555</x:v>
      </x:c>
      <x:c r="S2383" s="2" t="str">
        <x:f>VLOOKUP(C2383,'MES orders'!$A$8:$H$127,6,FALSE)</x:f>
        <x:v>High</x:v>
      </x:c>
      <x:c r="T2383" s="9" t="str"/>
    </x:row>
    <x:row r="2384" ht="22" customHeight="1">
      <x:c r="A2384" s="2" t="str">
        <x:v>L00346-020</x:v>
      </x:c>
      <x:c r="B2384" s="2" t="str">
        <x:v>L00346</x:v>
      </x:c>
      <x:c r="C2384" s="2" t="str">
        <x:v>SO-26070</x:v>
      </x:c>
      <x:c r="D2384" s="2" t="str">
        <x:v>S-S-SS</x:v>
      </x:c>
      <x:c r="E2384" s="14" t="n">
        <x:v>10</x:v>
      </x:c>
      <x:c r="F2384" s="2" t="str">
        <x:v>Deburr &amp; inspect</x:v>
      </x:c>
      <x:c r="G2384" s="9" t="str">
        <x:v>DB-01</x:v>
      </x:c>
      <x:c r="H2384" s="15" t="n">
        <x:v>226</x:v>
      </x:c>
      <x:c r="I2384" s="9" t="str">
        <x:v>P17</x:v>
      </x:c>
      <x:c r="J2384" s="11" t="n">
        <x:v>46308.83263888889</x:v>
      </x:c>
      <x:c r="K2384" s="15" t="n">
        <x:v>4</x:v>
      </x:c>
      <x:c r="L2384" s="15" t="n">
        <x:v>7</x:v>
      </x:c>
      <x:c r="M2384" s="13" t="n">
        <x:f>J2384+(K2384+L2384)/1440</x:f>
        <x:v>46308.84027777778</x:v>
      </x:c>
      <x:c r="N2384" s="13" t="n">
        <x:f>VLOOKUP(C2384,'MES orders'!$A$8:$H$127,5,FALSE)</x:f>
        <x:v>46309.666666666664</x:v>
      </x:c>
      <x:c r="O2384" s="16" t="n">
        <x:f>MAX(0,(M2384-N2384)*24)</x:f>
        <x:v>0</x:v>
      </x:c>
      <x:c r="P2384" s="9" t="str">
        <x:v>No</x:v>
      </x:c>
      <x:c r="Q2384" s="15" t="n">
        <x:v>11</x:v>
      </x:c>
      <x:c r="R2384" s="13" t="n">
        <x:f>J2384+Q2384/1440</x:f>
        <x:v>46308.84027777778</x:v>
      </x:c>
      <x:c r="S2384" s="2" t="str">
        <x:f>VLOOKUP(C2384,'MES orders'!$A$8:$H$127,6,FALSE)</x:f>
        <x:v>Urgent</x:v>
      </x:c>
      <x:c r="T2384" s="9" t="str"/>
    </x:row>
    <x:row r="2385" ht="22" customHeight="1">
      <x:c r="A2385" s="2" t="str">
        <x:v>L00503-080</x:v>
      </x:c>
      <x:c r="B2385" s="2" t="str">
        <x:v>L00503</x:v>
      </x:c>
      <x:c r="C2385" s="2" t="str">
        <x:v>SO-26101</x:v>
      </x:c>
      <x:c r="D2385" s="2" t="str">
        <x:v>S-L-AL</x:v>
      </x:c>
      <x:c r="E2385" s="14" t="n">
        <x:v>10</x:v>
      </x:c>
      <x:c r="F2385" s="2" t="str">
        <x:v>Final leak / function test</x:v>
      </x:c>
      <x:c r="G2385" s="9" t="str">
        <x:v>QA-02</x:v>
      </x:c>
      <x:c r="H2385" s="15" t="n">
        <x:v>175</x:v>
      </x:c>
      <x:c r="I2385" s="9" t="str">
        <x:v>P23</x:v>
      </x:c>
      <x:c r="J2385" s="11" t="n">
        <x:v>46308.83263888889</x:v>
      </x:c>
      <x:c r="K2385" s="15" t="n">
        <x:v>10</x:v>
      </x:c>
      <x:c r="L2385" s="15" t="n">
        <x:v>12</x:v>
      </x:c>
      <x:c r="M2385" s="13" t="n">
        <x:f>J2385+(K2385+L2385)/1440</x:f>
        <x:v>46308.847916666666</x:v>
      </x:c>
      <x:c r="N2385" s="13" t="n">
        <x:f>VLOOKUP(C2385,'MES orders'!$A$8:$H$127,5,FALSE)</x:f>
        <x:v>46308.666666666664</x:v>
      </x:c>
      <x:c r="O2385" s="16" t="n">
        <x:f>MAX(0,(M2385-N2385)*24)</x:f>
        <x:v>4.350000000034925</x:v>
      </x:c>
      <x:c r="P2385" s="9" t="str">
        <x:v>No</x:v>
      </x:c>
      <x:c r="Q2385" s="15" t="n">
        <x:v>22</x:v>
      </x:c>
      <x:c r="R2385" s="13" t="n">
        <x:f>J2385+Q2385/1440</x:f>
        <x:v>46308.847916666666</x:v>
      </x:c>
      <x:c r="S2385" s="2" t="str">
        <x:f>VLOOKUP(C2385,'MES orders'!$A$8:$H$127,6,FALSE)</x:f>
        <x:v>Normal</x:v>
      </x:c>
      <x:c r="T2385" s="9" t="str"/>
    </x:row>
    <x:row r="2386" ht="22" customHeight="1">
      <x:c r="A2386" s="2" t="str">
        <x:v>L00585-040</x:v>
      </x:c>
      <x:c r="B2386" s="2" t="str">
        <x:v>L00585</x:v>
      </x:c>
      <x:c r="C2386" s="2" t="str">
        <x:v>SO-26117</x:v>
      </x:c>
      <x:c r="D2386" s="2" t="str">
        <x:v>D-S-AL</x:v>
      </x:c>
      <x:c r="E2386" s="14" t="n">
        <x:v>10</x:v>
      </x:c>
      <x:c r="F2386" s="2" t="str">
        <x:v>Mechanical assembly</x:v>
      </x:c>
      <x:c r="G2386" s="9" t="str">
        <x:v>AS-03</x:v>
      </x:c>
      <x:c r="H2386" s="15" t="n">
        <x:v>127</x:v>
      </x:c>
      <x:c r="I2386" s="9" t="str">
        <x:v>P18</x:v>
      </x:c>
      <x:c r="J2386" s="11" t="n">
        <x:v>46308.83472222222</x:v>
      </x:c>
      <x:c r="K2386" s="15" t="n">
        <x:v>8</x:v>
      </x:c>
      <x:c r="L2386" s="15" t="n">
        <x:v>18</x:v>
      </x:c>
      <x:c r="M2386" s="13" t="n">
        <x:f>J2386+(K2386+L2386)/1440</x:f>
        <x:v>46308.85277777778</x:v>
      </x:c>
      <x:c r="N2386" s="13" t="n">
        <x:f>VLOOKUP(C2386,'MES orders'!$A$8:$H$127,5,FALSE)</x:f>
        <x:v>46308.666666666664</x:v>
      </x:c>
      <x:c r="O2386" s="16" t="n">
        <x:f>MAX(0,(M2386-N2386)*24)</x:f>
        <x:v>4.466666666732635</x:v>
      </x:c>
      <x:c r="P2386" s="9" t="str">
        <x:v>No</x:v>
      </x:c>
      <x:c r="Q2386" s="15" t="n">
        <x:v>26</x:v>
      </x:c>
      <x:c r="R2386" s="13" t="n">
        <x:f>J2386+Q2386/1440</x:f>
        <x:v>46308.85277777778</x:v>
      </x:c>
      <x:c r="S2386" s="2" t="str">
        <x:f>VLOOKUP(C2386,'MES orders'!$A$8:$H$127,6,FALSE)</x:f>
        <x:v>Normal</x:v>
      </x:c>
      <x:c r="T2386" s="9" t="str"/>
    </x:row>
    <x:row r="2387" ht="22" customHeight="1">
      <x:c r="A2387" s="2" t="str">
        <x:v>L00074-010</x:v>
      </x:c>
      <x:c r="B2387" s="2" t="str">
        <x:v>L00074</x:v>
      </x:c>
      <x:c r="C2387" s="2" t="str">
        <x:v>SO-26015</x:v>
      </x:c>
      <x:c r="D2387" s="2" t="str">
        <x:v>R-S-AL</x:v>
      </x:c>
      <x:c r="E2387" s="14" t="n">
        <x:v>10</x:v>
      </x:c>
      <x:c r="F2387" s="2" t="str">
        <x:v>CNC machining</x:v>
      </x:c>
      <x:c r="G2387" s="9" t="str">
        <x:v>CNC-01</x:v>
      </x:c>
      <x:c r="H2387" s="15" t="n">
        <x:v>68</x:v>
      </x:c>
      <x:c r="I2387" s="9" t="str">
        <x:v>P15</x:v>
      </x:c>
      <x:c r="J2387" s="11" t="n">
        <x:v>46308.83611111111</x:v>
      </x:c>
      <x:c r="K2387" s="15" t="n">
        <x:v>18</x:v>
      </x:c>
      <x:c r="L2387" s="15" t="n">
        <x:v>24</x:v>
      </x:c>
      <x:c r="M2387" s="13" t="n">
        <x:f>J2387+(K2387+L2387)/1440</x:f>
        <x:v>46308.865277777775</x:v>
      </x:c>
      <x:c r="N2387" s="13" t="n">
        <x:f>VLOOKUP(C2387,'MES orders'!$A$8:$H$127,5,FALSE)</x:f>
        <x:v>46310.666666666664</x:v>
      </x:c>
      <x:c r="O2387" s="16" t="n">
        <x:f>MAX(0,(M2387-N2387)*24)</x:f>
        <x:v>0</x:v>
      </x:c>
      <x:c r="P2387" s="9" t="str">
        <x:v>No</x:v>
      </x:c>
      <x:c r="Q2387" s="15" t="n">
        <x:v>18</x:v>
      </x:c>
      <x:c r="R2387" s="13" t="n">
        <x:f>J2387+Q2387/1440</x:f>
        <x:v>46308.848611111105</x:v>
      </x:c>
      <x:c r="S2387" s="2" t="str">
        <x:f>VLOOKUP(C2387,'MES orders'!$A$8:$H$127,6,FALSE)</x:f>
        <x:v>High</x:v>
      </x:c>
      <x:c r="T2387" s="9" t="str"/>
    </x:row>
    <x:row r="2388" ht="22" customHeight="1">
      <x:c r="A2388" s="2" t="str">
        <x:v>L00072-020</x:v>
      </x:c>
      <x:c r="B2388" s="2" t="str">
        <x:v>L00072</x:v>
      </x:c>
      <x:c r="C2388" s="2" t="str">
        <x:v>SO-26015</x:v>
      </x:c>
      <x:c r="D2388" s="2" t="str">
        <x:v>R-S-AL</x:v>
      </x:c>
      <x:c r="E2388" s="14" t="n">
        <x:v>10</x:v>
      </x:c>
      <x:c r="F2388" s="2" t="str">
        <x:v>Deburr &amp; inspect</x:v>
      </x:c>
      <x:c r="G2388" s="9" t="str">
        <x:v>DB-02</x:v>
      </x:c>
      <x:c r="H2388" s="15" t="n">
        <x:v>154</x:v>
      </x:c>
      <x:c r="I2388" s="9" t="str">
        <x:v>P13</x:v>
      </x:c>
      <x:c r="J2388" s="11" t="n">
        <x:v>46308.83611111111</x:v>
      </x:c>
      <x:c r="K2388" s="15" t="n">
        <x:v>4</x:v>
      </x:c>
      <x:c r="L2388" s="15" t="n">
        <x:v>7</x:v>
      </x:c>
      <x:c r="M2388" s="13" t="n">
        <x:f>J2388+(K2388+L2388)/1440</x:f>
        <x:v>46308.84375</x:v>
      </x:c>
      <x:c r="N2388" s="13" t="n">
        <x:f>VLOOKUP(C2388,'MES orders'!$A$8:$H$127,5,FALSE)</x:f>
        <x:v>46310.666666666664</x:v>
      </x:c>
      <x:c r="O2388" s="16" t="n">
        <x:f>MAX(0,(M2388-N2388)*24)</x:f>
        <x:v>0</x:v>
      </x:c>
      <x:c r="P2388" s="9" t="str">
        <x:v>No</x:v>
      </x:c>
      <x:c r="Q2388" s="15" t="n">
        <x:v>11</x:v>
      </x:c>
      <x:c r="R2388" s="13" t="n">
        <x:f>J2388+Q2388/1440</x:f>
        <x:v>46308.84375</x:v>
      </x:c>
      <x:c r="S2388" s="2" t="str">
        <x:f>VLOOKUP(C2388,'MES orders'!$A$8:$H$127,6,FALSE)</x:f>
        <x:v>High</x:v>
      </x:c>
      <x:c r="T2388" s="9" t="str"/>
    </x:row>
    <x:row r="2389" ht="22" customHeight="1">
      <x:c r="A2389" s="2" t="str">
        <x:v>L00584-050</x:v>
      </x:c>
      <x:c r="B2389" s="2" t="str">
        <x:v>L00584</x:v>
      </x:c>
      <x:c r="C2389" s="2" t="str">
        <x:v>SO-26117</x:v>
      </x:c>
      <x:c r="D2389" s="2" t="str">
        <x:v>D-S-AL</x:v>
      </x:c>
      <x:c r="E2389" s="14" t="n">
        <x:v>10</x:v>
      </x:c>
      <x:c r="F2389" s="2" t="str">
        <x:v>Final leak / function test</x:v>
      </x:c>
      <x:c r="G2389" s="9" t="str">
        <x:v>QA-01</x:v>
      </x:c>
      <x:c r="H2389" s="15" t="n">
        <x:v>92</x:v>
      </x:c>
      <x:c r="I2389" s="9" t="str">
        <x:v>P24</x:v>
      </x:c>
      <x:c r="J2389" s="11" t="n">
        <x:v>46308.83819444444</x:v>
      </x:c>
      <x:c r="K2389" s="15" t="n">
        <x:v>10</x:v>
      </x:c>
      <x:c r="L2389" s="15" t="n">
        <x:v>9</x:v>
      </x:c>
      <x:c r="M2389" s="13" t="n">
        <x:f>J2389+(K2389+L2389)/1440</x:f>
        <x:v>46308.851388888885</x:v>
      </x:c>
      <x:c r="N2389" s="13" t="n">
        <x:f>VLOOKUP(C2389,'MES orders'!$A$8:$H$127,5,FALSE)</x:f>
        <x:v>46308.666666666664</x:v>
      </x:c>
      <x:c r="O2389" s="16" t="n">
        <x:f>MAX(0,(M2389-N2389)*24)</x:f>
        <x:v>4.433333333290648</x:v>
      </x:c>
      <x:c r="P2389" s="9" t="str">
        <x:v>No</x:v>
      </x:c>
      <x:c r="Q2389" s="15" t="n">
        <x:v>19</x:v>
      </x:c>
      <x:c r="R2389" s="13" t="n">
        <x:f>J2389+Q2389/1440</x:f>
        <x:v>46308.851388888885</x:v>
      </x:c>
      <x:c r="S2389" s="2" t="str">
        <x:f>VLOOKUP(C2389,'MES orders'!$A$8:$H$127,6,FALSE)</x:f>
        <x:v>Normal</x:v>
      </x:c>
      <x:c r="T2389" s="9" t="str"/>
    </x:row>
    <x:row r="2390" ht="22" customHeight="1">
      <x:c r="A2390" s="2" t="str">
        <x:v>L00346-030</x:v>
      </x:c>
      <x:c r="B2390" s="2" t="str">
        <x:v>L00346</x:v>
      </x:c>
      <x:c r="C2390" s="2" t="str">
        <x:v>SO-26070</x:v>
      </x:c>
      <x:c r="D2390" s="2" t="str">
        <x:v>S-S-SS</x:v>
      </x:c>
      <x:c r="E2390" s="14" t="n">
        <x:v>10</x:v>
      </x:c>
      <x:c r="F2390" s="2" t="str">
        <x:v>Wash &amp; dry</x:v>
      </x:c>
      <x:c r="G2390" s="9" t="str">
        <x:v>WS-01</x:v>
      </x:c>
      <x:c r="H2390" s="15" t="n">
        <x:v>224</x:v>
      </x:c>
      <x:c r="I2390" s="9" t="str">
        <x:v>P16</x:v>
      </x:c>
      <x:c r="J2390" s="11" t="n">
        <x:v>46308.84027777778</x:v>
      </x:c>
      <x:c r="K2390" s="15" t="n">
        <x:v>12</x:v>
      </x:c>
      <x:c r="L2390" s="15" t="n">
        <x:v>4</x:v>
      </x:c>
      <x:c r="M2390" s="13" t="n">
        <x:f>J2390+(K2390+L2390)/1440</x:f>
        <x:v>46308.85138888889</x:v>
      </x:c>
      <x:c r="N2390" s="13" t="n">
        <x:f>VLOOKUP(C2390,'MES orders'!$A$8:$H$127,5,FALSE)</x:f>
        <x:v>46309.666666666664</x:v>
      </x:c>
      <x:c r="O2390" s="16" t="n">
        <x:f>MAX(0,(M2390-N2390)*24)</x:f>
        <x:v>0</x:v>
      </x:c>
      <x:c r="P2390" s="9" t="str">
        <x:v>No</x:v>
      </x:c>
      <x:c r="Q2390" s="15" t="n">
        <x:v>16</x:v>
      </x:c>
      <x:c r="R2390" s="13" t="n">
        <x:f>J2390+Q2390/1440</x:f>
        <x:v>46308.85138888889</x:v>
      </x:c>
      <x:c r="S2390" s="2" t="str">
        <x:f>VLOOKUP(C2390,'MES orders'!$A$8:$H$127,6,FALSE)</x:f>
        <x:v>Urgent</x:v>
      </x:c>
      <x:c r="T2390" s="9" t="str"/>
    </x:row>
    <x:row r="2391" ht="22" customHeight="1">
      <x:c r="A2391" s="2" t="str">
        <x:v>L00504-070</x:v>
      </x:c>
      <x:c r="B2391" s="2" t="str">
        <x:v>L00504</x:v>
      </x:c>
      <x:c r="C2391" s="2" t="str">
        <x:v>SO-26101</x:v>
      </x:c>
      <x:c r="D2391" s="2" t="str">
        <x:v>S-L-AL</x:v>
      </x:c>
      <x:c r="E2391" s="14" t="n">
        <x:v>10</x:v>
      </x:c>
      <x:c r="F2391" s="2" t="str">
        <x:v>Final assembly</x:v>
      </x:c>
      <x:c r="G2391" s="9" t="str">
        <x:v>AS-01</x:v>
      </x:c>
      <x:c r="H2391" s="15" t="n">
        <x:v>193</x:v>
      </x:c>
      <x:c r="I2391" s="9" t="str">
        <x:v>P17</x:v>
      </x:c>
      <x:c r="J2391" s="11" t="n">
        <x:v>46308.84097222222</x:v>
      </x:c>
      <x:c r="K2391" s="15" t="n">
        <x:v>5</x:v>
      </x:c>
      <x:c r="L2391" s="15" t="n">
        <x:v>11</x:v>
      </x:c>
      <x:c r="M2391" s="13" t="n">
        <x:f>J2391+(K2391+L2391)/1440</x:f>
        <x:v>46308.85208333333</x:v>
      </x:c>
      <x:c r="N2391" s="13" t="n">
        <x:f>VLOOKUP(C2391,'MES orders'!$A$8:$H$127,5,FALSE)</x:f>
        <x:v>46308.666666666664</x:v>
      </x:c>
      <x:c r="O2391" s="16" t="n">
        <x:f>MAX(0,(M2391-N2391)*24)</x:f>
        <x:v>4.4500000000116415</x:v>
      </x:c>
      <x:c r="P2391" s="9" t="str">
        <x:v>No</x:v>
      </x:c>
      <x:c r="Q2391" s="15" t="n">
        <x:v>16</x:v>
      </x:c>
      <x:c r="R2391" s="13" t="n">
        <x:f>J2391+Q2391/1440</x:f>
        <x:v>46308.85208333333</x:v>
      </x:c>
      <x:c r="S2391" s="2" t="str">
        <x:f>VLOOKUP(C2391,'MES orders'!$A$8:$H$127,6,FALSE)</x:f>
        <x:v>Normal</x:v>
      </x:c>
      <x:c r="T2391" s="9" t="str"/>
    </x:row>
    <x:row r="2392" ht="22" customHeight="1">
      <x:c r="A2392" s="2" t="str">
        <x:v>L00505-060</x:v>
      </x:c>
      <x:c r="B2392" s="2" t="str">
        <x:v>L00505</x:v>
      </x:c>
      <x:c r="C2392" s="2" t="str">
        <x:v>SO-26101</x:v>
      </x:c>
      <x:c r="D2392" s="2" t="str">
        <x:v>S-L-AL</x:v>
      </x:c>
      <x:c r="E2392" s="14" t="n">
        <x:v>10</x:v>
      </x:c>
      <x:c r="F2392" s="2" t="str">
        <x:v>Sensor calibration</x:v>
      </x:c>
      <x:c r="G2392" s="9" t="str">
        <x:v>CAL-01</x:v>
      </x:c>
      <x:c r="H2392" s="15" t="n">
        <x:v>120</x:v>
      </x:c>
      <x:c r="I2392" s="9" t="str">
        <x:v>P21</x:v>
      </x:c>
      <x:c r="J2392" s="11" t="n">
        <x:v>46308.84097222222</x:v>
      </x:c>
      <x:c r="K2392" s="15" t="n">
        <x:v>10</x:v>
      </x:c>
      <x:c r="L2392" s="15" t="n">
        <x:v>18</x:v>
      </x:c>
      <x:c r="M2392" s="13" t="n">
        <x:f>J2392+(K2392+L2392)/1440</x:f>
        <x:v>46308.86041666666</x:v>
      </x:c>
      <x:c r="N2392" s="13" t="n">
        <x:f>VLOOKUP(C2392,'MES orders'!$A$8:$H$127,5,FALSE)</x:f>
        <x:v>46308.666666666664</x:v>
      </x:c>
      <x:c r="O2392" s="16" t="n">
        <x:f>MAX(0,(M2392-N2392)*24)</x:f>
        <x:v>4.649999999965075</x:v>
      </x:c>
      <x:c r="P2392" s="9" t="str">
        <x:v>No</x:v>
      </x:c>
      <x:c r="Q2392" s="15" t="n">
        <x:v>28</x:v>
      </x:c>
      <x:c r="R2392" s="13" t="n">
        <x:f>J2392+Q2392/1440</x:f>
        <x:v>46308.86041666666</x:v>
      </x:c>
      <x:c r="S2392" s="2" t="str">
        <x:f>VLOOKUP(C2392,'MES orders'!$A$8:$H$127,6,FALSE)</x:f>
        <x:v>Normal</x:v>
      </x:c>
      <x:c r="T2392" s="9" t="str"/>
    </x:row>
    <x:row r="2393" ht="22" customHeight="1">
      <x:c r="A2393" s="2" t="str">
        <x:v>L00072-030</x:v>
      </x:c>
      <x:c r="B2393" s="2" t="str">
        <x:v>L00072</x:v>
      </x:c>
      <x:c r="C2393" s="2" t="str">
        <x:v>SO-26015</x:v>
      </x:c>
      <x:c r="D2393" s="2" t="str">
        <x:v>R-S-AL</x:v>
      </x:c>
      <x:c r="E2393" s="14" t="n">
        <x:v>10</x:v>
      </x:c>
      <x:c r="F2393" s="2" t="str">
        <x:v>Wash &amp; dry</x:v>
      </x:c>
      <x:c r="G2393" s="9" t="str">
        <x:v>WS-02</x:v>
      </x:c>
      <x:c r="H2393" s="15" t="n">
        <x:v>156</x:v>
      </x:c>
      <x:c r="I2393" s="9" t="str">
        <x:v>P19</x:v>
      </x:c>
      <x:c r="J2393" s="11" t="n">
        <x:v>46308.84375</x:v>
      </x:c>
      <x:c r="K2393" s="15" t="n">
        <x:v>12</x:v>
      </x:c>
      <x:c r="L2393" s="15" t="n">
        <x:v>4</x:v>
      </x:c>
      <x:c r="M2393" s="13" t="n">
        <x:f>J2393+(K2393+L2393)/1440</x:f>
        <x:v>46308.85486111111</x:v>
      </x:c>
      <x:c r="N2393" s="13" t="n">
        <x:f>VLOOKUP(C2393,'MES orders'!$A$8:$H$127,5,FALSE)</x:f>
        <x:v>46310.666666666664</x:v>
      </x:c>
      <x:c r="O2393" s="16" t="n">
        <x:f>MAX(0,(M2393-N2393)*24)</x:f>
        <x:v>0</x:v>
      </x:c>
      <x:c r="P2393" s="9" t="str">
        <x:v>No</x:v>
      </x:c>
      <x:c r="Q2393" s="15" t="n">
        <x:v>16</x:v>
      </x:c>
      <x:c r="R2393" s="13" t="n">
        <x:f>J2393+Q2393/1440</x:f>
        <x:v>46308.85486111111</x:v>
      </x:c>
      <x:c r="S2393" s="2" t="str">
        <x:f>VLOOKUP(C2393,'MES orders'!$A$8:$H$127,6,FALSE)</x:f>
        <x:v>High</x:v>
      </x:c>
      <x:c r="T2393" s="9" t="str"/>
    </x:row>
    <x:row r="2394" ht="22" customHeight="1">
      <x:c r="A2394" s="2" t="str">
        <x:v>L00073-020</x:v>
      </x:c>
      <x:c r="B2394" s="2" t="str">
        <x:v>L00073</x:v>
      </x:c>
      <x:c r="C2394" s="2" t="str">
        <x:v>SO-26015</x:v>
      </x:c>
      <x:c r="D2394" s="2" t="str">
        <x:v>R-S-AL</x:v>
      </x:c>
      <x:c r="E2394" s="14" t="n">
        <x:v>10</x:v>
      </x:c>
      <x:c r="F2394" s="2" t="str">
        <x:v>Deburr &amp; inspect</x:v>
      </x:c>
      <x:c r="G2394" s="9" t="str">
        <x:v>DB-02</x:v>
      </x:c>
      <x:c r="H2394" s="15" t="n">
        <x:v>155</x:v>
      </x:c>
      <x:c r="I2394" s="9" t="str">
        <x:v>P13</x:v>
      </x:c>
      <x:c r="J2394" s="11" t="n">
        <x:v>46308.84583333333</x:v>
      </x:c>
      <x:c r="K2394" s="15" t="n">
        <x:v>4</x:v>
      </x:c>
      <x:c r="L2394" s="15" t="n">
        <x:v>7</x:v>
      </x:c>
      <x:c r="M2394" s="13" t="n">
        <x:f>J2394+(K2394+L2394)/1440</x:f>
        <x:v>46308.853472222225</x:v>
      </x:c>
      <x:c r="N2394" s="13" t="n">
        <x:f>VLOOKUP(C2394,'MES orders'!$A$8:$H$127,5,FALSE)</x:f>
        <x:v>46310.666666666664</x:v>
      </x:c>
      <x:c r="O2394" s="16" t="n">
        <x:f>MAX(0,(M2394-N2394)*24)</x:f>
        <x:v>0</x:v>
      </x:c>
      <x:c r="P2394" s="9" t="str">
        <x:v>No</x:v>
      </x:c>
      <x:c r="Q2394" s="15" t="n">
        <x:v>11</x:v>
      </x:c>
      <x:c r="R2394" s="13" t="n">
        <x:f>J2394+Q2394/1440</x:f>
        <x:v>46308.853472222225</x:v>
      </x:c>
      <x:c r="S2394" s="2" t="str">
        <x:f>VLOOKUP(C2394,'MES orders'!$A$8:$H$127,6,FALSE)</x:f>
        <x:v>High</x:v>
      </x:c>
      <x:c r="T2394" s="9" t="str"/>
    </x:row>
    <x:row r="2395" ht="22" customHeight="1">
      <x:c r="A2395" s="2" t="str">
        <x:v>L00110-010</x:v>
      </x:c>
      <x:c r="B2395" s="2" t="str">
        <x:v>L00110</x:v>
      </x:c>
      <x:c r="C2395" s="2" t="str">
        <x:v>SO-26022</x:v>
      </x:c>
      <x:c r="D2395" s="2" t="str">
        <x:v>D-S-SS</x:v>
      </x:c>
      <x:c r="E2395" s="14" t="n">
        <x:v>25</x:v>
      </x:c>
      <x:c r="F2395" s="2" t="str">
        <x:v>CNC machining</x:v>
      </x:c>
      <x:c r="G2395" s="9" t="str">
        <x:v>CNC-04</x:v>
      </x:c>
      <x:c r="H2395" s="15" t="n">
        <x:v>73</x:v>
      </x:c>
      <x:c r="I2395" s="9" t="str">
        <x:v>P14</x:v>
      </x:c>
      <x:c r="J2395" s="11" t="n">
        <x:v>46308.847916666666</x:v>
      </x:c>
      <x:c r="K2395" s="15" t="n">
        <x:v>18</x:v>
      </x:c>
      <x:c r="L2395" s="15" t="n">
        <x:v>75</x:v>
      </x:c>
      <x:c r="M2395" s="13" t="n">
        <x:f>J2395+(K2395+L2395)/1440</x:f>
        <x:v>46308.9125</x:v>
      </x:c>
      <x:c r="N2395" s="13" t="n">
        <x:f>VLOOKUP(C2395,'MES orders'!$A$8:$H$127,5,FALSE)</x:f>
        <x:v>46309.666666666664</x:v>
      </x:c>
      <x:c r="O2395" s="16" t="n">
        <x:f>MAX(0,(M2395-N2395)*24)</x:f>
        <x:v>0</x:v>
      </x:c>
      <x:c r="P2395" s="9" t="str">
        <x:v>No</x:v>
      </x:c>
      <x:c r="Q2395" s="15" t="n">
        <x:v>18</x:v>
      </x:c>
      <x:c r="R2395" s="13" t="n">
        <x:f>J2395+Q2395/1440</x:f>
        <x:v>46308.86041666666</x:v>
      </x:c>
      <x:c r="S2395" s="2" t="str">
        <x:f>VLOOKUP(C2395,'MES orders'!$A$8:$H$127,6,FALSE)</x:f>
        <x:v>High</x:v>
      </x:c>
      <x:c r="T2395" s="9" t="str"/>
    </x:row>
    <x:row r="2396" ht="22" customHeight="1">
      <x:c r="A2396" s="2" t="str">
        <x:v>L00346-040</x:v>
      </x:c>
      <x:c r="B2396" s="2" t="str">
        <x:v>L00346</x:v>
      </x:c>
      <x:c r="C2396" s="2" t="str">
        <x:v>SO-26070</x:v>
      </x:c>
      <x:c r="D2396" s="2" t="str">
        <x:v>S-S-SS</x:v>
      </x:c>
      <x:c r="E2396" s="14" t="n">
        <x:v>10</x:v>
      </x:c>
      <x:c r="F2396" s="2" t="str">
        <x:v>Mechanical preassembly</x:v>
      </x:c>
      <x:c r="G2396" s="9" t="str">
        <x:v>AS-02</x:v>
      </x:c>
      <x:c r="H2396" s="15" t="n">
        <x:v>158</x:v>
      </x:c>
      <x:c r="I2396" s="9" t="str">
        <x:v>P16</x:v>
      </x:c>
      <x:c r="J2396" s="11" t="n">
        <x:v>46308.85138888889</x:v>
      </x:c>
      <x:c r="K2396" s="15" t="n">
        <x:v>6</x:v>
      </x:c>
      <x:c r="L2396" s="15" t="n">
        <x:v>11</x:v>
      </x:c>
      <x:c r="M2396" s="13" t="n">
        <x:f>J2396+(K2396+L2396)/1440</x:f>
        <x:v>46308.86319444445</x:v>
      </x:c>
      <x:c r="N2396" s="13" t="n">
        <x:f>VLOOKUP(C2396,'MES orders'!$A$8:$H$127,5,FALSE)</x:f>
        <x:v>46309.666666666664</x:v>
      </x:c>
      <x:c r="O2396" s="16" t="n">
        <x:f>MAX(0,(M2396-N2396)*24)</x:f>
        <x:v>0</x:v>
      </x:c>
      <x:c r="P2396" s="9" t="str">
        <x:v>No</x:v>
      </x:c>
      <x:c r="Q2396" s="15" t="n">
        <x:v>17</x:v>
      </x:c>
      <x:c r="R2396" s="13" t="n">
        <x:f>J2396+Q2396/1440</x:f>
        <x:v>46308.86319444445</x:v>
      </x:c>
      <x:c r="S2396" s="2" t="str">
        <x:f>VLOOKUP(C2396,'MES orders'!$A$8:$H$127,6,FALSE)</x:f>
        <x:v>Urgent</x:v>
      </x:c>
      <x:c r="T2396" s="9" t="str"/>
    </x:row>
    <x:row r="2397" ht="22" customHeight="1">
      <x:c r="A2397" s="2" t="str">
        <x:v>L00347-020</x:v>
      </x:c>
      <x:c r="B2397" s="2" t="str">
        <x:v>L00347</x:v>
      </x:c>
      <x:c r="C2397" s="2" t="str">
        <x:v>SO-26070</x:v>
      </x:c>
      <x:c r="D2397" s="2" t="str">
        <x:v>S-S-SS</x:v>
      </x:c>
      <x:c r="E2397" s="14" t="n">
        <x:v>10</x:v>
      </x:c>
      <x:c r="F2397" s="2" t="str">
        <x:v>Deburr &amp; inspect</x:v>
      </x:c>
      <x:c r="G2397" s="9" t="str">
        <x:v>DB-01</x:v>
      </x:c>
      <x:c r="H2397" s="15" t="n">
        <x:v>227</x:v>
      </x:c>
      <x:c r="I2397" s="9" t="str">
        <x:v>P17</x:v>
      </x:c>
      <x:c r="J2397" s="11" t="n">
        <x:v>46308.85208333333</x:v>
      </x:c>
      <x:c r="K2397" s="15" t="n">
        <x:v>4</x:v>
      </x:c>
      <x:c r="L2397" s="15" t="n">
        <x:v>7</x:v>
      </x:c>
      <x:c r="M2397" s="13" t="n">
        <x:f>J2397+(K2397+L2397)/1440</x:f>
        <x:v>46308.85972222222</x:v>
      </x:c>
      <x:c r="N2397" s="13" t="n">
        <x:f>VLOOKUP(C2397,'MES orders'!$A$8:$H$127,5,FALSE)</x:f>
        <x:v>46309.666666666664</x:v>
      </x:c>
      <x:c r="O2397" s="16" t="n">
        <x:f>MAX(0,(M2397-N2397)*24)</x:f>
        <x:v>0</x:v>
      </x:c>
      <x:c r="P2397" s="9" t="str">
        <x:v>No</x:v>
      </x:c>
      <x:c r="Q2397" s="15" t="n">
        <x:v>11</x:v>
      </x:c>
      <x:c r="R2397" s="13" t="n">
        <x:f>J2397+Q2397/1440</x:f>
        <x:v>46308.85972222222</x:v>
      </x:c>
      <x:c r="S2397" s="2" t="str">
        <x:f>VLOOKUP(C2397,'MES orders'!$A$8:$H$127,6,FALSE)</x:f>
        <x:v>Urgent</x:v>
      </x:c>
      <x:c r="T2397" s="9" t="str"/>
    </x:row>
    <x:row r="2398" ht="22" customHeight="1">
      <x:c r="A2398" s="2" t="str">
        <x:v>L00504-080</x:v>
      </x:c>
      <x:c r="B2398" s="2" t="str">
        <x:v>L00504</x:v>
      </x:c>
      <x:c r="C2398" s="2" t="str">
        <x:v>SO-26101</x:v>
      </x:c>
      <x:c r="D2398" s="2" t="str">
        <x:v>S-L-AL</x:v>
      </x:c>
      <x:c r="E2398" s="14" t="n">
        <x:v>10</x:v>
      </x:c>
      <x:c r="F2398" s="2" t="str">
        <x:v>Final leak / function test</x:v>
      </x:c>
      <x:c r="G2398" s="9" t="str">
        <x:v>QA-02</x:v>
      </x:c>
      <x:c r="H2398" s="15" t="n">
        <x:v>176</x:v>
      </x:c>
      <x:c r="I2398" s="9" t="str">
        <x:v>P23</x:v>
      </x:c>
      <x:c r="J2398" s="11" t="n">
        <x:v>46308.85208333333</x:v>
      </x:c>
      <x:c r="K2398" s="15" t="n">
        <x:v>10</x:v>
      </x:c>
      <x:c r="L2398" s="15" t="n">
        <x:v>12</x:v>
      </x:c>
      <x:c r="M2398" s="13" t="n">
        <x:f>J2398+(K2398+L2398)/1440</x:f>
        <x:v>46308.86736111111</x:v>
      </x:c>
      <x:c r="N2398" s="13" t="n">
        <x:f>VLOOKUP(C2398,'MES orders'!$A$8:$H$127,5,FALSE)</x:f>
        <x:v>46308.666666666664</x:v>
      </x:c>
      <x:c r="O2398" s="16" t="n">
        <x:f>MAX(0,(M2398-N2398)*24)</x:f>
        <x:v>4.816666666651145</x:v>
      </x:c>
      <x:c r="P2398" s="9" t="str">
        <x:v>No</x:v>
      </x:c>
      <x:c r="Q2398" s="15" t="n">
        <x:v>22</x:v>
      </x:c>
      <x:c r="R2398" s="13" t="n">
        <x:f>J2398+Q2398/1440</x:f>
        <x:v>46308.86736111111</x:v>
      </x:c>
      <x:c r="S2398" s="2" t="str">
        <x:f>VLOOKUP(C2398,'MES orders'!$A$8:$H$127,6,FALSE)</x:f>
        <x:v>Normal</x:v>
      </x:c>
      <x:c r="T2398" s="9" t="str"/>
    </x:row>
    <x:row r="2399" ht="22" customHeight="1">
      <x:c r="A2399" s="2" t="str">
        <x:v>L00585-050</x:v>
      </x:c>
      <x:c r="B2399" s="2" t="str">
        <x:v>L00585</x:v>
      </x:c>
      <x:c r="C2399" s="2" t="str">
        <x:v>SO-26117</x:v>
      </x:c>
      <x:c r="D2399" s="2" t="str">
        <x:v>D-S-AL</x:v>
      </x:c>
      <x:c r="E2399" s="14" t="n">
        <x:v>10</x:v>
      </x:c>
      <x:c r="F2399" s="2" t="str">
        <x:v>Final leak / function test</x:v>
      </x:c>
      <x:c r="G2399" s="9" t="str">
        <x:v>QA-01</x:v>
      </x:c>
      <x:c r="H2399" s="15" t="n">
        <x:v>93</x:v>
      </x:c>
      <x:c r="I2399" s="9" t="str">
        <x:v>P24</x:v>
      </x:c>
      <x:c r="J2399" s="11" t="n">
        <x:v>46308.85277777778</x:v>
      </x:c>
      <x:c r="K2399" s="15" t="n">
        <x:v>10</x:v>
      </x:c>
      <x:c r="L2399" s="15" t="n">
        <x:v>9</x:v>
      </x:c>
      <x:c r="M2399" s="13" t="n">
        <x:f>J2399+(K2399+L2399)/1440</x:f>
        <x:v>46308.86597222222</x:v>
      </x:c>
      <x:c r="N2399" s="13" t="n">
        <x:f>VLOOKUP(C2399,'MES orders'!$A$8:$H$127,5,FALSE)</x:f>
        <x:v>46308.666666666664</x:v>
      </x:c>
      <x:c r="O2399" s="16" t="n">
        <x:f>MAX(0,(M2399-N2399)*24)</x:f>
        <x:v>4.78333333338378</x:v>
      </x:c>
      <x:c r="P2399" s="9" t="str">
        <x:v>No</x:v>
      </x:c>
      <x:c r="Q2399" s="15" t="n">
        <x:v>19</x:v>
      </x:c>
      <x:c r="R2399" s="13" t="n">
        <x:f>J2399+Q2399/1440</x:f>
        <x:v>46308.86597222222</x:v>
      </x:c>
      <x:c r="S2399" s="2" t="str">
        <x:f>VLOOKUP(C2399,'MES orders'!$A$8:$H$127,6,FALSE)</x:f>
        <x:v>Normal</x:v>
      </x:c>
      <x:c r="T2399" s="9" t="str"/>
    </x:row>
    <x:row r="2400" ht="22" customHeight="1">
      <x:c r="A2400" s="2" t="str">
        <x:v>L00026-010</x:v>
      </x:c>
      <x:c r="B2400" s="2" t="str">
        <x:v>L00026</x:v>
      </x:c>
      <x:c r="C2400" s="2" t="str">
        <x:v>SO-26006</x:v>
      </x:c>
      <x:c r="D2400" s="2" t="str">
        <x:v>S-L-SS</x:v>
      </x:c>
      <x:c r="E2400" s="14" t="n">
        <x:v>10</x:v>
      </x:c>
      <x:c r="F2400" s="2" t="str">
        <x:v>CNC machining</x:v>
      </x:c>
      <x:c r="G2400" s="9" t="str">
        <x:v>CNC-05</x:v>
      </x:c>
      <x:c r="H2400" s="15" t="n">
        <x:v>66</x:v>
      </x:c>
      <x:c r="I2400" s="9" t="str">
        <x:v>P15</x:v>
      </x:c>
      <x:c r="J2400" s="11" t="n">
        <x:v>46308.854166666664</x:v>
      </x:c>
      <x:c r="K2400" s="15" t="n">
        <x:v>18</x:v>
      </x:c>
      <x:c r="L2400" s="15" t="n">
        <x:v>40</x:v>
      </x:c>
      <x:c r="M2400" s="13" t="n">
        <x:f>J2400+(K2400+L2400)/1440</x:f>
        <x:v>46308.89444444444</x:v>
      </x:c>
      <x:c r="N2400" s="13" t="n">
        <x:f>VLOOKUP(C2400,'MES orders'!$A$8:$H$127,5,FALSE)</x:f>
        <x:v>46309.666666666664</x:v>
      </x:c>
      <x:c r="O2400" s="16" t="n">
        <x:f>MAX(0,(M2400-N2400)*24)</x:f>
        <x:v>0</x:v>
      </x:c>
      <x:c r="P2400" s="9" t="str">
        <x:v>No</x:v>
      </x:c>
      <x:c r="Q2400" s="15" t="n">
        <x:v>18</x:v>
      </x:c>
      <x:c r="R2400" s="13" t="n">
        <x:f>J2400+Q2400/1440</x:f>
        <x:v>46308.86666666666</x:v>
      </x:c>
      <x:c r="S2400" s="2" t="str">
        <x:f>VLOOKUP(C2400,'MES orders'!$A$8:$H$127,6,FALSE)</x:f>
        <x:v>Normal</x:v>
      </x:c>
      <x:c r="T2400" s="9" t="str"/>
    </x:row>
    <x:row r="2401" ht="22" customHeight="1">
      <x:c r="A2401" s="2" t="str">
        <x:v>L00107-020</x:v>
      </x:c>
      <x:c r="B2401" s="2" t="str">
        <x:v>L00107</x:v>
      </x:c>
      <x:c r="C2401" s="2" t="str">
        <x:v>SO-26022</x:v>
      </x:c>
      <x:c r="D2401" s="2" t="str">
        <x:v>D-S-SS</x:v>
      </x:c>
      <x:c r="E2401" s="14" t="n">
        <x:v>25</x:v>
      </x:c>
      <x:c r="F2401" s="2" t="str">
        <x:v>Deburr &amp; inspect</x:v>
      </x:c>
      <x:c r="G2401" s="9" t="str">
        <x:v>DB-02</x:v>
      </x:c>
      <x:c r="H2401" s="15" t="n">
        <x:v>156</x:v>
      </x:c>
      <x:c r="I2401" s="9" t="str">
        <x:v>P13</x:v>
      </x:c>
      <x:c r="J2401" s="11" t="n">
        <x:v>46308.854166666664</x:v>
      </x:c>
      <x:c r="K2401" s="15" t="n">
        <x:v>4</x:v>
      </x:c>
      <x:c r="L2401" s="15" t="n">
        <x:v>18</x:v>
      </x:c>
      <x:c r="M2401" s="13" t="n">
        <x:f>J2401+(K2401+L2401)/1440</x:f>
        <x:v>46308.86944444444</x:v>
      </x:c>
      <x:c r="N2401" s="13" t="n">
        <x:f>VLOOKUP(C2401,'MES orders'!$A$8:$H$127,5,FALSE)</x:f>
        <x:v>46309.666666666664</x:v>
      </x:c>
      <x:c r="O2401" s="16" t="n">
        <x:f>MAX(0,(M2401-N2401)*24)</x:f>
        <x:v>0</x:v>
      </x:c>
      <x:c r="P2401" s="9" t="str">
        <x:v>No</x:v>
      </x:c>
      <x:c r="Q2401" s="15" t="n">
        <x:v>22</x:v>
      </x:c>
      <x:c r="R2401" s="13" t="n">
        <x:f>J2401+Q2401/1440</x:f>
        <x:v>46308.86944444444</x:v>
      </x:c>
      <x:c r="S2401" s="2" t="str">
        <x:f>VLOOKUP(C2401,'MES orders'!$A$8:$H$127,6,FALSE)</x:f>
        <x:v>High</x:v>
      </x:c>
      <x:c r="T2401" s="9" t="str"/>
    </x:row>
    <x:row r="2402" ht="22" customHeight="1">
      <x:c r="A2402" s="2" t="str">
        <x:v>L00072-040</x:v>
      </x:c>
      <x:c r="B2402" s="2" t="str">
        <x:v>L00072</x:v>
      </x:c>
      <x:c r="C2402" s="2" t="str">
        <x:v>SO-26015</x:v>
      </x:c>
      <x:c r="D2402" s="2" t="str">
        <x:v>R-S-AL</x:v>
      </x:c>
      <x:c r="E2402" s="14" t="n">
        <x:v>10</x:v>
      </x:c>
      <x:c r="F2402" s="2" t="str">
        <x:v>Mechanical assembly</x:v>
      </x:c>
      <x:c r="G2402" s="9" t="str">
        <x:v>AS-04</x:v>
      </x:c>
      <x:c r="H2402" s="15" t="n">
        <x:v>84</x:v>
      </x:c>
      <x:c r="I2402" s="9" t="str">
        <x:v>P20</x:v>
      </x:c>
      <x:c r="J2402" s="11" t="n">
        <x:v>46308.85486111111</x:v>
      </x:c>
      <x:c r="K2402" s="15" t="n">
        <x:v>8</x:v>
      </x:c>
      <x:c r="L2402" s="15" t="n">
        <x:v>18</x:v>
      </x:c>
      <x:c r="M2402" s="13" t="n">
        <x:f>J2402+(K2402+L2402)/1440</x:f>
        <x:v>46308.87291666667</x:v>
      </x:c>
      <x:c r="N2402" s="13" t="n">
        <x:f>VLOOKUP(C2402,'MES orders'!$A$8:$H$127,5,FALSE)</x:f>
        <x:v>46310.666666666664</x:v>
      </x:c>
      <x:c r="O2402" s="16" t="n">
        <x:f>MAX(0,(M2402-N2402)*24)</x:f>
        <x:v>0</x:v>
      </x:c>
      <x:c r="P2402" s="9" t="str">
        <x:v>No</x:v>
      </x:c>
      <x:c r="Q2402" s="15" t="n">
        <x:v>26</x:v>
      </x:c>
      <x:c r="R2402" s="13" t="n">
        <x:f>J2402+Q2402/1440</x:f>
        <x:v>46308.87291666667</x:v>
      </x:c>
      <x:c r="S2402" s="2" t="str">
        <x:f>VLOOKUP(C2402,'MES orders'!$A$8:$H$127,6,FALSE)</x:f>
        <x:v>High</x:v>
      </x:c>
      <x:c r="T2402" s="9" t="str"/>
    </x:row>
    <x:row r="2403" ht="22" customHeight="1">
      <x:c r="A2403" s="2" t="str">
        <x:v>L00347-030</x:v>
      </x:c>
      <x:c r="B2403" s="2" t="str">
        <x:v>L00347</x:v>
      </x:c>
      <x:c r="C2403" s="2" t="str">
        <x:v>SO-26070</x:v>
      </x:c>
      <x:c r="D2403" s="2" t="str">
        <x:v>S-S-SS</x:v>
      </x:c>
      <x:c r="E2403" s="14" t="n">
        <x:v>10</x:v>
      </x:c>
      <x:c r="F2403" s="2" t="str">
        <x:v>Wash &amp; dry</x:v>
      </x:c>
      <x:c r="G2403" s="9" t="str">
        <x:v>WS-01</x:v>
      </x:c>
      <x:c r="H2403" s="15" t="n">
        <x:v>225</x:v>
      </x:c>
      <x:c r="I2403" s="9" t="str">
        <x:v>P18</x:v>
      </x:c>
      <x:c r="J2403" s="11" t="n">
        <x:v>46308.85972222222</x:v>
      </x:c>
      <x:c r="K2403" s="15" t="n">
        <x:v>12</x:v>
      </x:c>
      <x:c r="L2403" s="15" t="n">
        <x:v>4</x:v>
      </x:c>
      <x:c r="M2403" s="13" t="n">
        <x:f>J2403+(K2403+L2403)/1440</x:f>
        <x:v>46308.870833333334</x:v>
      </x:c>
      <x:c r="N2403" s="13" t="n">
        <x:f>VLOOKUP(C2403,'MES orders'!$A$8:$H$127,5,FALSE)</x:f>
        <x:v>46309.666666666664</x:v>
      </x:c>
      <x:c r="O2403" s="16" t="n">
        <x:f>MAX(0,(M2403-N2403)*24)</x:f>
        <x:v>0</x:v>
      </x:c>
      <x:c r="P2403" s="9" t="str">
        <x:v>No</x:v>
      </x:c>
      <x:c r="Q2403" s="15" t="n">
        <x:v>16</x:v>
      </x:c>
      <x:c r="R2403" s="13" t="n">
        <x:f>J2403+Q2403/1440</x:f>
        <x:v>46308.870833333334</x:v>
      </x:c>
      <x:c r="S2403" s="2" t="str">
        <x:f>VLOOKUP(C2403,'MES orders'!$A$8:$H$127,6,FALSE)</x:f>
        <x:v>Urgent</x:v>
      </x:c>
      <x:c r="T2403" s="9" t="str"/>
    </x:row>
    <x:row r="2404" ht="22" customHeight="1">
      <x:c r="A2404" s="2" t="str">
        <x:v>L00505-070</x:v>
      </x:c>
      <x:c r="B2404" s="2" t="str">
        <x:v>L00505</x:v>
      </x:c>
      <x:c r="C2404" s="2" t="str">
        <x:v>SO-26101</x:v>
      </x:c>
      <x:c r="D2404" s="2" t="str">
        <x:v>S-L-AL</x:v>
      </x:c>
      <x:c r="E2404" s="14" t="n">
        <x:v>10</x:v>
      </x:c>
      <x:c r="F2404" s="2" t="str">
        <x:v>Final assembly</x:v>
      </x:c>
      <x:c r="G2404" s="9" t="str">
        <x:v>AS-01</x:v>
      </x:c>
      <x:c r="H2404" s="15" t="n">
        <x:v>194</x:v>
      </x:c>
      <x:c r="I2404" s="9" t="str">
        <x:v>P17</x:v>
      </x:c>
      <x:c r="J2404" s="11" t="n">
        <x:v>46308.86041666667</x:v>
      </x:c>
      <x:c r="K2404" s="15" t="n">
        <x:v>5</x:v>
      </x:c>
      <x:c r="L2404" s="15" t="n">
        <x:v>11</x:v>
      </x:c>
      <x:c r="M2404" s="13" t="n">
        <x:f>J2404+(K2404+L2404)/1440</x:f>
        <x:v>46308.87152777778</x:v>
      </x:c>
      <x:c r="N2404" s="13" t="n">
        <x:f>VLOOKUP(C2404,'MES orders'!$A$8:$H$127,5,FALSE)</x:f>
        <x:v>46308.666666666664</x:v>
      </x:c>
      <x:c r="O2404" s="16" t="n">
        <x:f>MAX(0,(M2404-N2404)*24)</x:f>
        <x:v>4.9166666668024845</x:v>
      </x:c>
      <x:c r="P2404" s="9" t="str">
        <x:v>No</x:v>
      </x:c>
      <x:c r="Q2404" s="15" t="n">
        <x:v>16</x:v>
      </x:c>
      <x:c r="R2404" s="13" t="n">
        <x:f>J2404+Q2404/1440</x:f>
        <x:v>46308.87152777778</x:v>
      </x:c>
      <x:c r="S2404" s="2" t="str">
        <x:f>VLOOKUP(C2404,'MES orders'!$A$8:$H$127,6,FALSE)</x:f>
        <x:v>Normal</x:v>
      </x:c>
      <x:c r="T2404" s="9" t="str"/>
    </x:row>
    <x:row r="2405" ht="22" customHeight="1">
      <x:c r="A2405" s="2" t="str">
        <x:v>L00027-010</x:v>
      </x:c>
      <x:c r="B2405" s="2" t="str">
        <x:v>L00027</x:v>
      </x:c>
      <x:c r="C2405" s="2" t="str">
        <x:v>SO-26006</x:v>
      </x:c>
      <x:c r="D2405" s="2" t="str">
        <x:v>S-L-SS</x:v>
      </x:c>
      <x:c r="E2405" s="14" t="n">
        <x:v>10</x:v>
      </x:c>
      <x:c r="F2405" s="2" t="str">
        <x:v>CNC machining</x:v>
      </x:c>
      <x:c r="G2405" s="9" t="str">
        <x:v>CNC-06</x:v>
      </x:c>
      <x:c r="H2405" s="15" t="n">
        <x:v>60</x:v>
      </x:c>
      <x:c r="I2405" s="9" t="str">
        <x:v>P14</x:v>
      </x:c>
      <x:c r="J2405" s="11" t="n">
        <x:v>46308.86041666667</x:v>
      </x:c>
      <x:c r="K2405" s="15" t="n">
        <x:v>18</x:v>
      </x:c>
      <x:c r="L2405" s="15" t="n">
        <x:v>40</x:v>
      </x:c>
      <x:c r="M2405" s="13" t="n">
        <x:f>J2405+(K2405+L2405)/1440</x:f>
        <x:v>46308.90069444445</x:v>
      </x:c>
      <x:c r="N2405" s="13" t="n">
        <x:f>VLOOKUP(C2405,'MES orders'!$A$8:$H$127,5,FALSE)</x:f>
        <x:v>46309.666666666664</x:v>
      </x:c>
      <x:c r="O2405" s="16" t="n">
        <x:f>MAX(0,(M2405-N2405)*24)</x:f>
        <x:v>0</x:v>
      </x:c>
      <x:c r="P2405" s="9" t="str">
        <x:v>No</x:v>
      </x:c>
      <x:c r="Q2405" s="15" t="n">
        <x:v>18</x:v>
      </x:c>
      <x:c r="R2405" s="13" t="n">
        <x:f>J2405+Q2405/1440</x:f>
        <x:v>46308.87291666667</x:v>
      </x:c>
      <x:c r="S2405" s="2" t="str">
        <x:f>VLOOKUP(C2405,'MES orders'!$A$8:$H$127,6,FALSE)</x:f>
        <x:v>Normal</x:v>
      </x:c>
      <x:c r="T2405" s="9" t="str"/>
    </x:row>
    <x:row r="2406" ht="22" customHeight="1">
      <x:c r="A2406" s="2" t="str">
        <x:v>L00350-020</x:v>
      </x:c>
      <x:c r="B2406" s="2" t="str">
        <x:v>L00350</x:v>
      </x:c>
      <x:c r="C2406" s="2" t="str">
        <x:v>SO-26070</x:v>
      </x:c>
      <x:c r="D2406" s="2" t="str">
        <x:v>S-S-SS</x:v>
      </x:c>
      <x:c r="E2406" s="14" t="n">
        <x:v>10</x:v>
      </x:c>
      <x:c r="F2406" s="2" t="str">
        <x:v>Deburr &amp; inspect</x:v>
      </x:c>
      <x:c r="G2406" s="9" t="str">
        <x:v>DB-01</x:v>
      </x:c>
      <x:c r="H2406" s="15" t="n">
        <x:v>228</x:v>
      </x:c>
      <x:c r="I2406" s="9" t="str">
        <x:v>P16</x:v>
      </x:c>
      <x:c r="J2406" s="11" t="n">
        <x:v>46308.86319444444</x:v>
      </x:c>
      <x:c r="K2406" s="15" t="n">
        <x:v>4</x:v>
      </x:c>
      <x:c r="L2406" s="15" t="n">
        <x:v>7</x:v>
      </x:c>
      <x:c r="M2406" s="13" t="n">
        <x:f>J2406+(K2406+L2406)/1440</x:f>
        <x:v>46308.870833333334</x:v>
      </x:c>
      <x:c r="N2406" s="13" t="n">
        <x:f>VLOOKUP(C2406,'MES orders'!$A$8:$H$127,5,FALSE)</x:f>
        <x:v>46309.666666666664</x:v>
      </x:c>
      <x:c r="O2406" s="16" t="n">
        <x:f>MAX(0,(M2406-N2406)*24)</x:f>
        <x:v>0</x:v>
      </x:c>
      <x:c r="P2406" s="9" t="str">
        <x:v>No</x:v>
      </x:c>
      <x:c r="Q2406" s="15" t="n">
        <x:v>11</x:v>
      </x:c>
      <x:c r="R2406" s="13" t="n">
        <x:f>J2406+Q2406/1440</x:f>
        <x:v>46308.870833333334</x:v>
      </x:c>
      <x:c r="S2406" s="2" t="str">
        <x:f>VLOOKUP(C2406,'MES orders'!$A$8:$H$127,6,FALSE)</x:f>
        <x:v>Urgent</x:v>
      </x:c>
      <x:c r="T2406" s="9" t="str"/>
    </x:row>
    <x:row r="2407" ht="22" customHeight="1">
      <x:c r="A2407" s="2" t="str">
        <x:v>L00346-050</x:v>
      </x:c>
      <x:c r="B2407" s="2" t="str">
        <x:v>L00346</x:v>
      </x:c>
      <x:c r="C2407" s="2" t="str">
        <x:v>SO-26070</x:v>
      </x:c>
      <x:c r="D2407" s="2" t="str">
        <x:v>S-S-SS</x:v>
      </x:c>
      <x:c r="E2407" s="14" t="n">
        <x:v>10</x:v>
      </x:c>
      <x:c r="F2407" s="2" t="str">
        <x:v>Sensor installation</x:v>
      </x:c>
      <x:c r="G2407" s="9" t="str">
        <x:v>EL-01</x:v>
      </x:c>
      <x:c r="H2407" s="15" t="n">
        <x:v>80</x:v>
      </x:c>
      <x:c r="I2407" s="9" t="str">
        <x:v>P19</x:v>
      </x:c>
      <x:c r="J2407" s="11" t="n">
        <x:v>46308.86319444444</x:v>
      </x:c>
      <x:c r="K2407" s="15" t="n">
        <x:v>8</x:v>
      </x:c>
      <x:c r="L2407" s="15" t="n">
        <x:v>12</x:v>
      </x:c>
      <x:c r="M2407" s="13" t="n">
        <x:f>J2407+(K2407+L2407)/1440</x:f>
        <x:v>46308.87708333333</x:v>
      </x:c>
      <x:c r="N2407" s="13" t="n">
        <x:f>VLOOKUP(C2407,'MES orders'!$A$8:$H$127,5,FALSE)</x:f>
        <x:v>46309.666666666664</x:v>
      </x:c>
      <x:c r="O2407" s="16" t="n">
        <x:f>MAX(0,(M2407-N2407)*24)</x:f>
        <x:v>0</x:v>
      </x:c>
      <x:c r="P2407" s="9" t="str">
        <x:v>No</x:v>
      </x:c>
      <x:c r="Q2407" s="15" t="n">
        <x:v>20</x:v>
      </x:c>
      <x:c r="R2407" s="13" t="n">
        <x:f>J2407+Q2407/1440</x:f>
        <x:v>46308.87708333333</x:v>
      </x:c>
      <x:c r="S2407" s="2" t="str">
        <x:f>VLOOKUP(C2407,'MES orders'!$A$8:$H$127,6,FALSE)</x:f>
        <x:v>Urgent</x:v>
      </x:c>
      <x:c r="T2407" s="9" t="str"/>
    </x:row>
    <x:row r="2408" ht="22" customHeight="1">
      <x:c r="A2408" s="2" t="str">
        <x:v>L00071-060</x:v>
      </x:c>
      <x:c r="B2408" s="2" t="str">
        <x:v>L00071</x:v>
      </x:c>
      <x:c r="C2408" s="2" t="str">
        <x:v>SO-26015</x:v>
      </x:c>
      <x:c r="D2408" s="2" t="str">
        <x:v>R-S-AL</x:v>
      </x:c>
      <x:c r="E2408" s="14" t="n">
        <x:v>10</x:v>
      </x:c>
      <x:c r="F2408" s="2" t="str">
        <x:v>Final leak / function test</x:v>
      </x:c>
      <x:c r="G2408" s="9" t="str">
        <x:v>QA-03</x:v>
      </x:c>
      <x:c r="H2408" s="15" t="n">
        <x:v>106</x:v>
      </x:c>
      <x:c r="I2408" s="9" t="str">
        <x:v>P24</x:v>
      </x:c>
      <x:c r="J2408" s="11" t="n">
        <x:v>46308.86597222222</x:v>
      </x:c>
      <x:c r="K2408" s="15" t="n">
        <x:v>10</x:v>
      </x:c>
      <x:c r="L2408" s="15" t="n">
        <x:v>9</x:v>
      </x:c>
      <x:c r="M2408" s="13" t="n">
        <x:f>J2408+(K2408+L2408)/1440</x:f>
        <x:v>46308.879166666666</x:v>
      </x:c>
      <x:c r="N2408" s="13" t="n">
        <x:f>VLOOKUP(C2408,'MES orders'!$A$8:$H$127,5,FALSE)</x:f>
        <x:v>46310.666666666664</x:v>
      </x:c>
      <x:c r="O2408" s="16" t="n">
        <x:f>MAX(0,(M2408-N2408)*24)</x:f>
        <x:v>0</x:v>
      </x:c>
      <x:c r="P2408" s="9" t="str">
        <x:v>No</x:v>
      </x:c>
      <x:c r="Q2408" s="15" t="n">
        <x:v>19</x:v>
      </x:c>
      <x:c r="R2408" s="13" t="n">
        <x:f>J2408+Q2408/1440</x:f>
        <x:v>46308.879166666666</x:v>
      </x:c>
      <x:c r="S2408" s="2" t="str">
        <x:f>VLOOKUP(C2408,'MES orders'!$A$8:$H$127,6,FALSE)</x:f>
        <x:v>High</x:v>
      </x:c>
      <x:c r="T2408" s="9" t="str"/>
    </x:row>
    <x:row r="2409" ht="22" customHeight="1">
      <x:c r="A2409" s="2" t="str">
        <x:v>L00028-010</x:v>
      </x:c>
      <x:c r="B2409" s="2" t="str">
        <x:v>L00028</x:v>
      </x:c>
      <x:c r="C2409" s="2" t="str">
        <x:v>SO-26006</x:v>
      </x:c>
      <x:c r="D2409" s="2" t="str">
        <x:v>S-L-SS</x:v>
      </x:c>
      <x:c r="E2409" s="14" t="n">
        <x:v>10</x:v>
      </x:c>
      <x:c r="F2409" s="2" t="str">
        <x:v>CNC machining</x:v>
      </x:c>
      <x:c r="G2409" s="9" t="str">
        <x:v>CNC-03</x:v>
      </x:c>
      <x:c r="H2409" s="15" t="n">
        <x:v>77</x:v>
      </x:c>
      <x:c r="I2409" s="9" t="str">
        <x:v>P15</x:v>
      </x:c>
      <x:c r="J2409" s="11" t="n">
        <x:v>46308.86875</x:v>
      </x:c>
      <x:c r="K2409" s="15" t="n">
        <x:v>18</x:v>
      </x:c>
      <x:c r="L2409" s="15" t="n">
        <x:v>40</x:v>
      </x:c>
      <x:c r="M2409" s="13" t="n">
        <x:f>J2409+(K2409+L2409)/1440</x:f>
        <x:v>46308.90902777778</x:v>
      </x:c>
      <x:c r="N2409" s="13" t="n">
        <x:f>VLOOKUP(C2409,'MES orders'!$A$8:$H$127,5,FALSE)</x:f>
        <x:v>46309.666666666664</x:v>
      </x:c>
      <x:c r="O2409" s="16" t="n">
        <x:f>MAX(0,(M2409-N2409)*24)</x:f>
        <x:v>0</x:v>
      </x:c>
      <x:c r="P2409" s="9" t="str">
        <x:v>No</x:v>
      </x:c>
      <x:c r="Q2409" s="15" t="n">
        <x:v>18</x:v>
      </x:c>
      <x:c r="R2409" s="13" t="n">
        <x:f>J2409+Q2409/1440</x:f>
        <x:v>46308.88125</x:v>
      </x:c>
      <x:c r="S2409" s="2" t="str">
        <x:f>VLOOKUP(C2409,'MES orders'!$A$8:$H$127,6,FALSE)</x:f>
        <x:v>Normal</x:v>
      </x:c>
      <x:c r="T2409" s="9" t="str"/>
    </x:row>
    <x:row r="2410" ht="22" customHeight="1">
      <x:c r="A2410" s="2" t="str">
        <x:v>L00108-020</x:v>
      </x:c>
      <x:c r="B2410" s="2" t="str">
        <x:v>L00108</x:v>
      </x:c>
      <x:c r="C2410" s="2" t="str">
        <x:v>SO-26022</x:v>
      </x:c>
      <x:c r="D2410" s="2" t="str">
        <x:v>D-S-SS</x:v>
      </x:c>
      <x:c r="E2410" s="14" t="n">
        <x:v>25</x:v>
      </x:c>
      <x:c r="F2410" s="2" t="str">
        <x:v>Deburr &amp; inspect</x:v>
      </x:c>
      <x:c r="G2410" s="9" t="str">
        <x:v>DB-02</x:v>
      </x:c>
      <x:c r="H2410" s="15" t="n">
        <x:v>157</x:v>
      </x:c>
      <x:c r="I2410" s="9" t="str">
        <x:v>P13</x:v>
      </x:c>
      <x:c r="J2410" s="11" t="n">
        <x:v>46308.86944444444</x:v>
      </x:c>
      <x:c r="K2410" s="15" t="n">
        <x:v>4</x:v>
      </x:c>
      <x:c r="L2410" s="15" t="n">
        <x:v>18</x:v>
      </x:c>
      <x:c r="M2410" s="13" t="n">
        <x:f>J2410+(K2410+L2410)/1440</x:f>
        <x:v>46308.88472222222</x:v>
      </x:c>
      <x:c r="N2410" s="13" t="n">
        <x:f>VLOOKUP(C2410,'MES orders'!$A$8:$H$127,5,FALSE)</x:f>
        <x:v>46309.666666666664</x:v>
      </x:c>
      <x:c r="O2410" s="16" t="n">
        <x:f>MAX(0,(M2410-N2410)*24)</x:f>
        <x:v>0</x:v>
      </x:c>
      <x:c r="P2410" s="9" t="str">
        <x:v>No</x:v>
      </x:c>
      <x:c r="Q2410" s="15" t="n">
        <x:v>22</x:v>
      </x:c>
      <x:c r="R2410" s="13" t="n">
        <x:f>J2410+Q2410/1440</x:f>
        <x:v>46308.88472222222</x:v>
      </x:c>
      <x:c r="S2410" s="2" t="str">
        <x:f>VLOOKUP(C2410,'MES orders'!$A$8:$H$127,6,FALSE)</x:f>
        <x:v>High</x:v>
      </x:c>
      <x:c r="T2410" s="9" t="str"/>
    </x:row>
    <x:row r="2411" ht="22" customHeight="1">
      <x:c r="A2411" s="2" t="str">
        <x:v>L00347-040</x:v>
      </x:c>
      <x:c r="B2411" s="2" t="str">
        <x:v>L00347</x:v>
      </x:c>
      <x:c r="C2411" s="2" t="str">
        <x:v>SO-26070</x:v>
      </x:c>
      <x:c r="D2411" s="2" t="str">
        <x:v>S-S-SS</x:v>
      </x:c>
      <x:c r="E2411" s="14" t="n">
        <x:v>10</x:v>
      </x:c>
      <x:c r="F2411" s="2" t="str">
        <x:v>Mechanical preassembly</x:v>
      </x:c>
      <x:c r="G2411" s="9" t="str">
        <x:v>AS-02</x:v>
      </x:c>
      <x:c r="H2411" s="15" t="n">
        <x:v>159</x:v>
      </x:c>
      <x:c r="I2411" s="9" t="str">
        <x:v>P16</x:v>
      </x:c>
      <x:c r="J2411" s="11" t="n">
        <x:v>46308.870833333334</x:v>
      </x:c>
      <x:c r="K2411" s="15" t="n">
        <x:v>6</x:v>
      </x:c>
      <x:c r="L2411" s="15" t="n">
        <x:v>11</x:v>
      </x:c>
      <x:c r="M2411" s="13" t="n">
        <x:f>J2411+(K2411+L2411)/1440</x:f>
        <x:v>46308.88263888889</x:v>
      </x:c>
      <x:c r="N2411" s="13" t="n">
        <x:f>VLOOKUP(C2411,'MES orders'!$A$8:$H$127,5,FALSE)</x:f>
        <x:v>46309.666666666664</x:v>
      </x:c>
      <x:c r="O2411" s="16" t="n">
        <x:f>MAX(0,(M2411-N2411)*24)</x:f>
        <x:v>0</x:v>
      </x:c>
      <x:c r="P2411" s="9" t="str">
        <x:v>No</x:v>
      </x:c>
      <x:c r="Q2411" s="15" t="n">
        <x:v>17</x:v>
      </x:c>
      <x:c r="R2411" s="13" t="n">
        <x:f>J2411+Q2411/1440</x:f>
        <x:v>46308.88263888889</x:v>
      </x:c>
      <x:c r="S2411" s="2" t="str">
        <x:f>VLOOKUP(C2411,'MES orders'!$A$8:$H$127,6,FALSE)</x:f>
        <x:v>Urgent</x:v>
      </x:c>
      <x:c r="T2411" s="9" t="str"/>
    </x:row>
    <x:row r="2412" ht="22" customHeight="1">
      <x:c r="A2412" s="2" t="str">
        <x:v>L00348-040</x:v>
      </x:c>
      <x:c r="B2412" s="2" t="str">
        <x:v>L00348</x:v>
      </x:c>
      <x:c r="C2412" s="2" t="str">
        <x:v>SO-26070</x:v>
      </x:c>
      <x:c r="D2412" s="2" t="str">
        <x:v>S-S-SS</x:v>
      </x:c>
      <x:c r="E2412" s="14" t="n">
        <x:v>10</x:v>
      </x:c>
      <x:c r="F2412" s="2" t="str">
        <x:v>Mechanical preassembly</x:v>
      </x:c>
      <x:c r="G2412" s="9" t="str">
        <x:v>AS-03</x:v>
      </x:c>
      <x:c r="H2412" s="15" t="n">
        <x:v>128</x:v>
      </x:c>
      <x:c r="I2412" s="9" t="str">
        <x:v>P18</x:v>
      </x:c>
      <x:c r="J2412" s="11" t="n">
        <x:v>46308.870833333334</x:v>
      </x:c>
      <x:c r="K2412" s="15" t="n">
        <x:v>6</x:v>
      </x:c>
      <x:c r="L2412" s="15" t="n">
        <x:v>11</x:v>
      </x:c>
      <x:c r="M2412" s="13" t="n">
        <x:f>J2412+(K2412+L2412)/1440</x:f>
        <x:v>46308.88263888889</x:v>
      </x:c>
      <x:c r="N2412" s="13" t="n">
        <x:f>VLOOKUP(C2412,'MES orders'!$A$8:$H$127,5,FALSE)</x:f>
        <x:v>46309.666666666664</x:v>
      </x:c>
      <x:c r="O2412" s="16" t="n">
        <x:f>MAX(0,(M2412-N2412)*24)</x:f>
        <x:v>0</x:v>
      </x:c>
      <x:c r="P2412" s="9" t="str">
        <x:v>No</x:v>
      </x:c>
      <x:c r="Q2412" s="15" t="n">
        <x:v>17</x:v>
      </x:c>
      <x:c r="R2412" s="13" t="n">
        <x:f>J2412+Q2412/1440</x:f>
        <x:v>46308.88263888889</x:v>
      </x:c>
      <x:c r="S2412" s="2" t="str">
        <x:f>VLOOKUP(C2412,'MES orders'!$A$8:$H$127,6,FALSE)</x:f>
        <x:v>Urgent</x:v>
      </x:c>
      <x:c r="T2412" s="9" t="str"/>
    </x:row>
    <x:row r="2413" ht="22" customHeight="1">
      <x:c r="A2413" s="2" t="str">
        <x:v>L00349-040</x:v>
      </x:c>
      <x:c r="B2413" s="2" t="str">
        <x:v>L00349</x:v>
      </x:c>
      <x:c r="C2413" s="2" t="str">
        <x:v>SO-26070</x:v>
      </x:c>
      <x:c r="D2413" s="2" t="str">
        <x:v>S-S-SS</x:v>
      </x:c>
      <x:c r="E2413" s="14" t="n">
        <x:v>10</x:v>
      </x:c>
      <x:c r="F2413" s="2" t="str">
        <x:v>Mechanical preassembly</x:v>
      </x:c>
      <x:c r="G2413" s="9" t="str">
        <x:v>AS-01</x:v>
      </x:c>
      <x:c r="H2413" s="15" t="n">
        <x:v>195</x:v>
      </x:c>
      <x:c r="I2413" s="9" t="str">
        <x:v>P17</x:v>
      </x:c>
      <x:c r="J2413" s="11" t="n">
        <x:v>46308.87152777778</x:v>
      </x:c>
      <x:c r="K2413" s="15" t="n">
        <x:v>6</x:v>
      </x:c>
      <x:c r="L2413" s="15" t="n">
        <x:v>11</x:v>
      </x:c>
      <x:c r="M2413" s="13" t="n">
        <x:f>J2413+(K2413+L2413)/1440</x:f>
        <x:v>46308.88333333334</x:v>
      </x:c>
      <x:c r="N2413" s="13" t="n">
        <x:f>VLOOKUP(C2413,'MES orders'!$A$8:$H$127,5,FALSE)</x:f>
        <x:v>46309.666666666664</x:v>
      </x:c>
      <x:c r="O2413" s="16" t="n">
        <x:f>MAX(0,(M2413-N2413)*24)</x:f>
        <x:v>0</x:v>
      </x:c>
      <x:c r="P2413" s="9" t="str">
        <x:v>No</x:v>
      </x:c>
      <x:c r="Q2413" s="15" t="n">
        <x:v>17</x:v>
      </x:c>
      <x:c r="R2413" s="13" t="n">
        <x:f>J2413+Q2413/1440</x:f>
        <x:v>46308.88333333334</x:v>
      </x:c>
      <x:c r="S2413" s="2" t="str">
        <x:f>VLOOKUP(C2413,'MES orders'!$A$8:$H$127,6,FALSE)</x:f>
        <x:v>Urgent</x:v>
      </x:c>
      <x:c r="T2413" s="9" t="str"/>
    </x:row>
    <x:row r="2414" ht="22" customHeight="1">
      <x:c r="A2414" s="2" t="str">
        <x:v>L00505-080</x:v>
      </x:c>
      <x:c r="B2414" s="2" t="str">
        <x:v>L00505</x:v>
      </x:c>
      <x:c r="C2414" s="2" t="str">
        <x:v>SO-26101</x:v>
      </x:c>
      <x:c r="D2414" s="2" t="str">
        <x:v>S-L-AL</x:v>
      </x:c>
      <x:c r="E2414" s="14" t="n">
        <x:v>10</x:v>
      </x:c>
      <x:c r="F2414" s="2" t="str">
        <x:v>Final leak / function test</x:v>
      </x:c>
      <x:c r="G2414" s="9" t="str">
        <x:v>QA-02</x:v>
      </x:c>
      <x:c r="H2414" s="15" t="n">
        <x:v>177</x:v>
      </x:c>
      <x:c r="I2414" s="9" t="str">
        <x:v>P23</x:v>
      </x:c>
      <x:c r="J2414" s="11" t="n">
        <x:v>46308.87152777778</x:v>
      </x:c>
      <x:c r="K2414" s="15" t="n">
        <x:v>10</x:v>
      </x:c>
      <x:c r="L2414" s="15" t="n">
        <x:v>12</x:v>
      </x:c>
      <x:c r="M2414" s="13" t="n">
        <x:f>J2414+(K2414+L2414)/1440</x:f>
        <x:v>46308.88680555556</x:v>
      </x:c>
      <x:c r="N2414" s="13" t="n">
        <x:f>VLOOKUP(C2414,'MES orders'!$A$8:$H$127,5,FALSE)</x:f>
        <x:v>46308.666666666664</x:v>
      </x:c>
      <x:c r="O2414" s="16" t="n">
        <x:f>MAX(0,(M2414-N2414)*24)</x:f>
        <x:v>5.283333333441988</x:v>
      </x:c>
      <x:c r="P2414" s="9" t="str">
        <x:v>No</x:v>
      </x:c>
      <x:c r="Q2414" s="15" t="n">
        <x:v>22</x:v>
      </x:c>
      <x:c r="R2414" s="13" t="n">
        <x:f>J2414+Q2414/1440</x:f>
        <x:v>46308.88680555556</x:v>
      </x:c>
      <x:c r="S2414" s="2" t="str">
        <x:f>VLOOKUP(C2414,'MES orders'!$A$8:$H$127,6,FALSE)</x:f>
        <x:v>Normal</x:v>
      </x:c>
      <x:c r="T2414" s="9" t="str"/>
    </x:row>
    <x:row r="2415" ht="22" customHeight="1">
      <x:c r="A2415" s="2" t="str">
        <x:v>L00074-020</x:v>
      </x:c>
      <x:c r="B2415" s="2" t="str">
        <x:v>L00074</x:v>
      </x:c>
      <x:c r="C2415" s="2" t="str">
        <x:v>SO-26015</x:v>
      </x:c>
      <x:c r="D2415" s="2" t="str">
        <x:v>R-S-AL</x:v>
      </x:c>
      <x:c r="E2415" s="14" t="n">
        <x:v>10</x:v>
      </x:c>
      <x:c r="F2415" s="2" t="str">
        <x:v>Deburr &amp; inspect</x:v>
      </x:c>
      <x:c r="G2415" s="9" t="str">
        <x:v>DB-01</x:v>
      </x:c>
      <x:c r="H2415" s="15" t="n">
        <x:v>229</x:v>
      </x:c>
      <x:c r="I2415" s="9" t="str">
        <x:v>P20</x:v>
      </x:c>
      <x:c r="J2415" s="11" t="n">
        <x:v>46308.87291666667</x:v>
      </x:c>
      <x:c r="K2415" s="15" t="n">
        <x:v>4</x:v>
      </x:c>
      <x:c r="L2415" s="15" t="n">
        <x:v>7</x:v>
      </x:c>
      <x:c r="M2415" s="13" t="n">
        <x:f>J2415+(K2415+L2415)/1440</x:f>
        <x:v>46308.88055555556</x:v>
      </x:c>
      <x:c r="N2415" s="13" t="n">
        <x:f>VLOOKUP(C2415,'MES orders'!$A$8:$H$127,5,FALSE)</x:f>
        <x:v>46310.666666666664</x:v>
      </x:c>
      <x:c r="O2415" s="16" t="n">
        <x:f>MAX(0,(M2415-N2415)*24)</x:f>
        <x:v>0</x:v>
      </x:c>
      <x:c r="P2415" s="9" t="str">
        <x:v>No</x:v>
      </x:c>
      <x:c r="Q2415" s="15" t="n">
        <x:v>11</x:v>
      </x:c>
      <x:c r="R2415" s="13" t="n">
        <x:f>J2415+Q2415/1440</x:f>
        <x:v>46308.88055555556</x:v>
      </x:c>
      <x:c r="S2415" s="2" t="str">
        <x:f>VLOOKUP(C2415,'MES orders'!$A$8:$H$127,6,FALSE)</x:f>
        <x:v>High</x:v>
      </x:c>
      <x:c r="T2415" s="9" t="str"/>
    </x:row>
    <x:row r="2416" ht="22" customHeight="1">
      <x:c r="A2416" s="2" t="str">
        <x:v>L00073-030</x:v>
      </x:c>
      <x:c r="B2416" s="2" t="str">
        <x:v>L00073</x:v>
      </x:c>
      <x:c r="C2416" s="2" t="str">
        <x:v>SO-26015</x:v>
      </x:c>
      <x:c r="D2416" s="2" t="str">
        <x:v>R-S-AL</x:v>
      </x:c>
      <x:c r="E2416" s="14" t="n">
        <x:v>10</x:v>
      </x:c>
      <x:c r="F2416" s="2" t="str">
        <x:v>Wash &amp; dry</x:v>
      </x:c>
      <x:c r="G2416" s="9" t="str">
        <x:v>WS-02</x:v>
      </x:c>
      <x:c r="H2416" s="15" t="n">
        <x:v>157</x:v>
      </x:c>
      <x:c r="I2416" s="9" t="str">
        <x:v>P14</x:v>
      </x:c>
      <x:c r="J2416" s="11" t="n">
        <x:v>46308.87291666667</x:v>
      </x:c>
      <x:c r="K2416" s="15" t="n">
        <x:v>12</x:v>
      </x:c>
      <x:c r="L2416" s="15" t="n">
        <x:v>4</x:v>
      </x:c>
      <x:c r="M2416" s="13" t="n">
        <x:f>J2416+(K2416+L2416)/1440</x:f>
        <x:v>46308.88402777778</x:v>
      </x:c>
      <x:c r="N2416" s="13" t="n">
        <x:f>VLOOKUP(C2416,'MES orders'!$A$8:$H$127,5,FALSE)</x:f>
        <x:v>46310.666666666664</x:v>
      </x:c>
      <x:c r="O2416" s="16" t="n">
        <x:f>MAX(0,(M2416-N2416)*24)</x:f>
        <x:v>0</x:v>
      </x:c>
      <x:c r="P2416" s="9" t="str">
        <x:v>No</x:v>
      </x:c>
      <x:c r="Q2416" s="15" t="n">
        <x:v>16</x:v>
      </x:c>
      <x:c r="R2416" s="13" t="n">
        <x:f>J2416+Q2416/1440</x:f>
        <x:v>46308.88402777778</x:v>
      </x:c>
      <x:c r="S2416" s="2" t="str">
        <x:f>VLOOKUP(C2416,'MES orders'!$A$8:$H$127,6,FALSE)</x:f>
        <x:v>High</x:v>
      </x:c>
      <x:c r="T2416" s="9" t="str"/>
    </x:row>
    <x:row r="2417" ht="22" customHeight="1">
      <x:c r="A2417" s="2" t="str">
        <x:v>L00346-060</x:v>
      </x:c>
      <x:c r="B2417" s="2" t="str">
        <x:v>L00346</x:v>
      </x:c>
      <x:c r="C2417" s="2" t="str">
        <x:v>SO-26070</x:v>
      </x:c>
      <x:c r="D2417" s="2" t="str">
        <x:v>S-S-SS</x:v>
      </x:c>
      <x:c r="E2417" s="14" t="n">
        <x:v>10</x:v>
      </x:c>
      <x:c r="F2417" s="2" t="str">
        <x:v>Sensor calibration</x:v>
      </x:c>
      <x:c r="G2417" s="9" t="str">
        <x:v>CAL-01</x:v>
      </x:c>
      <x:c r="H2417" s="15" t="n">
        <x:v>121</x:v>
      </x:c>
      <x:c r="I2417" s="9" t="str">
        <x:v>P21</x:v>
      </x:c>
      <x:c r="J2417" s="11" t="n">
        <x:v>46308.87708333333</x:v>
      </x:c>
      <x:c r="K2417" s="15" t="n">
        <x:v>10</x:v>
      </x:c>
      <x:c r="L2417" s="15" t="n">
        <x:v>13</x:v>
      </x:c>
      <x:c r="M2417" s="13" t="n">
        <x:f>J2417+(K2417+L2417)/1440</x:f>
        <x:v>46308.893055555556</x:v>
      </x:c>
      <x:c r="N2417" s="13" t="n">
        <x:f>VLOOKUP(C2417,'MES orders'!$A$8:$H$127,5,FALSE)</x:f>
        <x:v>46309.666666666664</x:v>
      </x:c>
      <x:c r="O2417" s="16" t="n">
        <x:f>MAX(0,(M2417-N2417)*24)</x:f>
        <x:v>0</x:v>
      </x:c>
      <x:c r="P2417" s="9" t="str">
        <x:v>No</x:v>
      </x:c>
      <x:c r="Q2417" s="15" t="n">
        <x:v>23</x:v>
      </x:c>
      <x:c r="R2417" s="13" t="n">
        <x:f>J2417+Q2417/1440</x:f>
        <x:v>46308.893055555556</x:v>
      </x:c>
      <x:c r="S2417" s="2" t="str">
        <x:f>VLOOKUP(C2417,'MES orders'!$A$8:$H$127,6,FALSE)</x:f>
        <x:v>Urgent</x:v>
      </x:c>
      <x:c r="T2417" s="9" t="str"/>
    </x:row>
    <x:row r="2418" ht="22" customHeight="1">
      <x:c r="A2418" s="2" t="str">
        <x:v>L00075-010</x:v>
      </x:c>
      <x:c r="B2418" s="2" t="str">
        <x:v>L00075</x:v>
      </x:c>
      <x:c r="C2418" s="2" t="str">
        <x:v>SO-26015</x:v>
      </x:c>
      <x:c r="D2418" s="2" t="str">
        <x:v>R-S-AL</x:v>
      </x:c>
      <x:c r="E2418" s="14" t="n">
        <x:v>10</x:v>
      </x:c>
      <x:c r="F2418" s="2" t="str">
        <x:v>CNC machining</x:v>
      </x:c>
      <x:c r="G2418" s="9" t="str">
        <x:v>CNC-01</x:v>
      </x:c>
      <x:c r="H2418" s="15" t="n">
        <x:v>69</x:v>
      </x:c>
      <x:c r="I2418" s="9" t="str">
        <x:v>P15</x:v>
      </x:c>
      <x:c r="J2418" s="11" t="n">
        <x:v>46308.88125</x:v>
      </x:c>
      <x:c r="K2418" s="15" t="n">
        <x:v>18</x:v>
      </x:c>
      <x:c r="L2418" s="15" t="n">
        <x:v>24</x:v>
      </x:c>
      <x:c r="M2418" s="13" t="n">
        <x:f>J2418+(K2418+L2418)/1440</x:f>
        <x:v>46308.910416666666</x:v>
      </x:c>
      <x:c r="N2418" s="13" t="n">
        <x:f>VLOOKUP(C2418,'MES orders'!$A$8:$H$127,5,FALSE)</x:f>
        <x:v>46310.666666666664</x:v>
      </x:c>
      <x:c r="O2418" s="16" t="n">
        <x:f>MAX(0,(M2418-N2418)*24)</x:f>
        <x:v>0</x:v>
      </x:c>
      <x:c r="P2418" s="9" t="str">
        <x:v>No</x:v>
      </x:c>
      <x:c r="Q2418" s="15" t="n">
        <x:v>18</x:v>
      </x:c>
      <x:c r="R2418" s="13" t="n">
        <x:f>J2418+Q2418/1440</x:f>
        <x:v>46308.893749999996</x:v>
      </x:c>
      <x:c r="S2418" s="2" t="str">
        <x:f>VLOOKUP(C2418,'MES orders'!$A$8:$H$127,6,FALSE)</x:f>
        <x:v>High</x:v>
      </x:c>
      <x:c r="T2418" s="9" t="str"/>
    </x:row>
    <x:row r="2419" ht="22" customHeight="1">
      <x:c r="A2419" s="2" t="str">
        <x:v>L00106-020</x:v>
      </x:c>
      <x:c r="B2419" s="2" t="str">
        <x:v>L00106</x:v>
      </x:c>
      <x:c r="C2419" s="2" t="str">
        <x:v>SO-26022</x:v>
      </x:c>
      <x:c r="D2419" s="2" t="str">
        <x:v>D-S-SS</x:v>
      </x:c>
      <x:c r="E2419" s="14" t="n">
        <x:v>25</x:v>
      </x:c>
      <x:c r="F2419" s="2" t="str">
        <x:v>Deburr &amp; inspect</x:v>
      </x:c>
      <x:c r="G2419" s="9" t="str">
        <x:v>DB-01</x:v>
      </x:c>
      <x:c r="H2419" s="15" t="n">
        <x:v>230</x:v>
      </x:c>
      <x:c r="I2419" s="9" t="str">
        <x:v>P18</x:v>
      </x:c>
      <x:c r="J2419" s="11" t="n">
        <x:v>46308.88263888889</x:v>
      </x:c>
      <x:c r="K2419" s="15" t="n">
        <x:v>4</x:v>
      </x:c>
      <x:c r="L2419" s="15" t="n">
        <x:v>18</x:v>
      </x:c>
      <x:c r="M2419" s="13" t="n">
        <x:f>J2419+(K2419+L2419)/1440</x:f>
        <x:v>46308.89791666667</x:v>
      </x:c>
      <x:c r="N2419" s="13" t="n">
        <x:f>VLOOKUP(C2419,'MES orders'!$A$8:$H$127,5,FALSE)</x:f>
        <x:v>46309.666666666664</x:v>
      </x:c>
      <x:c r="O2419" s="16" t="n">
        <x:f>MAX(0,(M2419-N2419)*24)</x:f>
        <x:v>0</x:v>
      </x:c>
      <x:c r="P2419" s="9" t="str">
        <x:v>No</x:v>
      </x:c>
      <x:c r="Q2419" s="15" t="n">
        <x:v>22</x:v>
      </x:c>
      <x:c r="R2419" s="13" t="n">
        <x:f>J2419+Q2419/1440</x:f>
        <x:v>46308.89791666667</x:v>
      </x:c>
      <x:c r="S2419" s="2" t="str">
        <x:f>VLOOKUP(C2419,'MES orders'!$A$8:$H$127,6,FALSE)</x:f>
        <x:v>High</x:v>
      </x:c>
      <x:c r="T2419" s="9" t="str"/>
    </x:row>
    <x:row r="2420" ht="22" customHeight="1">
      <x:c r="A2420" s="2" t="str">
        <x:v>L00347-050</x:v>
      </x:c>
      <x:c r="B2420" s="2" t="str">
        <x:v>L00347</x:v>
      </x:c>
      <x:c r="C2420" s="2" t="str">
        <x:v>SO-26070</x:v>
      </x:c>
      <x:c r="D2420" s="2" t="str">
        <x:v>S-S-SS</x:v>
      </x:c>
      <x:c r="E2420" s="14" t="n">
        <x:v>10</x:v>
      </x:c>
      <x:c r="F2420" s="2" t="str">
        <x:v>Sensor installation</x:v>
      </x:c>
      <x:c r="G2420" s="9" t="str">
        <x:v>EL-01</x:v>
      </x:c>
      <x:c r="H2420" s="15" t="n">
        <x:v>81</x:v>
      </x:c>
      <x:c r="I2420" s="9" t="str">
        <x:v>P19</x:v>
      </x:c>
      <x:c r="J2420" s="11" t="n">
        <x:v>46308.88263888889</x:v>
      </x:c>
      <x:c r="K2420" s="15" t="n">
        <x:v>8</x:v>
      </x:c>
      <x:c r="L2420" s="15" t="n">
        <x:v>12</x:v>
      </x:c>
      <x:c r="M2420" s="13" t="n">
        <x:f>J2420+(K2420+L2420)/1440</x:f>
        <x:v>46308.89652777778</x:v>
      </x:c>
      <x:c r="N2420" s="13" t="n">
        <x:f>VLOOKUP(C2420,'MES orders'!$A$8:$H$127,5,FALSE)</x:f>
        <x:v>46309.666666666664</x:v>
      </x:c>
      <x:c r="O2420" s="16" t="n">
        <x:f>MAX(0,(M2420-N2420)*24)</x:f>
        <x:v>0</x:v>
      </x:c>
      <x:c r="P2420" s="9" t="str">
        <x:v>No</x:v>
      </x:c>
      <x:c r="Q2420" s="15" t="n">
        <x:v>20</x:v>
      </x:c>
      <x:c r="R2420" s="13" t="n">
        <x:f>J2420+Q2420/1440</x:f>
        <x:v>46308.89652777778</x:v>
      </x:c>
      <x:c r="S2420" s="2" t="str">
        <x:f>VLOOKUP(C2420,'MES orders'!$A$8:$H$127,6,FALSE)</x:f>
        <x:v>Urgent</x:v>
      </x:c>
      <x:c r="T2420" s="9" t="str"/>
    </x:row>
    <x:row r="2421" ht="22" customHeight="1">
      <x:c r="A2421" s="2" t="str">
        <x:v>L00348-050</x:v>
      </x:c>
      <x:c r="B2421" s="2" t="str">
        <x:v>L00348</x:v>
      </x:c>
      <x:c r="C2421" s="2" t="str">
        <x:v>SO-26070</x:v>
      </x:c>
      <x:c r="D2421" s="2" t="str">
        <x:v>S-S-SS</x:v>
      </x:c>
      <x:c r="E2421" s="14" t="n">
        <x:v>10</x:v>
      </x:c>
      <x:c r="F2421" s="2" t="str">
        <x:v>Sensor installation</x:v>
      </x:c>
      <x:c r="G2421" s="9" t="str">
        <x:v>EL-02</x:v>
      </x:c>
      <x:c r="H2421" s="15" t="n">
        <x:v>42</x:v>
      </x:c>
      <x:c r="I2421" s="9" t="str">
        <x:v>P20</x:v>
      </x:c>
      <x:c r="J2421" s="11" t="n">
        <x:v>46308.88263888889</x:v>
      </x:c>
      <x:c r="K2421" s="15" t="n">
        <x:v>8</x:v>
      </x:c>
      <x:c r="L2421" s="15" t="n">
        <x:v>12</x:v>
      </x:c>
      <x:c r="M2421" s="13" t="n">
        <x:f>J2421+(K2421+L2421)/1440</x:f>
        <x:v>46308.89652777778</x:v>
      </x:c>
      <x:c r="N2421" s="13" t="n">
        <x:f>VLOOKUP(C2421,'MES orders'!$A$8:$H$127,5,FALSE)</x:f>
        <x:v>46309.666666666664</x:v>
      </x:c>
      <x:c r="O2421" s="16" t="n">
        <x:f>MAX(0,(M2421-N2421)*24)</x:f>
        <x:v>0</x:v>
      </x:c>
      <x:c r="P2421" s="9" t="str">
        <x:v>No</x:v>
      </x:c>
      <x:c r="Q2421" s="15" t="n">
        <x:v>20</x:v>
      </x:c>
      <x:c r="R2421" s="13" t="n">
        <x:f>J2421+Q2421/1440</x:f>
        <x:v>46308.89652777778</x:v>
      </x:c>
      <x:c r="S2421" s="2" t="str">
        <x:f>VLOOKUP(C2421,'MES orders'!$A$8:$H$127,6,FALSE)</x:f>
        <x:v>Urgent</x:v>
      </x:c>
      <x:c r="T2421" s="9" t="str"/>
    </x:row>
    <x:row r="2422" ht="22" customHeight="1">
      <x:c r="A2422" s="2" t="str">
        <x:v>L00350-030</x:v>
      </x:c>
      <x:c r="B2422" s="2" t="str">
        <x:v>L00350</x:v>
      </x:c>
      <x:c r="C2422" s="2" t="str">
        <x:v>SO-26070</x:v>
      </x:c>
      <x:c r="D2422" s="2" t="str">
        <x:v>S-S-SS</x:v>
      </x:c>
      <x:c r="E2422" s="14" t="n">
        <x:v>10</x:v>
      </x:c>
      <x:c r="F2422" s="2" t="str">
        <x:v>Wash &amp; dry</x:v>
      </x:c>
      <x:c r="G2422" s="9" t="str">
        <x:v>WS-01</x:v>
      </x:c>
      <x:c r="H2422" s="15" t="n">
        <x:v>226</x:v>
      </x:c>
      <x:c r="I2422" s="9" t="str">
        <x:v>P16</x:v>
      </x:c>
      <x:c r="J2422" s="11" t="n">
        <x:v>46308.88263888889</x:v>
      </x:c>
      <x:c r="K2422" s="15" t="n">
        <x:v>12</x:v>
      </x:c>
      <x:c r="L2422" s="15" t="n">
        <x:v>4</x:v>
      </x:c>
      <x:c r="M2422" s="13" t="n">
        <x:f>J2422+(K2422+L2422)/1440</x:f>
        <x:v>46308.89375</x:v>
      </x:c>
      <x:c r="N2422" s="13" t="n">
        <x:f>VLOOKUP(C2422,'MES orders'!$A$8:$H$127,5,FALSE)</x:f>
        <x:v>46309.666666666664</x:v>
      </x:c>
      <x:c r="O2422" s="16" t="n">
        <x:f>MAX(0,(M2422-N2422)*24)</x:f>
        <x:v>0</x:v>
      </x:c>
      <x:c r="P2422" s="9" t="str">
        <x:v>No</x:v>
      </x:c>
      <x:c r="Q2422" s="15" t="n">
        <x:v>16</x:v>
      </x:c>
      <x:c r="R2422" s="13" t="n">
        <x:f>J2422+Q2422/1440</x:f>
        <x:v>46308.89375</x:v>
      </x:c>
      <x:c r="S2422" s="2" t="str">
        <x:f>VLOOKUP(C2422,'MES orders'!$A$8:$H$127,6,FALSE)</x:f>
        <x:v>Urgent</x:v>
      </x:c>
      <x:c r="T2422" s="9" t="str"/>
    </x:row>
    <x:row r="2423" ht="22" customHeight="1">
      <x:c r="A2423" s="2" t="str">
        <x:v>L00073-040</x:v>
      </x:c>
      <x:c r="B2423" s="2" t="str">
        <x:v>L00073</x:v>
      </x:c>
      <x:c r="C2423" s="2" t="str">
        <x:v>SO-26015</x:v>
      </x:c>
      <x:c r="D2423" s="2" t="str">
        <x:v>R-S-AL</x:v>
      </x:c>
      <x:c r="E2423" s="14" t="n">
        <x:v>10</x:v>
      </x:c>
      <x:c r="F2423" s="2" t="str">
        <x:v>Mechanical assembly</x:v>
      </x:c>
      <x:c r="G2423" s="9" t="str">
        <x:v>AS-04</x:v>
      </x:c>
      <x:c r="H2423" s="15" t="n">
        <x:v>85</x:v>
      </x:c>
      <x:c r="I2423" s="9" t="str">
        <x:v>P24</x:v>
      </x:c>
      <x:c r="J2423" s="11" t="n">
        <x:v>46308.88402777778</x:v>
      </x:c>
      <x:c r="K2423" s="15" t="n">
        <x:v>8</x:v>
      </x:c>
      <x:c r="L2423" s="15" t="n">
        <x:v>18</x:v>
      </x:c>
      <x:c r="M2423" s="13" t="n">
        <x:f>J2423+(K2423+L2423)/1440</x:f>
        <x:v>46308.902083333334</x:v>
      </x:c>
      <x:c r="N2423" s="13" t="n">
        <x:f>VLOOKUP(C2423,'MES orders'!$A$8:$H$127,5,FALSE)</x:f>
        <x:v>46310.666666666664</x:v>
      </x:c>
      <x:c r="O2423" s="16" t="n">
        <x:f>MAX(0,(M2423-N2423)*24)</x:f>
        <x:v>0</x:v>
      </x:c>
      <x:c r="P2423" s="9" t="str">
        <x:v>No</x:v>
      </x:c>
      <x:c r="Q2423" s="15" t="n">
        <x:v>26</x:v>
      </x:c>
      <x:c r="R2423" s="13" t="n">
        <x:f>J2423+Q2423/1440</x:f>
        <x:v>46308.902083333334</x:v>
      </x:c>
      <x:c r="S2423" s="2" t="str">
        <x:f>VLOOKUP(C2423,'MES orders'!$A$8:$H$127,6,FALSE)</x:f>
        <x:v>High</x:v>
      </x:c>
      <x:c r="T2423" s="9" t="str"/>
    </x:row>
    <x:row r="2424" ht="22" customHeight="1">
      <x:c r="A2424" s="2" t="str">
        <x:v>L00109-020</x:v>
      </x:c>
      <x:c r="B2424" s="2" t="str">
        <x:v>L00109</x:v>
      </x:c>
      <x:c r="C2424" s="2" t="str">
        <x:v>SO-26022</x:v>
      </x:c>
      <x:c r="D2424" s="2" t="str">
        <x:v>D-S-SS</x:v>
      </x:c>
      <x:c r="E2424" s="14" t="n">
        <x:v>25</x:v>
      </x:c>
      <x:c r="F2424" s="2" t="str">
        <x:v>Deburr &amp; inspect</x:v>
      </x:c>
      <x:c r="G2424" s="9" t="str">
        <x:v>DB-02</x:v>
      </x:c>
      <x:c r="H2424" s="15" t="n">
        <x:v>158</x:v>
      </x:c>
      <x:c r="I2424" s="9" t="str">
        <x:v>P14</x:v>
      </x:c>
      <x:c r="J2424" s="11" t="n">
        <x:v>46308.884722222225</x:v>
      </x:c>
      <x:c r="K2424" s="15" t="n">
        <x:v>4</x:v>
      </x:c>
      <x:c r="L2424" s="15" t="n">
        <x:v>18</x:v>
      </x:c>
      <x:c r="M2424" s="13" t="n">
        <x:f>J2424+(K2424+L2424)/1440</x:f>
        <x:v>46308.9</x:v>
      </x:c>
      <x:c r="N2424" s="13" t="n">
        <x:f>VLOOKUP(C2424,'MES orders'!$A$8:$H$127,5,FALSE)</x:f>
        <x:v>46309.666666666664</x:v>
      </x:c>
      <x:c r="O2424" s="16" t="n">
        <x:f>MAX(0,(M2424-N2424)*24)</x:f>
        <x:v>0</x:v>
      </x:c>
      <x:c r="P2424" s="9" t="str">
        <x:v>No</x:v>
      </x:c>
      <x:c r="Q2424" s="15" t="n">
        <x:v>22</x:v>
      </x:c>
      <x:c r="R2424" s="13" t="n">
        <x:f>J2424+Q2424/1440</x:f>
        <x:v>46308.9</x:v>
      </x:c>
      <x:c r="S2424" s="2" t="str">
        <x:f>VLOOKUP(C2424,'MES orders'!$A$8:$H$127,6,FALSE)</x:f>
        <x:v>High</x:v>
      </x:c>
      <x:c r="T2424" s="9" t="str"/>
    </x:row>
    <x:row r="2425" ht="22" customHeight="1">
      <x:c r="A2425" s="2" t="str">
        <x:v>L00108-030</x:v>
      </x:c>
      <x:c r="B2425" s="2" t="str">
        <x:v>L00108</x:v>
      </x:c>
      <x:c r="C2425" s="2" t="str">
        <x:v>SO-26022</x:v>
      </x:c>
      <x:c r="D2425" s="2" t="str">
        <x:v>D-S-SS</x:v>
      </x:c>
      <x:c r="E2425" s="14" t="n">
        <x:v>25</x:v>
      </x:c>
      <x:c r="F2425" s="2" t="str">
        <x:v>Wash &amp; dry</x:v>
      </x:c>
      <x:c r="G2425" s="9" t="str">
        <x:v>WS-02</x:v>
      </x:c>
      <x:c r="H2425" s="15" t="n">
        <x:v>158</x:v>
      </x:c>
      <x:c r="I2425" s="9" t="str">
        <x:v>P13</x:v>
      </x:c>
      <x:c r="J2425" s="11" t="n">
        <x:v>46308.884722222225</x:v>
      </x:c>
      <x:c r="K2425" s="15" t="n">
        <x:v>12</x:v>
      </x:c>
      <x:c r="L2425" s="15" t="n">
        <x:v>9</x:v>
      </x:c>
      <x:c r="M2425" s="13" t="n">
        <x:f>J2425+(K2425+L2425)/1440</x:f>
        <x:v>46308.899305555555</x:v>
      </x:c>
      <x:c r="N2425" s="13" t="n">
        <x:f>VLOOKUP(C2425,'MES orders'!$A$8:$H$127,5,FALSE)</x:f>
        <x:v>46309.666666666664</x:v>
      </x:c>
      <x:c r="O2425" s="16" t="n">
        <x:f>MAX(0,(M2425-N2425)*24)</x:f>
        <x:v>0</x:v>
      </x:c>
      <x:c r="P2425" s="9" t="str">
        <x:v>No</x:v>
      </x:c>
      <x:c r="Q2425" s="15" t="n">
        <x:v>21</x:v>
      </x:c>
      <x:c r="R2425" s="13" t="n">
        <x:f>J2425+Q2425/1440</x:f>
        <x:v>46308.899305555555</x:v>
      </x:c>
      <x:c r="S2425" s="2" t="str">
        <x:f>VLOOKUP(C2425,'MES orders'!$A$8:$H$127,6,FALSE)</x:f>
        <x:v>High</x:v>
      </x:c>
      <x:c r="T2425" s="9" t="str"/>
    </x:row>
    <x:row r="2426" ht="22" customHeight="1">
      <x:c r="A2426" s="2" t="str">
        <x:v>L00346-070</x:v>
      </x:c>
      <x:c r="B2426" s="2" t="str">
        <x:v>L00346</x:v>
      </x:c>
      <x:c r="C2426" s="2" t="str">
        <x:v>SO-26070</x:v>
      </x:c>
      <x:c r="D2426" s="2" t="str">
        <x:v>S-S-SS</x:v>
      </x:c>
      <x:c r="E2426" s="14" t="n">
        <x:v>10</x:v>
      </x:c>
      <x:c r="F2426" s="2" t="str">
        <x:v>Final assembly</x:v>
      </x:c>
      <x:c r="G2426" s="9" t="str">
        <x:v>AS-01</x:v>
      </x:c>
      <x:c r="H2426" s="15" t="n">
        <x:v>196</x:v>
      </x:c>
      <x:c r="I2426" s="9" t="str">
        <x:v>P17</x:v>
      </x:c>
      <x:c r="J2426" s="11" t="n">
        <x:v>46308.893055555556</x:v>
      </x:c>
      <x:c r="K2426" s="15" t="n">
        <x:v>5</x:v>
      </x:c>
      <x:c r="L2426" s="15" t="n">
        <x:v>8</x:v>
      </x:c>
      <x:c r="M2426" s="13" t="n">
        <x:f>J2426+(K2426+L2426)/1440</x:f>
        <x:v>46308.902083333334</x:v>
      </x:c>
      <x:c r="N2426" s="13" t="n">
        <x:f>VLOOKUP(C2426,'MES orders'!$A$8:$H$127,5,FALSE)</x:f>
        <x:v>46309.666666666664</x:v>
      </x:c>
      <x:c r="O2426" s="16" t="n">
        <x:f>MAX(0,(M2426-N2426)*24)</x:f>
        <x:v>0</x:v>
      </x:c>
      <x:c r="P2426" s="9" t="str">
        <x:v>No</x:v>
      </x:c>
      <x:c r="Q2426" s="15" t="n">
        <x:v>13</x:v>
      </x:c>
      <x:c r="R2426" s="13" t="n">
        <x:f>J2426+Q2426/1440</x:f>
        <x:v>46308.902083333334</x:v>
      </x:c>
      <x:c r="S2426" s="2" t="str">
        <x:f>VLOOKUP(C2426,'MES orders'!$A$8:$H$127,6,FALSE)</x:f>
        <x:v>Urgent</x:v>
      </x:c>
      <x:c r="T2426" s="9" t="str"/>
    </x:row>
    <x:row r="2427" ht="22" customHeight="1">
      <x:c r="A2427" s="2" t="str">
        <x:v>L00350-040</x:v>
      </x:c>
      <x:c r="B2427" s="2" t="str">
        <x:v>L00350</x:v>
      </x:c>
      <x:c r="C2427" s="2" t="str">
        <x:v>SO-26070</x:v>
      </x:c>
      <x:c r="D2427" s="2" t="str">
        <x:v>S-S-SS</x:v>
      </x:c>
      <x:c r="E2427" s="14" t="n">
        <x:v>10</x:v>
      </x:c>
      <x:c r="F2427" s="2" t="str">
        <x:v>Mechanical preassembly</x:v>
      </x:c>
      <x:c r="G2427" s="9" t="str">
        <x:v>AS-02</x:v>
      </x:c>
      <x:c r="H2427" s="15" t="n">
        <x:v>160</x:v>
      </x:c>
      <x:c r="I2427" s="9" t="str">
        <x:v>P16</x:v>
      </x:c>
      <x:c r="J2427" s="11" t="n">
        <x:v>46308.89375</x:v>
      </x:c>
      <x:c r="K2427" s="15" t="n">
        <x:v>6</x:v>
      </x:c>
      <x:c r="L2427" s="15" t="n">
        <x:v>11</x:v>
      </x:c>
      <x:c r="M2427" s="13" t="n">
        <x:f>J2427+(K2427+L2427)/1440</x:f>
        <x:v>46308.90555555556</x:v>
      </x:c>
      <x:c r="N2427" s="13" t="n">
        <x:f>VLOOKUP(C2427,'MES orders'!$A$8:$H$127,5,FALSE)</x:f>
        <x:v>46309.666666666664</x:v>
      </x:c>
      <x:c r="O2427" s="16" t="n">
        <x:f>MAX(0,(M2427-N2427)*24)</x:f>
        <x:v>0</x:v>
      </x:c>
      <x:c r="P2427" s="9" t="str">
        <x:v>No</x:v>
      </x:c>
      <x:c r="Q2427" s="15" t="n">
        <x:v>17</x:v>
      </x:c>
      <x:c r="R2427" s="13" t="n">
        <x:f>J2427+Q2427/1440</x:f>
        <x:v>46308.90555555556</x:v>
      </x:c>
      <x:c r="S2427" s="2" t="str">
        <x:f>VLOOKUP(C2427,'MES orders'!$A$8:$H$127,6,FALSE)</x:f>
        <x:v>Urgent</x:v>
      </x:c>
      <x:c r="T2427" s="9" t="str"/>
    </x:row>
    <x:row r="2428" ht="22" customHeight="1">
      <x:c r="A2428" s="2" t="str">
        <x:v>L00066-010</x:v>
      </x:c>
      <x:c r="B2428" s="2" t="str">
        <x:v>L00066</x:v>
      </x:c>
      <x:c r="C2428" s="2" t="str">
        <x:v>SO-26014</x:v>
      </x:c>
      <x:c r="D2428" s="2" t="str">
        <x:v>D-C-SS</x:v>
      </x:c>
      <x:c r="E2428" s="14" t="n">
        <x:v>5</x:v>
      </x:c>
      <x:c r="F2428" s="2" t="str">
        <x:v>CNC machining</x:v>
      </x:c>
      <x:c r="G2428" s="9" t="str">
        <x:v>CNC-05</x:v>
      </x:c>
      <x:c r="H2428" s="15" t="n">
        <x:v>67</x:v>
      </x:c>
      <x:c r="I2428" s="9" t="str">
        <x:v>P15</x:v>
      </x:c>
      <x:c r="J2428" s="11" t="n">
        <x:v>46308.89444444444</x:v>
      </x:c>
      <x:c r="K2428" s="15" t="n">
        <x:v>18</x:v>
      </x:c>
      <x:c r="L2428" s="15" t="n">
        <x:v>12</x:v>
      </x:c>
      <x:c r="M2428" s="13" t="n">
        <x:f>J2428+(K2428+L2428)/1440</x:f>
        <x:v>46308.91527777778</x:v>
      </x:c>
      <x:c r="N2428" s="13" t="n">
        <x:f>VLOOKUP(C2428,'MES orders'!$A$8:$H$127,5,FALSE)</x:f>
        <x:v>46309.666666666664</x:v>
      </x:c>
      <x:c r="O2428" s="16" t="n">
        <x:f>MAX(0,(M2428-N2428)*24)</x:f>
        <x:v>0</x:v>
      </x:c>
      <x:c r="P2428" s="9" t="str">
        <x:v>No</x:v>
      </x:c>
      <x:c r="Q2428" s="15" t="n">
        <x:v>18</x:v>
      </x:c>
      <x:c r="R2428" s="13" t="n">
        <x:f>J2428+Q2428/1440</x:f>
        <x:v>46308.90694444444</x:v>
      </x:c>
      <x:c r="S2428" s="2" t="str">
        <x:f>VLOOKUP(C2428,'MES orders'!$A$8:$H$127,6,FALSE)</x:f>
        <x:v>Normal</x:v>
      </x:c>
      <x:c r="T2428" s="9" t="str"/>
    </x:row>
    <x:row r="2429" ht="22" customHeight="1">
      <x:c r="A2429" s="2" t="str">
        <x:v>L00072-050</x:v>
      </x:c>
      <x:c r="B2429" s="2" t="str">
        <x:v>L00072</x:v>
      </x:c>
      <x:c r="C2429" s="2" t="str">
        <x:v>SO-26015</x:v>
      </x:c>
      <x:c r="D2429" s="2" t="str">
        <x:v>R-S-AL</x:v>
      </x:c>
      <x:c r="E2429" s="14" t="n">
        <x:v>10</x:v>
      </x:c>
      <x:c r="F2429" s="2" t="str">
        <x:v>Valve adjustment</x:v>
      </x:c>
      <x:c r="G2429" s="9" t="str">
        <x:v>AS-03</x:v>
      </x:c>
      <x:c r="H2429" s="15" t="n">
        <x:v>129</x:v>
      </x:c>
      <x:c r="I2429" s="9" t="str">
        <x:v>P20</x:v>
      </x:c>
      <x:c r="J2429" s="11" t="n">
        <x:v>46308.896527777775</x:v>
      </x:c>
      <x:c r="K2429" s="15" t="n">
        <x:v>6</x:v>
      </x:c>
      <x:c r="L2429" s="15" t="n">
        <x:v>11</x:v>
      </x:c>
      <x:c r="M2429" s="13" t="n">
        <x:f>J2429+(K2429+L2429)/1440</x:f>
        <x:v>46308.90833333333</x:v>
      </x:c>
      <x:c r="N2429" s="13" t="n">
        <x:f>VLOOKUP(C2429,'MES orders'!$A$8:$H$127,5,FALSE)</x:f>
        <x:v>46310.666666666664</x:v>
      </x:c>
      <x:c r="O2429" s="16" t="n">
        <x:f>MAX(0,(M2429-N2429)*24)</x:f>
        <x:v>0</x:v>
      </x:c>
      <x:c r="P2429" s="9" t="str">
        <x:v>No</x:v>
      </x:c>
      <x:c r="Q2429" s="15" t="n">
        <x:v>17</x:v>
      </x:c>
      <x:c r="R2429" s="13" t="n">
        <x:f>J2429+Q2429/1440</x:f>
        <x:v>46308.90833333333</x:v>
      </x:c>
      <x:c r="S2429" s="2" t="str">
        <x:f>VLOOKUP(C2429,'MES orders'!$A$8:$H$127,6,FALSE)</x:f>
        <x:v>High</x:v>
      </x:c>
      <x:c r="T2429" s="9" t="str"/>
    </x:row>
    <x:row r="2430" ht="22" customHeight="1">
      <x:c r="A2430" s="2" t="str">
        <x:v>L00347-060</x:v>
      </x:c>
      <x:c r="B2430" s="2" t="str">
        <x:v>L00347</x:v>
      </x:c>
      <x:c r="C2430" s="2" t="str">
        <x:v>SO-26070</x:v>
      </x:c>
      <x:c r="D2430" s="2" t="str">
        <x:v>S-S-SS</x:v>
      </x:c>
      <x:c r="E2430" s="14" t="n">
        <x:v>10</x:v>
      </x:c>
      <x:c r="F2430" s="2" t="str">
        <x:v>Sensor calibration</x:v>
      </x:c>
      <x:c r="G2430" s="9" t="str">
        <x:v>CAL-01</x:v>
      </x:c>
      <x:c r="H2430" s="15" t="n">
        <x:v>122</x:v>
      </x:c>
      <x:c r="I2430" s="9" t="str">
        <x:v>P21</x:v>
      </x:c>
      <x:c r="J2430" s="11" t="n">
        <x:v>46308.896527777775</x:v>
      </x:c>
      <x:c r="K2430" s="15" t="n">
        <x:v>10</x:v>
      </x:c>
      <x:c r="L2430" s="15" t="n">
        <x:v>13</x:v>
      </x:c>
      <x:c r="M2430" s="13" t="n">
        <x:f>J2430+(K2430+L2430)/1440</x:f>
        <x:v>46308.9125</x:v>
      </x:c>
      <x:c r="N2430" s="13" t="n">
        <x:f>VLOOKUP(C2430,'MES orders'!$A$8:$H$127,5,FALSE)</x:f>
        <x:v>46309.666666666664</x:v>
      </x:c>
      <x:c r="O2430" s="16" t="n">
        <x:f>MAX(0,(M2430-N2430)*24)</x:f>
        <x:v>0</x:v>
      </x:c>
      <x:c r="P2430" s="9" t="str">
        <x:v>No</x:v>
      </x:c>
      <x:c r="Q2430" s="15" t="n">
        <x:v>23</x:v>
      </x:c>
      <x:c r="R2430" s="13" t="n">
        <x:f>J2430+Q2430/1440</x:f>
        <x:v>46308.9125</x:v>
      </x:c>
      <x:c r="S2430" s="2" t="str">
        <x:f>VLOOKUP(C2430,'MES orders'!$A$8:$H$127,6,FALSE)</x:f>
        <x:v>Urgent</x:v>
      </x:c>
      <x:c r="T2430" s="9" t="str"/>
    </x:row>
    <x:row r="2431" ht="22" customHeight="1">
      <x:c r="A2431" s="2" t="str">
        <x:v>L00349-050</x:v>
      </x:c>
      <x:c r="B2431" s="2" t="str">
        <x:v>L00349</x:v>
      </x:c>
      <x:c r="C2431" s="2" t="str">
        <x:v>SO-26070</x:v>
      </x:c>
      <x:c r="D2431" s="2" t="str">
        <x:v>S-S-SS</x:v>
      </x:c>
      <x:c r="E2431" s="14" t="n">
        <x:v>10</x:v>
      </x:c>
      <x:c r="F2431" s="2" t="str">
        <x:v>Sensor installation</x:v>
      </x:c>
      <x:c r="G2431" s="9" t="str">
        <x:v>EL-01</x:v>
      </x:c>
      <x:c r="H2431" s="15" t="n">
        <x:v>82</x:v>
      </x:c>
      <x:c r="I2431" s="9" t="str">
        <x:v>P19</x:v>
      </x:c>
      <x:c r="J2431" s="11" t="n">
        <x:v>46308.896527777775</x:v>
      </x:c>
      <x:c r="K2431" s="15" t="n">
        <x:v>8</x:v>
      </x:c>
      <x:c r="L2431" s="15" t="n">
        <x:v>12</x:v>
      </x:c>
      <x:c r="M2431" s="13" t="n">
        <x:f>J2431+(K2431+L2431)/1440</x:f>
        <x:v>46308.910416666666</x:v>
      </x:c>
      <x:c r="N2431" s="13" t="n">
        <x:f>VLOOKUP(C2431,'MES orders'!$A$8:$H$127,5,FALSE)</x:f>
        <x:v>46309.666666666664</x:v>
      </x:c>
      <x:c r="O2431" s="16" t="n">
        <x:f>MAX(0,(M2431-N2431)*24)</x:f>
        <x:v>0</x:v>
      </x:c>
      <x:c r="P2431" s="9" t="str">
        <x:v>No</x:v>
      </x:c>
      <x:c r="Q2431" s="15" t="n">
        <x:v>20</x:v>
      </x:c>
      <x:c r="R2431" s="13" t="n">
        <x:f>J2431+Q2431/1440</x:f>
        <x:v>46308.910416666666</x:v>
      </x:c>
      <x:c r="S2431" s="2" t="str">
        <x:f>VLOOKUP(C2431,'MES orders'!$A$8:$H$127,6,FALSE)</x:f>
        <x:v>Urgent</x:v>
      </x:c>
      <x:c r="T2431" s="9" t="str"/>
    </x:row>
    <x:row r="2432" ht="22" customHeight="1">
      <x:c r="A2432" s="2" t="str">
        <x:v>L00106-030</x:v>
      </x:c>
      <x:c r="B2432" s="2" t="str">
        <x:v>L00106</x:v>
      </x:c>
      <x:c r="C2432" s="2" t="str">
        <x:v>SO-26022</x:v>
      </x:c>
      <x:c r="D2432" s="2" t="str">
        <x:v>D-S-SS</x:v>
      </x:c>
      <x:c r="E2432" s="14" t="n">
        <x:v>25</x:v>
      </x:c>
      <x:c r="F2432" s="2" t="str">
        <x:v>Wash &amp; dry</x:v>
      </x:c>
      <x:c r="G2432" s="9" t="str">
        <x:v>WS-01</x:v>
      </x:c>
      <x:c r="H2432" s="15" t="n">
        <x:v>227</x:v>
      </x:c>
      <x:c r="I2432" s="9" t="str">
        <x:v>P18</x:v>
      </x:c>
      <x:c r="J2432" s="11" t="n">
        <x:v>46308.89791666667</x:v>
      </x:c>
      <x:c r="K2432" s="15" t="n">
        <x:v>12</x:v>
      </x:c>
      <x:c r="L2432" s="15" t="n">
        <x:v>9</x:v>
      </x:c>
      <x:c r="M2432" s="13" t="n">
        <x:f>J2432+(K2432+L2432)/1440</x:f>
        <x:v>46308.9125</x:v>
      </x:c>
      <x:c r="N2432" s="13" t="n">
        <x:f>VLOOKUP(C2432,'MES orders'!$A$8:$H$127,5,FALSE)</x:f>
        <x:v>46309.666666666664</x:v>
      </x:c>
      <x:c r="O2432" s="16" t="n">
        <x:f>MAX(0,(M2432-N2432)*24)</x:f>
        <x:v>0</x:v>
      </x:c>
      <x:c r="P2432" s="9" t="str">
        <x:v>No</x:v>
      </x:c>
      <x:c r="Q2432" s="15" t="n">
        <x:v>21</x:v>
      </x:c>
      <x:c r="R2432" s="13" t="n">
        <x:f>J2432+Q2432/1440</x:f>
        <x:v>46308.9125</x:v>
      </x:c>
      <x:c r="S2432" s="2" t="str">
        <x:f>VLOOKUP(C2432,'MES orders'!$A$8:$H$127,6,FALSE)</x:f>
        <x:v>High</x:v>
      </x:c>
      <x:c r="T2432" s="9" t="str"/>
    </x:row>
    <x:row r="2433" ht="22" customHeight="1">
      <x:c r="A2433" s="2" t="str">
        <x:v>L00027-020</x:v>
      </x:c>
      <x:c r="B2433" s="2" t="str">
        <x:v>L00027</x:v>
      </x:c>
      <x:c r="C2433" s="2" t="str">
        <x:v>SO-26006</x:v>
      </x:c>
      <x:c r="D2433" s="2" t="str">
        <x:v>S-L-SS</x:v>
      </x:c>
      <x:c r="E2433" s="14" t="n">
        <x:v>10</x:v>
      </x:c>
      <x:c r="F2433" s="2" t="str">
        <x:v>Deburr &amp; inspect</x:v>
      </x:c>
      <x:c r="G2433" s="9" t="str">
        <x:v>DB-02</x:v>
      </x:c>
      <x:c r="H2433" s="15" t="n">
        <x:v>159</x:v>
      </x:c>
      <x:c r="I2433" s="9" t="str">
        <x:v>P13</x:v>
      </x:c>
      <x:c r="J2433" s="11" t="n">
        <x:v>46308.90069444444</x:v>
      </x:c>
      <x:c r="K2433" s="15" t="n">
        <x:v>4</x:v>
      </x:c>
      <x:c r="L2433" s="15" t="n">
        <x:v>9</x:v>
      </x:c>
      <x:c r="M2433" s="13" t="n">
        <x:f>J2433+(K2433+L2433)/1440</x:f>
        <x:v>46308.90972222222</x:v>
      </x:c>
      <x:c r="N2433" s="13" t="n">
        <x:f>VLOOKUP(C2433,'MES orders'!$A$8:$H$127,5,FALSE)</x:f>
        <x:v>46309.666666666664</x:v>
      </x:c>
      <x:c r="O2433" s="16" t="n">
        <x:f>MAX(0,(M2433-N2433)*24)</x:f>
        <x:v>0</x:v>
      </x:c>
      <x:c r="P2433" s="9" t="str">
        <x:v>No</x:v>
      </x:c>
      <x:c r="Q2433" s="15" t="n">
        <x:v>13</x:v>
      </x:c>
      <x:c r="R2433" s="13" t="n">
        <x:f>J2433+Q2433/1440</x:f>
        <x:v>46308.90972222222</x:v>
      </x:c>
      <x:c r="S2433" s="2" t="str">
        <x:f>VLOOKUP(C2433,'MES orders'!$A$8:$H$127,6,FALSE)</x:f>
        <x:v>Normal</x:v>
      </x:c>
      <x:c r="T2433" s="9" t="str"/>
    </x:row>
    <x:row r="2434" ht="22" customHeight="1">
      <x:c r="A2434" s="2" t="str">
        <x:v>L00346-080</x:v>
      </x:c>
      <x:c r="B2434" s="2" t="str">
        <x:v>L00346</x:v>
      </x:c>
      <x:c r="C2434" s="2" t="str">
        <x:v>SO-26070</x:v>
      </x:c>
      <x:c r="D2434" s="2" t="str">
        <x:v>S-S-SS</x:v>
      </x:c>
      <x:c r="E2434" s="14" t="n">
        <x:v>10</x:v>
      </x:c>
      <x:c r="F2434" s="2" t="str">
        <x:v>Final leak / function test</x:v>
      </x:c>
      <x:c r="G2434" s="9" t="str">
        <x:v>QA-02</x:v>
      </x:c>
      <x:c r="H2434" s="15" t="n">
        <x:v>178</x:v>
      </x:c>
      <x:c r="I2434" s="9" t="str">
        <x:v>P23</x:v>
      </x:c>
      <x:c r="J2434" s="11" t="n">
        <x:v>46308.902083333334</x:v>
      </x:c>
      <x:c r="K2434" s="15" t="n">
        <x:v>10</x:v>
      </x:c>
      <x:c r="L2434" s="15" t="n">
        <x:v>9</x:v>
      </x:c>
      <x:c r="M2434" s="13" t="n">
        <x:f>J2434+(K2434+L2434)/1440</x:f>
        <x:v>46308.91527777778</x:v>
      </x:c>
      <x:c r="N2434" s="13" t="n">
        <x:f>VLOOKUP(C2434,'MES orders'!$A$8:$H$127,5,FALSE)</x:f>
        <x:v>46309.666666666664</x:v>
      </x:c>
      <x:c r="O2434" s="16" t="n">
        <x:f>MAX(0,(M2434-N2434)*24)</x:f>
        <x:v>0</x:v>
      </x:c>
      <x:c r="P2434" s="9" t="str">
        <x:v>No</x:v>
      </x:c>
      <x:c r="Q2434" s="15" t="n">
        <x:v>19</x:v>
      </x:c>
      <x:c r="R2434" s="13" t="n">
        <x:f>J2434+Q2434/1440</x:f>
        <x:v>46308.91527777778</x:v>
      </x:c>
      <x:c r="S2434" s="2" t="str">
        <x:f>VLOOKUP(C2434,'MES orders'!$A$8:$H$127,6,FALSE)</x:f>
        <x:v>Urgent</x:v>
      </x:c>
      <x:c r="T2434" s="9" t="str"/>
    </x:row>
    <x:row r="2435" ht="22" customHeight="1">
      <x:c r="A2435" s="2" t="str">
        <x:v>L00107-030</x:v>
      </x:c>
      <x:c r="B2435" s="2" t="str">
        <x:v>L00107</x:v>
      </x:c>
      <x:c r="C2435" s="2" t="str">
        <x:v>SO-26022</x:v>
      </x:c>
      <x:c r="D2435" s="2" t="str">
        <x:v>D-S-SS</x:v>
      </x:c>
      <x:c r="E2435" s="14" t="n">
        <x:v>25</x:v>
      </x:c>
      <x:c r="F2435" s="2" t="str">
        <x:v>Wash &amp; dry</x:v>
      </x:c>
      <x:c r="G2435" s="9" t="str">
        <x:v>WS-02</x:v>
      </x:c>
      <x:c r="H2435" s="15" t="n">
        <x:v>159</x:v>
      </x:c>
      <x:c r="I2435" s="9" t="str">
        <x:v>P17</x:v>
      </x:c>
      <x:c r="J2435" s="11" t="n">
        <x:v>46308.902083333334</x:v>
      </x:c>
      <x:c r="K2435" s="15" t="n">
        <x:v>12</x:v>
      </x:c>
      <x:c r="L2435" s="15" t="n">
        <x:v>9</x:v>
      </x:c>
      <x:c r="M2435" s="13" t="n">
        <x:f>J2435+(K2435+L2435)/1440</x:f>
        <x:v>46308.916666666664</x:v>
      </x:c>
      <x:c r="N2435" s="13" t="n">
        <x:f>VLOOKUP(C2435,'MES orders'!$A$8:$H$127,5,FALSE)</x:f>
        <x:v>46309.666666666664</x:v>
      </x:c>
      <x:c r="O2435" s="16" t="n">
        <x:f>MAX(0,(M2435-N2435)*24)</x:f>
        <x:v>0</x:v>
      </x:c>
      <x:c r="P2435" s="9" t="str">
        <x:v>No</x:v>
      </x:c>
      <x:c r="Q2435" s="15" t="n">
        <x:v>21</x:v>
      </x:c>
      <x:c r="R2435" s="13" t="n">
        <x:f>J2435+Q2435/1440</x:f>
        <x:v>46308.916666666664</x:v>
      </x:c>
      <x:c r="S2435" s="2" t="str">
        <x:f>VLOOKUP(C2435,'MES orders'!$A$8:$H$127,6,FALSE)</x:f>
        <x:v>High</x:v>
      </x:c>
      <x:c r="T2435" s="9" t="str"/>
    </x:row>
    <x:row r="2436" ht="22" customHeight="1">
      <x:c r="A2436" s="2" t="str">
        <x:v>L00026-020</x:v>
      </x:c>
      <x:c r="B2436" s="2" t="str">
        <x:v>L00026</x:v>
      </x:c>
      <x:c r="C2436" s="2" t="str">
        <x:v>SO-26006</x:v>
      </x:c>
      <x:c r="D2436" s="2" t="str">
        <x:v>S-L-SS</x:v>
      </x:c>
      <x:c r="E2436" s="14" t="n">
        <x:v>10</x:v>
      </x:c>
      <x:c r="F2436" s="2" t="str">
        <x:v>Deburr &amp; inspect</x:v>
      </x:c>
      <x:c r="G2436" s="9" t="str">
        <x:v>DB-01</x:v>
      </x:c>
      <x:c r="H2436" s="15" t="n">
        <x:v>231</x:v>
      </x:c>
      <x:c r="I2436" s="9" t="str">
        <x:v>P16</x:v>
      </x:c>
      <x:c r="J2436" s="11" t="n">
        <x:v>46308.90555555555</x:v>
      </x:c>
      <x:c r="K2436" s="15" t="n">
        <x:v>4</x:v>
      </x:c>
      <x:c r="L2436" s="15" t="n">
        <x:v>9</x:v>
      </x:c>
      <x:c r="M2436" s="13" t="n">
        <x:f>J2436+(K2436+L2436)/1440</x:f>
        <x:v>46308.91458333333</x:v>
      </x:c>
      <x:c r="N2436" s="13" t="n">
        <x:f>VLOOKUP(C2436,'MES orders'!$A$8:$H$127,5,FALSE)</x:f>
        <x:v>46309.666666666664</x:v>
      </x:c>
      <x:c r="O2436" s="16" t="n">
        <x:f>MAX(0,(M2436-N2436)*24)</x:f>
        <x:v>0</x:v>
      </x:c>
      <x:c r="P2436" s="9" t="str">
        <x:v>No</x:v>
      </x:c>
      <x:c r="Q2436" s="15" t="n">
        <x:v>13</x:v>
      </x:c>
      <x:c r="R2436" s="13" t="n">
        <x:f>J2436+Q2436/1440</x:f>
        <x:v>46308.91458333333</x:v>
      </x:c>
      <x:c r="S2436" s="2" t="str">
        <x:f>VLOOKUP(C2436,'MES orders'!$A$8:$H$127,6,FALSE)</x:f>
        <x:v>Normal</x:v>
      </x:c>
      <x:c r="T2436" s="9" t="str"/>
    </x:row>
    <x:row r="2437" ht="22" customHeight="1">
      <x:c r="A2437" s="2" t="str">
        <x:v>L00347-070</x:v>
      </x:c>
      <x:c r="B2437" s="2" t="str">
        <x:v>L00347</x:v>
      </x:c>
      <x:c r="C2437" s="2" t="str">
        <x:v>SO-26070</x:v>
      </x:c>
      <x:c r="D2437" s="2" t="str">
        <x:v>S-S-SS</x:v>
      </x:c>
      <x:c r="E2437" s="14" t="n">
        <x:v>10</x:v>
      </x:c>
      <x:c r="F2437" s="2" t="str">
        <x:v>Final assembly</x:v>
      </x:c>
      <x:c r="G2437" s="9" t="str">
        <x:v>AS-01</x:v>
      </x:c>
      <x:c r="H2437" s="15" t="n">
        <x:v>197</x:v>
      </x:c>
      <x:c r="I2437" s="9" t="str">
        <x:v>P05</x:v>
      </x:c>
      <x:c r="J2437" s="11" t="n">
        <x:v>46309.25</x:v>
      </x:c>
      <x:c r="K2437" s="15" t="n">
        <x:v>5</x:v>
      </x:c>
      <x:c r="L2437" s="15" t="n">
        <x:v>8</x:v>
      </x:c>
      <x:c r="M2437" s="13" t="n">
        <x:f>J2437+(K2437+L2437)/1440</x:f>
        <x:v>46309.25902777778</x:v>
      </x:c>
      <x:c r="N2437" s="13" t="n">
        <x:f>VLOOKUP(C2437,'MES orders'!$A$8:$H$127,5,FALSE)</x:f>
        <x:v>46309.666666666664</x:v>
      </x:c>
      <x:c r="O2437" s="16" t="n">
        <x:f>MAX(0,(M2437-N2437)*24)</x:f>
        <x:v>0</x:v>
      </x:c>
      <x:c r="P2437" s="9" t="str">
        <x:v>No</x:v>
      </x:c>
      <x:c r="Q2437" s="15" t="n">
        <x:v>13</x:v>
      </x:c>
      <x:c r="R2437" s="13" t="n">
        <x:f>J2437+Q2437/1440</x:f>
        <x:v>46309.25902777778</x:v>
      </x:c>
      <x:c r="S2437" s="2" t="str">
        <x:f>VLOOKUP(C2437,'MES orders'!$A$8:$H$127,6,FALSE)</x:f>
        <x:v>Urgent</x:v>
      </x:c>
      <x:c r="T2437" s="9" t="str"/>
    </x:row>
    <x:row r="2438" ht="22" customHeight="1">
      <x:c r="A2438" s="2" t="str">
        <x:v>L00106-040</x:v>
      </x:c>
      <x:c r="B2438" s="2" t="str">
        <x:v>L00106</x:v>
      </x:c>
      <x:c r="C2438" s="2" t="str">
        <x:v>SO-26022</x:v>
      </x:c>
      <x:c r="D2438" s="2" t="str">
        <x:v>D-S-SS</x:v>
      </x:c>
      <x:c r="E2438" s="14" t="n">
        <x:v>25</x:v>
      </x:c>
      <x:c r="F2438" s="2" t="str">
        <x:v>Mechanical assembly</x:v>
      </x:c>
      <x:c r="G2438" s="9" t="str">
        <x:v>AS-02</x:v>
      </x:c>
      <x:c r="H2438" s="15" t="n">
        <x:v>161</x:v>
      </x:c>
      <x:c r="I2438" s="9" t="str">
        <x:v>P04</x:v>
      </x:c>
      <x:c r="J2438" s="11" t="n">
        <x:v>46309.25</x:v>
      </x:c>
      <x:c r="K2438" s="15" t="n">
        <x:v>8</x:v>
      </x:c>
      <x:c r="L2438" s="15" t="n">
        <x:v>45</x:v>
      </x:c>
      <x:c r="M2438" s="13" t="n">
        <x:f>J2438+(K2438+L2438)/1440</x:f>
        <x:v>46309.28680555556</x:v>
      </x:c>
      <x:c r="N2438" s="13" t="n">
        <x:f>VLOOKUP(C2438,'MES orders'!$A$8:$H$127,5,FALSE)</x:f>
        <x:v>46309.666666666664</x:v>
      </x:c>
      <x:c r="O2438" s="16" t="n">
        <x:f>MAX(0,(M2438-N2438)*24)</x:f>
        <x:v>0</x:v>
      </x:c>
      <x:c r="P2438" s="9" t="str">
        <x:v>No</x:v>
      </x:c>
      <x:c r="Q2438" s="15" t="n">
        <x:v>53</x:v>
      </x:c>
      <x:c r="R2438" s="13" t="n">
        <x:f>J2438+Q2438/1440</x:f>
        <x:v>46309.28680555556</x:v>
      </x:c>
      <x:c r="S2438" s="2" t="str">
        <x:f>VLOOKUP(C2438,'MES orders'!$A$8:$H$127,6,FALSE)</x:f>
        <x:v>High</x:v>
      </x:c>
      <x:c r="T2438" s="9" t="str"/>
    </x:row>
    <x:row r="2439" ht="22" customHeight="1">
      <x:c r="A2439" s="2" t="str">
        <x:v>L00107-040</x:v>
      </x:c>
      <x:c r="B2439" s="2" t="str">
        <x:v>L00107</x:v>
      </x:c>
      <x:c r="C2439" s="2" t="str">
        <x:v>SO-26022</x:v>
      </x:c>
      <x:c r="D2439" s="2" t="str">
        <x:v>D-S-SS</x:v>
      </x:c>
      <x:c r="E2439" s="14" t="n">
        <x:v>25</x:v>
      </x:c>
      <x:c r="F2439" s="2" t="str">
        <x:v>Mechanical assembly</x:v>
      </x:c>
      <x:c r="G2439" s="9" t="str">
        <x:v>AS-03</x:v>
      </x:c>
      <x:c r="H2439" s="15" t="n">
        <x:v>130</x:v>
      </x:c>
      <x:c r="I2439" s="9" t="str">
        <x:v>P06</x:v>
      </x:c>
      <x:c r="J2439" s="11" t="n">
        <x:v>46309.25</x:v>
      </x:c>
      <x:c r="K2439" s="15" t="n">
        <x:v>8</x:v>
      </x:c>
      <x:c r="L2439" s="15" t="n">
        <x:v>45</x:v>
      </x:c>
      <x:c r="M2439" s="13" t="n">
        <x:f>J2439+(K2439+L2439)/1440</x:f>
        <x:v>46309.28680555556</x:v>
      </x:c>
      <x:c r="N2439" s="13" t="n">
        <x:f>VLOOKUP(C2439,'MES orders'!$A$8:$H$127,5,FALSE)</x:f>
        <x:v>46309.666666666664</x:v>
      </x:c>
      <x:c r="O2439" s="16" t="n">
        <x:f>MAX(0,(M2439-N2439)*24)</x:f>
        <x:v>0</x:v>
      </x:c>
      <x:c r="P2439" s="9" t="str">
        <x:v>No</x:v>
      </x:c>
      <x:c r="Q2439" s="15" t="n">
        <x:v>53</x:v>
      </x:c>
      <x:c r="R2439" s="13" t="n">
        <x:f>J2439+Q2439/1440</x:f>
        <x:v>46309.28680555556</x:v>
      </x:c>
      <x:c r="S2439" s="2" t="str">
        <x:f>VLOOKUP(C2439,'MES orders'!$A$8:$H$127,6,FALSE)</x:f>
        <x:v>High</x:v>
      </x:c>
      <x:c r="T2439" s="9" t="str"/>
    </x:row>
    <x:row r="2440" ht="22" customHeight="1">
      <x:c r="A2440" s="2" t="str">
        <x:v>L00348-060</x:v>
      </x:c>
      <x:c r="B2440" s="2" t="str">
        <x:v>L00348</x:v>
      </x:c>
      <x:c r="C2440" s="2" t="str">
        <x:v>SO-26070</x:v>
      </x:c>
      <x:c r="D2440" s="2" t="str">
        <x:v>S-S-SS</x:v>
      </x:c>
      <x:c r="E2440" s="14" t="n">
        <x:v>10</x:v>
      </x:c>
      <x:c r="F2440" s="2" t="str">
        <x:v>Sensor calibration</x:v>
      </x:c>
      <x:c r="G2440" s="9" t="str">
        <x:v>CAL-01</x:v>
      </x:c>
      <x:c r="H2440" s="15" t="n">
        <x:v>123</x:v>
      </x:c>
      <x:c r="I2440" s="9" t="str">
        <x:v>P09</x:v>
      </x:c>
      <x:c r="J2440" s="11" t="n">
        <x:v>46309.25</x:v>
      </x:c>
      <x:c r="K2440" s="15" t="n">
        <x:v>10</x:v>
      </x:c>
      <x:c r="L2440" s="15" t="n">
        <x:v>13</x:v>
      </x:c>
      <x:c r="M2440" s="13" t="n">
        <x:f>J2440+(K2440+L2440)/1440</x:f>
        <x:v>46309.26597222222</x:v>
      </x:c>
      <x:c r="N2440" s="13" t="n">
        <x:f>VLOOKUP(C2440,'MES orders'!$A$8:$H$127,5,FALSE)</x:f>
        <x:v>46309.666666666664</x:v>
      </x:c>
      <x:c r="O2440" s="16" t="n">
        <x:f>MAX(0,(M2440-N2440)*24)</x:f>
        <x:v>0</x:v>
      </x:c>
      <x:c r="P2440" s="9" t="str">
        <x:v>No</x:v>
      </x:c>
      <x:c r="Q2440" s="15" t="n">
        <x:v>23</x:v>
      </x:c>
      <x:c r="R2440" s="13" t="n">
        <x:f>J2440+Q2440/1440</x:f>
        <x:v>46309.26597222222</x:v>
      </x:c>
      <x:c r="S2440" s="2" t="str">
        <x:f>VLOOKUP(C2440,'MES orders'!$A$8:$H$127,6,FALSE)</x:f>
        <x:v>Urgent</x:v>
      </x:c>
      <x:c r="T2440" s="9" t="str"/>
    </x:row>
    <x:row r="2441" ht="22" customHeight="1">
      <x:c r="A2441" s="2" t="str">
        <x:v>L00386-010</x:v>
      </x:c>
      <x:c r="B2441" s="2" t="str">
        <x:v>L00386</x:v>
      </x:c>
      <x:c r="C2441" s="2" t="str">
        <x:v>SO-26078</x:v>
      </x:c>
      <x:c r="D2441" s="2" t="str">
        <x:v>S-L-SS</x:v>
      </x:c>
      <x:c r="E2441" s="14" t="n">
        <x:v>20</x:v>
      </x:c>
      <x:c r="F2441" s="2" t="str">
        <x:v>CNC machining</x:v>
      </x:c>
      <x:c r="G2441" s="9" t="str">
        <x:v>CNC-03</x:v>
      </x:c>
      <x:c r="H2441" s="15" t="n">
        <x:v>78</x:v>
      </x:c>
      <x:c r="I2441" s="9" t="str">
        <x:v>P01</x:v>
      </x:c>
      <x:c r="J2441" s="11" t="n">
        <x:v>46309.25</x:v>
      </x:c>
      <x:c r="K2441" s="15" t="n">
        <x:v>18</x:v>
      </x:c>
      <x:c r="L2441" s="15" t="n">
        <x:v>81</x:v>
      </x:c>
      <x:c r="M2441" s="13" t="n">
        <x:f>J2441+(K2441+L2441)/1440</x:f>
        <x:v>46309.31875</x:v>
      </x:c>
      <x:c r="N2441" s="13" t="n">
        <x:f>VLOOKUP(C2441,'MES orders'!$A$8:$H$127,5,FALSE)</x:f>
        <x:v>46309.666666666664</x:v>
      </x:c>
      <x:c r="O2441" s="16" t="n">
        <x:f>MAX(0,(M2441-N2441)*24)</x:f>
        <x:v>0</x:v>
      </x:c>
      <x:c r="P2441" s="9" t="str">
        <x:v>No</x:v>
      </x:c>
      <x:c r="Q2441" s="15" t="n">
        <x:v>18</x:v>
      </x:c>
      <x:c r="R2441" s="13" t="n">
        <x:f>J2441+Q2441/1440</x:f>
        <x:v>46309.2625</x:v>
      </x:c>
      <x:c r="S2441" s="2" t="str">
        <x:f>VLOOKUP(C2441,'MES orders'!$A$8:$H$127,6,FALSE)</x:f>
        <x:v>High</x:v>
      </x:c>
      <x:c r="T2441" s="9" t="str"/>
    </x:row>
    <x:row r="2442" ht="22" customHeight="1">
      <x:c r="A2442" s="2" t="str">
        <x:v>L00387-010</x:v>
      </x:c>
      <x:c r="B2442" s="2" t="str">
        <x:v>L00387</x:v>
      </x:c>
      <x:c r="C2442" s="2" t="str">
        <x:v>SO-26078</x:v>
      </x:c>
      <x:c r="D2442" s="2" t="str">
        <x:v>S-L-SS</x:v>
      </x:c>
      <x:c r="E2442" s="14" t="n">
        <x:v>20</x:v>
      </x:c>
      <x:c r="F2442" s="2" t="str">
        <x:v>CNC machining</x:v>
      </x:c>
      <x:c r="G2442" s="9" t="str">
        <x:v>CNC-04</x:v>
      </x:c>
      <x:c r="H2442" s="15" t="n">
        <x:v>74</x:v>
      </x:c>
      <x:c r="I2442" s="9" t="str">
        <x:v>P02</x:v>
      </x:c>
      <x:c r="J2442" s="11" t="n">
        <x:v>46309.25</x:v>
      </x:c>
      <x:c r="K2442" s="15" t="n">
        <x:v>18</x:v>
      </x:c>
      <x:c r="L2442" s="15" t="n">
        <x:v>81</x:v>
      </x:c>
      <x:c r="M2442" s="13" t="n">
        <x:f>J2442+(K2442+L2442)/1440</x:f>
        <x:v>46309.31875</x:v>
      </x:c>
      <x:c r="N2442" s="13" t="n">
        <x:f>VLOOKUP(C2442,'MES orders'!$A$8:$H$127,5,FALSE)</x:f>
        <x:v>46309.666666666664</x:v>
      </x:c>
      <x:c r="O2442" s="16" t="n">
        <x:f>MAX(0,(M2442-N2442)*24)</x:f>
        <x:v>0</x:v>
      </x:c>
      <x:c r="P2442" s="9" t="str">
        <x:v>No</x:v>
      </x:c>
      <x:c r="Q2442" s="15" t="n">
        <x:v>18</x:v>
      </x:c>
      <x:c r="R2442" s="13" t="n">
        <x:f>J2442+Q2442/1440</x:f>
        <x:v>46309.2625</x:v>
      </x:c>
      <x:c r="S2442" s="2" t="str">
        <x:f>VLOOKUP(C2442,'MES orders'!$A$8:$H$127,6,FALSE)</x:f>
        <x:v>High</x:v>
      </x:c>
      <x:c r="T2442" s="9" t="str"/>
    </x:row>
    <x:row r="2443" ht="22" customHeight="1">
      <x:c r="A2443" s="2" t="str">
        <x:v>L00388-010</x:v>
      </x:c>
      <x:c r="B2443" s="2" t="str">
        <x:v>L00388</x:v>
      </x:c>
      <x:c r="C2443" s="2" t="str">
        <x:v>SO-26078</x:v>
      </x:c>
      <x:c r="D2443" s="2" t="str">
        <x:v>S-L-SS</x:v>
      </x:c>
      <x:c r="E2443" s="14" t="n">
        <x:v>20</x:v>
      </x:c>
      <x:c r="F2443" s="2" t="str">
        <x:v>CNC machining</x:v>
      </x:c>
      <x:c r="G2443" s="9" t="str">
        <x:v>CNC-05</x:v>
      </x:c>
      <x:c r="H2443" s="15" t="n">
        <x:v>68</x:v>
      </x:c>
      <x:c r="I2443" s="9" t="str">
        <x:v>P03</x:v>
      </x:c>
      <x:c r="J2443" s="11" t="n">
        <x:v>46309.25</x:v>
      </x:c>
      <x:c r="K2443" s="15" t="n">
        <x:v>18</x:v>
      </x:c>
      <x:c r="L2443" s="15" t="n">
        <x:v>81</x:v>
      </x:c>
      <x:c r="M2443" s="13" t="n">
        <x:f>J2443+(K2443+L2443)/1440</x:f>
        <x:v>46309.31875</x:v>
      </x:c>
      <x:c r="N2443" s="13" t="n">
        <x:f>VLOOKUP(C2443,'MES orders'!$A$8:$H$127,5,FALSE)</x:f>
        <x:v>46309.666666666664</x:v>
      </x:c>
      <x:c r="O2443" s="16" t="n">
        <x:f>MAX(0,(M2443-N2443)*24)</x:f>
        <x:v>0</x:v>
      </x:c>
      <x:c r="P2443" s="9" t="str">
        <x:v>No</x:v>
      </x:c>
      <x:c r="Q2443" s="15" t="n">
        <x:v>18</x:v>
      </x:c>
      <x:c r="R2443" s="13" t="n">
        <x:f>J2443+Q2443/1440</x:f>
        <x:v>46309.2625</x:v>
      </x:c>
      <x:c r="S2443" s="2" t="str">
        <x:f>VLOOKUP(C2443,'MES orders'!$A$8:$H$127,6,FALSE)</x:f>
        <x:v>High</x:v>
      </x:c>
      <x:c r="T2443" s="9" t="str"/>
    </x:row>
    <x:row r="2444" ht="22" customHeight="1">
      <x:c r="A2444" s="2" t="str">
        <x:v>L00028-020</x:v>
      </x:c>
      <x:c r="B2444" s="2" t="str">
        <x:v>L00028</x:v>
      </x:c>
      <x:c r="C2444" s="2" t="str">
        <x:v>SO-26006</x:v>
      </x:c>
      <x:c r="D2444" s="2" t="str">
        <x:v>S-L-SS</x:v>
      </x:c>
      <x:c r="E2444" s="14" t="n">
        <x:v>10</x:v>
      </x:c>
      <x:c r="F2444" s="2" t="str">
        <x:v>Deburr &amp; inspect</x:v>
      </x:c>
      <x:c r="G2444" s="9" t="str">
        <x:v>DB-01</x:v>
      </x:c>
      <x:c r="H2444" s="15" t="n">
        <x:v>232</x:v>
      </x:c>
      <x:c r="I2444" s="9" t="str">
        <x:v>P11</x:v>
      </x:c>
      <x:c r="J2444" s="11" t="n">
        <x:v>46309.25</x:v>
      </x:c>
      <x:c r="K2444" s="15" t="n">
        <x:v>4</x:v>
      </x:c>
      <x:c r="L2444" s="15" t="n">
        <x:v>9</x:v>
      </x:c>
      <x:c r="M2444" s="13" t="n">
        <x:f>J2444+(K2444+L2444)/1440</x:f>
        <x:v>46309.25902777778</x:v>
      </x:c>
      <x:c r="N2444" s="13" t="n">
        <x:f>VLOOKUP(C2444,'MES orders'!$A$8:$H$127,5,FALSE)</x:f>
        <x:v>46309.666666666664</x:v>
      </x:c>
      <x:c r="O2444" s="16" t="n">
        <x:f>MAX(0,(M2444-N2444)*24)</x:f>
        <x:v>0</x:v>
      </x:c>
      <x:c r="P2444" s="9" t="str">
        <x:v>No</x:v>
      </x:c>
      <x:c r="Q2444" s="15" t="n">
        <x:v>13</x:v>
      </x:c>
      <x:c r="R2444" s="13" t="n">
        <x:f>J2444+Q2444/1440</x:f>
        <x:v>46309.25902777778</x:v>
      </x:c>
      <x:c r="S2444" s="2" t="str">
        <x:f>VLOOKUP(C2444,'MES orders'!$A$8:$H$127,6,FALSE)</x:f>
        <x:v>Normal</x:v>
      </x:c>
      <x:c r="T2444" s="9" t="str"/>
    </x:row>
    <x:row r="2445" ht="22" customHeight="1">
      <x:c r="A2445" s="2" t="str">
        <x:v>L00075-020</x:v>
      </x:c>
      <x:c r="B2445" s="2" t="str">
        <x:v>L00075</x:v>
      </x:c>
      <x:c r="C2445" s="2" t="str">
        <x:v>SO-26015</x:v>
      </x:c>
      <x:c r="D2445" s="2" t="str">
        <x:v>R-S-AL</x:v>
      </x:c>
      <x:c r="E2445" s="14" t="n">
        <x:v>10</x:v>
      </x:c>
      <x:c r="F2445" s="2" t="str">
        <x:v>Deburr &amp; inspect</x:v>
      </x:c>
      <x:c r="G2445" s="9" t="str">
        <x:v>DB-02</x:v>
      </x:c>
      <x:c r="H2445" s="15" t="n">
        <x:v>160</x:v>
      </x:c>
      <x:c r="I2445" s="9" t="str">
        <x:v>P12</x:v>
      </x:c>
      <x:c r="J2445" s="11" t="n">
        <x:v>46309.25</x:v>
      </x:c>
      <x:c r="K2445" s="15" t="n">
        <x:v>4</x:v>
      </x:c>
      <x:c r="L2445" s="15" t="n">
        <x:v>7</x:v>
      </x:c>
      <x:c r="M2445" s="13" t="n">
        <x:f>J2445+(K2445+L2445)/1440</x:f>
        <x:v>46309.25763888889</x:v>
      </x:c>
      <x:c r="N2445" s="13" t="n">
        <x:f>VLOOKUP(C2445,'MES orders'!$A$8:$H$127,5,FALSE)</x:f>
        <x:v>46310.666666666664</x:v>
      </x:c>
      <x:c r="O2445" s="16" t="n">
        <x:f>MAX(0,(M2445-N2445)*24)</x:f>
        <x:v>0</x:v>
      </x:c>
      <x:c r="P2445" s="9" t="str">
        <x:v>No</x:v>
      </x:c>
      <x:c r="Q2445" s="15" t="n">
        <x:v>11</x:v>
      </x:c>
      <x:c r="R2445" s="13" t="n">
        <x:f>J2445+Q2445/1440</x:f>
        <x:v>46309.25763888889</x:v>
      </x:c>
      <x:c r="S2445" s="2" t="str">
        <x:f>VLOOKUP(C2445,'MES orders'!$A$8:$H$127,6,FALSE)</x:f>
        <x:v>High</x:v>
      </x:c>
      <x:c r="T2445" s="9" t="str"/>
    </x:row>
    <x:row r="2446" ht="22" customHeight="1">
      <x:c r="A2446" s="2" t="str">
        <x:v>L00350-050</x:v>
      </x:c>
      <x:c r="B2446" s="2" t="str">
        <x:v>L00350</x:v>
      </x:c>
      <x:c r="C2446" s="2" t="str">
        <x:v>SO-26070</x:v>
      </x:c>
      <x:c r="D2446" s="2" t="str">
        <x:v>S-S-SS</x:v>
      </x:c>
      <x:c r="E2446" s="14" t="n">
        <x:v>10</x:v>
      </x:c>
      <x:c r="F2446" s="2" t="str">
        <x:v>Sensor installation</x:v>
      </x:c>
      <x:c r="G2446" s="9" t="str">
        <x:v>EL-01</x:v>
      </x:c>
      <x:c r="H2446" s="15" t="n">
        <x:v>83</x:v>
      </x:c>
      <x:c r="I2446" s="9" t="str">
        <x:v>P07</x:v>
      </x:c>
      <x:c r="J2446" s="11" t="n">
        <x:v>46309.25</x:v>
      </x:c>
      <x:c r="K2446" s="15" t="n">
        <x:v>8</x:v>
      </x:c>
      <x:c r="L2446" s="15" t="n">
        <x:v>12</x:v>
      </x:c>
      <x:c r="M2446" s="13" t="n">
        <x:f>J2446+(K2446+L2446)/1440</x:f>
        <x:v>46309.26388888889</x:v>
      </x:c>
      <x:c r="N2446" s="13" t="n">
        <x:f>VLOOKUP(C2446,'MES orders'!$A$8:$H$127,5,FALSE)</x:f>
        <x:v>46309.666666666664</x:v>
      </x:c>
      <x:c r="O2446" s="16" t="n">
        <x:f>MAX(0,(M2446-N2446)*24)</x:f>
        <x:v>0</x:v>
      </x:c>
      <x:c r="P2446" s="9" t="str">
        <x:v>No</x:v>
      </x:c>
      <x:c r="Q2446" s="15" t="n">
        <x:v>20</x:v>
      </x:c>
      <x:c r="R2446" s="13" t="n">
        <x:f>J2446+Q2446/1440</x:f>
        <x:v>46309.26388888889</x:v>
      </x:c>
      <x:c r="S2446" s="2" t="str">
        <x:f>VLOOKUP(C2446,'MES orders'!$A$8:$H$127,6,FALSE)</x:f>
        <x:v>Urgent</x:v>
      </x:c>
      <x:c r="T2446" s="9" t="str"/>
    </x:row>
    <x:row r="2447" ht="22" customHeight="1">
      <x:c r="A2447" s="2" t="str">
        <x:v>L00027-030</x:v>
      </x:c>
      <x:c r="B2447" s="2" t="str">
        <x:v>L00027</x:v>
      </x:c>
      <x:c r="C2447" s="2" t="str">
        <x:v>SO-26006</x:v>
      </x:c>
      <x:c r="D2447" s="2" t="str">
        <x:v>S-L-SS</x:v>
      </x:c>
      <x:c r="E2447" s="14" t="n">
        <x:v>10</x:v>
      </x:c>
      <x:c r="F2447" s="2" t="str">
        <x:v>Wash &amp; dry</x:v>
      </x:c>
      <x:c r="G2447" s="9" t="str">
        <x:v>WS-01</x:v>
      </x:c>
      <x:c r="H2447" s="15" t="n">
        <x:v>228</x:v>
      </x:c>
      <x:c r="I2447" s="9" t="str">
        <x:v>P08</x:v>
      </x:c>
      <x:c r="J2447" s="11" t="n">
        <x:v>46309.25</x:v>
      </x:c>
      <x:c r="K2447" s="15" t="n">
        <x:v>12</x:v>
      </x:c>
      <x:c r="L2447" s="15" t="n">
        <x:v>5</x:v>
      </x:c>
      <x:c r="M2447" s="13" t="n">
        <x:f>J2447+(K2447+L2447)/1440</x:f>
        <x:v>46309.26180555556</x:v>
      </x:c>
      <x:c r="N2447" s="13" t="n">
        <x:f>VLOOKUP(C2447,'MES orders'!$A$8:$H$127,5,FALSE)</x:f>
        <x:v>46309.666666666664</x:v>
      </x:c>
      <x:c r="O2447" s="16" t="n">
        <x:f>MAX(0,(M2447-N2447)*24)</x:f>
        <x:v>0</x:v>
      </x:c>
      <x:c r="P2447" s="9" t="str">
        <x:v>No</x:v>
      </x:c>
      <x:c r="Q2447" s="15" t="n">
        <x:v>17</x:v>
      </x:c>
      <x:c r="R2447" s="13" t="n">
        <x:f>J2447+Q2447/1440</x:f>
        <x:v>46309.26180555556</x:v>
      </x:c>
      <x:c r="S2447" s="2" t="str">
        <x:f>VLOOKUP(C2447,'MES orders'!$A$8:$H$127,6,FALSE)</x:f>
        <x:v>Normal</x:v>
      </x:c>
      <x:c r="T2447" s="9" t="str"/>
    </x:row>
    <x:row r="2448" ht="22" customHeight="1">
      <x:c r="A2448" s="2" t="str">
        <x:v>L00066-020</x:v>
      </x:c>
      <x:c r="B2448" s="2" t="str">
        <x:v>L00066</x:v>
      </x:c>
      <x:c r="C2448" s="2" t="str">
        <x:v>SO-26014</x:v>
      </x:c>
      <x:c r="D2448" s="2" t="str">
        <x:v>D-C-SS</x:v>
      </x:c>
      <x:c r="E2448" s="14" t="n">
        <x:v>5</x:v>
      </x:c>
      <x:c r="F2448" s="2" t="str">
        <x:v>Deburr &amp; inspect</x:v>
      </x:c>
      <x:c r="G2448" s="9" t="str">
        <x:v>DB-01</x:v>
      </x:c>
      <x:c r="H2448" s="15" t="n">
        <x:v>233</x:v>
      </x:c>
      <x:c r="I2448" s="9" t="str">
        <x:v>P05</x:v>
      </x:c>
      <x:c r="J2448" s="11" t="n">
        <x:v>46309.25902777778</x:v>
      </x:c>
      <x:c r="K2448" s="15" t="n">
        <x:v>4</x:v>
      </x:c>
      <x:c r="L2448" s="15" t="n">
        <x:v>3</x:v>
      </x:c>
      <x:c r="M2448" s="13" t="n">
        <x:f>J2448+(K2448+L2448)/1440</x:f>
        <x:v>46309.26388888889</x:v>
      </x:c>
      <x:c r="N2448" s="13" t="n">
        <x:f>VLOOKUP(C2448,'MES orders'!$A$8:$H$127,5,FALSE)</x:f>
        <x:v>46309.666666666664</x:v>
      </x:c>
      <x:c r="O2448" s="16" t="n">
        <x:f>MAX(0,(M2448-N2448)*24)</x:f>
        <x:v>0</x:v>
      </x:c>
      <x:c r="P2448" s="9" t="str">
        <x:v>No</x:v>
      </x:c>
      <x:c r="Q2448" s="15" t="n">
        <x:v>7</x:v>
      </x:c>
      <x:c r="R2448" s="13" t="n">
        <x:f>J2448+Q2448/1440</x:f>
        <x:v>46309.26388888889</x:v>
      </x:c>
      <x:c r="S2448" s="2" t="str">
        <x:f>VLOOKUP(C2448,'MES orders'!$A$8:$H$127,6,FALSE)</x:f>
        <x:v>Normal</x:v>
      </x:c>
      <x:c r="T2448" s="9" t="str"/>
    </x:row>
    <x:row r="2449" ht="22" customHeight="1">
      <x:c r="A2449" s="2" t="str">
        <x:v>L00347-080</x:v>
      </x:c>
      <x:c r="B2449" s="2" t="str">
        <x:v>L00347</x:v>
      </x:c>
      <x:c r="C2449" s="2" t="str">
        <x:v>SO-26070</x:v>
      </x:c>
      <x:c r="D2449" s="2" t="str">
        <x:v>S-S-SS</x:v>
      </x:c>
      <x:c r="E2449" s="14" t="n">
        <x:v>10</x:v>
      </x:c>
      <x:c r="F2449" s="2" t="str">
        <x:v>Final leak / function test</x:v>
      </x:c>
      <x:c r="G2449" s="9" t="str">
        <x:v>QA-02</x:v>
      </x:c>
      <x:c r="H2449" s="15" t="n">
        <x:v>179</x:v>
      </x:c>
      <x:c r="I2449" s="9" t="str">
        <x:v>P11</x:v>
      </x:c>
      <x:c r="J2449" s="11" t="n">
        <x:v>46309.25902777778</x:v>
      </x:c>
      <x:c r="K2449" s="15" t="n">
        <x:v>10</x:v>
      </x:c>
      <x:c r="L2449" s="15" t="n">
        <x:v>9</x:v>
      </x:c>
      <x:c r="M2449" s="13" t="n">
        <x:f>J2449+(K2449+L2449)/1440</x:f>
        <x:v>46309.27222222222</x:v>
      </x:c>
      <x:c r="N2449" s="13" t="n">
        <x:f>VLOOKUP(C2449,'MES orders'!$A$8:$H$127,5,FALSE)</x:f>
        <x:v>46309.666666666664</x:v>
      </x:c>
      <x:c r="O2449" s="16" t="n">
        <x:f>MAX(0,(M2449-N2449)*24)</x:f>
        <x:v>0</x:v>
      </x:c>
      <x:c r="P2449" s="9" t="str">
        <x:v>No</x:v>
      </x:c>
      <x:c r="Q2449" s="15" t="n">
        <x:v>19</x:v>
      </x:c>
      <x:c r="R2449" s="13" t="n">
        <x:f>J2449+Q2449/1440</x:f>
        <x:v>46309.27222222222</x:v>
      </x:c>
      <x:c r="S2449" s="2" t="str">
        <x:f>VLOOKUP(C2449,'MES orders'!$A$8:$H$127,6,FALSE)</x:f>
        <x:v>Urgent</x:v>
      </x:c>
      <x:c r="T2449" s="9" t="str"/>
    </x:row>
    <x:row r="2450" ht="22" customHeight="1">
      <x:c r="A2450" s="2" t="str">
        <x:v>L00028-030</x:v>
      </x:c>
      <x:c r="B2450" s="2" t="str">
        <x:v>L00028</x:v>
      </x:c>
      <x:c r="C2450" s="2" t="str">
        <x:v>SO-26006</x:v>
      </x:c>
      <x:c r="D2450" s="2" t="str">
        <x:v>S-L-SS</x:v>
      </x:c>
      <x:c r="E2450" s="14" t="n">
        <x:v>10</x:v>
      </x:c>
      <x:c r="F2450" s="2" t="str">
        <x:v>Wash &amp; dry</x:v>
      </x:c>
      <x:c r="G2450" s="9" t="str">
        <x:v>WS-02</x:v>
      </x:c>
      <x:c r="H2450" s="15" t="n">
        <x:v>160</x:v>
      </x:c>
      <x:c r="I2450" s="9" t="str">
        <x:v>P12</x:v>
      </x:c>
      <x:c r="J2450" s="11" t="n">
        <x:v>46309.25902777778</x:v>
      </x:c>
      <x:c r="K2450" s="15" t="n">
        <x:v>12</x:v>
      </x:c>
      <x:c r="L2450" s="15" t="n">
        <x:v>5</x:v>
      </x:c>
      <x:c r="M2450" s="13" t="n">
        <x:f>J2450+(K2450+L2450)/1440</x:f>
        <x:v>46309.270833333336</x:v>
      </x:c>
      <x:c r="N2450" s="13" t="n">
        <x:f>VLOOKUP(C2450,'MES orders'!$A$8:$H$127,5,FALSE)</x:f>
        <x:v>46309.666666666664</x:v>
      </x:c>
      <x:c r="O2450" s="16" t="n">
        <x:f>MAX(0,(M2450-N2450)*24)</x:f>
        <x:v>0</x:v>
      </x:c>
      <x:c r="P2450" s="9" t="str">
        <x:v>No</x:v>
      </x:c>
      <x:c r="Q2450" s="15" t="n">
        <x:v>17</x:v>
      </x:c>
      <x:c r="R2450" s="13" t="n">
        <x:f>J2450+Q2450/1440</x:f>
        <x:v>46309.270833333336</x:v>
      </x:c>
      <x:c r="S2450" s="2" t="str">
        <x:f>VLOOKUP(C2450,'MES orders'!$A$8:$H$127,6,FALSE)</x:f>
        <x:v>Normal</x:v>
      </x:c>
      <x:c r="T2450" s="9" t="str"/>
    </x:row>
    <x:row r="2451" ht="22" customHeight="1">
      <x:c r="A2451" s="2" t="str">
        <x:v>L00027-040</x:v>
      </x:c>
      <x:c r="B2451" s="2" t="str">
        <x:v>L00027</x:v>
      </x:c>
      <x:c r="C2451" s="2" t="str">
        <x:v>SO-26006</x:v>
      </x:c>
      <x:c r="D2451" s="2" t="str">
        <x:v>S-L-SS</x:v>
      </x:c>
      <x:c r="E2451" s="14" t="n">
        <x:v>10</x:v>
      </x:c>
      <x:c r="F2451" s="2" t="str">
        <x:v>Mechanical preassembly</x:v>
      </x:c>
      <x:c r="G2451" s="9" t="str">
        <x:v>AS-04</x:v>
      </x:c>
      <x:c r="H2451" s="15" t="n">
        <x:v>86</x:v>
      </x:c>
      <x:c r="I2451" s="9" t="str">
        <x:v>P08</x:v>
      </x:c>
      <x:c r="J2451" s="11" t="n">
        <x:v>46309.26180555556</x:v>
      </x:c>
      <x:c r="K2451" s="15" t="n">
        <x:v>6</x:v>
      </x:c>
      <x:c r="L2451" s="15" t="n">
        <x:v>15</x:v>
      </x:c>
      <x:c r="M2451" s="13" t="n">
        <x:f>J2451+(K2451+L2451)/1440</x:f>
        <x:v>46309.27638888889</x:v>
      </x:c>
      <x:c r="N2451" s="13" t="n">
        <x:f>VLOOKUP(C2451,'MES orders'!$A$8:$H$127,5,FALSE)</x:f>
        <x:v>46309.666666666664</x:v>
      </x:c>
      <x:c r="O2451" s="16" t="n">
        <x:f>MAX(0,(M2451-N2451)*24)</x:f>
        <x:v>0</x:v>
      </x:c>
      <x:c r="P2451" s="9" t="str">
        <x:v>No</x:v>
      </x:c>
      <x:c r="Q2451" s="15" t="n">
        <x:v>21</x:v>
      </x:c>
      <x:c r="R2451" s="13" t="n">
        <x:f>J2451+Q2451/1440</x:f>
        <x:v>46309.27638888889</x:v>
      </x:c>
      <x:c r="S2451" s="2" t="str">
        <x:f>VLOOKUP(C2451,'MES orders'!$A$8:$H$127,6,FALSE)</x:f>
        <x:v>Normal</x:v>
      </x:c>
      <x:c r="T2451" s="9" t="str"/>
    </x:row>
    <x:row r="2452" ht="22" customHeight="1">
      <x:c r="A2452" s="2" t="str">
        <x:v>L00389-010</x:v>
      </x:c>
      <x:c r="B2452" s="2" t="str">
        <x:v>L00389</x:v>
      </x:c>
      <x:c r="C2452" s="2" t="str">
        <x:v>SO-26078</x:v>
      </x:c>
      <x:c r="D2452" s="2" t="str">
        <x:v>S-L-SS</x:v>
      </x:c>
      <x:c r="E2452" s="14" t="n">
        <x:v>20</x:v>
      </x:c>
      <x:c r="F2452" s="2" t="str">
        <x:v>CNC machining</x:v>
      </x:c>
      <x:c r="G2452" s="9" t="str">
        <x:v>CNC-06</x:v>
      </x:c>
      <x:c r="H2452" s="15" t="n">
        <x:v>61</x:v>
      </x:c>
      <x:c r="I2452" s="9" t="str">
        <x:v>P01</x:v>
      </x:c>
      <x:c r="J2452" s="11" t="n">
        <x:v>46309.2625</x:v>
      </x:c>
      <x:c r="K2452" s="15" t="n">
        <x:v>18</x:v>
      </x:c>
      <x:c r="L2452" s="15" t="n">
        <x:v>81</x:v>
      </x:c>
      <x:c r="M2452" s="13" t="n">
        <x:f>J2452+(K2452+L2452)/1440</x:f>
        <x:v>46309.331249999996</x:v>
      </x:c>
      <x:c r="N2452" s="13" t="n">
        <x:f>VLOOKUP(C2452,'MES orders'!$A$8:$H$127,5,FALSE)</x:f>
        <x:v>46309.666666666664</x:v>
      </x:c>
      <x:c r="O2452" s="16" t="n">
        <x:f>MAX(0,(M2452-N2452)*24)</x:f>
        <x:v>0</x:v>
      </x:c>
      <x:c r="P2452" s="9" t="str">
        <x:v>No</x:v>
      </x:c>
      <x:c r="Q2452" s="15" t="n">
        <x:v>18</x:v>
      </x:c>
      <x:c r="R2452" s="13" t="n">
        <x:f>J2452+Q2452/1440</x:f>
        <x:v>46309.274999999994</x:v>
      </x:c>
      <x:c r="S2452" s="2" t="str">
        <x:f>VLOOKUP(C2452,'MES orders'!$A$8:$H$127,6,FALSE)</x:f>
        <x:v>High</x:v>
      </x:c>
      <x:c r="T2452" s="9" t="str"/>
    </x:row>
    <x:row r="2453" ht="22" customHeight="1">
      <x:c r="A2453" s="2" t="str">
        <x:v>L00066-030</x:v>
      </x:c>
      <x:c r="B2453" s="2" t="str">
        <x:v>L00066</x:v>
      </x:c>
      <x:c r="C2453" s="2" t="str">
        <x:v>SO-26014</x:v>
      </x:c>
      <x:c r="D2453" s="2" t="str">
        <x:v>D-C-SS</x:v>
      </x:c>
      <x:c r="E2453" s="14" t="n">
        <x:v>5</x:v>
      </x:c>
      <x:c r="F2453" s="2" t="str">
        <x:v>Wash &amp; dry</x:v>
      </x:c>
      <x:c r="G2453" s="9" t="str">
        <x:v>WS-01</x:v>
      </x:c>
      <x:c r="H2453" s="15" t="n">
        <x:v>229</x:v>
      </x:c>
      <x:c r="I2453" s="9" t="str">
        <x:v>P03</x:v>
      </x:c>
      <x:c r="J2453" s="11" t="n">
        <x:v>46309.26388888889</x:v>
      </x:c>
      <x:c r="K2453" s="15" t="n">
        <x:v>12</x:v>
      </x:c>
      <x:c r="L2453" s="15" t="n">
        <x:v>1</x:v>
      </x:c>
      <x:c r="M2453" s="13" t="n">
        <x:f>J2453+(K2453+L2453)/1440</x:f>
        <x:v>46309.27291666667</x:v>
      </x:c>
      <x:c r="N2453" s="13" t="n">
        <x:f>VLOOKUP(C2453,'MES orders'!$A$8:$H$127,5,FALSE)</x:f>
        <x:v>46309.666666666664</x:v>
      </x:c>
      <x:c r="O2453" s="16" t="n">
        <x:f>MAX(0,(M2453-N2453)*24)</x:f>
        <x:v>0</x:v>
      </x:c>
      <x:c r="P2453" s="9" t="str">
        <x:v>No</x:v>
      </x:c>
      <x:c r="Q2453" s="15" t="n">
        <x:v>13</x:v>
      </x:c>
      <x:c r="R2453" s="13" t="n">
        <x:f>J2453+Q2453/1440</x:f>
        <x:v>46309.27291666667</x:v>
      </x:c>
      <x:c r="S2453" s="2" t="str">
        <x:f>VLOOKUP(C2453,'MES orders'!$A$8:$H$127,6,FALSE)</x:f>
        <x:v>Normal</x:v>
      </x:c>
      <x:c r="T2453" s="9" t="str"/>
    </x:row>
    <x:row r="2454" ht="22" customHeight="1">
      <x:c r="A2454" s="2" t="str">
        <x:v>L00348-070</x:v>
      </x:c>
      <x:c r="B2454" s="2" t="str">
        <x:v>L00348</x:v>
      </x:c>
      <x:c r="C2454" s="2" t="str">
        <x:v>SO-26070</x:v>
      </x:c>
      <x:c r="D2454" s="2" t="str">
        <x:v>S-S-SS</x:v>
      </x:c>
      <x:c r="E2454" s="14" t="n">
        <x:v>10</x:v>
      </x:c>
      <x:c r="F2454" s="2" t="str">
        <x:v>Final assembly</x:v>
      </x:c>
      <x:c r="G2454" s="9" t="str">
        <x:v>AS-01</x:v>
      </x:c>
      <x:c r="H2454" s="15" t="n">
        <x:v>198</x:v>
      </x:c>
      <x:c r="I2454" s="9" t="str">
        <x:v>P05</x:v>
      </x:c>
      <x:c r="J2454" s="11" t="n">
        <x:v>46309.26597222222</x:v>
      </x:c>
      <x:c r="K2454" s="15" t="n">
        <x:v>5</x:v>
      </x:c>
      <x:c r="L2454" s="15" t="n">
        <x:v>8</x:v>
      </x:c>
      <x:c r="M2454" s="13" t="n">
        <x:f>J2454+(K2454+L2454)/1440</x:f>
        <x:v>46309.275</x:v>
      </x:c>
      <x:c r="N2454" s="13" t="n">
        <x:f>VLOOKUP(C2454,'MES orders'!$A$8:$H$127,5,FALSE)</x:f>
        <x:v>46309.666666666664</x:v>
      </x:c>
      <x:c r="O2454" s="16" t="n">
        <x:f>MAX(0,(M2454-N2454)*24)</x:f>
        <x:v>0</x:v>
      </x:c>
      <x:c r="P2454" s="9" t="str">
        <x:v>No</x:v>
      </x:c>
      <x:c r="Q2454" s="15" t="n">
        <x:v>13</x:v>
      </x:c>
      <x:c r="R2454" s="13" t="n">
        <x:f>J2454+Q2454/1440</x:f>
        <x:v>46309.275</x:v>
      </x:c>
      <x:c r="S2454" s="2" t="str">
        <x:f>VLOOKUP(C2454,'MES orders'!$A$8:$H$127,6,FALSE)</x:f>
        <x:v>Urgent</x:v>
      </x:c>
      <x:c r="T2454" s="9" t="str"/>
    </x:row>
    <x:row r="2455" ht="22" customHeight="1">
      <x:c r="A2455" s="2" t="str">
        <x:v>L00349-060</x:v>
      </x:c>
      <x:c r="B2455" s="2" t="str">
        <x:v>L00349</x:v>
      </x:c>
      <x:c r="C2455" s="2" t="str">
        <x:v>SO-26070</x:v>
      </x:c>
      <x:c r="D2455" s="2" t="str">
        <x:v>S-S-SS</x:v>
      </x:c>
      <x:c r="E2455" s="14" t="n">
        <x:v>10</x:v>
      </x:c>
      <x:c r="F2455" s="2" t="str">
        <x:v>Sensor calibration</x:v>
      </x:c>
      <x:c r="G2455" s="9" t="str">
        <x:v>CAL-01</x:v>
      </x:c>
      <x:c r="H2455" s="15" t="n">
        <x:v>124</x:v>
      </x:c>
      <x:c r="I2455" s="9" t="str">
        <x:v>P09</x:v>
      </x:c>
      <x:c r="J2455" s="11" t="n">
        <x:v>46309.26597222222</x:v>
      </x:c>
      <x:c r="K2455" s="15" t="n">
        <x:v>10</x:v>
      </x:c>
      <x:c r="L2455" s="15" t="n">
        <x:v>13</x:v>
      </x:c>
      <x:c r="M2455" s="13" t="n">
        <x:f>J2455+(K2455+L2455)/1440</x:f>
        <x:v>46309.28194444445</x:v>
      </x:c>
      <x:c r="N2455" s="13" t="n">
        <x:f>VLOOKUP(C2455,'MES orders'!$A$8:$H$127,5,FALSE)</x:f>
        <x:v>46309.666666666664</x:v>
      </x:c>
      <x:c r="O2455" s="16" t="n">
        <x:f>MAX(0,(M2455-N2455)*24)</x:f>
        <x:v>0</x:v>
      </x:c>
      <x:c r="P2455" s="9" t="str">
        <x:v>No</x:v>
      </x:c>
      <x:c r="Q2455" s="15" t="n">
        <x:v>23</x:v>
      </x:c>
      <x:c r="R2455" s="13" t="n">
        <x:f>J2455+Q2455/1440</x:f>
        <x:v>46309.28194444445</x:v>
      </x:c>
      <x:c r="S2455" s="2" t="str">
        <x:f>VLOOKUP(C2455,'MES orders'!$A$8:$H$127,6,FALSE)</x:f>
        <x:v>Urgent</x:v>
      </x:c>
      <x:c r="T2455" s="9" t="str"/>
    </x:row>
    <x:row r="2456" ht="22" customHeight="1">
      <x:c r="A2456" s="2" t="str">
        <x:v>L00028-040</x:v>
      </x:c>
      <x:c r="B2456" s="2" t="str">
        <x:v>L00028</x:v>
      </x:c>
      <x:c r="C2456" s="2" t="str">
        <x:v>SO-26006</x:v>
      </x:c>
      <x:c r="D2456" s="2" t="str">
        <x:v>S-L-SS</x:v>
      </x:c>
      <x:c r="E2456" s="14" t="n">
        <x:v>10</x:v>
      </x:c>
      <x:c r="F2456" s="2" t="str">
        <x:v>Mechanical preassembly</x:v>
      </x:c>
      <x:c r="G2456" s="9" t="str">
        <x:v>AS-05</x:v>
      </x:c>
      <x:c r="H2456" s="15" t="n">
        <x:v>46</x:v>
      </x:c>
      <x:c r="I2456" s="9" t="str">
        <x:v>P02</x:v>
      </x:c>
      <x:c r="J2456" s="11" t="n">
        <x:v>46309.270833333336</x:v>
      </x:c>
      <x:c r="K2456" s="15" t="n">
        <x:v>6</x:v>
      </x:c>
      <x:c r="L2456" s="15" t="n">
        <x:v>15</x:v>
      </x:c>
      <x:c r="M2456" s="13" t="n">
        <x:f>J2456+(K2456+L2456)/1440</x:f>
        <x:v>46309.285416666666</x:v>
      </x:c>
      <x:c r="N2456" s="13" t="n">
        <x:f>VLOOKUP(C2456,'MES orders'!$A$8:$H$127,5,FALSE)</x:f>
        <x:v>46309.666666666664</x:v>
      </x:c>
      <x:c r="O2456" s="16" t="n">
        <x:f>MAX(0,(M2456-N2456)*24)</x:f>
        <x:v>0</x:v>
      </x:c>
      <x:c r="P2456" s="9" t="str">
        <x:v>No</x:v>
      </x:c>
      <x:c r="Q2456" s="15" t="n">
        <x:v>21</x:v>
      </x:c>
      <x:c r="R2456" s="13" t="n">
        <x:f>J2456+Q2456/1440</x:f>
        <x:v>46309.285416666666</x:v>
      </x:c>
      <x:c r="S2456" s="2" t="str">
        <x:f>VLOOKUP(C2456,'MES orders'!$A$8:$H$127,6,FALSE)</x:f>
        <x:v>Normal</x:v>
      </x:c>
      <x:c r="T2456" s="9" t="str"/>
    </x:row>
    <x:row r="2457" ht="22" customHeight="1">
      <x:c r="A2457" s="2" t="str">
        <x:v>L00072-060</x:v>
      </x:c>
      <x:c r="B2457" s="2" t="str">
        <x:v>L00072</x:v>
      </x:c>
      <x:c r="C2457" s="2" t="str">
        <x:v>SO-26015</x:v>
      </x:c>
      <x:c r="D2457" s="2" t="str">
        <x:v>R-S-AL</x:v>
      </x:c>
      <x:c r="E2457" s="14" t="n">
        <x:v>10</x:v>
      </x:c>
      <x:c r="F2457" s="2" t="str">
        <x:v>Final leak / function test</x:v>
      </x:c>
      <x:c r="G2457" s="9" t="str">
        <x:v>QA-03</x:v>
      </x:c>
      <x:c r="H2457" s="15" t="n">
        <x:v>107</x:v>
      </x:c>
      <x:c r="I2457" s="9" t="str">
        <x:v>P12</x:v>
      </x:c>
      <x:c r="J2457" s="11" t="n">
        <x:v>46309.270833333336</x:v>
      </x:c>
      <x:c r="K2457" s="15" t="n">
        <x:v>10</x:v>
      </x:c>
      <x:c r="L2457" s="15" t="n">
        <x:v>9</x:v>
      </x:c>
      <x:c r="M2457" s="13" t="n">
        <x:f>J2457+(K2457+L2457)/1440</x:f>
        <x:v>46309.28402777778</x:v>
      </x:c>
      <x:c r="N2457" s="13" t="n">
        <x:f>VLOOKUP(C2457,'MES orders'!$A$8:$H$127,5,FALSE)</x:f>
        <x:v>46310.666666666664</x:v>
      </x:c>
      <x:c r="O2457" s="16" t="n">
        <x:f>MAX(0,(M2457-N2457)*24)</x:f>
        <x:v>0</x:v>
      </x:c>
      <x:c r="P2457" s="9" t="str">
        <x:v>No</x:v>
      </x:c>
      <x:c r="Q2457" s="15" t="n">
        <x:v>19</x:v>
      </x:c>
      <x:c r="R2457" s="13" t="n">
        <x:f>J2457+Q2457/1440</x:f>
        <x:v>46309.28402777778</x:v>
      </x:c>
      <x:c r="S2457" s="2" t="str">
        <x:f>VLOOKUP(C2457,'MES orders'!$A$8:$H$127,6,FALSE)</x:f>
        <x:v>High</x:v>
      </x:c>
      <x:c r="T2457" s="9" t="str"/>
    </x:row>
    <x:row r="2458" ht="22" customHeight="1">
      <x:c r="A2458" s="2" t="str">
        <x:v>L00066-040</x:v>
      </x:c>
      <x:c r="B2458" s="2" t="str">
        <x:v>L00066</x:v>
      </x:c>
      <x:c r="C2458" s="2" t="str">
        <x:v>SO-26014</x:v>
      </x:c>
      <x:c r="D2458" s="2" t="str">
        <x:v>D-C-SS</x:v>
      </x:c>
      <x:c r="E2458" s="14" t="n">
        <x:v>5</x:v>
      </x:c>
      <x:c r="F2458" s="2" t="str">
        <x:v>Mechanical assembly</x:v>
      </x:c>
      <x:c r="G2458" s="9" t="str">
        <x:v>AS-06</x:v>
      </x:c>
      <x:c r="H2458" s="15" t="n">
        <x:v>18</x:v>
      </x:c>
      <x:c r="I2458" s="9" t="str">
        <x:v>P03</x:v>
      </x:c>
      <x:c r="J2458" s="11" t="n">
        <x:v>46309.27291666667</x:v>
      </x:c>
      <x:c r="K2458" s="15" t="n">
        <x:v>8</x:v>
      </x:c>
      <x:c r="L2458" s="15" t="n">
        <x:v>7</x:v>
      </x:c>
      <x:c r="M2458" s="13" t="n">
        <x:f>J2458+(K2458+L2458)/1440</x:f>
        <x:v>46309.28333333333</x:v>
      </x:c>
      <x:c r="N2458" s="13" t="n">
        <x:f>VLOOKUP(C2458,'MES orders'!$A$8:$H$127,5,FALSE)</x:f>
        <x:v>46309.666666666664</x:v>
      </x:c>
      <x:c r="O2458" s="16" t="n">
        <x:f>MAX(0,(M2458-N2458)*24)</x:f>
        <x:v>0</x:v>
      </x:c>
      <x:c r="P2458" s="9" t="str">
        <x:v>No</x:v>
      </x:c>
      <x:c r="Q2458" s="15" t="n">
        <x:v>15</x:v>
      </x:c>
      <x:c r="R2458" s="13" t="n">
        <x:f>J2458+Q2458/1440</x:f>
        <x:v>46309.28333333333</x:v>
      </x:c>
      <x:c r="S2458" s="2" t="str">
        <x:f>VLOOKUP(C2458,'MES orders'!$A$8:$H$127,6,FALSE)</x:f>
        <x:v>Normal</x:v>
      </x:c>
      <x:c r="T2458" s="9" t="str"/>
    </x:row>
    <x:row r="2459" ht="22" customHeight="1">
      <x:c r="A2459" s="2" t="str">
        <x:v>L00348-080</x:v>
      </x:c>
      <x:c r="B2459" s="2" t="str">
        <x:v>L00348</x:v>
      </x:c>
      <x:c r="C2459" s="2" t="str">
        <x:v>SO-26070</x:v>
      </x:c>
      <x:c r="D2459" s="2" t="str">
        <x:v>S-S-SS</x:v>
      </x:c>
      <x:c r="E2459" s="14" t="n">
        <x:v>10</x:v>
      </x:c>
      <x:c r="F2459" s="2" t="str">
        <x:v>Final leak / function test</x:v>
      </x:c>
      <x:c r="G2459" s="9" t="str">
        <x:v>QA-02</x:v>
      </x:c>
      <x:c r="H2459" s="15" t="n">
        <x:v>180</x:v>
      </x:c>
      <x:c r="I2459" s="9" t="str">
        <x:v>P11</x:v>
      </x:c>
      <x:c r="J2459" s="11" t="n">
        <x:v>46309.275</x:v>
      </x:c>
      <x:c r="K2459" s="15" t="n">
        <x:v>10</x:v>
      </x:c>
      <x:c r="L2459" s="15" t="n">
        <x:v>9</x:v>
      </x:c>
      <x:c r="M2459" s="13" t="n">
        <x:f>J2459+(K2459+L2459)/1440</x:f>
        <x:v>46309.288194444445</x:v>
      </x:c>
      <x:c r="N2459" s="13" t="n">
        <x:f>VLOOKUP(C2459,'MES orders'!$A$8:$H$127,5,FALSE)</x:f>
        <x:v>46309.666666666664</x:v>
      </x:c>
      <x:c r="O2459" s="16" t="n">
        <x:f>MAX(0,(M2459-N2459)*24)</x:f>
        <x:v>0</x:v>
      </x:c>
      <x:c r="P2459" s="9" t="str">
        <x:v>No</x:v>
      </x:c>
      <x:c r="Q2459" s="15" t="n">
        <x:v>19</x:v>
      </x:c>
      <x:c r="R2459" s="13" t="n">
        <x:f>J2459+Q2459/1440</x:f>
        <x:v>46309.288194444445</x:v>
      </x:c>
      <x:c r="S2459" s="2" t="str">
        <x:f>VLOOKUP(C2459,'MES orders'!$A$8:$H$127,6,FALSE)</x:f>
        <x:v>Urgent</x:v>
      </x:c>
      <x:c r="T2459" s="9" t="str"/>
    </x:row>
    <x:row r="2460" ht="22" customHeight="1">
      <x:c r="A2460" s="2" t="str">
        <x:v>L00074-030</x:v>
      </x:c>
      <x:c r="B2460" s="2" t="str">
        <x:v>L00074</x:v>
      </x:c>
      <x:c r="C2460" s="2" t="str">
        <x:v>SO-26015</x:v>
      </x:c>
      <x:c r="D2460" s="2" t="str">
        <x:v>R-S-AL</x:v>
      </x:c>
      <x:c r="E2460" s="14" t="n">
        <x:v>10</x:v>
      </x:c>
      <x:c r="F2460" s="2" t="str">
        <x:v>Wash &amp; dry</x:v>
      </x:c>
      <x:c r="G2460" s="9" t="str">
        <x:v>WS-01</x:v>
      </x:c>
      <x:c r="H2460" s="15" t="n">
        <x:v>230</x:v>
      </x:c>
      <x:c r="I2460" s="9" t="str">
        <x:v>P01</x:v>
      </x:c>
      <x:c r="J2460" s="11" t="n">
        <x:v>46309.275</x:v>
      </x:c>
      <x:c r="K2460" s="15" t="n">
        <x:v>12</x:v>
      </x:c>
      <x:c r="L2460" s="15" t="n">
        <x:v>4</x:v>
      </x:c>
      <x:c r="M2460" s="13" t="n">
        <x:f>J2460+(K2460+L2460)/1440</x:f>
        <x:v>46309.28611111111</x:v>
      </x:c>
      <x:c r="N2460" s="13" t="n">
        <x:f>VLOOKUP(C2460,'MES orders'!$A$8:$H$127,5,FALSE)</x:f>
        <x:v>46310.666666666664</x:v>
      </x:c>
      <x:c r="O2460" s="16" t="n">
        <x:f>MAX(0,(M2460-N2460)*24)</x:f>
        <x:v>0</x:v>
      </x:c>
      <x:c r="P2460" s="9" t="str">
        <x:v>No</x:v>
      </x:c>
      <x:c r="Q2460" s="15" t="n">
        <x:v>16</x:v>
      </x:c>
      <x:c r="R2460" s="13" t="n">
        <x:f>J2460+Q2460/1440</x:f>
        <x:v>46309.28611111111</x:v>
      </x:c>
      <x:c r="S2460" s="2" t="str">
        <x:f>VLOOKUP(C2460,'MES orders'!$A$8:$H$127,6,FALSE)</x:f>
        <x:v>High</x:v>
      </x:c>
      <x:c r="T2460" s="9" t="str"/>
    </x:row>
    <x:row r="2461" ht="22" customHeight="1">
      <x:c r="A2461" s="2" t="str">
        <x:v>L00027-050</x:v>
      </x:c>
      <x:c r="B2461" s="2" t="str">
        <x:v>L00027</x:v>
      </x:c>
      <x:c r="C2461" s="2" t="str">
        <x:v>SO-26006</x:v>
      </x:c>
      <x:c r="D2461" s="2" t="str">
        <x:v>S-L-SS</x:v>
      </x:c>
      <x:c r="E2461" s="14" t="n">
        <x:v>10</x:v>
      </x:c>
      <x:c r="F2461" s="2" t="str">
        <x:v>Sensor installation</x:v>
      </x:c>
      <x:c r="G2461" s="9" t="str">
        <x:v>EL-01</x:v>
      </x:c>
      <x:c r="H2461" s="15" t="n">
        <x:v>84</x:v>
      </x:c>
      <x:c r="I2461" s="9" t="str">
        <x:v>P07</x:v>
      </x:c>
      <x:c r="J2461" s="11" t="n">
        <x:v>46309.27638888889</x:v>
      </x:c>
      <x:c r="K2461" s="15" t="n">
        <x:v>8</x:v>
      </x:c>
      <x:c r="L2461" s="15" t="n">
        <x:v>16</x:v>
      </x:c>
      <x:c r="M2461" s="13" t="n">
        <x:f>J2461+(K2461+L2461)/1440</x:f>
        <x:v>46309.29305555556</x:v>
      </x:c>
      <x:c r="N2461" s="13" t="n">
        <x:f>VLOOKUP(C2461,'MES orders'!$A$8:$H$127,5,FALSE)</x:f>
        <x:v>46309.666666666664</x:v>
      </x:c>
      <x:c r="O2461" s="16" t="n">
        <x:f>MAX(0,(M2461-N2461)*24)</x:f>
        <x:v>0</x:v>
      </x:c>
      <x:c r="P2461" s="9" t="str">
        <x:v>No</x:v>
      </x:c>
      <x:c r="Q2461" s="15" t="n">
        <x:v>24</x:v>
      </x:c>
      <x:c r="R2461" s="13" t="n">
        <x:f>J2461+Q2461/1440</x:f>
        <x:v>46309.29305555556</x:v>
      </x:c>
      <x:c r="S2461" s="2" t="str">
        <x:f>VLOOKUP(C2461,'MES orders'!$A$8:$H$127,6,FALSE)</x:f>
        <x:v>Normal</x:v>
      </x:c>
      <x:c r="T2461" s="9" t="str"/>
    </x:row>
    <x:row r="2462" ht="22" customHeight="1">
      <x:c r="A2462" s="2" t="str">
        <x:v>L00349-070</x:v>
      </x:c>
      <x:c r="B2462" s="2" t="str">
        <x:v>L00349</x:v>
      </x:c>
      <x:c r="C2462" s="2" t="str">
        <x:v>SO-26070</x:v>
      </x:c>
      <x:c r="D2462" s="2" t="str">
        <x:v>S-S-SS</x:v>
      </x:c>
      <x:c r="E2462" s="14" t="n">
        <x:v>10</x:v>
      </x:c>
      <x:c r="F2462" s="2" t="str">
        <x:v>Final assembly</x:v>
      </x:c>
      <x:c r="G2462" s="9" t="str">
        <x:v>AS-01</x:v>
      </x:c>
      <x:c r="H2462" s="15" t="n">
        <x:v>199</x:v>
      </x:c>
      <x:c r="I2462" s="9" t="str">
        <x:v>P05</x:v>
      </x:c>
      <x:c r="J2462" s="11" t="n">
        <x:v>46309.28194444445</x:v>
      </x:c>
      <x:c r="K2462" s="15" t="n">
        <x:v>5</x:v>
      </x:c>
      <x:c r="L2462" s="15" t="n">
        <x:v>8</x:v>
      </x:c>
      <x:c r="M2462" s="13" t="n">
        <x:f>J2462+(K2462+L2462)/1440</x:f>
        <x:v>46309.290972222225</x:v>
      </x:c>
      <x:c r="N2462" s="13" t="n">
        <x:f>VLOOKUP(C2462,'MES orders'!$A$8:$H$127,5,FALSE)</x:f>
        <x:v>46309.666666666664</x:v>
      </x:c>
      <x:c r="O2462" s="16" t="n">
        <x:f>MAX(0,(M2462-N2462)*24)</x:f>
        <x:v>0</x:v>
      </x:c>
      <x:c r="P2462" s="9" t="str">
        <x:v>No</x:v>
      </x:c>
      <x:c r="Q2462" s="15" t="n">
        <x:v>13</x:v>
      </x:c>
      <x:c r="R2462" s="13" t="n">
        <x:f>J2462+Q2462/1440</x:f>
        <x:v>46309.290972222225</x:v>
      </x:c>
      <x:c r="S2462" s="2" t="str">
        <x:f>VLOOKUP(C2462,'MES orders'!$A$8:$H$127,6,FALSE)</x:f>
        <x:v>Urgent</x:v>
      </x:c>
      <x:c r="T2462" s="9" t="str"/>
    </x:row>
    <x:row r="2463" ht="22" customHeight="1">
      <x:c r="A2463" s="2" t="str">
        <x:v>L00350-060</x:v>
      </x:c>
      <x:c r="B2463" s="2" t="str">
        <x:v>L00350</x:v>
      </x:c>
      <x:c r="C2463" s="2" t="str">
        <x:v>SO-26070</x:v>
      </x:c>
      <x:c r="D2463" s="2" t="str">
        <x:v>S-S-SS</x:v>
      </x:c>
      <x:c r="E2463" s="14" t="n">
        <x:v>10</x:v>
      </x:c>
      <x:c r="F2463" s="2" t="str">
        <x:v>Sensor calibration</x:v>
      </x:c>
      <x:c r="G2463" s="9" t="str">
        <x:v>CAL-01</x:v>
      </x:c>
      <x:c r="H2463" s="15" t="n">
        <x:v>125</x:v>
      </x:c>
      <x:c r="I2463" s="9" t="str">
        <x:v>P09</x:v>
      </x:c>
      <x:c r="J2463" s="11" t="n">
        <x:v>46309.28194444445</x:v>
      </x:c>
      <x:c r="K2463" s="15" t="n">
        <x:v>10</x:v>
      </x:c>
      <x:c r="L2463" s="15" t="n">
        <x:v>13</x:v>
      </x:c>
      <x:c r="M2463" s="13" t="n">
        <x:f>J2463+(K2463+L2463)/1440</x:f>
        <x:v>46309.29791666667</x:v>
      </x:c>
      <x:c r="N2463" s="13" t="n">
        <x:f>VLOOKUP(C2463,'MES orders'!$A$8:$H$127,5,FALSE)</x:f>
        <x:v>46309.666666666664</x:v>
      </x:c>
      <x:c r="O2463" s="16" t="n">
        <x:f>MAX(0,(M2463-N2463)*24)</x:f>
        <x:v>0</x:v>
      </x:c>
      <x:c r="P2463" s="9" t="str">
        <x:v>No</x:v>
      </x:c>
      <x:c r="Q2463" s="15" t="n">
        <x:v>23</x:v>
      </x:c>
      <x:c r="R2463" s="13" t="n">
        <x:f>J2463+Q2463/1440</x:f>
        <x:v>46309.29791666667</x:v>
      </x:c>
      <x:c r="S2463" s="2" t="str">
        <x:f>VLOOKUP(C2463,'MES orders'!$A$8:$H$127,6,FALSE)</x:f>
        <x:v>Urgent</x:v>
      </x:c>
      <x:c r="T2463" s="9" t="str"/>
    </x:row>
    <x:row r="2464" ht="22" customHeight="1">
      <x:c r="A2464" s="2" t="str">
        <x:v>L00075-030</x:v>
      </x:c>
      <x:c r="B2464" s="2" t="str">
        <x:v>L00075</x:v>
      </x:c>
      <x:c r="C2464" s="2" t="str">
        <x:v>SO-26015</x:v>
      </x:c>
      <x:c r="D2464" s="2" t="str">
        <x:v>R-S-AL</x:v>
      </x:c>
      <x:c r="E2464" s="14" t="n">
        <x:v>10</x:v>
      </x:c>
      <x:c r="F2464" s="2" t="str">
        <x:v>Wash &amp; dry</x:v>
      </x:c>
      <x:c r="G2464" s="9" t="str">
        <x:v>WS-02</x:v>
      </x:c>
      <x:c r="H2464" s="15" t="n">
        <x:v>161</x:v>
      </x:c>
      <x:c r="I2464" s="9" t="str">
        <x:v>P03</x:v>
      </x:c>
      <x:c r="J2464" s="11" t="n">
        <x:v>46309.28333333333</x:v>
      </x:c>
      <x:c r="K2464" s="15" t="n">
        <x:v>12</x:v>
      </x:c>
      <x:c r="L2464" s="15" t="n">
        <x:v>4</x:v>
      </x:c>
      <x:c r="M2464" s="13" t="n">
        <x:f>J2464+(K2464+L2464)/1440</x:f>
        <x:v>46309.294444444444</x:v>
      </x:c>
      <x:c r="N2464" s="13" t="n">
        <x:f>VLOOKUP(C2464,'MES orders'!$A$8:$H$127,5,FALSE)</x:f>
        <x:v>46310.666666666664</x:v>
      </x:c>
      <x:c r="O2464" s="16" t="n">
        <x:f>MAX(0,(M2464-N2464)*24)</x:f>
        <x:v>0</x:v>
      </x:c>
      <x:c r="P2464" s="9" t="str">
        <x:v>No</x:v>
      </x:c>
      <x:c r="Q2464" s="15" t="n">
        <x:v>16</x:v>
      </x:c>
      <x:c r="R2464" s="13" t="n">
        <x:f>J2464+Q2464/1440</x:f>
        <x:v>46309.294444444444</x:v>
      </x:c>
      <x:c r="S2464" s="2" t="str">
        <x:f>VLOOKUP(C2464,'MES orders'!$A$8:$H$127,6,FALSE)</x:f>
        <x:v>High</x:v>
      </x:c>
      <x:c r="T2464" s="9" t="str"/>
    </x:row>
    <x:row r="2465" ht="22" customHeight="1">
      <x:c r="A2465" s="2" t="str">
        <x:v>L00028-050</x:v>
      </x:c>
      <x:c r="B2465" s="2" t="str">
        <x:v>L00028</x:v>
      </x:c>
      <x:c r="C2465" s="2" t="str">
        <x:v>SO-26006</x:v>
      </x:c>
      <x:c r="D2465" s="2" t="str">
        <x:v>S-L-SS</x:v>
      </x:c>
      <x:c r="E2465" s="14" t="n">
        <x:v>10</x:v>
      </x:c>
      <x:c r="F2465" s="2" t="str">
        <x:v>Sensor installation</x:v>
      </x:c>
      <x:c r="G2465" s="9" t="str">
        <x:v>EL-02</x:v>
      </x:c>
      <x:c r="H2465" s="15" t="n">
        <x:v>43</x:v>
      </x:c>
      <x:c r="I2465" s="9" t="str">
        <x:v>P08</x:v>
      </x:c>
      <x:c r="J2465" s="11" t="n">
        <x:v>46309.285416666666</x:v>
      </x:c>
      <x:c r="K2465" s="15" t="n">
        <x:v>8</x:v>
      </x:c>
      <x:c r="L2465" s="15" t="n">
        <x:v>16</x:v>
      </x:c>
      <x:c r="M2465" s="13" t="n">
        <x:f>J2465+(K2465+L2465)/1440</x:f>
        <x:v>46309.302083333336</x:v>
      </x:c>
      <x:c r="N2465" s="13" t="n">
        <x:f>VLOOKUP(C2465,'MES orders'!$A$8:$H$127,5,FALSE)</x:f>
        <x:v>46309.666666666664</x:v>
      </x:c>
      <x:c r="O2465" s="16" t="n">
        <x:f>MAX(0,(M2465-N2465)*24)</x:f>
        <x:v>0</x:v>
      </x:c>
      <x:c r="P2465" s="9" t="str">
        <x:v>No</x:v>
      </x:c>
      <x:c r="Q2465" s="15" t="n">
        <x:v>24</x:v>
      </x:c>
      <x:c r="R2465" s="13" t="n">
        <x:f>J2465+Q2465/1440</x:f>
        <x:v>46309.302083333336</x:v>
      </x:c>
      <x:c r="S2465" s="2" t="str">
        <x:f>VLOOKUP(C2465,'MES orders'!$A$8:$H$127,6,FALSE)</x:f>
        <x:v>Normal</x:v>
      </x:c>
      <x:c r="T2465" s="9" t="str"/>
    </x:row>
    <x:row r="2466" ht="22" customHeight="1">
      <x:c r="A2466" s="2" t="str">
        <x:v>L00074-040</x:v>
      </x:c>
      <x:c r="B2466" s="2" t="str">
        <x:v>L00074</x:v>
      </x:c>
      <x:c r="C2466" s="2" t="str">
        <x:v>SO-26015</x:v>
      </x:c>
      <x:c r="D2466" s="2" t="str">
        <x:v>R-S-AL</x:v>
      </x:c>
      <x:c r="E2466" s="14" t="n">
        <x:v>10</x:v>
      </x:c>
      <x:c r="F2466" s="2" t="str">
        <x:v>Mechanical assembly</x:v>
      </x:c>
      <x:c r="G2466" s="9" t="str">
        <x:v>AS-05</x:v>
      </x:c>
      <x:c r="H2466" s="15" t="n">
        <x:v>47</x:v>
      </x:c>
      <x:c r="I2466" s="9" t="str">
        <x:v>P01</x:v>
      </x:c>
      <x:c r="J2466" s="11" t="n">
        <x:v>46309.28611111111</x:v>
      </x:c>
      <x:c r="K2466" s="15" t="n">
        <x:v>8</x:v>
      </x:c>
      <x:c r="L2466" s="15" t="n">
        <x:v>18</x:v>
      </x:c>
      <x:c r="M2466" s="13" t="n">
        <x:f>J2466+(K2466+L2466)/1440</x:f>
        <x:v>46309.30416666667</x:v>
      </x:c>
      <x:c r="N2466" s="13" t="n">
        <x:f>VLOOKUP(C2466,'MES orders'!$A$8:$H$127,5,FALSE)</x:f>
        <x:v>46310.666666666664</x:v>
      </x:c>
      <x:c r="O2466" s="16" t="n">
        <x:f>MAX(0,(M2466-N2466)*24)</x:f>
        <x:v>0</x:v>
      </x:c>
      <x:c r="P2466" s="9" t="str">
        <x:v>No</x:v>
      </x:c>
      <x:c r="Q2466" s="15" t="n">
        <x:v>26</x:v>
      </x:c>
      <x:c r="R2466" s="13" t="n">
        <x:f>J2466+Q2466/1440</x:f>
        <x:v>46309.30416666667</x:v>
      </x:c>
      <x:c r="S2466" s="2" t="str">
        <x:f>VLOOKUP(C2466,'MES orders'!$A$8:$H$127,6,FALSE)</x:f>
        <x:v>High</x:v>
      </x:c>
      <x:c r="T2466" s="9" t="str"/>
    </x:row>
    <x:row r="2467" ht="22" customHeight="1">
      <x:c r="A2467" s="2" t="str">
        <x:v>L00108-040</x:v>
      </x:c>
      <x:c r="B2467" s="2" t="str">
        <x:v>L00108</x:v>
      </x:c>
      <x:c r="C2467" s="2" t="str">
        <x:v>SO-26022</x:v>
      </x:c>
      <x:c r="D2467" s="2" t="str">
        <x:v>D-S-SS</x:v>
      </x:c>
      <x:c r="E2467" s="14" t="n">
        <x:v>25</x:v>
      </x:c>
      <x:c r="F2467" s="2" t="str">
        <x:v>Mechanical assembly</x:v>
      </x:c>
      <x:c r="G2467" s="9" t="str">
        <x:v>AS-02</x:v>
      </x:c>
      <x:c r="H2467" s="15" t="n">
        <x:v>162</x:v>
      </x:c>
      <x:c r="I2467" s="9" t="str">
        <x:v>P04</x:v>
      </x:c>
      <x:c r="J2467" s="11" t="n">
        <x:v>46309.28680555556</x:v>
      </x:c>
      <x:c r="K2467" s="15" t="n">
        <x:v>8</x:v>
      </x:c>
      <x:c r="L2467" s="15" t="n">
        <x:v>45</x:v>
      </x:c>
      <x:c r="M2467" s="13" t="n">
        <x:f>J2467+(K2467+L2467)/1440</x:f>
        <x:v>46309.32361111112</x:v>
      </x:c>
      <x:c r="N2467" s="13" t="n">
        <x:f>VLOOKUP(C2467,'MES orders'!$A$8:$H$127,5,FALSE)</x:f>
        <x:v>46309.666666666664</x:v>
      </x:c>
      <x:c r="O2467" s="16" t="n">
        <x:f>MAX(0,(M2467-N2467)*24)</x:f>
        <x:v>0</x:v>
      </x:c>
      <x:c r="P2467" s="9" t="str">
        <x:v>No</x:v>
      </x:c>
      <x:c r="Q2467" s="15" t="n">
        <x:v>53</x:v>
      </x:c>
      <x:c r="R2467" s="13" t="n">
        <x:f>J2467+Q2467/1440</x:f>
        <x:v>46309.32361111112</x:v>
      </x:c>
      <x:c r="S2467" s="2" t="str">
        <x:f>VLOOKUP(C2467,'MES orders'!$A$8:$H$127,6,FALSE)</x:f>
        <x:v>High</x:v>
      </x:c>
      <x:c r="T2467" s="9" t="str"/>
    </x:row>
    <x:row r="2468" ht="22" customHeight="1">
      <x:c r="A2468" s="2" t="str">
        <x:v>L00106-050</x:v>
      </x:c>
      <x:c r="B2468" s="2" t="str">
        <x:v>L00106</x:v>
      </x:c>
      <x:c r="C2468" s="2" t="str">
        <x:v>SO-26022</x:v>
      </x:c>
      <x:c r="D2468" s="2" t="str">
        <x:v>D-S-SS</x:v>
      </x:c>
      <x:c r="E2468" s="14" t="n">
        <x:v>25</x:v>
      </x:c>
      <x:c r="F2468" s="2" t="str">
        <x:v>Final leak / function test</x:v>
      </x:c>
      <x:c r="G2468" s="9" t="str">
        <x:v>QA-01</x:v>
      </x:c>
      <x:c r="H2468" s="15" t="n">
        <x:v>94</x:v>
      </x:c>
      <x:c r="I2468" s="9" t="str">
        <x:v>P12</x:v>
      </x:c>
      <x:c r="J2468" s="11" t="n">
        <x:v>46309.28680555556</x:v>
      </x:c>
      <x:c r="K2468" s="15" t="n">
        <x:v>10</x:v>
      </x:c>
      <x:c r="L2468" s="15" t="n">
        <x:v>22</x:v>
      </x:c>
      <x:c r="M2468" s="13" t="n">
        <x:f>J2468+(K2468+L2468)/1440</x:f>
        <x:v>46309.30902777778</x:v>
      </x:c>
      <x:c r="N2468" s="13" t="n">
        <x:f>VLOOKUP(C2468,'MES orders'!$A$8:$H$127,5,FALSE)</x:f>
        <x:v>46309.666666666664</x:v>
      </x:c>
      <x:c r="O2468" s="16" t="n">
        <x:f>MAX(0,(M2468-N2468)*24)</x:f>
        <x:v>0</x:v>
      </x:c>
      <x:c r="P2468" s="9" t="str">
        <x:v>No</x:v>
      </x:c>
      <x:c r="Q2468" s="15" t="n">
        <x:v>32</x:v>
      </x:c>
      <x:c r="R2468" s="13" t="n">
        <x:f>J2468+Q2468/1440</x:f>
        <x:v>46309.30902777778</x:v>
      </x:c>
      <x:c r="S2468" s="2" t="str">
        <x:f>VLOOKUP(C2468,'MES orders'!$A$8:$H$127,6,FALSE)</x:f>
        <x:v>High</x:v>
      </x:c>
      <x:c r="T2468" s="9" t="str"/>
    </x:row>
    <x:row r="2469" ht="22" customHeight="1">
      <x:c r="A2469" s="2" t="str">
        <x:v>L00109-030</x:v>
      </x:c>
      <x:c r="B2469" s="2" t="str">
        <x:v>L00109</x:v>
      </x:c>
      <x:c r="C2469" s="2" t="str">
        <x:v>SO-26022</x:v>
      </x:c>
      <x:c r="D2469" s="2" t="str">
        <x:v>D-S-SS</x:v>
      </x:c>
      <x:c r="E2469" s="14" t="n">
        <x:v>25</x:v>
      </x:c>
      <x:c r="F2469" s="2" t="str">
        <x:v>Wash &amp; dry</x:v>
      </x:c>
      <x:c r="G2469" s="9" t="str">
        <x:v>WS-01</x:v>
      </x:c>
      <x:c r="H2469" s="15" t="n">
        <x:v>231</x:v>
      </x:c>
      <x:c r="I2469" s="9" t="str">
        <x:v>P06</x:v>
      </x:c>
      <x:c r="J2469" s="11" t="n">
        <x:v>46309.28680555556</x:v>
      </x:c>
      <x:c r="K2469" s="15" t="n">
        <x:v>12</x:v>
      </x:c>
      <x:c r="L2469" s="15" t="n">
        <x:v>9</x:v>
      </x:c>
      <x:c r="M2469" s="13" t="n">
        <x:f>J2469+(K2469+L2469)/1440</x:f>
        <x:v>46309.30138888889</x:v>
      </x:c>
      <x:c r="N2469" s="13" t="n">
        <x:f>VLOOKUP(C2469,'MES orders'!$A$8:$H$127,5,FALSE)</x:f>
        <x:v>46309.666666666664</x:v>
      </x:c>
      <x:c r="O2469" s="16" t="n">
        <x:f>MAX(0,(M2469-N2469)*24)</x:f>
        <x:v>0</x:v>
      </x:c>
      <x:c r="P2469" s="9" t="str">
        <x:v>No</x:v>
      </x:c>
      <x:c r="Q2469" s="15" t="n">
        <x:v>21</x:v>
      </x:c>
      <x:c r="R2469" s="13" t="n">
        <x:f>J2469+Q2469/1440</x:f>
        <x:v>46309.30138888889</x:v>
      </x:c>
      <x:c r="S2469" s="2" t="str">
        <x:f>VLOOKUP(C2469,'MES orders'!$A$8:$H$127,6,FALSE)</x:f>
        <x:v>High</x:v>
      </x:c>
      <x:c r="T2469" s="9" t="str"/>
    </x:row>
    <x:row r="2470" ht="22" customHeight="1">
      <x:c r="A2470" s="2" t="str">
        <x:v>L00349-080</x:v>
      </x:c>
      <x:c r="B2470" s="2" t="str">
        <x:v>L00349</x:v>
      </x:c>
      <x:c r="C2470" s="2" t="str">
        <x:v>SO-26070</x:v>
      </x:c>
      <x:c r="D2470" s="2" t="str">
        <x:v>S-S-SS</x:v>
      </x:c>
      <x:c r="E2470" s="14" t="n">
        <x:v>10</x:v>
      </x:c>
      <x:c r="F2470" s="2" t="str">
        <x:v>Final leak / function test</x:v>
      </x:c>
      <x:c r="G2470" s="9" t="str">
        <x:v>QA-02</x:v>
      </x:c>
      <x:c r="H2470" s="15" t="n">
        <x:v>181</x:v>
      </x:c>
      <x:c r="I2470" s="9" t="str">
        <x:v>P11</x:v>
      </x:c>
      <x:c r="J2470" s="11" t="n">
        <x:v>46309.290972222225</x:v>
      </x:c>
      <x:c r="K2470" s="15" t="n">
        <x:v>10</x:v>
      </x:c>
      <x:c r="L2470" s="15" t="n">
        <x:v>9</x:v>
      </x:c>
      <x:c r="M2470" s="13" t="n">
        <x:f>J2470+(K2470+L2470)/1440</x:f>
        <x:v>46309.30416666667</x:v>
      </x:c>
      <x:c r="N2470" s="13" t="n">
        <x:f>VLOOKUP(C2470,'MES orders'!$A$8:$H$127,5,FALSE)</x:f>
        <x:v>46309.666666666664</x:v>
      </x:c>
      <x:c r="O2470" s="16" t="n">
        <x:f>MAX(0,(M2470-N2470)*24)</x:f>
        <x:v>0</x:v>
      </x:c>
      <x:c r="P2470" s="9" t="str">
        <x:v>No</x:v>
      </x:c>
      <x:c r="Q2470" s="15" t="n">
        <x:v>19</x:v>
      </x:c>
      <x:c r="R2470" s="13" t="n">
        <x:f>J2470+Q2470/1440</x:f>
        <x:v>46309.30416666667</x:v>
      </x:c>
      <x:c r="S2470" s="2" t="str">
        <x:f>VLOOKUP(C2470,'MES orders'!$A$8:$H$127,6,FALSE)</x:f>
        <x:v>Urgent</x:v>
      </x:c>
      <x:c r="T2470" s="9" t="str"/>
    </x:row>
    <x:row r="2471" ht="22" customHeight="1">
      <x:c r="A2471" s="2" t="str">
        <x:v>L00075-040</x:v>
      </x:c>
      <x:c r="B2471" s="2" t="str">
        <x:v>L00075</x:v>
      </x:c>
      <x:c r="C2471" s="2" t="str">
        <x:v>SO-26015</x:v>
      </x:c>
      <x:c r="D2471" s="2" t="str">
        <x:v>R-S-AL</x:v>
      </x:c>
      <x:c r="E2471" s="14" t="n">
        <x:v>10</x:v>
      </x:c>
      <x:c r="F2471" s="2" t="str">
        <x:v>Mechanical assembly</x:v>
      </x:c>
      <x:c r="G2471" s="9" t="str">
        <x:v>AS-06</x:v>
      </x:c>
      <x:c r="H2471" s="15" t="n">
        <x:v>19</x:v>
      </x:c>
      <x:c r="I2471" s="9" t="str">
        <x:v>P02</x:v>
      </x:c>
      <x:c r="J2471" s="11" t="n">
        <x:v>46309.294444444444</x:v>
      </x:c>
      <x:c r="K2471" s="15" t="n">
        <x:v>8</x:v>
      </x:c>
      <x:c r="L2471" s="15" t="n">
        <x:v>18</x:v>
      </x:c>
      <x:c r="M2471" s="13" t="n">
        <x:f>J2471+(K2471+L2471)/1440</x:f>
        <x:v>46309.3125</x:v>
      </x:c>
      <x:c r="N2471" s="13" t="n">
        <x:f>VLOOKUP(C2471,'MES orders'!$A$8:$H$127,5,FALSE)</x:f>
        <x:v>46310.666666666664</x:v>
      </x:c>
      <x:c r="O2471" s="16" t="n">
        <x:f>MAX(0,(M2471-N2471)*24)</x:f>
        <x:v>0</x:v>
      </x:c>
      <x:c r="P2471" s="9" t="str">
        <x:v>No</x:v>
      </x:c>
      <x:c r="Q2471" s="15" t="n">
        <x:v>26</x:v>
      </x:c>
      <x:c r="R2471" s="13" t="n">
        <x:f>J2471+Q2471/1440</x:f>
        <x:v>46309.3125</x:v>
      </x:c>
      <x:c r="S2471" s="2" t="str">
        <x:f>VLOOKUP(C2471,'MES orders'!$A$8:$H$127,6,FALSE)</x:f>
        <x:v>High</x:v>
      </x:c>
      <x:c r="T2471" s="9" t="str"/>
    </x:row>
    <x:row r="2472" ht="22" customHeight="1">
      <x:c r="A2472" s="2" t="str">
        <x:v>L00031-010</x:v>
      </x:c>
      <x:c r="B2472" s="2" t="str">
        <x:v>L00031</x:v>
      </x:c>
      <x:c r="C2472" s="2" t="str">
        <x:v>SO-26007</x:v>
      </x:c>
      <x:c r="D2472" s="2" t="str">
        <x:v>R-C-AL</x:v>
      </x:c>
      <x:c r="E2472" s="14" t="n">
        <x:v>5</x:v>
      </x:c>
      <x:c r="F2472" s="2" t="str">
        <x:v>CNC machining</x:v>
      </x:c>
      <x:c r="G2472" s="9" t="str">
        <x:v>CNC-01</x:v>
      </x:c>
      <x:c r="H2472" s="15" t="n">
        <x:v>70</x:v>
      </x:c>
      <x:c r="I2472" s="9" t="str">
        <x:v>P03</x:v>
      </x:c>
      <x:c r="J2472" s="11" t="n">
        <x:v>46309.294444444444</x:v>
      </x:c>
      <x:c r="K2472" s="15" t="n">
        <x:v>18</x:v>
      </x:c>
      <x:c r="L2472" s="15" t="n">
        <x:v>10</x:v>
      </x:c>
      <x:c r="M2472" s="13" t="n">
        <x:f>J2472+(K2472+L2472)/1440</x:f>
        <x:v>46309.313888888886</x:v>
      </x:c>
      <x:c r="N2472" s="13" t="n">
        <x:f>VLOOKUP(C2472,'MES orders'!$A$8:$H$127,5,FALSE)</x:f>
        <x:v>46310.666666666664</x:v>
      </x:c>
      <x:c r="O2472" s="16" t="n">
        <x:f>MAX(0,(M2472-N2472)*24)</x:f>
        <x:v>0</x:v>
      </x:c>
      <x:c r="P2472" s="9" t="str">
        <x:v>No</x:v>
      </x:c>
      <x:c r="Q2472" s="15" t="n">
        <x:v>18</x:v>
      </x:c>
      <x:c r="R2472" s="13" t="n">
        <x:f>J2472+Q2472/1440</x:f>
        <x:v>46309.30694444444</x:v>
      </x:c>
      <x:c r="S2472" s="2" t="str">
        <x:f>VLOOKUP(C2472,'MES orders'!$A$8:$H$127,6,FALSE)</x:f>
        <x:v>Normal</x:v>
      </x:c>
      <x:c r="T2472" s="9" t="str"/>
    </x:row>
    <x:row r="2473" ht="22" customHeight="1">
      <x:c r="A2473" s="2" t="str">
        <x:v>L00350-070</x:v>
      </x:c>
      <x:c r="B2473" s="2" t="str">
        <x:v>L00350</x:v>
      </x:c>
      <x:c r="C2473" s="2" t="str">
        <x:v>SO-26070</x:v>
      </x:c>
      <x:c r="D2473" s="2" t="str">
        <x:v>S-S-SS</x:v>
      </x:c>
      <x:c r="E2473" s="14" t="n">
        <x:v>10</x:v>
      </x:c>
      <x:c r="F2473" s="2" t="str">
        <x:v>Final assembly</x:v>
      </x:c>
      <x:c r="G2473" s="9" t="str">
        <x:v>AS-01</x:v>
      </x:c>
      <x:c r="H2473" s="15" t="n">
        <x:v>200</x:v>
      </x:c>
      <x:c r="I2473" s="9" t="str">
        <x:v>P05</x:v>
      </x:c>
      <x:c r="J2473" s="11" t="n">
        <x:v>46309.29791666667</x:v>
      </x:c>
      <x:c r="K2473" s="15" t="n">
        <x:v>5</x:v>
      </x:c>
      <x:c r="L2473" s="15" t="n">
        <x:v>8</x:v>
      </x:c>
      <x:c r="M2473" s="13" t="n">
        <x:f>J2473+(K2473+L2473)/1440</x:f>
        <x:v>46309.30694444445</x:v>
      </x:c>
      <x:c r="N2473" s="13" t="n">
        <x:f>VLOOKUP(C2473,'MES orders'!$A$8:$H$127,5,FALSE)</x:f>
        <x:v>46309.666666666664</x:v>
      </x:c>
      <x:c r="O2473" s="16" t="n">
        <x:f>MAX(0,(M2473-N2473)*24)</x:f>
        <x:v>0</x:v>
      </x:c>
      <x:c r="P2473" s="9" t="str">
        <x:v>No</x:v>
      </x:c>
      <x:c r="Q2473" s="15" t="n">
        <x:v>13</x:v>
      </x:c>
      <x:c r="R2473" s="13" t="n">
        <x:f>J2473+Q2473/1440</x:f>
        <x:v>46309.30694444445</x:v>
      </x:c>
      <x:c r="S2473" s="2" t="str">
        <x:f>VLOOKUP(C2473,'MES orders'!$A$8:$H$127,6,FALSE)</x:f>
        <x:v>Urgent</x:v>
      </x:c>
      <x:c r="T2473" s="9" t="str"/>
    </x:row>
    <x:row r="2474" ht="22" customHeight="1">
      <x:c r="A2474" s="2" t="str">
        <x:v>L00027-060</x:v>
      </x:c>
      <x:c r="B2474" s="2" t="str">
        <x:v>L00027</x:v>
      </x:c>
      <x:c r="C2474" s="2" t="str">
        <x:v>SO-26006</x:v>
      </x:c>
      <x:c r="D2474" s="2" t="str">
        <x:v>S-L-SS</x:v>
      </x:c>
      <x:c r="E2474" s="14" t="n">
        <x:v>10</x:v>
      </x:c>
      <x:c r="F2474" s="2" t="str">
        <x:v>Sensor calibration</x:v>
      </x:c>
      <x:c r="G2474" s="9" t="str">
        <x:v>CAL-01</x:v>
      </x:c>
      <x:c r="H2474" s="15" t="n">
        <x:v>126</x:v>
      </x:c>
      <x:c r="I2474" s="9" t="str">
        <x:v>P09</x:v>
      </x:c>
      <x:c r="J2474" s="11" t="n">
        <x:v>46309.29791666667</x:v>
      </x:c>
      <x:c r="K2474" s="15" t="n">
        <x:v>10</x:v>
      </x:c>
      <x:c r="L2474" s="15" t="n">
        <x:v>18</x:v>
      </x:c>
      <x:c r="M2474" s="13" t="n">
        <x:f>J2474+(K2474+L2474)/1440</x:f>
        <x:v>46309.31736111111</x:v>
      </x:c>
      <x:c r="N2474" s="13" t="n">
        <x:f>VLOOKUP(C2474,'MES orders'!$A$8:$H$127,5,FALSE)</x:f>
        <x:v>46309.666666666664</x:v>
      </x:c>
      <x:c r="O2474" s="16" t="n">
        <x:f>MAX(0,(M2474-N2474)*24)</x:f>
        <x:v>0</x:v>
      </x:c>
      <x:c r="P2474" s="9" t="str">
        <x:v>No</x:v>
      </x:c>
      <x:c r="Q2474" s="15" t="n">
        <x:v>28</x:v>
      </x:c>
      <x:c r="R2474" s="13" t="n">
        <x:f>J2474+Q2474/1440</x:f>
        <x:v>46309.31736111111</x:v>
      </x:c>
      <x:c r="S2474" s="2" t="str">
        <x:f>VLOOKUP(C2474,'MES orders'!$A$8:$H$127,6,FALSE)</x:f>
        <x:v>Normal</x:v>
      </x:c>
      <x:c r="T2474" s="9" t="str"/>
    </x:row>
    <x:row r="2475" ht="22" customHeight="1">
      <x:c r="A2475" s="2" t="str">
        <x:v>L00109-040</x:v>
      </x:c>
      <x:c r="B2475" s="2" t="str">
        <x:v>L00109</x:v>
      </x:c>
      <x:c r="C2475" s="2" t="str">
        <x:v>SO-26022</x:v>
      </x:c>
      <x:c r="D2475" s="2" t="str">
        <x:v>D-S-SS</x:v>
      </x:c>
      <x:c r="E2475" s="14" t="n">
        <x:v>25</x:v>
      </x:c>
      <x:c r="F2475" s="2" t="str">
        <x:v>Mechanical assembly</x:v>
      </x:c>
      <x:c r="G2475" s="9" t="str">
        <x:v>AS-03</x:v>
      </x:c>
      <x:c r="H2475" s="15" t="n">
        <x:v>131</x:v>
      </x:c>
      <x:c r="I2475" s="9" t="str">
        <x:v>P06</x:v>
      </x:c>
      <x:c r="J2475" s="11" t="n">
        <x:v>46309.30138888889</x:v>
      </x:c>
      <x:c r="K2475" s="15" t="n">
        <x:v>8</x:v>
      </x:c>
      <x:c r="L2475" s="15" t="n">
        <x:v>45</x:v>
      </x:c>
      <x:c r="M2475" s="13" t="n">
        <x:f>J2475+(K2475+L2475)/1440</x:f>
        <x:v>46309.33819444445</x:v>
      </x:c>
      <x:c r="N2475" s="13" t="n">
        <x:f>VLOOKUP(C2475,'MES orders'!$A$8:$H$127,5,FALSE)</x:f>
        <x:v>46309.666666666664</x:v>
      </x:c>
      <x:c r="O2475" s="16" t="n">
        <x:f>MAX(0,(M2475-N2475)*24)</x:f>
        <x:v>0</x:v>
      </x:c>
      <x:c r="P2475" s="9" t="str">
        <x:v>No</x:v>
      </x:c>
      <x:c r="Q2475" s="15" t="n">
        <x:v>53</x:v>
      </x:c>
      <x:c r="R2475" s="13" t="n">
        <x:f>J2475+Q2475/1440</x:f>
        <x:v>46309.33819444445</x:v>
      </x:c>
      <x:c r="S2475" s="2" t="str">
        <x:f>VLOOKUP(C2475,'MES orders'!$A$8:$H$127,6,FALSE)</x:f>
        <x:v>High</x:v>
      </x:c>
      <x:c r="T2475" s="9" t="str"/>
    </x:row>
    <x:row r="2476" ht="22" customHeight="1">
      <x:c r="A2476" s="2" t="str">
        <x:v>L00073-050</x:v>
      </x:c>
      <x:c r="B2476" s="2" t="str">
        <x:v>L00073</x:v>
      </x:c>
      <x:c r="C2476" s="2" t="str">
        <x:v>SO-26015</x:v>
      </x:c>
      <x:c r="D2476" s="2" t="str">
        <x:v>R-S-AL</x:v>
      </x:c>
      <x:c r="E2476" s="14" t="n">
        <x:v>10</x:v>
      </x:c>
      <x:c r="F2476" s="2" t="str">
        <x:v>Valve adjustment</x:v>
      </x:c>
      <x:c r="G2476" s="9" t="str">
        <x:v>AS-04</x:v>
      </x:c>
      <x:c r="H2476" s="15" t="n">
        <x:v>87</x:v>
      </x:c>
      <x:c r="I2476" s="9" t="str">
        <x:v>P08</x:v>
      </x:c>
      <x:c r="J2476" s="11" t="n">
        <x:v>46309.302083333336</x:v>
      </x:c>
      <x:c r="K2476" s="15" t="n">
        <x:v>6</x:v>
      </x:c>
      <x:c r="L2476" s="15" t="n">
        <x:v>11</x:v>
      </x:c>
      <x:c r="M2476" s="13" t="n">
        <x:f>J2476+(K2476+L2476)/1440</x:f>
        <x:v>46309.31388888889</x:v>
      </x:c>
      <x:c r="N2476" s="13" t="n">
        <x:f>VLOOKUP(C2476,'MES orders'!$A$8:$H$127,5,FALSE)</x:f>
        <x:v>46310.666666666664</x:v>
      </x:c>
      <x:c r="O2476" s="16" t="n">
        <x:f>MAX(0,(M2476-N2476)*24)</x:f>
        <x:v>0</x:v>
      </x:c>
      <x:c r="P2476" s="9" t="str">
        <x:v>No</x:v>
      </x:c>
      <x:c r="Q2476" s="15" t="n">
        <x:v>17</x:v>
      </x:c>
      <x:c r="R2476" s="13" t="n">
        <x:f>J2476+Q2476/1440</x:f>
        <x:v>46309.31388888889</x:v>
      </x:c>
      <x:c r="S2476" s="2" t="str">
        <x:f>VLOOKUP(C2476,'MES orders'!$A$8:$H$127,6,FALSE)</x:f>
        <x:v>High</x:v>
      </x:c>
      <x:c r="T2476" s="9" t="str"/>
    </x:row>
    <x:row r="2477" ht="22" customHeight="1">
      <x:c r="A2477" s="2" t="str">
        <x:v>L00110-020</x:v>
      </x:c>
      <x:c r="B2477" s="2" t="str">
        <x:v>L00110</x:v>
      </x:c>
      <x:c r="C2477" s="2" t="str">
        <x:v>SO-26022</x:v>
      </x:c>
      <x:c r="D2477" s="2" t="str">
        <x:v>D-S-SS</x:v>
      </x:c>
      <x:c r="E2477" s="14" t="n">
        <x:v>25</x:v>
      </x:c>
      <x:c r="F2477" s="2" t="str">
        <x:v>Deburr &amp; inspect</x:v>
      </x:c>
      <x:c r="G2477" s="9" t="str">
        <x:v>DB-01</x:v>
      </x:c>
      <x:c r="H2477" s="15" t="n">
        <x:v>234</x:v>
      </x:c>
      <x:c r="I2477" s="9" t="str">
        <x:v>P05</x:v>
      </x:c>
      <x:c r="J2477" s="11" t="n">
        <x:v>46309.30694444444</x:v>
      </x:c>
      <x:c r="K2477" s="15" t="n">
        <x:v>4</x:v>
      </x:c>
      <x:c r="L2477" s="15" t="n">
        <x:v>18</x:v>
      </x:c>
      <x:c r="M2477" s="13" t="n">
        <x:f>J2477+(K2477+L2477)/1440</x:f>
        <x:v>46309.32222222222</x:v>
      </x:c>
      <x:c r="N2477" s="13" t="n">
        <x:f>VLOOKUP(C2477,'MES orders'!$A$8:$H$127,5,FALSE)</x:f>
        <x:v>46309.666666666664</x:v>
      </x:c>
      <x:c r="O2477" s="16" t="n">
        <x:f>MAX(0,(M2477-N2477)*24)</x:f>
        <x:v>0</x:v>
      </x:c>
      <x:c r="P2477" s="9" t="str">
        <x:v>No</x:v>
      </x:c>
      <x:c r="Q2477" s="15" t="n">
        <x:v>22</x:v>
      </x:c>
      <x:c r="R2477" s="13" t="n">
        <x:f>J2477+Q2477/1440</x:f>
        <x:v>46309.32222222222</x:v>
      </x:c>
      <x:c r="S2477" s="2" t="str">
        <x:f>VLOOKUP(C2477,'MES orders'!$A$8:$H$127,6,FALSE)</x:f>
        <x:v>High</x:v>
      </x:c>
      <x:c r="T2477" s="9" t="str"/>
    </x:row>
    <x:row r="2478" ht="22" customHeight="1">
      <x:c r="A2478" s="2" t="str">
        <x:v>L00350-080</x:v>
      </x:c>
      <x:c r="B2478" s="2" t="str">
        <x:v>L00350</x:v>
      </x:c>
      <x:c r="C2478" s="2" t="str">
        <x:v>SO-26070</x:v>
      </x:c>
      <x:c r="D2478" s="2" t="str">
        <x:v>S-S-SS</x:v>
      </x:c>
      <x:c r="E2478" s="14" t="n">
        <x:v>10</x:v>
      </x:c>
      <x:c r="F2478" s="2" t="str">
        <x:v>Final leak / function test</x:v>
      </x:c>
      <x:c r="G2478" s="9" t="str">
        <x:v>QA-02</x:v>
      </x:c>
      <x:c r="H2478" s="15" t="n">
        <x:v>182</x:v>
      </x:c>
      <x:c r="I2478" s="9" t="str">
        <x:v>P11</x:v>
      </x:c>
      <x:c r="J2478" s="11" t="n">
        <x:v>46309.30694444444</x:v>
      </x:c>
      <x:c r="K2478" s="15" t="n">
        <x:v>10</x:v>
      </x:c>
      <x:c r="L2478" s="15" t="n">
        <x:v>9</x:v>
      </x:c>
      <x:c r="M2478" s="13" t="n">
        <x:f>J2478+(K2478+L2478)/1440</x:f>
        <x:v>46309.320138888885</x:v>
      </x:c>
      <x:c r="N2478" s="13" t="n">
        <x:f>VLOOKUP(C2478,'MES orders'!$A$8:$H$127,5,FALSE)</x:f>
        <x:v>46309.666666666664</x:v>
      </x:c>
      <x:c r="O2478" s="16" t="n">
        <x:f>MAX(0,(M2478-N2478)*24)</x:f>
        <x:v>0</x:v>
      </x:c>
      <x:c r="P2478" s="9" t="str">
        <x:v>No</x:v>
      </x:c>
      <x:c r="Q2478" s="15" t="n">
        <x:v>19</x:v>
      </x:c>
      <x:c r="R2478" s="13" t="n">
        <x:f>J2478+Q2478/1440</x:f>
        <x:v>46309.320138888885</x:v>
      </x:c>
      <x:c r="S2478" s="2" t="str">
        <x:f>VLOOKUP(C2478,'MES orders'!$A$8:$H$127,6,FALSE)</x:f>
        <x:v>Urgent</x:v>
      </x:c>
      <x:c r="T2478" s="9" t="str"/>
    </x:row>
    <x:row r="2479" ht="22" customHeight="1">
      <x:c r="A2479" s="2" t="str">
        <x:v>L00107-050</x:v>
      </x:c>
      <x:c r="B2479" s="2" t="str">
        <x:v>L00107</x:v>
      </x:c>
      <x:c r="C2479" s="2" t="str">
        <x:v>SO-26022</x:v>
      </x:c>
      <x:c r="D2479" s="2" t="str">
        <x:v>D-S-SS</x:v>
      </x:c>
      <x:c r="E2479" s="14" t="n">
        <x:v>25</x:v>
      </x:c>
      <x:c r="F2479" s="2" t="str">
        <x:v>Final leak / function test</x:v>
      </x:c>
      <x:c r="G2479" s="9" t="str">
        <x:v>QA-01</x:v>
      </x:c>
      <x:c r="H2479" s="15" t="n">
        <x:v>95</x:v>
      </x:c>
      <x:c r="I2479" s="9" t="str">
        <x:v>P12</x:v>
      </x:c>
      <x:c r="J2479" s="11" t="n">
        <x:v>46309.30902777778</x:v>
      </x:c>
      <x:c r="K2479" s="15" t="n">
        <x:v>10</x:v>
      </x:c>
      <x:c r="L2479" s="15" t="n">
        <x:v>22</x:v>
      </x:c>
      <x:c r="M2479" s="13" t="n">
        <x:f>J2479+(K2479+L2479)/1440</x:f>
        <x:v>46309.33125</x:v>
      </x:c>
      <x:c r="N2479" s="13" t="n">
        <x:f>VLOOKUP(C2479,'MES orders'!$A$8:$H$127,5,FALSE)</x:f>
        <x:v>46309.666666666664</x:v>
      </x:c>
      <x:c r="O2479" s="16" t="n">
        <x:f>MAX(0,(M2479-N2479)*24)</x:f>
        <x:v>0</x:v>
      </x:c>
      <x:c r="P2479" s="9" t="str">
        <x:v>No</x:v>
      </x:c>
      <x:c r="Q2479" s="15" t="n">
        <x:v>32</x:v>
      </x:c>
      <x:c r="R2479" s="13" t="n">
        <x:f>J2479+Q2479/1440</x:f>
        <x:v>46309.33125</x:v>
      </x:c>
      <x:c r="S2479" s="2" t="str">
        <x:f>VLOOKUP(C2479,'MES orders'!$A$8:$H$127,6,FALSE)</x:f>
        <x:v>High</x:v>
      </x:c>
      <x:c r="T2479" s="9" t="str"/>
    </x:row>
    <x:row r="2480" ht="22" customHeight="1">
      <x:c r="A2480" s="2" t="str">
        <x:v>L00031-020</x:v>
      </x:c>
      <x:c r="B2480" s="2" t="str">
        <x:v>L00031</x:v>
      </x:c>
      <x:c r="C2480" s="2" t="str">
        <x:v>SO-26007</x:v>
      </x:c>
      <x:c r="D2480" s="2" t="str">
        <x:v>R-C-AL</x:v>
      </x:c>
      <x:c r="E2480" s="14" t="n">
        <x:v>5</x:v>
      </x:c>
      <x:c r="F2480" s="2" t="str">
        <x:v>Deburr &amp; inspect</x:v>
      </x:c>
      <x:c r="G2480" s="9" t="str">
        <x:v>DB-02</x:v>
      </x:c>
      <x:c r="H2480" s="15" t="n">
        <x:v>161</x:v>
      </x:c>
      <x:c r="I2480" s="9" t="str">
        <x:v>P01</x:v>
      </x:c>
      <x:c r="J2480" s="11" t="n">
        <x:v>46309.313888888886</x:v>
      </x:c>
      <x:c r="K2480" s="15" t="n">
        <x:v>4</x:v>
      </x:c>
      <x:c r="L2480" s="15" t="n">
        <x:v>3</x:v>
      </x:c>
      <x:c r="M2480" s="13" t="n">
        <x:f>J2480+(K2480+L2480)/1440</x:f>
        <x:v>46309.31875</x:v>
      </x:c>
      <x:c r="N2480" s="13" t="n">
        <x:f>VLOOKUP(C2480,'MES orders'!$A$8:$H$127,5,FALSE)</x:f>
        <x:v>46310.666666666664</x:v>
      </x:c>
      <x:c r="O2480" s="16" t="n">
        <x:f>MAX(0,(M2480-N2480)*24)</x:f>
        <x:v>0</x:v>
      </x:c>
      <x:c r="P2480" s="9" t="str">
        <x:v>No</x:v>
      </x:c>
      <x:c r="Q2480" s="15" t="n">
        <x:v>7</x:v>
      </x:c>
      <x:c r="R2480" s="13" t="n">
        <x:f>J2480+Q2480/1440</x:f>
        <x:v>46309.31875</x:v>
      </x:c>
      <x:c r="S2480" s="2" t="str">
        <x:f>VLOOKUP(C2480,'MES orders'!$A$8:$H$127,6,FALSE)</x:f>
        <x:v>Normal</x:v>
      </x:c>
      <x:c r="T2480" s="9" t="str"/>
    </x:row>
    <x:row r="2481" ht="22" customHeight="1">
      <x:c r="A2481" s="2" t="str">
        <x:v>L00027-070</x:v>
      </x:c>
      <x:c r="B2481" s="2" t="str">
        <x:v>L00027</x:v>
      </x:c>
      <x:c r="C2481" s="2" t="str">
        <x:v>SO-26006</x:v>
      </x:c>
      <x:c r="D2481" s="2" t="str">
        <x:v>S-L-SS</x:v>
      </x:c>
      <x:c r="E2481" s="14" t="n">
        <x:v>10</x:v>
      </x:c>
      <x:c r="F2481" s="2" t="str">
        <x:v>Final assembly</x:v>
      </x:c>
      <x:c r="G2481" s="9" t="str">
        <x:v>AS-01</x:v>
      </x:c>
      <x:c r="H2481" s="15" t="n">
        <x:v>201</x:v>
      </x:c>
      <x:c r="I2481" s="9" t="str">
        <x:v>P08</x:v>
      </x:c>
      <x:c r="J2481" s="11" t="n">
        <x:v>46309.31736111111</x:v>
      </x:c>
      <x:c r="K2481" s="15" t="n">
        <x:v>5</x:v>
      </x:c>
      <x:c r="L2481" s="15" t="n">
        <x:v>11</x:v>
      </x:c>
      <x:c r="M2481" s="13" t="n">
        <x:f>J2481+(K2481+L2481)/1440</x:f>
        <x:v>46309.32847222222</x:v>
      </x:c>
      <x:c r="N2481" s="13" t="n">
        <x:f>VLOOKUP(C2481,'MES orders'!$A$8:$H$127,5,FALSE)</x:f>
        <x:v>46309.666666666664</x:v>
      </x:c>
      <x:c r="O2481" s="16" t="n">
        <x:f>MAX(0,(M2481-N2481)*24)</x:f>
        <x:v>0</x:v>
      </x:c>
      <x:c r="P2481" s="9" t="str">
        <x:v>No</x:v>
      </x:c>
      <x:c r="Q2481" s="15" t="n">
        <x:v>16</x:v>
      </x:c>
      <x:c r="R2481" s="13" t="n">
        <x:f>J2481+Q2481/1440</x:f>
        <x:v>46309.32847222222</x:v>
      </x:c>
      <x:c r="S2481" s="2" t="str">
        <x:f>VLOOKUP(C2481,'MES orders'!$A$8:$H$127,6,FALSE)</x:f>
        <x:v>Normal</x:v>
      </x:c>
      <x:c r="T2481" s="9" t="str"/>
    </x:row>
    <x:row r="2482" ht="22" customHeight="1">
      <x:c r="A2482" s="2" t="str">
        <x:v>L00028-060</x:v>
      </x:c>
      <x:c r="B2482" s="2" t="str">
        <x:v>L00028</x:v>
      </x:c>
      <x:c r="C2482" s="2" t="str">
        <x:v>SO-26006</x:v>
      </x:c>
      <x:c r="D2482" s="2" t="str">
        <x:v>S-L-SS</x:v>
      </x:c>
      <x:c r="E2482" s="14" t="n">
        <x:v>10</x:v>
      </x:c>
      <x:c r="F2482" s="2" t="str">
        <x:v>Sensor calibration</x:v>
      </x:c>
      <x:c r="G2482" s="9" t="str">
        <x:v>CAL-01</x:v>
      </x:c>
      <x:c r="H2482" s="15" t="n">
        <x:v>127</x:v>
      </x:c>
      <x:c r="I2482" s="9" t="str">
        <x:v>P09</x:v>
      </x:c>
      <x:c r="J2482" s="11" t="n">
        <x:v>46309.31736111111</x:v>
      </x:c>
      <x:c r="K2482" s="15" t="n">
        <x:v>10</x:v>
      </x:c>
      <x:c r="L2482" s="15" t="n">
        <x:v>18</x:v>
      </x:c>
      <x:c r="M2482" s="13" t="n">
        <x:f>J2482+(K2482+L2482)/1440</x:f>
        <x:v>46309.336805555555</x:v>
      </x:c>
      <x:c r="N2482" s="13" t="n">
        <x:f>VLOOKUP(C2482,'MES orders'!$A$8:$H$127,5,FALSE)</x:f>
        <x:v>46309.666666666664</x:v>
      </x:c>
      <x:c r="O2482" s="16" t="n">
        <x:f>MAX(0,(M2482-N2482)*24)</x:f>
        <x:v>0</x:v>
      </x:c>
      <x:c r="P2482" s="9" t="str">
        <x:v>No</x:v>
      </x:c>
      <x:c r="Q2482" s="15" t="n">
        <x:v>28</x:v>
      </x:c>
      <x:c r="R2482" s="13" t="n">
        <x:f>J2482+Q2482/1440</x:f>
        <x:v>46309.336805555555</x:v>
      </x:c>
      <x:c r="S2482" s="2" t="str">
        <x:f>VLOOKUP(C2482,'MES orders'!$A$8:$H$127,6,FALSE)</x:f>
        <x:v>Normal</x:v>
      </x:c>
      <x:c r="T2482" s="9" t="str"/>
    </x:row>
    <x:row r="2483" ht="22" customHeight="1">
      <x:c r="A2483" s="2" t="str">
        <x:v>L00390-010</x:v>
      </x:c>
      <x:c r="B2483" s="2" t="str">
        <x:v>L00390</x:v>
      </x:c>
      <x:c r="C2483" s="2" t="str">
        <x:v>SO-26078</x:v>
      </x:c>
      <x:c r="D2483" s="2" t="str">
        <x:v>S-L-SS</x:v>
      </x:c>
      <x:c r="E2483" s="14" t="n">
        <x:v>20</x:v>
      </x:c>
      <x:c r="F2483" s="2" t="str">
        <x:v>CNC machining</x:v>
      </x:c>
      <x:c r="G2483" s="9" t="str">
        <x:v>CNC-03</x:v>
      </x:c>
      <x:c r="H2483" s="15" t="n">
        <x:v>79</x:v>
      </x:c>
      <x:c r="I2483" s="9" t="str">
        <x:v>P01</x:v>
      </x:c>
      <x:c r="J2483" s="11" t="n">
        <x:v>46309.31875</x:v>
      </x:c>
      <x:c r="K2483" s="15" t="n">
        <x:v>18</x:v>
      </x:c>
      <x:c r="L2483" s="15" t="n">
        <x:v>81</x:v>
      </x:c>
      <x:c r="M2483" s="13" t="n">
        <x:f>J2483+(K2483+L2483)/1440</x:f>
        <x:v>46309.3875</x:v>
      </x:c>
      <x:c r="N2483" s="13" t="n">
        <x:f>VLOOKUP(C2483,'MES orders'!$A$8:$H$127,5,FALSE)</x:f>
        <x:v>46309.666666666664</x:v>
      </x:c>
      <x:c r="O2483" s="16" t="n">
        <x:f>MAX(0,(M2483-N2483)*24)</x:f>
        <x:v>0</x:v>
      </x:c>
      <x:c r="P2483" s="9" t="str">
        <x:v>No</x:v>
      </x:c>
      <x:c r="Q2483" s="15" t="n">
        <x:v>18</x:v>
      </x:c>
      <x:c r="R2483" s="13" t="n">
        <x:f>J2483+Q2483/1440</x:f>
        <x:v>46309.331249999996</x:v>
      </x:c>
      <x:c r="S2483" s="2" t="str">
        <x:f>VLOOKUP(C2483,'MES orders'!$A$8:$H$127,6,FALSE)</x:f>
        <x:v>High</x:v>
      </x:c>
      <x:c r="T2483" s="9" t="str"/>
    </x:row>
    <x:row r="2484" ht="22" customHeight="1">
      <x:c r="A2484" s="2" t="str">
        <x:v>L00029-010</x:v>
      </x:c>
      <x:c r="B2484" s="2" t="str">
        <x:v>L00029</x:v>
      </x:c>
      <x:c r="C2484" s="2" t="str">
        <x:v>SO-26006</x:v>
      </x:c>
      <x:c r="D2484" s="2" t="str">
        <x:v>S-L-SS</x:v>
      </x:c>
      <x:c r="E2484" s="14" t="n">
        <x:v>10</x:v>
      </x:c>
      <x:c r="F2484" s="2" t="str">
        <x:v>CNC machining</x:v>
      </x:c>
      <x:c r="G2484" s="9" t="str">
        <x:v>CNC-04</x:v>
      </x:c>
      <x:c r="H2484" s="15" t="n">
        <x:v>75</x:v>
      </x:c>
      <x:c r="I2484" s="9" t="str">
        <x:v>P02</x:v>
      </x:c>
      <x:c r="J2484" s="11" t="n">
        <x:v>46309.31875</x:v>
      </x:c>
      <x:c r="K2484" s="15" t="n">
        <x:v>18</x:v>
      </x:c>
      <x:c r="L2484" s="15" t="n">
        <x:v>40</x:v>
      </x:c>
      <x:c r="M2484" s="13" t="n">
        <x:f>J2484+(K2484+L2484)/1440</x:f>
        <x:v>46309.35902777778</x:v>
      </x:c>
      <x:c r="N2484" s="13" t="n">
        <x:f>VLOOKUP(C2484,'MES orders'!$A$8:$H$127,5,FALSE)</x:f>
        <x:v>46309.666666666664</x:v>
      </x:c>
      <x:c r="O2484" s="16" t="n">
        <x:f>MAX(0,(M2484-N2484)*24)</x:f>
        <x:v>0</x:v>
      </x:c>
      <x:c r="P2484" s="9" t="str">
        <x:v>No</x:v>
      </x:c>
      <x:c r="Q2484" s="15" t="n">
        <x:v>18</x:v>
      </x:c>
      <x:c r="R2484" s="13" t="n">
        <x:f>J2484+Q2484/1440</x:f>
        <x:v>46309.331249999996</x:v>
      </x:c>
      <x:c r="S2484" s="2" t="str">
        <x:f>VLOOKUP(C2484,'MES orders'!$A$8:$H$127,6,FALSE)</x:f>
        <x:v>Normal</x:v>
      </x:c>
      <x:c r="T2484" s="9" t="str"/>
    </x:row>
    <x:row r="2485" ht="22" customHeight="1">
      <x:c r="A2485" s="2" t="str">
        <x:v>L00030-010</x:v>
      </x:c>
      <x:c r="B2485" s="2" t="str">
        <x:v>L00030</x:v>
      </x:c>
      <x:c r="C2485" s="2" t="str">
        <x:v>SO-26006</x:v>
      </x:c>
      <x:c r="D2485" s="2" t="str">
        <x:v>S-L-SS</x:v>
      </x:c>
      <x:c r="E2485" s="14" t="n">
        <x:v>10</x:v>
      </x:c>
      <x:c r="F2485" s="2" t="str">
        <x:v>CNC machining</x:v>
      </x:c>
      <x:c r="G2485" s="9" t="str">
        <x:v>CNC-05</x:v>
      </x:c>
      <x:c r="H2485" s="15" t="n">
        <x:v>69</x:v>
      </x:c>
      <x:c r="I2485" s="9" t="str">
        <x:v>P03</x:v>
      </x:c>
      <x:c r="J2485" s="11" t="n">
        <x:v>46309.31875</x:v>
      </x:c>
      <x:c r="K2485" s="15" t="n">
        <x:v>18</x:v>
      </x:c>
      <x:c r="L2485" s="15" t="n">
        <x:v>40</x:v>
      </x:c>
      <x:c r="M2485" s="13" t="n">
        <x:f>J2485+(K2485+L2485)/1440</x:f>
        <x:v>46309.35902777778</x:v>
      </x:c>
      <x:c r="N2485" s="13" t="n">
        <x:f>VLOOKUP(C2485,'MES orders'!$A$8:$H$127,5,FALSE)</x:f>
        <x:v>46309.666666666664</x:v>
      </x:c>
      <x:c r="O2485" s="16" t="n">
        <x:f>MAX(0,(M2485-N2485)*24)</x:f>
        <x:v>0</x:v>
      </x:c>
      <x:c r="P2485" s="9" t="str">
        <x:v>No</x:v>
      </x:c>
      <x:c r="Q2485" s="15" t="n">
        <x:v>18</x:v>
      </x:c>
      <x:c r="R2485" s="13" t="n">
        <x:f>J2485+Q2485/1440</x:f>
        <x:v>46309.331249999996</x:v>
      </x:c>
      <x:c r="S2485" s="2" t="str">
        <x:f>VLOOKUP(C2485,'MES orders'!$A$8:$H$127,6,FALSE)</x:f>
        <x:v>Normal</x:v>
      </x:c>
      <x:c r="T2485" s="9" t="str"/>
    </x:row>
    <x:row r="2486" ht="22" customHeight="1">
      <x:c r="A2486" s="2" t="str">
        <x:v>L00110-030</x:v>
      </x:c>
      <x:c r="B2486" s="2" t="str">
        <x:v>L00110</x:v>
      </x:c>
      <x:c r="C2486" s="2" t="str">
        <x:v>SO-26022</x:v>
      </x:c>
      <x:c r="D2486" s="2" t="str">
        <x:v>D-S-SS</x:v>
      </x:c>
      <x:c r="E2486" s="14" t="n">
        <x:v>25</x:v>
      </x:c>
      <x:c r="F2486" s="2" t="str">
        <x:v>Wash &amp; dry</x:v>
      </x:c>
      <x:c r="G2486" s="9" t="str">
        <x:v>WS-01</x:v>
      </x:c>
      <x:c r="H2486" s="15" t="n">
        <x:v>232</x:v>
      </x:c>
      <x:c r="I2486" s="9" t="str">
        <x:v>P05</x:v>
      </x:c>
      <x:c r="J2486" s="11" t="n">
        <x:v>46309.322222222225</x:v>
      </x:c>
      <x:c r="K2486" s="15" t="n">
        <x:v>12</x:v>
      </x:c>
      <x:c r="L2486" s="15" t="n">
        <x:v>9</x:v>
      </x:c>
      <x:c r="M2486" s="13" t="n">
        <x:f>J2486+(K2486+L2486)/1440</x:f>
        <x:v>46309.336805555555</x:v>
      </x:c>
      <x:c r="N2486" s="13" t="n">
        <x:f>VLOOKUP(C2486,'MES orders'!$A$8:$H$127,5,FALSE)</x:f>
        <x:v>46309.666666666664</x:v>
      </x:c>
      <x:c r="O2486" s="16" t="n">
        <x:f>MAX(0,(M2486-N2486)*24)</x:f>
        <x:v>0</x:v>
      </x:c>
      <x:c r="P2486" s="9" t="str">
        <x:v>No</x:v>
      </x:c>
      <x:c r="Q2486" s="15" t="n">
        <x:v>21</x:v>
      </x:c>
      <x:c r="R2486" s="13" t="n">
        <x:f>J2486+Q2486/1440</x:f>
        <x:v>46309.336805555555</x:v>
      </x:c>
      <x:c r="S2486" s="2" t="str">
        <x:f>VLOOKUP(C2486,'MES orders'!$A$8:$H$127,6,FALSE)</x:f>
        <x:v>High</x:v>
      </x:c>
      <x:c r="T2486" s="9" t="str"/>
    </x:row>
    <x:row r="2487" ht="22" customHeight="1">
      <x:c r="A2487" s="2" t="str">
        <x:v>L00108-050</x:v>
      </x:c>
      <x:c r="B2487" s="2" t="str">
        <x:v>L00108</x:v>
      </x:c>
      <x:c r="C2487" s="2" t="str">
        <x:v>SO-26022</x:v>
      </x:c>
      <x:c r="D2487" s="2" t="str">
        <x:v>D-S-SS</x:v>
      </x:c>
      <x:c r="E2487" s="14" t="n">
        <x:v>25</x:v>
      </x:c>
      <x:c r="F2487" s="2" t="str">
        <x:v>Final leak / function test</x:v>
      </x:c>
      <x:c r="G2487" s="9" t="str">
        <x:v>QA-02</x:v>
      </x:c>
      <x:c r="H2487" s="15" t="n">
        <x:v>183</x:v>
      </x:c>
      <x:c r="I2487" s="9" t="str">
        <x:v>P11</x:v>
      </x:c>
      <x:c r="J2487" s="11" t="n">
        <x:v>46309.32361111111</x:v>
      </x:c>
      <x:c r="K2487" s="15" t="n">
        <x:v>10</x:v>
      </x:c>
      <x:c r="L2487" s="15" t="n">
        <x:v>22</x:v>
      </x:c>
      <x:c r="M2487" s="13" t="n">
        <x:f>J2487+(K2487+L2487)/1440</x:f>
        <x:v>46309.34583333333</x:v>
      </x:c>
      <x:c r="N2487" s="13" t="n">
        <x:f>VLOOKUP(C2487,'MES orders'!$A$8:$H$127,5,FALSE)</x:f>
        <x:v>46309.666666666664</x:v>
      </x:c>
      <x:c r="O2487" s="16" t="n">
        <x:f>MAX(0,(M2487-N2487)*24)</x:f>
        <x:v>0</x:v>
      </x:c>
      <x:c r="P2487" s="9" t="str">
        <x:v>No</x:v>
      </x:c>
      <x:c r="Q2487" s="15" t="n">
        <x:v>32</x:v>
      </x:c>
      <x:c r="R2487" s="13" t="n">
        <x:f>J2487+Q2487/1440</x:f>
        <x:v>46309.34583333333</x:v>
      </x:c>
      <x:c r="S2487" s="2" t="str">
        <x:f>VLOOKUP(C2487,'MES orders'!$A$8:$H$127,6,FALSE)</x:f>
        <x:v>High</x:v>
      </x:c>
      <x:c r="T2487" s="9" t="str"/>
    </x:row>
    <x:row r="2488" ht="22" customHeight="1">
      <x:c r="A2488" s="2" t="str">
        <x:v>L00026-030</x:v>
      </x:c>
      <x:c r="B2488" s="2" t="str">
        <x:v>L00026</x:v>
      </x:c>
      <x:c r="C2488" s="2" t="str">
        <x:v>SO-26006</x:v>
      </x:c>
      <x:c r="D2488" s="2" t="str">
        <x:v>S-L-SS</x:v>
      </x:c>
      <x:c r="E2488" s="14" t="n">
        <x:v>10</x:v>
      </x:c>
      <x:c r="F2488" s="2" t="str">
        <x:v>Wash &amp; dry</x:v>
      </x:c>
      <x:c r="G2488" s="9" t="str">
        <x:v>WS-02</x:v>
      </x:c>
      <x:c r="H2488" s="15" t="n">
        <x:v>162</x:v>
      </x:c>
      <x:c r="I2488" s="9" t="str">
        <x:v>P04</x:v>
      </x:c>
      <x:c r="J2488" s="11" t="n">
        <x:v>46309.32361111111</x:v>
      </x:c>
      <x:c r="K2488" s="15" t="n">
        <x:v>12</x:v>
      </x:c>
      <x:c r="L2488" s="15" t="n">
        <x:v>5</x:v>
      </x:c>
      <x:c r="M2488" s="13" t="n">
        <x:f>J2488+(K2488+L2488)/1440</x:f>
        <x:v>46309.33541666667</x:v>
      </x:c>
      <x:c r="N2488" s="13" t="n">
        <x:f>VLOOKUP(C2488,'MES orders'!$A$8:$H$127,5,FALSE)</x:f>
        <x:v>46309.666666666664</x:v>
      </x:c>
      <x:c r="O2488" s="16" t="n">
        <x:f>MAX(0,(M2488-N2488)*24)</x:f>
        <x:v>0</x:v>
      </x:c>
      <x:c r="P2488" s="9" t="str">
        <x:v>No</x:v>
      </x:c>
      <x:c r="Q2488" s="15" t="n">
        <x:v>17</x:v>
      </x:c>
      <x:c r="R2488" s="13" t="n">
        <x:f>J2488+Q2488/1440</x:f>
        <x:v>46309.33541666667</x:v>
      </x:c>
      <x:c r="S2488" s="2" t="str">
        <x:f>VLOOKUP(C2488,'MES orders'!$A$8:$H$127,6,FALSE)</x:f>
        <x:v>Normal</x:v>
      </x:c>
      <x:c r="T2488" s="9" t="str"/>
    </x:row>
    <x:row r="2489" ht="22" customHeight="1">
      <x:c r="A2489" s="2" t="str">
        <x:v>L00067-010</x:v>
      </x:c>
      <x:c r="B2489" s="2" t="str">
        <x:v>L00067</x:v>
      </x:c>
      <x:c r="C2489" s="2" t="str">
        <x:v>SO-26014</x:v>
      </x:c>
      <x:c r="D2489" s="2" t="str">
        <x:v>D-C-SS</x:v>
      </x:c>
      <x:c r="E2489" s="14" t="n">
        <x:v>5</x:v>
      </x:c>
      <x:c r="F2489" s="2" t="str">
        <x:v>CNC machining</x:v>
      </x:c>
      <x:c r="G2489" s="9" t="str">
        <x:v>CNC-06</x:v>
      </x:c>
      <x:c r="H2489" s="15" t="n">
        <x:v>62</x:v>
      </x:c>
      <x:c r="I2489" s="9" t="str">
        <x:v>P02</x:v>
      </x:c>
      <x:c r="J2489" s="11" t="n">
        <x:v>46309.33125</x:v>
      </x:c>
      <x:c r="K2489" s="15" t="n">
        <x:v>18</x:v>
      </x:c>
      <x:c r="L2489" s="15" t="n">
        <x:v>12</x:v>
      </x:c>
      <x:c r="M2489" s="13" t="n">
        <x:f>J2489+(K2489+L2489)/1440</x:f>
        <x:v>46309.35208333334</x:v>
      </x:c>
      <x:c r="N2489" s="13" t="n">
        <x:f>VLOOKUP(C2489,'MES orders'!$A$8:$H$127,5,FALSE)</x:f>
        <x:v>46309.666666666664</x:v>
      </x:c>
      <x:c r="O2489" s="16" t="n">
        <x:f>MAX(0,(M2489-N2489)*24)</x:f>
        <x:v>0</x:v>
      </x:c>
      <x:c r="P2489" s="9" t="str">
        <x:v>No</x:v>
      </x:c>
      <x:c r="Q2489" s="15" t="n">
        <x:v>18</x:v>
      </x:c>
      <x:c r="R2489" s="13" t="n">
        <x:f>J2489+Q2489/1440</x:f>
        <x:v>46309.34375</x:v>
      </x:c>
      <x:c r="S2489" s="2" t="str">
        <x:f>VLOOKUP(C2489,'MES orders'!$A$8:$H$127,6,FALSE)</x:f>
        <x:v>Normal</x:v>
      </x:c>
      <x:c r="T2489" s="9" t="str"/>
    </x:row>
    <x:row r="2490" ht="22" customHeight="1">
      <x:c r="A2490" s="2" t="str">
        <x:v>L00026-040</x:v>
      </x:c>
      <x:c r="B2490" s="2" t="str">
        <x:v>L00026</x:v>
      </x:c>
      <x:c r="C2490" s="2" t="str">
        <x:v>SO-26006</x:v>
      </x:c>
      <x:c r="D2490" s="2" t="str">
        <x:v>S-L-SS</x:v>
      </x:c>
      <x:c r="E2490" s="14" t="n">
        <x:v>10</x:v>
      </x:c>
      <x:c r="F2490" s="2" t="str">
        <x:v>Mechanical preassembly</x:v>
      </x:c>
      <x:c r="G2490" s="9" t="str">
        <x:v>AS-02</x:v>
      </x:c>
      <x:c r="H2490" s="15" t="n">
        <x:v>163</x:v>
      </x:c>
      <x:c r="I2490" s="9" t="str">
        <x:v>P01</x:v>
      </x:c>
      <x:c r="J2490" s="11" t="n">
        <x:v>46309.33541666667</x:v>
      </x:c>
      <x:c r="K2490" s="15" t="n">
        <x:v>6</x:v>
      </x:c>
      <x:c r="L2490" s="15" t="n">
        <x:v>15</x:v>
      </x:c>
      <x:c r="M2490" s="13" t="n">
        <x:f>J2490+(K2490+L2490)/1440</x:f>
        <x:v>46309.35</x:v>
      </x:c>
      <x:c r="N2490" s="13" t="n">
        <x:f>VLOOKUP(C2490,'MES orders'!$A$8:$H$127,5,FALSE)</x:f>
        <x:v>46309.666666666664</x:v>
      </x:c>
      <x:c r="O2490" s="16" t="n">
        <x:f>MAX(0,(M2490-N2490)*24)</x:f>
        <x:v>0</x:v>
      </x:c>
      <x:c r="P2490" s="9" t="str">
        <x:v>No</x:v>
      </x:c>
      <x:c r="Q2490" s="15" t="n">
        <x:v>21</x:v>
      </x:c>
      <x:c r="R2490" s="13" t="n">
        <x:f>J2490+Q2490/1440</x:f>
        <x:v>46309.35</x:v>
      </x:c>
      <x:c r="S2490" s="2" t="str">
        <x:f>VLOOKUP(C2490,'MES orders'!$A$8:$H$127,6,FALSE)</x:f>
        <x:v>Normal</x:v>
      </x:c>
      <x:c r="T2490" s="9" t="str"/>
    </x:row>
    <x:row r="2491" ht="22" customHeight="1">
      <x:c r="A2491" s="2" t="str">
        <x:v>L00031-030</x:v>
      </x:c>
      <x:c r="B2491" s="2" t="str">
        <x:v>L00031</x:v>
      </x:c>
      <x:c r="C2491" s="2" t="str">
        <x:v>SO-26007</x:v>
      </x:c>
      <x:c r="D2491" s="2" t="str">
        <x:v>R-C-AL</x:v>
      </x:c>
      <x:c r="E2491" s="14" t="n">
        <x:v>5</x:v>
      </x:c>
      <x:c r="F2491" s="2" t="str">
        <x:v>Wash &amp; dry</x:v>
      </x:c>
      <x:c r="G2491" s="9" t="str">
        <x:v>WS-02</x:v>
      </x:c>
      <x:c r="H2491" s="15" t="n">
        <x:v>163</x:v>
      </x:c>
      <x:c r="I2491" s="9" t="str">
        <x:v>P03</x:v>
      </x:c>
      <x:c r="J2491" s="11" t="n">
        <x:v>46309.33541666667</x:v>
      </x:c>
      <x:c r="K2491" s="15" t="n">
        <x:v>12</x:v>
      </x:c>
      <x:c r="L2491" s="15" t="n">
        <x:v>1</x:v>
      </x:c>
      <x:c r="M2491" s="13" t="n">
        <x:f>J2491+(K2491+L2491)/1440</x:f>
        <x:v>46309.34444444445</x:v>
      </x:c>
      <x:c r="N2491" s="13" t="n">
        <x:f>VLOOKUP(C2491,'MES orders'!$A$8:$H$127,5,FALSE)</x:f>
        <x:v>46310.666666666664</x:v>
      </x:c>
      <x:c r="O2491" s="16" t="n">
        <x:f>MAX(0,(M2491-N2491)*24)</x:f>
        <x:v>0</x:v>
      </x:c>
      <x:c r="P2491" s="9" t="str">
        <x:v>No</x:v>
      </x:c>
      <x:c r="Q2491" s="15" t="n">
        <x:v>13</x:v>
      </x:c>
      <x:c r="R2491" s="13" t="n">
        <x:f>J2491+Q2491/1440</x:f>
        <x:v>46309.34444444445</x:v>
      </x:c>
      <x:c r="S2491" s="2" t="str">
        <x:f>VLOOKUP(C2491,'MES orders'!$A$8:$H$127,6,FALSE)</x:f>
        <x:v>Normal</x:v>
      </x:c>
      <x:c r="T2491" s="9" t="str"/>
    </x:row>
    <x:row r="2492" ht="22" customHeight="1">
      <x:c r="A2492" s="2" t="str">
        <x:v>L00110-040</x:v>
      </x:c>
      <x:c r="B2492" s="2" t="str">
        <x:v>L00110</x:v>
      </x:c>
      <x:c r="C2492" s="2" t="str">
        <x:v>SO-26022</x:v>
      </x:c>
      <x:c r="D2492" s="2" t="str">
        <x:v>D-S-SS</x:v>
      </x:c>
      <x:c r="E2492" s="14" t="n">
        <x:v>25</x:v>
      </x:c>
      <x:c r="F2492" s="2" t="str">
        <x:v>Mechanical assembly</x:v>
      </x:c>
      <x:c r="G2492" s="9" t="str">
        <x:v>AS-01</x:v>
      </x:c>
      <x:c r="H2492" s="15" t="n">
        <x:v>202</x:v>
      </x:c>
      <x:c r="I2492" s="9" t="str">
        <x:v>P04</x:v>
      </x:c>
      <x:c r="J2492" s="11" t="n">
        <x:v>46309.336805555555</x:v>
      </x:c>
      <x:c r="K2492" s="15" t="n">
        <x:v>8</x:v>
      </x:c>
      <x:c r="L2492" s="15" t="n">
        <x:v>45</x:v>
      </x:c>
      <x:c r="M2492" s="13" t="n">
        <x:f>J2492+(K2492+L2492)/1440</x:f>
        <x:v>46309.373611111114</x:v>
      </x:c>
      <x:c r="N2492" s="13" t="n">
        <x:f>VLOOKUP(C2492,'MES orders'!$A$8:$H$127,5,FALSE)</x:f>
        <x:v>46309.666666666664</x:v>
      </x:c>
      <x:c r="O2492" s="16" t="n">
        <x:f>MAX(0,(M2492-N2492)*24)</x:f>
        <x:v>0</x:v>
      </x:c>
      <x:c r="P2492" s="9" t="str">
        <x:v>No</x:v>
      </x:c>
      <x:c r="Q2492" s="15" t="n">
        <x:v>53</x:v>
      </x:c>
      <x:c r="R2492" s="13" t="n">
        <x:f>J2492+Q2492/1440</x:f>
        <x:v>46309.373611111114</x:v>
      </x:c>
      <x:c r="S2492" s="2" t="str">
        <x:f>VLOOKUP(C2492,'MES orders'!$A$8:$H$127,6,FALSE)</x:f>
        <x:v>High</x:v>
      </x:c>
      <x:c r="T2492" s="9" t="str"/>
    </x:row>
    <x:row r="2493" ht="22" customHeight="1">
      <x:c r="A2493" s="2" t="str">
        <x:v>L00028-070</x:v>
      </x:c>
      <x:c r="B2493" s="2" t="str">
        <x:v>L00028</x:v>
      </x:c>
      <x:c r="C2493" s="2" t="str">
        <x:v>SO-26006</x:v>
      </x:c>
      <x:c r="D2493" s="2" t="str">
        <x:v>S-L-SS</x:v>
      </x:c>
      <x:c r="E2493" s="14" t="n">
        <x:v>10</x:v>
      </x:c>
      <x:c r="F2493" s="2" t="str">
        <x:v>Final assembly</x:v>
      </x:c>
      <x:c r="G2493" s="9" t="str">
        <x:v>AS-04</x:v>
      </x:c>
      <x:c r="H2493" s="15" t="n">
        <x:v>88</x:v>
      </x:c>
      <x:c r="I2493" s="9" t="str">
        <x:v>P08</x:v>
      </x:c>
      <x:c r="J2493" s="11" t="n">
        <x:v>46309.336805555555</x:v>
      </x:c>
      <x:c r="K2493" s="15" t="n">
        <x:v>5</x:v>
      </x:c>
      <x:c r="L2493" s="15" t="n">
        <x:v>11</x:v>
      </x:c>
      <x:c r="M2493" s="13" t="n">
        <x:f>J2493+(K2493+L2493)/1440</x:f>
        <x:v>46309.347916666666</x:v>
      </x:c>
      <x:c r="N2493" s="13" t="n">
        <x:f>VLOOKUP(C2493,'MES orders'!$A$8:$H$127,5,FALSE)</x:f>
        <x:v>46309.666666666664</x:v>
      </x:c>
      <x:c r="O2493" s="16" t="n">
        <x:f>MAX(0,(M2493-N2493)*24)</x:f>
        <x:v>0</x:v>
      </x:c>
      <x:c r="P2493" s="9" t="str">
        <x:v>No</x:v>
      </x:c>
      <x:c r="Q2493" s="15" t="n">
        <x:v>16</x:v>
      </x:c>
      <x:c r="R2493" s="13" t="n">
        <x:f>J2493+Q2493/1440</x:f>
        <x:v>46309.347916666666</x:v>
      </x:c>
      <x:c r="S2493" s="2" t="str">
        <x:f>VLOOKUP(C2493,'MES orders'!$A$8:$H$127,6,FALSE)</x:f>
        <x:v>Normal</x:v>
      </x:c>
      <x:c r="T2493" s="9" t="str"/>
    </x:row>
    <x:row r="2494" ht="22" customHeight="1">
      <x:c r="A2494" s="2" t="str">
        <x:v>L00386-020</x:v>
      </x:c>
      <x:c r="B2494" s="2" t="str">
        <x:v>L00386</x:v>
      </x:c>
      <x:c r="C2494" s="2" t="str">
        <x:v>SO-26078</x:v>
      </x:c>
      <x:c r="D2494" s="2" t="str">
        <x:v>S-L-SS</x:v>
      </x:c>
      <x:c r="E2494" s="14" t="n">
        <x:v>20</x:v>
      </x:c>
      <x:c r="F2494" s="2" t="str">
        <x:v>Deburr &amp; inspect</x:v>
      </x:c>
      <x:c r="G2494" s="9" t="str">
        <x:v>DB-01</x:v>
      </x:c>
      <x:c r="H2494" s="15" t="n">
        <x:v>235</x:v>
      </x:c>
      <x:c r="I2494" s="9" t="str">
        <x:v>P05</x:v>
      </x:c>
      <x:c r="J2494" s="11" t="n">
        <x:v>46309.336805555555</x:v>
      </x:c>
      <x:c r="K2494" s="15" t="n">
        <x:v>4</x:v>
      </x:c>
      <x:c r="L2494" s="15" t="n">
        <x:v>19</x:v>
      </x:c>
      <x:c r="M2494" s="13" t="n">
        <x:f>J2494+(K2494+L2494)/1440</x:f>
        <x:v>46309.35277777778</x:v>
      </x:c>
      <x:c r="N2494" s="13" t="n">
        <x:f>VLOOKUP(C2494,'MES orders'!$A$8:$H$127,5,FALSE)</x:f>
        <x:v>46309.666666666664</x:v>
      </x:c>
      <x:c r="O2494" s="16" t="n">
        <x:f>MAX(0,(M2494-N2494)*24)</x:f>
        <x:v>0</x:v>
      </x:c>
      <x:c r="P2494" s="9" t="str">
        <x:v>No</x:v>
      </x:c>
      <x:c r="Q2494" s="15" t="n">
        <x:v>23</x:v>
      </x:c>
      <x:c r="R2494" s="13" t="n">
        <x:f>J2494+Q2494/1440</x:f>
        <x:v>46309.35277777778</x:v>
      </x:c>
      <x:c r="S2494" s="2" t="str">
        <x:f>VLOOKUP(C2494,'MES orders'!$A$8:$H$127,6,FALSE)</x:f>
        <x:v>High</x:v>
      </x:c>
      <x:c r="T2494" s="9" t="str"/>
    </x:row>
    <x:row r="2495" ht="22" customHeight="1">
      <x:c r="A2495" s="2" t="str">
        <x:v>L00387-020</x:v>
      </x:c>
      <x:c r="B2495" s="2" t="str">
        <x:v>L00387</x:v>
      </x:c>
      <x:c r="C2495" s="2" t="str">
        <x:v>SO-26078</x:v>
      </x:c>
      <x:c r="D2495" s="2" t="str">
        <x:v>S-L-SS</x:v>
      </x:c>
      <x:c r="E2495" s="14" t="n">
        <x:v>20</x:v>
      </x:c>
      <x:c r="F2495" s="2" t="str">
        <x:v>Deburr &amp; inspect</x:v>
      </x:c>
      <x:c r="G2495" s="9" t="str">
        <x:v>DB-02</x:v>
      </x:c>
      <x:c r="H2495" s="15" t="n">
        <x:v>162</x:v>
      </x:c>
      <x:c r="I2495" s="9" t="str">
        <x:v>P06</x:v>
      </x:c>
      <x:c r="J2495" s="11" t="n">
        <x:v>46309.33819444444</x:v>
      </x:c>
      <x:c r="K2495" s="15" t="n">
        <x:v>4</x:v>
      </x:c>
      <x:c r="L2495" s="15" t="n">
        <x:v>19</x:v>
      </x:c>
      <x:c r="M2495" s="13" t="n">
        <x:f>J2495+(K2495+L2495)/1440</x:f>
        <x:v>46309.354166666664</x:v>
      </x:c>
      <x:c r="N2495" s="13" t="n">
        <x:f>VLOOKUP(C2495,'MES orders'!$A$8:$H$127,5,FALSE)</x:f>
        <x:v>46309.666666666664</x:v>
      </x:c>
      <x:c r="O2495" s="16" t="n">
        <x:f>MAX(0,(M2495-N2495)*24)</x:f>
        <x:v>0</x:v>
      </x:c>
      <x:c r="P2495" s="9" t="str">
        <x:v>No</x:v>
      </x:c>
      <x:c r="Q2495" s="15" t="n">
        <x:v>23</x:v>
      </x:c>
      <x:c r="R2495" s="13" t="n">
        <x:f>J2495+Q2495/1440</x:f>
        <x:v>46309.354166666664</x:v>
      </x:c>
      <x:c r="S2495" s="2" t="str">
        <x:f>VLOOKUP(C2495,'MES orders'!$A$8:$H$127,6,FALSE)</x:f>
        <x:v>High</x:v>
      </x:c>
      <x:c r="T2495" s="9" t="str"/>
    </x:row>
    <x:row r="2496" ht="22" customHeight="1">
      <x:c r="A2496" s="2" t="str">
        <x:v>L00109-050</x:v>
      </x:c>
      <x:c r="B2496" s="2" t="str">
        <x:v>L00109</x:v>
      </x:c>
      <x:c r="C2496" s="2" t="str">
        <x:v>SO-26022</x:v>
      </x:c>
      <x:c r="D2496" s="2" t="str">
        <x:v>D-S-SS</x:v>
      </x:c>
      <x:c r="E2496" s="14" t="n">
        <x:v>25</x:v>
      </x:c>
      <x:c r="F2496" s="2" t="str">
        <x:v>Final leak / function test</x:v>
      </x:c>
      <x:c r="G2496" s="9" t="str">
        <x:v>QA-01</x:v>
      </x:c>
      <x:c r="H2496" s="15" t="n">
        <x:v>96</x:v>
      </x:c>
      <x:c r="I2496" s="9" t="str">
        <x:v>P12</x:v>
      </x:c>
      <x:c r="J2496" s="11" t="n">
        <x:v>46309.33819444444</x:v>
      </x:c>
      <x:c r="K2496" s="15" t="n">
        <x:v>10</x:v>
      </x:c>
      <x:c r="L2496" s="15" t="n">
        <x:v>22</x:v>
      </x:c>
      <x:c r="M2496" s="13" t="n">
        <x:f>J2496+(K2496+L2496)/1440</x:f>
        <x:v>46309.36041666666</x:v>
      </x:c>
      <x:c r="N2496" s="13" t="n">
        <x:f>VLOOKUP(C2496,'MES orders'!$A$8:$H$127,5,FALSE)</x:f>
        <x:v>46309.666666666664</x:v>
      </x:c>
      <x:c r="O2496" s="16" t="n">
        <x:f>MAX(0,(M2496-N2496)*24)</x:f>
        <x:v>0</x:v>
      </x:c>
      <x:c r="P2496" s="9" t="str">
        <x:v>No</x:v>
      </x:c>
      <x:c r="Q2496" s="15" t="n">
        <x:v>32</x:v>
      </x:c>
      <x:c r="R2496" s="13" t="n">
        <x:f>J2496+Q2496/1440</x:f>
        <x:v>46309.36041666666</x:v>
      </x:c>
      <x:c r="S2496" s="2" t="str">
        <x:f>VLOOKUP(C2496,'MES orders'!$A$8:$H$127,6,FALSE)</x:f>
        <x:v>High</x:v>
      </x:c>
      <x:c r="T2496" s="9" t="str"/>
    </x:row>
    <x:row r="2497" ht="22" customHeight="1">
      <x:c r="A2497" s="2" t="str">
        <x:v>L00031-040</x:v>
      </x:c>
      <x:c r="B2497" s="2" t="str">
        <x:v>L00031</x:v>
      </x:c>
      <x:c r="C2497" s="2" t="str">
        <x:v>SO-26007</x:v>
      </x:c>
      <x:c r="D2497" s="2" t="str">
        <x:v>R-C-AL</x:v>
      </x:c>
      <x:c r="E2497" s="14" t="n">
        <x:v>5</x:v>
      </x:c>
      <x:c r="F2497" s="2" t="str">
        <x:v>Mechanical assembly</x:v>
      </x:c>
      <x:c r="G2497" s="9" t="str">
        <x:v>AS-05</x:v>
      </x:c>
      <x:c r="H2497" s="15" t="n">
        <x:v>48</x:v>
      </x:c>
      <x:c r="I2497" s="9" t="str">
        <x:v>P02</x:v>
      </x:c>
      <x:c r="J2497" s="11" t="n">
        <x:v>46309.34444444445</x:v>
      </x:c>
      <x:c r="K2497" s="15" t="n">
        <x:v>8</x:v>
      </x:c>
      <x:c r="L2497" s="15" t="n">
        <x:v>7</x:v>
      </x:c>
      <x:c r="M2497" s="13" t="n">
        <x:f>J2497+(K2497+L2497)/1440</x:f>
        <x:v>46309.35486111111</x:v>
      </x:c>
      <x:c r="N2497" s="13" t="n">
        <x:f>VLOOKUP(C2497,'MES orders'!$A$8:$H$127,5,FALSE)</x:f>
        <x:v>46310.666666666664</x:v>
      </x:c>
      <x:c r="O2497" s="16" t="n">
        <x:f>MAX(0,(M2497-N2497)*24)</x:f>
        <x:v>0</x:v>
      </x:c>
      <x:c r="P2497" s="9" t="str">
        <x:v>No</x:v>
      </x:c>
      <x:c r="Q2497" s="15" t="n">
        <x:v>15</x:v>
      </x:c>
      <x:c r="R2497" s="13" t="n">
        <x:f>J2497+Q2497/1440</x:f>
        <x:v>46309.35486111111</x:v>
      </x:c>
      <x:c r="S2497" s="2" t="str">
        <x:f>VLOOKUP(C2497,'MES orders'!$A$8:$H$127,6,FALSE)</x:f>
        <x:v>Normal</x:v>
      </x:c>
      <x:c r="T2497" s="9" t="str"/>
    </x:row>
    <x:row r="2498" ht="22" customHeight="1">
      <x:c r="A2498" s="2" t="str">
        <x:v>L00027-080</x:v>
      </x:c>
      <x:c r="B2498" s="2" t="str">
        <x:v>L00027</x:v>
      </x:c>
      <x:c r="C2498" s="2" t="str">
        <x:v>SO-26006</x:v>
      </x:c>
      <x:c r="D2498" s="2" t="str">
        <x:v>S-L-SS</x:v>
      </x:c>
      <x:c r="E2498" s="14" t="n">
        <x:v>10</x:v>
      </x:c>
      <x:c r="F2498" s="2" t="str">
        <x:v>Final leak / function test</x:v>
      </x:c>
      <x:c r="G2498" s="9" t="str">
        <x:v>QA-02</x:v>
      </x:c>
      <x:c r="H2498" s="15" t="n">
        <x:v>184</x:v>
      </x:c>
      <x:c r="I2498" s="9" t="str">
        <x:v>P11</x:v>
      </x:c>
      <x:c r="J2498" s="11" t="n">
        <x:v>46309.34583333333</x:v>
      </x:c>
      <x:c r="K2498" s="15" t="n">
        <x:v>10</x:v>
      </x:c>
      <x:c r="L2498" s="15" t="n">
        <x:v>12</x:v>
      </x:c>
      <x:c r="M2498" s="13" t="n">
        <x:f>J2498+(K2498+L2498)/1440</x:f>
        <x:v>46309.36111111111</x:v>
      </x:c>
      <x:c r="N2498" s="13" t="n">
        <x:f>VLOOKUP(C2498,'MES orders'!$A$8:$H$127,5,FALSE)</x:f>
        <x:v>46309.666666666664</x:v>
      </x:c>
      <x:c r="O2498" s="16" t="n">
        <x:f>MAX(0,(M2498-N2498)*24)</x:f>
        <x:v>0</x:v>
      </x:c>
      <x:c r="P2498" s="9" t="str">
        <x:v>No</x:v>
      </x:c>
      <x:c r="Q2498" s="15" t="n">
        <x:v>22</x:v>
      </x:c>
      <x:c r="R2498" s="13" t="n">
        <x:f>J2498+Q2498/1440</x:f>
        <x:v>46309.36111111111</x:v>
      </x:c>
      <x:c r="S2498" s="2" t="str">
        <x:f>VLOOKUP(C2498,'MES orders'!$A$8:$H$127,6,FALSE)</x:f>
        <x:v>Normal</x:v>
      </x:c>
      <x:c r="T2498" s="9" t="str"/>
    </x:row>
    <x:row r="2499" ht="22" customHeight="1">
      <x:c r="A2499" s="2" t="str">
        <x:v>L00074-050</x:v>
      </x:c>
      <x:c r="B2499" s="2" t="str">
        <x:v>L00074</x:v>
      </x:c>
      <x:c r="C2499" s="2" t="str">
        <x:v>SO-26015</x:v>
      </x:c>
      <x:c r="D2499" s="2" t="str">
        <x:v>R-S-AL</x:v>
      </x:c>
      <x:c r="E2499" s="14" t="n">
        <x:v>10</x:v>
      </x:c>
      <x:c r="F2499" s="2" t="str">
        <x:v>Valve adjustment</x:v>
      </x:c>
      <x:c r="G2499" s="9" t="str">
        <x:v>AS-03</x:v>
      </x:c>
      <x:c r="H2499" s="15" t="n">
        <x:v>132</x:v>
      </x:c>
      <x:c r="I2499" s="9" t="str">
        <x:v>P08</x:v>
      </x:c>
      <x:c r="J2499" s="11" t="n">
        <x:v>46309.347916666666</x:v>
      </x:c>
      <x:c r="K2499" s="15" t="n">
        <x:v>6</x:v>
      </x:c>
      <x:c r="L2499" s="15" t="n">
        <x:v>11</x:v>
      </x:c>
      <x:c r="M2499" s="13" t="n">
        <x:f>J2499+(K2499+L2499)/1440</x:f>
        <x:v>46309.35972222222</x:v>
      </x:c>
      <x:c r="N2499" s="13" t="n">
        <x:f>VLOOKUP(C2499,'MES orders'!$A$8:$H$127,5,FALSE)</x:f>
        <x:v>46310.666666666664</x:v>
      </x:c>
      <x:c r="O2499" s="16" t="n">
        <x:f>MAX(0,(M2499-N2499)*24)</x:f>
        <x:v>0</x:v>
      </x:c>
      <x:c r="P2499" s="9" t="str">
        <x:v>No</x:v>
      </x:c>
      <x:c r="Q2499" s="15" t="n">
        <x:v>17</x:v>
      </x:c>
      <x:c r="R2499" s="13" t="n">
        <x:f>J2499+Q2499/1440</x:f>
        <x:v>46309.35972222222</x:v>
      </x:c>
      <x:c r="S2499" s="2" t="str">
        <x:f>VLOOKUP(C2499,'MES orders'!$A$8:$H$127,6,FALSE)</x:f>
        <x:v>High</x:v>
      </x:c>
      <x:c r="T2499" s="9" t="str"/>
    </x:row>
    <x:row r="2500" ht="22" customHeight="1">
      <x:c r="A2500" s="2" t="str">
        <x:v>L00026-050</x:v>
      </x:c>
      <x:c r="B2500" s="2" t="str">
        <x:v>L00026</x:v>
      </x:c>
      <x:c r="C2500" s="2" t="str">
        <x:v>SO-26006</x:v>
      </x:c>
      <x:c r="D2500" s="2" t="str">
        <x:v>S-L-SS</x:v>
      </x:c>
      <x:c r="E2500" s="14" t="n">
        <x:v>10</x:v>
      </x:c>
      <x:c r="F2500" s="2" t="str">
        <x:v>Sensor installation</x:v>
      </x:c>
      <x:c r="G2500" s="9" t="str">
        <x:v>EL-01</x:v>
      </x:c>
      <x:c r="H2500" s="15" t="n">
        <x:v>85</x:v>
      </x:c>
      <x:c r="I2500" s="9" t="str">
        <x:v>P07</x:v>
      </x:c>
      <x:c r="J2500" s="11" t="n">
        <x:v>46309.35</x:v>
      </x:c>
      <x:c r="K2500" s="15" t="n">
        <x:v>8</x:v>
      </x:c>
      <x:c r="L2500" s="15" t="n">
        <x:v>16</x:v>
      </x:c>
      <x:c r="M2500" s="13" t="n">
        <x:f>J2500+(K2500+L2500)/1440</x:f>
        <x:v>46309.36666666667</x:v>
      </x:c>
      <x:c r="N2500" s="13" t="n">
        <x:f>VLOOKUP(C2500,'MES orders'!$A$8:$H$127,5,FALSE)</x:f>
        <x:v>46309.666666666664</x:v>
      </x:c>
      <x:c r="O2500" s="16" t="n">
        <x:f>MAX(0,(M2500-N2500)*24)</x:f>
        <x:v>0</x:v>
      </x:c>
      <x:c r="P2500" s="9" t="str">
        <x:v>No</x:v>
      </x:c>
      <x:c r="Q2500" s="15" t="n">
        <x:v>24</x:v>
      </x:c>
      <x:c r="R2500" s="13" t="n">
        <x:f>J2500+Q2500/1440</x:f>
        <x:v>46309.36666666667</x:v>
      </x:c>
      <x:c r="S2500" s="2" t="str">
        <x:f>VLOOKUP(C2500,'MES orders'!$A$8:$H$127,6,FALSE)</x:f>
        <x:v>Normal</x:v>
      </x:c>
      <x:c r="T2500" s="9" t="str"/>
    </x:row>
    <x:row r="2501" ht="22" customHeight="1">
      <x:c r="A2501" s="2" t="str">
        <x:v>L00068-010</x:v>
      </x:c>
      <x:c r="B2501" s="2" t="str">
        <x:v>L00068</x:v>
      </x:c>
      <x:c r="C2501" s="2" t="str">
        <x:v>SO-26014</x:v>
      </x:c>
      <x:c r="D2501" s="2" t="str">
        <x:v>D-C-SS</x:v>
      </x:c>
      <x:c r="E2501" s="14" t="n">
        <x:v>5</x:v>
      </x:c>
      <x:c r="F2501" s="2" t="str">
        <x:v>CNC machining</x:v>
      </x:c>
      <x:c r="G2501" s="9" t="str">
        <x:v>CNC-06</x:v>
      </x:c>
      <x:c r="H2501" s="15" t="n">
        <x:v>63</x:v>
      </x:c>
      <x:c r="I2501" s="9" t="str">
        <x:v>P03</x:v>
      </x:c>
      <x:c r="J2501" s="11" t="n">
        <x:v>46309.35208333333</x:v>
      </x:c>
      <x:c r="K2501" s="15" t="n">
        <x:v>18</x:v>
      </x:c>
      <x:c r="L2501" s="15" t="n">
        <x:v>12</x:v>
      </x:c>
      <x:c r="M2501" s="13" t="n">
        <x:f>J2501+(K2501+L2501)/1440</x:f>
        <x:v>46309.37291666667</x:v>
      </x:c>
      <x:c r="N2501" s="13" t="n">
        <x:f>VLOOKUP(C2501,'MES orders'!$A$8:$H$127,5,FALSE)</x:f>
        <x:v>46309.666666666664</x:v>
      </x:c>
      <x:c r="O2501" s="16" t="n">
        <x:f>MAX(0,(M2501-N2501)*24)</x:f>
        <x:v>0</x:v>
      </x:c>
      <x:c r="P2501" s="9" t="str">
        <x:v>No</x:v>
      </x:c>
      <x:c r="Q2501" s="15" t="n">
        <x:v>18</x:v>
      </x:c>
      <x:c r="R2501" s="13" t="n">
        <x:f>J2501+Q2501/1440</x:f>
        <x:v>46309.36458333333</x:v>
      </x:c>
      <x:c r="S2501" s="2" t="str">
        <x:f>VLOOKUP(C2501,'MES orders'!$A$8:$H$127,6,FALSE)</x:f>
        <x:v>Normal</x:v>
      </x:c>
      <x:c r="T2501" s="9" t="str"/>
    </x:row>
    <x:row r="2502" ht="22" customHeight="1">
      <x:c r="A2502" s="2" t="str">
        <x:v>L00386-030</x:v>
      </x:c>
      <x:c r="B2502" s="2" t="str">
        <x:v>L00386</x:v>
      </x:c>
      <x:c r="C2502" s="2" t="str">
        <x:v>SO-26078</x:v>
      </x:c>
      <x:c r="D2502" s="2" t="str">
        <x:v>S-L-SS</x:v>
      </x:c>
      <x:c r="E2502" s="14" t="n">
        <x:v>20</x:v>
      </x:c>
      <x:c r="F2502" s="2" t="str">
        <x:v>Wash &amp; dry</x:v>
      </x:c>
      <x:c r="G2502" s="9" t="str">
        <x:v>WS-01</x:v>
      </x:c>
      <x:c r="H2502" s="15" t="n">
        <x:v>233</x:v>
      </x:c>
      <x:c r="I2502" s="9" t="str">
        <x:v>P05</x:v>
      </x:c>
      <x:c r="J2502" s="11" t="n">
        <x:v>46309.35277777778</x:v>
      </x:c>
      <x:c r="K2502" s="15" t="n">
        <x:v>12</x:v>
      </x:c>
      <x:c r="L2502" s="15" t="n">
        <x:v>9</x:v>
      </x:c>
      <x:c r="M2502" s="13" t="n">
        <x:f>J2502+(K2502+L2502)/1440</x:f>
        <x:v>46309.36736111111</x:v>
      </x:c>
      <x:c r="N2502" s="13" t="n">
        <x:f>VLOOKUP(C2502,'MES orders'!$A$8:$H$127,5,FALSE)</x:f>
        <x:v>46309.666666666664</x:v>
      </x:c>
      <x:c r="O2502" s="16" t="n">
        <x:f>MAX(0,(M2502-N2502)*24)</x:f>
        <x:v>0</x:v>
      </x:c>
      <x:c r="P2502" s="9" t="str">
        <x:v>No</x:v>
      </x:c>
      <x:c r="Q2502" s="15" t="n">
        <x:v>21</x:v>
      </x:c>
      <x:c r="R2502" s="13" t="n">
        <x:f>J2502+Q2502/1440</x:f>
        <x:v>46309.36736111111</x:v>
      </x:c>
      <x:c r="S2502" s="2" t="str">
        <x:f>VLOOKUP(C2502,'MES orders'!$A$8:$H$127,6,FALSE)</x:f>
        <x:v>High</x:v>
      </x:c>
      <x:c r="T2502" s="9" t="str"/>
    </x:row>
    <x:row r="2503" ht="22" customHeight="1">
      <x:c r="A2503" s="2" t="str">
        <x:v>L00387-030</x:v>
      </x:c>
      <x:c r="B2503" s="2" t="str">
        <x:v>L00387</x:v>
      </x:c>
      <x:c r="C2503" s="2" t="str">
        <x:v>SO-26078</x:v>
      </x:c>
      <x:c r="D2503" s="2" t="str">
        <x:v>S-L-SS</x:v>
      </x:c>
      <x:c r="E2503" s="14" t="n">
        <x:v>20</x:v>
      </x:c>
      <x:c r="F2503" s="2" t="str">
        <x:v>Wash &amp; dry</x:v>
      </x:c>
      <x:c r="G2503" s="9" t="str">
        <x:v>WS-02</x:v>
      </x:c>
      <x:c r="H2503" s="15" t="n">
        <x:v>164</x:v>
      </x:c>
      <x:c r="I2503" s="9" t="str">
        <x:v>P06</x:v>
      </x:c>
      <x:c r="J2503" s="11" t="n">
        <x:v>46309.354166666664</x:v>
      </x:c>
      <x:c r="K2503" s="15" t="n">
        <x:v>12</x:v>
      </x:c>
      <x:c r="L2503" s="15" t="n">
        <x:v>9</x:v>
      </x:c>
      <x:c r="M2503" s="13" t="n">
        <x:f>J2503+(K2503+L2503)/1440</x:f>
        <x:v>46309.368749999994</x:v>
      </x:c>
      <x:c r="N2503" s="13" t="n">
        <x:f>VLOOKUP(C2503,'MES orders'!$A$8:$H$127,5,FALSE)</x:f>
        <x:v>46309.666666666664</x:v>
      </x:c>
      <x:c r="O2503" s="16" t="n">
        <x:f>MAX(0,(M2503-N2503)*24)</x:f>
        <x:v>0</x:v>
      </x:c>
      <x:c r="P2503" s="9" t="str">
        <x:v>No</x:v>
      </x:c>
      <x:c r="Q2503" s="15" t="n">
        <x:v>21</x:v>
      </x:c>
      <x:c r="R2503" s="13" t="n">
        <x:f>J2503+Q2503/1440</x:f>
        <x:v>46309.368749999994</x:v>
      </x:c>
      <x:c r="S2503" s="2" t="str">
        <x:f>VLOOKUP(C2503,'MES orders'!$A$8:$H$127,6,FALSE)</x:f>
        <x:v>High</x:v>
      </x:c>
      <x:c r="T2503" s="9" t="str"/>
    </x:row>
    <x:row r="2504" ht="22" customHeight="1">
      <x:c r="A2504" s="2" t="str">
        <x:v>L00029-020</x:v>
      </x:c>
      <x:c r="B2504" s="2" t="str">
        <x:v>L00029</x:v>
      </x:c>
      <x:c r="C2504" s="2" t="str">
        <x:v>SO-26006</x:v>
      </x:c>
      <x:c r="D2504" s="2" t="str">
        <x:v>S-L-SS</x:v>
      </x:c>
      <x:c r="E2504" s="14" t="n">
        <x:v>10</x:v>
      </x:c>
      <x:c r="F2504" s="2" t="str">
        <x:v>Deburr &amp; inspect</x:v>
      </x:c>
      <x:c r="G2504" s="9" t="str">
        <x:v>DB-01</x:v>
      </x:c>
      <x:c r="H2504" s="15" t="n">
        <x:v>236</x:v>
      </x:c>
      <x:c r="I2504" s="9" t="str">
        <x:v>P01</x:v>
      </x:c>
      <x:c r="J2504" s="11" t="n">
        <x:v>46309.35902777778</x:v>
      </x:c>
      <x:c r="K2504" s="15" t="n">
        <x:v>4</x:v>
      </x:c>
      <x:c r="L2504" s="15" t="n">
        <x:v>9</x:v>
      </x:c>
      <x:c r="M2504" s="13" t="n">
        <x:f>J2504+(K2504+L2504)/1440</x:f>
        <x:v>46309.368055555555</x:v>
      </x:c>
      <x:c r="N2504" s="13" t="n">
        <x:f>VLOOKUP(C2504,'MES orders'!$A$8:$H$127,5,FALSE)</x:f>
        <x:v>46309.666666666664</x:v>
      </x:c>
      <x:c r="O2504" s="16" t="n">
        <x:f>MAX(0,(M2504-N2504)*24)</x:f>
        <x:v>0</x:v>
      </x:c>
      <x:c r="P2504" s="9" t="str">
        <x:v>No</x:v>
      </x:c>
      <x:c r="Q2504" s="15" t="n">
        <x:v>13</x:v>
      </x:c>
      <x:c r="R2504" s="13" t="n">
        <x:f>J2504+Q2504/1440</x:f>
        <x:v>46309.368055555555</x:v>
      </x:c>
      <x:c r="S2504" s="2" t="str">
        <x:f>VLOOKUP(C2504,'MES orders'!$A$8:$H$127,6,FALSE)</x:f>
        <x:v>Normal</x:v>
      </x:c>
      <x:c r="T2504" s="9" t="str"/>
    </x:row>
    <x:row r="2505" ht="22" customHeight="1">
      <x:c r="A2505" s="2" t="str">
        <x:v>L00030-020</x:v>
      </x:c>
      <x:c r="B2505" s="2" t="str">
        <x:v>L00030</x:v>
      </x:c>
      <x:c r="C2505" s="2" t="str">
        <x:v>SO-26006</x:v>
      </x:c>
      <x:c r="D2505" s="2" t="str">
        <x:v>S-L-SS</x:v>
      </x:c>
      <x:c r="E2505" s="14" t="n">
        <x:v>10</x:v>
      </x:c>
      <x:c r="F2505" s="2" t="str">
        <x:v>Deburr &amp; inspect</x:v>
      </x:c>
      <x:c r="G2505" s="9" t="str">
        <x:v>DB-02</x:v>
      </x:c>
      <x:c r="H2505" s="15" t="n">
        <x:v>163</x:v>
      </x:c>
      <x:c r="I2505" s="9" t="str">
        <x:v>P02</x:v>
      </x:c>
      <x:c r="J2505" s="11" t="n">
        <x:v>46309.35902777778</x:v>
      </x:c>
      <x:c r="K2505" s="15" t="n">
        <x:v>4</x:v>
      </x:c>
      <x:c r="L2505" s="15" t="n">
        <x:v>9</x:v>
      </x:c>
      <x:c r="M2505" s="13" t="n">
        <x:f>J2505+(K2505+L2505)/1440</x:f>
        <x:v>46309.368055555555</x:v>
      </x:c>
      <x:c r="N2505" s="13" t="n">
        <x:f>VLOOKUP(C2505,'MES orders'!$A$8:$H$127,5,FALSE)</x:f>
        <x:v>46309.666666666664</x:v>
      </x:c>
      <x:c r="O2505" s="16" t="n">
        <x:f>MAX(0,(M2505-N2505)*24)</x:f>
        <x:v>0</x:v>
      </x:c>
      <x:c r="P2505" s="9" t="str">
        <x:v>No</x:v>
      </x:c>
      <x:c r="Q2505" s="15" t="n">
        <x:v>13</x:v>
      </x:c>
      <x:c r="R2505" s="13" t="n">
        <x:f>J2505+Q2505/1440</x:f>
        <x:v>46309.368055555555</x:v>
      </x:c>
      <x:c r="S2505" s="2" t="str">
        <x:f>VLOOKUP(C2505,'MES orders'!$A$8:$H$127,6,FALSE)</x:f>
        <x:v>Normal</x:v>
      </x:c>
      <x:c r="T2505" s="9" t="str"/>
    </x:row>
    <x:row r="2506" ht="22" customHeight="1">
      <x:c r="A2506" s="2" t="str">
        <x:v>L00075-050</x:v>
      </x:c>
      <x:c r="B2506" s="2" t="str">
        <x:v>L00075</x:v>
      </x:c>
      <x:c r="C2506" s="2" t="str">
        <x:v>SO-26015</x:v>
      </x:c>
      <x:c r="D2506" s="2" t="str">
        <x:v>R-S-AL</x:v>
      </x:c>
      <x:c r="E2506" s="14" t="n">
        <x:v>10</x:v>
      </x:c>
      <x:c r="F2506" s="2" t="str">
        <x:v>Valve adjustment</x:v>
      </x:c>
      <x:c r="G2506" s="9" t="str">
        <x:v>AS-04</x:v>
      </x:c>
      <x:c r="H2506" s="15" t="n">
        <x:v>89</x:v>
      </x:c>
      <x:c r="I2506" s="9" t="str">
        <x:v>P08</x:v>
      </x:c>
      <x:c r="J2506" s="11" t="n">
        <x:v>46309.35972222222</x:v>
      </x:c>
      <x:c r="K2506" s="15" t="n">
        <x:v>6</x:v>
      </x:c>
      <x:c r="L2506" s="15" t="n">
        <x:v>11</x:v>
      </x:c>
      <x:c r="M2506" s="13" t="n">
        <x:f>J2506+(K2506+L2506)/1440</x:f>
        <x:v>46309.37152777778</x:v>
      </x:c>
      <x:c r="N2506" s="13" t="n">
        <x:f>VLOOKUP(C2506,'MES orders'!$A$8:$H$127,5,FALSE)</x:f>
        <x:v>46310.666666666664</x:v>
      </x:c>
      <x:c r="O2506" s="16" t="n">
        <x:f>MAX(0,(M2506-N2506)*24)</x:f>
        <x:v>0</x:v>
      </x:c>
      <x:c r="P2506" s="9" t="str">
        <x:v>No</x:v>
      </x:c>
      <x:c r="Q2506" s="15" t="n">
        <x:v>17</x:v>
      </x:c>
      <x:c r="R2506" s="13" t="n">
        <x:f>J2506+Q2506/1440</x:f>
        <x:v>46309.37152777778</x:v>
      </x:c>
      <x:c r="S2506" s="2" t="str">
        <x:f>VLOOKUP(C2506,'MES orders'!$A$8:$H$127,6,FALSE)</x:f>
        <x:v>High</x:v>
      </x:c>
      <x:c r="T2506" s="9" t="str"/>
    </x:row>
    <x:row r="2507" ht="22" customHeight="1">
      <x:c r="A2507" s="2" t="str">
        <x:v>L00028-080</x:v>
      </x:c>
      <x:c r="B2507" s="2" t="str">
        <x:v>L00028</x:v>
      </x:c>
      <x:c r="C2507" s="2" t="str">
        <x:v>SO-26006</x:v>
      </x:c>
      <x:c r="D2507" s="2" t="str">
        <x:v>S-L-SS</x:v>
      </x:c>
      <x:c r="E2507" s="14" t="n">
        <x:v>10</x:v>
      </x:c>
      <x:c r="F2507" s="2" t="str">
        <x:v>Final leak / function test</x:v>
      </x:c>
      <x:c r="G2507" s="9" t="str">
        <x:v>QA-03</x:v>
      </x:c>
      <x:c r="H2507" s="15" t="n">
        <x:v>108</x:v>
      </x:c>
      <x:c r="I2507" s="9" t="str">
        <x:v>P12</x:v>
      </x:c>
      <x:c r="J2507" s="11" t="n">
        <x:v>46309.36041666667</x:v>
      </x:c>
      <x:c r="K2507" s="15" t="n">
        <x:v>10</x:v>
      </x:c>
      <x:c r="L2507" s="15" t="n">
        <x:v>12</x:v>
      </x:c>
      <x:c r="M2507" s="13" t="n">
        <x:f>J2507+(K2507+L2507)/1440</x:f>
        <x:v>46309.37569444445</x:v>
      </x:c>
      <x:c r="N2507" s="13" t="n">
        <x:f>VLOOKUP(C2507,'MES orders'!$A$8:$H$127,5,FALSE)</x:f>
        <x:v>46309.666666666664</x:v>
      </x:c>
      <x:c r="O2507" s="16" t="n">
        <x:f>MAX(0,(M2507-N2507)*24)</x:f>
        <x:v>0</x:v>
      </x:c>
      <x:c r="P2507" s="9" t="str">
        <x:v>No</x:v>
      </x:c>
      <x:c r="Q2507" s="15" t="n">
        <x:v>22</x:v>
      </x:c>
      <x:c r="R2507" s="13" t="n">
        <x:f>J2507+Q2507/1440</x:f>
        <x:v>46309.37569444445</x:v>
      </x:c>
      <x:c r="S2507" s="2" t="str">
        <x:f>VLOOKUP(C2507,'MES orders'!$A$8:$H$127,6,FALSE)</x:f>
        <x:v>Normal</x:v>
      </x:c>
      <x:c r="T2507" s="9" t="str"/>
    </x:row>
    <x:row r="2508" ht="22" customHeight="1">
      <x:c r="A2508" s="2" t="str">
        <x:v>L00066-050</x:v>
      </x:c>
      <x:c r="B2508" s="2" t="str">
        <x:v>L00066</x:v>
      </x:c>
      <x:c r="C2508" s="2" t="str">
        <x:v>SO-26014</x:v>
      </x:c>
      <x:c r="D2508" s="2" t="str">
        <x:v>D-C-SS</x:v>
      </x:c>
      <x:c r="E2508" s="14" t="n">
        <x:v>5</x:v>
      </x:c>
      <x:c r="F2508" s="2" t="str">
        <x:v>Final leak / function test</x:v>
      </x:c>
      <x:c r="G2508" s="9" t="str">
        <x:v>QA-01</x:v>
      </x:c>
      <x:c r="H2508" s="15" t="n">
        <x:v>97</x:v>
      </x:c>
      <x:c r="I2508" s="9" t="str">
        <x:v>P11</x:v>
      </x:c>
      <x:c r="J2508" s="11" t="n">
        <x:v>46309.36111111111</x:v>
      </x:c>
      <x:c r="K2508" s="15" t="n">
        <x:v>10</x:v>
      </x:c>
      <x:c r="L2508" s="15" t="n">
        <x:v>4</x:v>
      </x:c>
      <x:c r="M2508" s="13" t="n">
        <x:f>J2508+(K2508+L2508)/1440</x:f>
        <x:v>46309.370833333334</x:v>
      </x:c>
      <x:c r="N2508" s="13" t="n">
        <x:f>VLOOKUP(C2508,'MES orders'!$A$8:$H$127,5,FALSE)</x:f>
        <x:v>46309.666666666664</x:v>
      </x:c>
      <x:c r="O2508" s="16" t="n">
        <x:f>MAX(0,(M2508-N2508)*24)</x:f>
        <x:v>0</x:v>
      </x:c>
      <x:c r="P2508" s="9" t="str">
        <x:v>No</x:v>
      </x:c>
      <x:c r="Q2508" s="15" t="n">
        <x:v>14</x:v>
      </x:c>
      <x:c r="R2508" s="13" t="n">
        <x:f>J2508+Q2508/1440</x:f>
        <x:v>46309.370833333334</x:v>
      </x:c>
      <x:c r="S2508" s="2" t="str">
        <x:f>VLOOKUP(C2508,'MES orders'!$A$8:$H$127,6,FALSE)</x:f>
        <x:v>Normal</x:v>
      </x:c>
      <x:c r="T2508" s="9" t="str"/>
    </x:row>
    <x:row r="2509" ht="22" customHeight="1">
      <x:c r="A2509" s="2" t="str">
        <x:v>L00069-010</x:v>
      </x:c>
      <x:c r="B2509" s="2" t="str">
        <x:v>L00069</x:v>
      </x:c>
      <x:c r="C2509" s="2" t="str">
        <x:v>SO-26014</x:v>
      </x:c>
      <x:c r="D2509" s="2" t="str">
        <x:v>D-C-SS</x:v>
      </x:c>
      <x:c r="E2509" s="14" t="n">
        <x:v>5</x:v>
      </x:c>
      <x:c r="F2509" s="2" t="str">
        <x:v>CNC machining</x:v>
      </x:c>
      <x:c r="G2509" s="9" t="str">
        <x:v>CNC-04</x:v>
      </x:c>
      <x:c r="H2509" s="15" t="n">
        <x:v>76</x:v>
      </x:c>
      <x:c r="I2509" s="9" t="str">
        <x:v>P03</x:v>
      </x:c>
      <x:c r="J2509" s="11" t="n">
        <x:v>46309.364583333336</x:v>
      </x:c>
      <x:c r="K2509" s="15" t="n">
        <x:v>18</x:v>
      </x:c>
      <x:c r="L2509" s="15" t="n">
        <x:v>12</x:v>
      </x:c>
      <x:c r="M2509" s="13" t="n">
        <x:f>J2509+(K2509+L2509)/1440</x:f>
        <x:v>46309.38541666667</x:v>
      </x:c>
      <x:c r="N2509" s="13" t="n">
        <x:f>VLOOKUP(C2509,'MES orders'!$A$8:$H$127,5,FALSE)</x:f>
        <x:v>46309.666666666664</x:v>
      </x:c>
      <x:c r="O2509" s="16" t="n">
        <x:f>MAX(0,(M2509-N2509)*24)</x:f>
        <x:v>0</x:v>
      </x:c>
      <x:c r="P2509" s="9" t="str">
        <x:v>No</x:v>
      </x:c>
      <x:c r="Q2509" s="15" t="n">
        <x:v>18</x:v>
      </x:c>
      <x:c r="R2509" s="13" t="n">
        <x:f>J2509+Q2509/1440</x:f>
        <x:v>46309.37708333333</x:v>
      </x:c>
      <x:c r="S2509" s="2" t="str">
        <x:f>VLOOKUP(C2509,'MES orders'!$A$8:$H$127,6,FALSE)</x:f>
        <x:v>Normal</x:v>
      </x:c>
      <x:c r="T2509" s="9" t="str"/>
    </x:row>
    <x:row r="2510" ht="22" customHeight="1">
      <x:c r="A2510" s="2" t="str">
        <x:v>L00026-060</x:v>
      </x:c>
      <x:c r="B2510" s="2" t="str">
        <x:v>L00026</x:v>
      </x:c>
      <x:c r="C2510" s="2" t="str">
        <x:v>SO-26006</x:v>
      </x:c>
      <x:c r="D2510" s="2" t="str">
        <x:v>S-L-SS</x:v>
      </x:c>
      <x:c r="E2510" s="14" t="n">
        <x:v>10</x:v>
      </x:c>
      <x:c r="F2510" s="2" t="str">
        <x:v>Sensor calibration</x:v>
      </x:c>
      <x:c r="G2510" s="9" t="str">
        <x:v>CAL-01</x:v>
      </x:c>
      <x:c r="H2510" s="15" t="n">
        <x:v>128</x:v>
      </x:c>
      <x:c r="I2510" s="9" t="str">
        <x:v>P09</x:v>
      </x:c>
      <x:c r="J2510" s="11" t="n">
        <x:v>46309.36666666667</x:v>
      </x:c>
      <x:c r="K2510" s="15" t="n">
        <x:v>10</x:v>
      </x:c>
      <x:c r="L2510" s="15" t="n">
        <x:v>18</x:v>
      </x:c>
      <x:c r="M2510" s="13" t="n">
        <x:f>J2510+(K2510+L2510)/1440</x:f>
        <x:v>46309.38611111111</x:v>
      </x:c>
      <x:c r="N2510" s="13" t="n">
        <x:f>VLOOKUP(C2510,'MES orders'!$A$8:$H$127,5,FALSE)</x:f>
        <x:v>46309.666666666664</x:v>
      </x:c>
      <x:c r="O2510" s="16" t="n">
        <x:f>MAX(0,(M2510-N2510)*24)</x:f>
        <x:v>0</x:v>
      </x:c>
      <x:c r="P2510" s="9" t="str">
        <x:v>No</x:v>
      </x:c>
      <x:c r="Q2510" s="15" t="n">
        <x:v>28</x:v>
      </x:c>
      <x:c r="R2510" s="13" t="n">
        <x:f>J2510+Q2510/1440</x:f>
        <x:v>46309.38611111111</x:v>
      </x:c>
      <x:c r="S2510" s="2" t="str">
        <x:f>VLOOKUP(C2510,'MES orders'!$A$8:$H$127,6,FALSE)</x:f>
        <x:v>Normal</x:v>
      </x:c>
      <x:c r="T2510" s="9" t="str"/>
    </x:row>
    <x:row r="2511" ht="22" customHeight="1">
      <x:c r="A2511" s="2" t="str">
        <x:v>L00386-040</x:v>
      </x:c>
      <x:c r="B2511" s="2" t="str">
        <x:v>L00386</x:v>
      </x:c>
      <x:c r="C2511" s="2" t="str">
        <x:v>SO-26078</x:v>
      </x:c>
      <x:c r="D2511" s="2" t="str">
        <x:v>S-L-SS</x:v>
      </x:c>
      <x:c r="E2511" s="14" t="n">
        <x:v>20</x:v>
      </x:c>
      <x:c r="F2511" s="2" t="str">
        <x:v>Mechanical preassembly</x:v>
      </x:c>
      <x:c r="G2511" s="9" t="str">
        <x:v>AS-02</x:v>
      </x:c>
      <x:c r="H2511" s="15" t="n">
        <x:v>164</x:v>
      </x:c>
      <x:c r="I2511" s="9" t="str">
        <x:v>P05</x:v>
      </x:c>
      <x:c r="J2511" s="11" t="n">
        <x:v>46309.36736111111</x:v>
      </x:c>
      <x:c r="K2511" s="15" t="n">
        <x:v>6</x:v>
      </x:c>
      <x:c r="L2511" s="15" t="n">
        <x:v>30</x:v>
      </x:c>
      <x:c r="M2511" s="13" t="n">
        <x:f>J2511+(K2511+L2511)/1440</x:f>
        <x:v>46309.39236111111</x:v>
      </x:c>
      <x:c r="N2511" s="13" t="n">
        <x:f>VLOOKUP(C2511,'MES orders'!$A$8:$H$127,5,FALSE)</x:f>
        <x:v>46309.666666666664</x:v>
      </x:c>
      <x:c r="O2511" s="16" t="n">
        <x:f>MAX(0,(M2511-N2511)*24)</x:f>
        <x:v>0</x:v>
      </x:c>
      <x:c r="P2511" s="9" t="str">
        <x:v>No</x:v>
      </x:c>
      <x:c r="Q2511" s="15" t="n">
        <x:v>36</x:v>
      </x:c>
      <x:c r="R2511" s="13" t="n">
        <x:f>J2511+Q2511/1440</x:f>
        <x:v>46309.39236111111</x:v>
      </x:c>
      <x:c r="S2511" s="2" t="str">
        <x:f>VLOOKUP(C2511,'MES orders'!$A$8:$H$127,6,FALSE)</x:f>
        <x:v>High</x:v>
      </x:c>
      <x:c r="T2511" s="9" t="str"/>
    </x:row>
    <x:row r="2512" ht="22" customHeight="1">
      <x:c r="A2512" s="2" t="str">
        <x:v>L00070-010</x:v>
      </x:c>
      <x:c r="B2512" s="2" t="str">
        <x:v>L00070</x:v>
      </x:c>
      <x:c r="C2512" s="2" t="str">
        <x:v>SO-26014</x:v>
      </x:c>
      <x:c r="D2512" s="2" t="str">
        <x:v>D-C-SS</x:v>
      </x:c>
      <x:c r="E2512" s="14" t="n">
        <x:v>5</x:v>
      </x:c>
      <x:c r="F2512" s="2" t="str">
        <x:v>CNC machining</x:v>
      </x:c>
      <x:c r="G2512" s="9" t="str">
        <x:v>CNC-05</x:v>
      </x:c>
      <x:c r="H2512" s="15" t="n">
        <x:v>70</x:v>
      </x:c>
      <x:c r="I2512" s="9" t="str">
        <x:v>P02</x:v>
      </x:c>
      <x:c r="J2512" s="11" t="n">
        <x:v>46309.368055555555</x:v>
      </x:c>
      <x:c r="K2512" s="15" t="n">
        <x:v>18</x:v>
      </x:c>
      <x:c r="L2512" s="15" t="n">
        <x:v>12</x:v>
      </x:c>
      <x:c r="M2512" s="13" t="n">
        <x:f>J2512+(K2512+L2512)/1440</x:f>
        <x:v>46309.38888888889</x:v>
      </x:c>
      <x:c r="N2512" s="13" t="n">
        <x:f>VLOOKUP(C2512,'MES orders'!$A$8:$H$127,5,FALSE)</x:f>
        <x:v>46309.666666666664</x:v>
      </x:c>
      <x:c r="O2512" s="16" t="n">
        <x:f>MAX(0,(M2512-N2512)*24)</x:f>
        <x:v>0</x:v>
      </x:c>
      <x:c r="P2512" s="9" t="str">
        <x:v>No</x:v>
      </x:c>
      <x:c r="Q2512" s="15" t="n">
        <x:v>18</x:v>
      </x:c>
      <x:c r="R2512" s="13" t="n">
        <x:f>J2512+Q2512/1440</x:f>
        <x:v>46309.38055555555</x:v>
      </x:c>
      <x:c r="S2512" s="2" t="str">
        <x:f>VLOOKUP(C2512,'MES orders'!$A$8:$H$127,6,FALSE)</x:f>
        <x:v>Normal</x:v>
      </x:c>
      <x:c r="T2512" s="9" t="str"/>
    </x:row>
    <x:row r="2513" ht="22" customHeight="1">
      <x:c r="A2513" s="2" t="str">
        <x:v>L00030-030</x:v>
      </x:c>
      <x:c r="B2513" s="2" t="str">
        <x:v>L00030</x:v>
      </x:c>
      <x:c r="C2513" s="2" t="str">
        <x:v>SO-26006</x:v>
      </x:c>
      <x:c r="D2513" s="2" t="str">
        <x:v>S-L-SS</x:v>
      </x:c>
      <x:c r="E2513" s="14" t="n">
        <x:v>10</x:v>
      </x:c>
      <x:c r="F2513" s="2" t="str">
        <x:v>Wash &amp; dry</x:v>
      </x:c>
      <x:c r="G2513" s="9" t="str">
        <x:v>WS-01</x:v>
      </x:c>
      <x:c r="H2513" s="15" t="n">
        <x:v>234</x:v>
      </x:c>
      <x:c r="I2513" s="9" t="str">
        <x:v>P01</x:v>
      </x:c>
      <x:c r="J2513" s="11" t="n">
        <x:v>46309.368055555555</x:v>
      </x:c>
      <x:c r="K2513" s="15" t="n">
        <x:v>12</x:v>
      </x:c>
      <x:c r="L2513" s="15" t="n">
        <x:v>5</x:v>
      </x:c>
      <x:c r="M2513" s="13" t="n">
        <x:f>J2513+(K2513+L2513)/1440</x:f>
        <x:v>46309.37986111111</x:v>
      </x:c>
      <x:c r="N2513" s="13" t="n">
        <x:f>VLOOKUP(C2513,'MES orders'!$A$8:$H$127,5,FALSE)</x:f>
        <x:v>46309.666666666664</x:v>
      </x:c>
      <x:c r="O2513" s="16" t="n">
        <x:f>MAX(0,(M2513-N2513)*24)</x:f>
        <x:v>0</x:v>
      </x:c>
      <x:c r="P2513" s="9" t="str">
        <x:v>No</x:v>
      </x:c>
      <x:c r="Q2513" s="15" t="n">
        <x:v>17</x:v>
      </x:c>
      <x:c r="R2513" s="13" t="n">
        <x:f>J2513+Q2513/1440</x:f>
        <x:v>46309.37986111111</x:v>
      </x:c>
      <x:c r="S2513" s="2" t="str">
        <x:f>VLOOKUP(C2513,'MES orders'!$A$8:$H$127,6,FALSE)</x:f>
        <x:v>Normal</x:v>
      </x:c>
      <x:c r="T2513" s="9" t="str"/>
    </x:row>
    <x:row r="2514" ht="22" customHeight="1">
      <x:c r="A2514" s="2" t="str">
        <x:v>L00387-040</x:v>
      </x:c>
      <x:c r="B2514" s="2" t="str">
        <x:v>L00387</x:v>
      </x:c>
      <x:c r="C2514" s="2" t="str">
        <x:v>SO-26078</x:v>
      </x:c>
      <x:c r="D2514" s="2" t="str">
        <x:v>S-L-SS</x:v>
      </x:c>
      <x:c r="E2514" s="14" t="n">
        <x:v>20</x:v>
      </x:c>
      <x:c r="F2514" s="2" t="str">
        <x:v>Mechanical preassembly</x:v>
      </x:c>
      <x:c r="G2514" s="9" t="str">
        <x:v>AS-03</x:v>
      </x:c>
      <x:c r="H2514" s="15" t="n">
        <x:v>133</x:v>
      </x:c>
      <x:c r="I2514" s="9" t="str">
        <x:v>P06</x:v>
      </x:c>
      <x:c r="J2514" s="11" t="n">
        <x:v>46309.36875</x:v>
      </x:c>
      <x:c r="K2514" s="15" t="n">
        <x:v>6</x:v>
      </x:c>
      <x:c r="L2514" s="15" t="n">
        <x:v>30</x:v>
      </x:c>
      <x:c r="M2514" s="13" t="n">
        <x:f>J2514+(K2514+L2514)/1440</x:f>
        <x:v>46309.39375</x:v>
      </x:c>
      <x:c r="N2514" s="13" t="n">
        <x:f>VLOOKUP(C2514,'MES orders'!$A$8:$H$127,5,FALSE)</x:f>
        <x:v>46309.666666666664</x:v>
      </x:c>
      <x:c r="O2514" s="16" t="n">
        <x:f>MAX(0,(M2514-N2514)*24)</x:f>
        <x:v>0</x:v>
      </x:c>
      <x:c r="P2514" s="9" t="str">
        <x:v>No</x:v>
      </x:c>
      <x:c r="Q2514" s="15" t="n">
        <x:v>36</x:v>
      </x:c>
      <x:c r="R2514" s="13" t="n">
        <x:f>J2514+Q2514/1440</x:f>
        <x:v>46309.39375</x:v>
      </x:c>
      <x:c r="S2514" s="2" t="str">
        <x:f>VLOOKUP(C2514,'MES orders'!$A$8:$H$127,6,FALSE)</x:f>
        <x:v>High</x:v>
      </x:c>
      <x:c r="T2514" s="9" t="str"/>
    </x:row>
    <x:row r="2515" ht="22" customHeight="1">
      <x:c r="A2515" s="2" t="str">
        <x:v>L00031-050</x:v>
      </x:c>
      <x:c r="B2515" s="2" t="str">
        <x:v>L00031</x:v>
      </x:c>
      <x:c r="C2515" s="2" t="str">
        <x:v>SO-26007</x:v>
      </x:c>
      <x:c r="D2515" s="2" t="str">
        <x:v>R-C-AL</x:v>
      </x:c>
      <x:c r="E2515" s="14" t="n">
        <x:v>5</x:v>
      </x:c>
      <x:c r="F2515" s="2" t="str">
        <x:v>Valve adjustment</x:v>
      </x:c>
      <x:c r="G2515" s="9" t="str">
        <x:v>AS-04</x:v>
      </x:c>
      <x:c r="H2515" s="15" t="n">
        <x:v>90</x:v>
      </x:c>
      <x:c r="I2515" s="9" t="str">
        <x:v>P08</x:v>
      </x:c>
      <x:c r="J2515" s="11" t="n">
        <x:v>46309.37152777778</x:v>
      </x:c>
      <x:c r="K2515" s="15" t="n">
        <x:v>6</x:v>
      </x:c>
      <x:c r="L2515" s="15" t="n">
        <x:v>4</x:v>
      </x:c>
      <x:c r="M2515" s="13" t="n">
        <x:f>J2515+(K2515+L2515)/1440</x:f>
        <x:v>46309.378472222226</x:v>
      </x:c>
      <x:c r="N2515" s="13" t="n">
        <x:f>VLOOKUP(C2515,'MES orders'!$A$8:$H$127,5,FALSE)</x:f>
        <x:v>46310.666666666664</x:v>
      </x:c>
      <x:c r="O2515" s="16" t="n">
        <x:f>MAX(0,(M2515-N2515)*24)</x:f>
        <x:v>0</x:v>
      </x:c>
      <x:c r="P2515" s="9" t="str">
        <x:v>No</x:v>
      </x:c>
      <x:c r="Q2515" s="15" t="n">
        <x:v>10</x:v>
      </x:c>
      <x:c r="R2515" s="13" t="n">
        <x:f>J2515+Q2515/1440</x:f>
        <x:v>46309.378472222226</x:v>
      </x:c>
      <x:c r="S2515" s="2" t="str">
        <x:f>VLOOKUP(C2515,'MES orders'!$A$8:$H$127,6,FALSE)</x:f>
        <x:v>Normal</x:v>
      </x:c>
      <x:c r="T2515" s="9" t="str"/>
    </x:row>
    <x:row r="2516" ht="22" customHeight="1">
      <x:c r="A2516" s="2" t="str">
        <x:v>L00388-020</x:v>
      </x:c>
      <x:c r="B2516" s="2" t="str">
        <x:v>L00388</x:v>
      </x:c>
      <x:c r="C2516" s="2" t="str">
        <x:v>SO-26078</x:v>
      </x:c>
      <x:c r="D2516" s="2" t="str">
        <x:v>S-L-SS</x:v>
      </x:c>
      <x:c r="E2516" s="14" t="n">
        <x:v>20</x:v>
      </x:c>
      <x:c r="F2516" s="2" t="str">
        <x:v>Deburr &amp; inspect</x:v>
      </x:c>
      <x:c r="G2516" s="9" t="str">
        <x:v>DB-01</x:v>
      </x:c>
      <x:c r="H2516" s="15" t="n">
        <x:v>237</x:v>
      </x:c>
      <x:c r="I2516" s="9" t="str">
        <x:v>P04</x:v>
      </x:c>
      <x:c r="J2516" s="11" t="n">
        <x:v>46309.373611111114</x:v>
      </x:c>
      <x:c r="K2516" s="15" t="n">
        <x:v>4</x:v>
      </x:c>
      <x:c r="L2516" s="15" t="n">
        <x:v>19</x:v>
      </x:c>
      <x:c r="M2516" s="13" t="n">
        <x:f>J2516+(K2516+L2516)/1440</x:f>
        <x:v>46309.38958333334</x:v>
      </x:c>
      <x:c r="N2516" s="13" t="n">
        <x:f>VLOOKUP(C2516,'MES orders'!$A$8:$H$127,5,FALSE)</x:f>
        <x:v>46309.666666666664</x:v>
      </x:c>
      <x:c r="O2516" s="16" t="n">
        <x:f>MAX(0,(M2516-N2516)*24)</x:f>
        <x:v>0</x:v>
      </x:c>
      <x:c r="P2516" s="9" t="str">
        <x:v>No</x:v>
      </x:c>
      <x:c r="Q2516" s="15" t="n">
        <x:v>23</x:v>
      </x:c>
      <x:c r="R2516" s="13" t="n">
        <x:f>J2516+Q2516/1440</x:f>
        <x:v>46309.38958333334</x:v>
      </x:c>
      <x:c r="S2516" s="2" t="str">
        <x:f>VLOOKUP(C2516,'MES orders'!$A$8:$H$127,6,FALSE)</x:f>
        <x:v>High</x:v>
      </x:c>
      <x:c r="T2516" s="9" t="str"/>
    </x:row>
    <x:row r="2517" ht="22" customHeight="1">
      <x:c r="A2517" s="2" t="str">
        <x:v>L00110-050</x:v>
      </x:c>
      <x:c r="B2517" s="2" t="str">
        <x:v>L00110</x:v>
      </x:c>
      <x:c r="C2517" s="2" t="str">
        <x:v>SO-26022</x:v>
      </x:c>
      <x:c r="D2517" s="2" t="str">
        <x:v>D-S-SS</x:v>
      </x:c>
      <x:c r="E2517" s="14" t="n">
        <x:v>25</x:v>
      </x:c>
      <x:c r="F2517" s="2" t="str">
        <x:v>Final leak / function test</x:v>
      </x:c>
      <x:c r="G2517" s="9" t="str">
        <x:v>QA-01</x:v>
      </x:c>
      <x:c r="H2517" s="15" t="n">
        <x:v>98</x:v>
      </x:c>
      <x:c r="I2517" s="9" t="str">
        <x:v>P11</x:v>
      </x:c>
      <x:c r="J2517" s="11" t="n">
        <x:v>46309.373611111114</x:v>
      </x:c>
      <x:c r="K2517" s="15" t="n">
        <x:v>10</x:v>
      </x:c>
      <x:c r="L2517" s="15" t="n">
        <x:v>22</x:v>
      </x:c>
      <x:c r="M2517" s="13" t="n">
        <x:f>J2517+(K2517+L2517)/1440</x:f>
        <x:v>46309.395833333336</x:v>
      </x:c>
      <x:c r="N2517" s="13" t="n">
        <x:f>VLOOKUP(C2517,'MES orders'!$A$8:$H$127,5,FALSE)</x:f>
        <x:v>46309.666666666664</x:v>
      </x:c>
      <x:c r="O2517" s="16" t="n">
        <x:f>MAX(0,(M2517-N2517)*24)</x:f>
        <x:v>0</x:v>
      </x:c>
      <x:c r="P2517" s="9" t="str">
        <x:v>No</x:v>
      </x:c>
      <x:c r="Q2517" s="15" t="n">
        <x:v>32</x:v>
      </x:c>
      <x:c r="R2517" s="13" t="n">
        <x:f>J2517+Q2517/1440</x:f>
        <x:v>46309.395833333336</x:v>
      </x:c>
      <x:c r="S2517" s="2" t="str">
        <x:f>VLOOKUP(C2517,'MES orders'!$A$8:$H$127,6,FALSE)</x:f>
        <x:v>High</x:v>
      </x:c>
      <x:c r="T2517" s="9" t="str"/>
    </x:row>
    <x:row r="2518" ht="22" customHeight="1">
      <x:c r="A2518" s="2" t="str">
        <x:v>L00073-060</x:v>
      </x:c>
      <x:c r="B2518" s="2" t="str">
        <x:v>L00073</x:v>
      </x:c>
      <x:c r="C2518" s="2" t="str">
        <x:v>SO-26015</x:v>
      </x:c>
      <x:c r="D2518" s="2" t="str">
        <x:v>R-S-AL</x:v>
      </x:c>
      <x:c r="E2518" s="14" t="n">
        <x:v>10</x:v>
      </x:c>
      <x:c r="F2518" s="2" t="str">
        <x:v>Final leak / function test</x:v>
      </x:c>
      <x:c r="G2518" s="9" t="str">
        <x:v>QA-02</x:v>
      </x:c>
      <x:c r="H2518" s="15" t="n">
        <x:v>185</x:v>
      </x:c>
      <x:c r="I2518" s="9" t="str">
        <x:v>P12</x:v>
      </x:c>
      <x:c r="J2518" s="11" t="n">
        <x:v>46309.37569444445</x:v>
      </x:c>
      <x:c r="K2518" s="15" t="n">
        <x:v>10</x:v>
      </x:c>
      <x:c r="L2518" s="15" t="n">
        <x:v>9</x:v>
      </x:c>
      <x:c r="M2518" s="13" t="n">
        <x:f>J2518+(K2518+L2518)/1440</x:f>
        <x:v>46309.38888888889</x:v>
      </x:c>
      <x:c r="N2518" s="13" t="n">
        <x:f>VLOOKUP(C2518,'MES orders'!$A$8:$H$127,5,FALSE)</x:f>
        <x:v>46310.666666666664</x:v>
      </x:c>
      <x:c r="O2518" s="16" t="n">
        <x:f>MAX(0,(M2518-N2518)*24)</x:f>
        <x:v>0</x:v>
      </x:c>
      <x:c r="P2518" s="9" t="str">
        <x:v>No</x:v>
      </x:c>
      <x:c r="Q2518" s="15" t="n">
        <x:v>19</x:v>
      </x:c>
      <x:c r="R2518" s="13" t="n">
        <x:f>J2518+Q2518/1440</x:f>
        <x:v>46309.38888888889</x:v>
      </x:c>
      <x:c r="S2518" s="2" t="str">
        <x:f>VLOOKUP(C2518,'MES orders'!$A$8:$H$127,6,FALSE)</x:f>
        <x:v>High</x:v>
      </x:c>
      <x:c r="T2518" s="9" t="str"/>
    </x:row>
    <x:row r="2519" ht="22" customHeight="1">
      <x:c r="A2519" s="2" t="str">
        <x:v>L00146-010</x:v>
      </x:c>
      <x:c r="B2519" s="2" t="str">
        <x:v>L00146</x:v>
      </x:c>
      <x:c r="C2519" s="2" t="str">
        <x:v>SO-26030</x:v>
      </x:c>
      <x:c r="D2519" s="2" t="str">
        <x:v>D-L-SS</x:v>
      </x:c>
      <x:c r="E2519" s="14" t="n">
        <x:v>20</x:v>
      </x:c>
      <x:c r="F2519" s="2" t="str">
        <x:v>CNC machining</x:v>
      </x:c>
      <x:c r="G2519" s="9" t="str">
        <x:v>CNC-06</x:v>
      </x:c>
      <x:c r="H2519" s="15" t="n">
        <x:v>64</x:v>
      </x:c>
      <x:c r="I2519" s="9" t="str">
        <x:v>P03</x:v>
      </x:c>
      <x:c r="J2519" s="11" t="n">
        <x:v>46309.37708333333</x:v>
      </x:c>
      <x:c r="K2519" s="15" t="n">
        <x:v>18</x:v>
      </x:c>
      <x:c r="L2519" s="15" t="n">
        <x:v>81</x:v>
      </x:c>
      <x:c r="M2519" s="13" t="n">
        <x:f>J2519+(K2519+L2519)/1440</x:f>
        <x:v>46309.44583333333</x:v>
      </x:c>
      <x:c r="N2519" s="13" t="n">
        <x:f>VLOOKUP(C2519,'MES orders'!$A$8:$H$127,5,FALSE)</x:f>
        <x:v>46309.666666666664</x:v>
      </x:c>
      <x:c r="O2519" s="16" t="n">
        <x:f>MAX(0,(M2519-N2519)*24)</x:f>
        <x:v>0</x:v>
      </x:c>
      <x:c r="P2519" s="9" t="str">
        <x:v>No</x:v>
      </x:c>
      <x:c r="Q2519" s="15" t="n">
        <x:v>18</x:v>
      </x:c>
      <x:c r="R2519" s="13" t="n">
        <x:f>J2519+Q2519/1440</x:f>
        <x:v>46309.38958333333</x:v>
      </x:c>
      <x:c r="S2519" s="2" t="str">
        <x:f>VLOOKUP(C2519,'MES orders'!$A$8:$H$127,6,FALSE)</x:f>
        <x:v>Normal</x:v>
      </x:c>
      <x:c r="T2519" s="9" t="str"/>
    </x:row>
    <x:row r="2520" ht="22" customHeight="1">
      <x:c r="A2520" s="2" t="str">
        <x:v>L00030-040</x:v>
      </x:c>
      <x:c r="B2520" s="2" t="str">
        <x:v>L00030</x:v>
      </x:c>
      <x:c r="C2520" s="2" t="str">
        <x:v>SO-26006</x:v>
      </x:c>
      <x:c r="D2520" s="2" t="str">
        <x:v>S-L-SS</x:v>
      </x:c>
      <x:c r="E2520" s="14" t="n">
        <x:v>10</x:v>
      </x:c>
      <x:c r="F2520" s="2" t="str">
        <x:v>Mechanical preassembly</x:v>
      </x:c>
      <x:c r="G2520" s="9" t="str">
        <x:v>AS-04</x:v>
      </x:c>
      <x:c r="H2520" s="15" t="n">
        <x:v>91</x:v>
      </x:c>
      <x:c r="I2520" s="9" t="str">
        <x:v>P01</x:v>
      </x:c>
      <x:c r="J2520" s="11" t="n">
        <x:v>46309.37986111111</x:v>
      </x:c>
      <x:c r="K2520" s="15" t="n">
        <x:v>6</x:v>
      </x:c>
      <x:c r="L2520" s="15" t="n">
        <x:v>15</x:v>
      </x:c>
      <x:c r="M2520" s="13" t="n">
        <x:f>J2520+(K2520+L2520)/1440</x:f>
        <x:v>46309.39444444444</x:v>
      </x:c>
      <x:c r="N2520" s="13" t="n">
        <x:f>VLOOKUP(C2520,'MES orders'!$A$8:$H$127,5,FALSE)</x:f>
        <x:v>46309.666666666664</x:v>
      </x:c>
      <x:c r="O2520" s="16" t="n">
        <x:f>MAX(0,(M2520-N2520)*24)</x:f>
        <x:v>0</x:v>
      </x:c>
      <x:c r="P2520" s="9" t="str">
        <x:v>No</x:v>
      </x:c>
      <x:c r="Q2520" s="15" t="n">
        <x:v>21</x:v>
      </x:c>
      <x:c r="R2520" s="13" t="n">
        <x:f>J2520+Q2520/1440</x:f>
        <x:v>46309.39444444444</x:v>
      </x:c>
      <x:c r="S2520" s="2" t="str">
        <x:f>VLOOKUP(C2520,'MES orders'!$A$8:$H$127,6,FALSE)</x:f>
        <x:v>Normal</x:v>
      </x:c>
      <x:c r="T2520" s="9" t="str"/>
    </x:row>
    <x:row r="2521" ht="22" customHeight="1">
      <x:c r="A2521" s="2" t="str">
        <x:v>L00069-020</x:v>
      </x:c>
      <x:c r="B2521" s="2" t="str">
        <x:v>L00069</x:v>
      </x:c>
      <x:c r="C2521" s="2" t="str">
        <x:v>SO-26014</x:v>
      </x:c>
      <x:c r="D2521" s="2" t="str">
        <x:v>D-C-SS</x:v>
      </x:c>
      <x:c r="E2521" s="14" t="n">
        <x:v>5</x:v>
      </x:c>
      <x:c r="F2521" s="2" t="str">
        <x:v>Deburr &amp; inspect</x:v>
      </x:c>
      <x:c r="G2521" s="9" t="str">
        <x:v>DB-02</x:v>
      </x:c>
      <x:c r="H2521" s="15" t="n">
        <x:v>164</x:v>
      </x:c>
      <x:c r="I2521" s="9" t="str">
        <x:v>P02</x:v>
      </x:c>
      <x:c r="J2521" s="11" t="n">
        <x:v>46309.385416666664</x:v>
      </x:c>
      <x:c r="K2521" s="15" t="n">
        <x:v>4</x:v>
      </x:c>
      <x:c r="L2521" s="15" t="n">
        <x:v>3</x:v>
      </x:c>
      <x:c r="M2521" s="13" t="n">
        <x:f>J2521+(K2521+L2521)/1440</x:f>
        <x:v>46309.39027777778</x:v>
      </x:c>
      <x:c r="N2521" s="13" t="n">
        <x:f>VLOOKUP(C2521,'MES orders'!$A$8:$H$127,5,FALSE)</x:f>
        <x:v>46309.666666666664</x:v>
      </x:c>
      <x:c r="O2521" s="16" t="n">
        <x:f>MAX(0,(M2521-N2521)*24)</x:f>
        <x:v>0</x:v>
      </x:c>
      <x:c r="P2521" s="9" t="str">
        <x:v>No</x:v>
      </x:c>
      <x:c r="Q2521" s="15" t="n">
        <x:v>7</x:v>
      </x:c>
      <x:c r="R2521" s="13" t="n">
        <x:f>J2521+Q2521/1440</x:f>
        <x:v>46309.39027777778</x:v>
      </x:c>
      <x:c r="S2521" s="2" t="str">
        <x:f>VLOOKUP(C2521,'MES orders'!$A$8:$H$127,6,FALSE)</x:f>
        <x:v>Normal</x:v>
      </x:c>
      <x:c r="T2521" s="9" t="str"/>
    </x:row>
    <x:row r="2522" ht="22" customHeight="1">
      <x:c r="A2522" s="2" t="str">
        <x:v>L00026-070</x:v>
      </x:c>
      <x:c r="B2522" s="2" t="str">
        <x:v>L00026</x:v>
      </x:c>
      <x:c r="C2522" s="2" t="str">
        <x:v>SO-26006</x:v>
      </x:c>
      <x:c r="D2522" s="2" t="str">
        <x:v>S-L-SS</x:v>
      </x:c>
      <x:c r="E2522" s="14" t="n">
        <x:v>10</x:v>
      </x:c>
      <x:c r="F2522" s="2" t="str">
        <x:v>Final assembly</x:v>
      </x:c>
      <x:c r="G2522" s="9" t="str">
        <x:v>AS-01</x:v>
      </x:c>
      <x:c r="H2522" s="15" t="n">
        <x:v>203</x:v>
      </x:c>
      <x:c r="I2522" s="9" t="str">
        <x:v>P08</x:v>
      </x:c>
      <x:c r="J2522" s="11" t="n">
        <x:v>46309.38611111111</x:v>
      </x:c>
      <x:c r="K2522" s="15" t="n">
        <x:v>5</x:v>
      </x:c>
      <x:c r="L2522" s="15" t="n">
        <x:v>11</x:v>
      </x:c>
      <x:c r="M2522" s="13" t="n">
        <x:f>J2522+(K2522+L2522)/1440</x:f>
        <x:v>46309.39722222222</x:v>
      </x:c>
      <x:c r="N2522" s="13" t="n">
        <x:f>VLOOKUP(C2522,'MES orders'!$A$8:$H$127,5,FALSE)</x:f>
        <x:v>46309.666666666664</x:v>
      </x:c>
      <x:c r="O2522" s="16" t="n">
        <x:f>MAX(0,(M2522-N2522)*24)</x:f>
        <x:v>0</x:v>
      </x:c>
      <x:c r="P2522" s="9" t="str">
        <x:v>No</x:v>
      </x:c>
      <x:c r="Q2522" s="15" t="n">
        <x:v>16</x:v>
      </x:c>
      <x:c r="R2522" s="13" t="n">
        <x:f>J2522+Q2522/1440</x:f>
        <x:v>46309.39722222222</x:v>
      </x:c>
      <x:c r="S2522" s="2" t="str">
        <x:f>VLOOKUP(C2522,'MES orders'!$A$8:$H$127,6,FALSE)</x:f>
        <x:v>Normal</x:v>
      </x:c>
      <x:c r="T2522" s="9" t="str"/>
    </x:row>
    <x:row r="2523" ht="22" customHeight="1">
      <x:c r="A2523" s="2" t="str">
        <x:v>L00074-060</x:v>
      </x:c>
      <x:c r="B2523" s="2" t="str">
        <x:v>L00074</x:v>
      </x:c>
      <x:c r="C2523" s="2" t="str">
        <x:v>SO-26015</x:v>
      </x:c>
      <x:c r="D2523" s="2" t="str">
        <x:v>R-S-AL</x:v>
      </x:c>
      <x:c r="E2523" s="14" t="n">
        <x:v>10</x:v>
      </x:c>
      <x:c r="F2523" s="2" t="str">
        <x:v>Final leak / function test</x:v>
      </x:c>
      <x:c r="G2523" s="9" t="str">
        <x:v>QA-03</x:v>
      </x:c>
      <x:c r="H2523" s="15" t="n">
        <x:v>109</x:v>
      </x:c>
      <x:c r="I2523" s="9" t="str">
        <x:v>P12</x:v>
      </x:c>
      <x:c r="J2523" s="11" t="n">
        <x:v>46309.38888888889</x:v>
      </x:c>
      <x:c r="K2523" s="15" t="n">
        <x:v>10</x:v>
      </x:c>
      <x:c r="L2523" s="15" t="n">
        <x:v>9</x:v>
      </x:c>
      <x:c r="M2523" s="13" t="n">
        <x:f>J2523+(K2523+L2523)/1440</x:f>
        <x:v>46309.402083333334</x:v>
      </x:c>
      <x:c r="N2523" s="13" t="n">
        <x:f>VLOOKUP(C2523,'MES orders'!$A$8:$H$127,5,FALSE)</x:f>
        <x:v>46310.666666666664</x:v>
      </x:c>
      <x:c r="O2523" s="16" t="n">
        <x:f>MAX(0,(M2523-N2523)*24)</x:f>
        <x:v>0</x:v>
      </x:c>
      <x:c r="P2523" s="9" t="str">
        <x:v>No</x:v>
      </x:c>
      <x:c r="Q2523" s="15" t="n">
        <x:v>19</x:v>
      </x:c>
      <x:c r="R2523" s="13" t="n">
        <x:f>J2523+Q2523/1440</x:f>
        <x:v>46309.402083333334</x:v>
      </x:c>
      <x:c r="S2523" s="2" t="str">
        <x:f>VLOOKUP(C2523,'MES orders'!$A$8:$H$127,6,FALSE)</x:f>
        <x:v>High</x:v>
      </x:c>
      <x:c r="T2523" s="9" t="str"/>
    </x:row>
    <x:row r="2524" ht="22" customHeight="1">
      <x:c r="A2524" s="2" t="str">
        <x:v>L00147-010</x:v>
      </x:c>
      <x:c r="B2524" s="2" t="str">
        <x:v>L00147</x:v>
      </x:c>
      <x:c r="C2524" s="2" t="str">
        <x:v>SO-26030</x:v>
      </x:c>
      <x:c r="D2524" s="2" t="str">
        <x:v>D-L-SS</x:v>
      </x:c>
      <x:c r="E2524" s="14" t="n">
        <x:v>20</x:v>
      </x:c>
      <x:c r="F2524" s="2" t="str">
        <x:v>CNC machining</x:v>
      </x:c>
      <x:c r="G2524" s="9" t="str">
        <x:v>CNC-03</x:v>
      </x:c>
      <x:c r="H2524" s="15" t="n">
        <x:v>80</x:v>
      </x:c>
      <x:c r="I2524" s="9" t="str">
        <x:v>P03</x:v>
      </x:c>
      <x:c r="J2524" s="11" t="n">
        <x:v>46309.38958333333</x:v>
      </x:c>
      <x:c r="K2524" s="15" t="n">
        <x:v>18</x:v>
      </x:c>
      <x:c r="L2524" s="15" t="n">
        <x:v>81</x:v>
      </x:c>
      <x:c r="M2524" s="13" t="n">
        <x:f>J2524+(K2524+L2524)/1440</x:f>
        <x:v>46309.45833333333</x:v>
      </x:c>
      <x:c r="N2524" s="13" t="n">
        <x:f>VLOOKUP(C2524,'MES orders'!$A$8:$H$127,5,FALSE)</x:f>
        <x:v>46309.666666666664</x:v>
      </x:c>
      <x:c r="O2524" s="16" t="n">
        <x:f>MAX(0,(M2524-N2524)*24)</x:f>
        <x:v>0</x:v>
      </x:c>
      <x:c r="P2524" s="9" t="str">
        <x:v>No</x:v>
      </x:c>
      <x:c r="Q2524" s="15" t="n">
        <x:v>18</x:v>
      </x:c>
      <x:c r="R2524" s="13" t="n">
        <x:f>J2524+Q2524/1440</x:f>
        <x:v>46309.40208333333</x:v>
      </x:c>
      <x:c r="S2524" s="2" t="str">
        <x:f>VLOOKUP(C2524,'MES orders'!$A$8:$H$127,6,FALSE)</x:f>
        <x:v>Normal</x:v>
      </x:c>
      <x:c r="T2524" s="9" t="str"/>
    </x:row>
    <x:row r="2525" ht="22" customHeight="1">
      <x:c r="A2525" s="2" t="str">
        <x:v>L00388-030</x:v>
      </x:c>
      <x:c r="B2525" s="2" t="str">
        <x:v>L00388</x:v>
      </x:c>
      <x:c r="C2525" s="2" t="str">
        <x:v>SO-26078</x:v>
      </x:c>
      <x:c r="D2525" s="2" t="str">
        <x:v>S-L-SS</x:v>
      </x:c>
      <x:c r="E2525" s="14" t="n">
        <x:v>20</x:v>
      </x:c>
      <x:c r="F2525" s="2" t="str">
        <x:v>Wash &amp; dry</x:v>
      </x:c>
      <x:c r="G2525" s="9" t="str">
        <x:v>WS-01</x:v>
      </x:c>
      <x:c r="H2525" s="15" t="n">
        <x:v>235</x:v>
      </x:c>
      <x:c r="I2525" s="9" t="str">
        <x:v>P04</x:v>
      </x:c>
      <x:c r="J2525" s="11" t="n">
        <x:v>46309.38958333333</x:v>
      </x:c>
      <x:c r="K2525" s="15" t="n">
        <x:v>12</x:v>
      </x:c>
      <x:c r="L2525" s="15" t="n">
        <x:v>9</x:v>
      </x:c>
      <x:c r="M2525" s="13" t="n">
        <x:f>J2525+(K2525+L2525)/1440</x:f>
        <x:v>46309.40416666666</x:v>
      </x:c>
      <x:c r="N2525" s="13" t="n">
        <x:f>VLOOKUP(C2525,'MES orders'!$A$8:$H$127,5,FALSE)</x:f>
        <x:v>46309.666666666664</x:v>
      </x:c>
      <x:c r="O2525" s="16" t="n">
        <x:f>MAX(0,(M2525-N2525)*24)</x:f>
        <x:v>0</x:v>
      </x:c>
      <x:c r="P2525" s="9" t="str">
        <x:v>No</x:v>
      </x:c>
      <x:c r="Q2525" s="15" t="n">
        <x:v>21</x:v>
      </x:c>
      <x:c r="R2525" s="13" t="n">
        <x:f>J2525+Q2525/1440</x:f>
        <x:v>46309.40416666666</x:v>
      </x:c>
      <x:c r="S2525" s="2" t="str">
        <x:f>VLOOKUP(C2525,'MES orders'!$A$8:$H$127,6,FALSE)</x:f>
        <x:v>High</x:v>
      </x:c>
      <x:c r="T2525" s="9" t="str"/>
    </x:row>
    <x:row r="2526" ht="22" customHeight="1">
      <x:c r="A2526" s="2" t="str">
        <x:v>L00069-030</x:v>
      </x:c>
      <x:c r="B2526" s="2" t="str">
        <x:v>L00069</x:v>
      </x:c>
      <x:c r="C2526" s="2" t="str">
        <x:v>SO-26014</x:v>
      </x:c>
      <x:c r="D2526" s="2" t="str">
        <x:v>D-C-SS</x:v>
      </x:c>
      <x:c r="E2526" s="14" t="n">
        <x:v>5</x:v>
      </x:c>
      <x:c r="F2526" s="2" t="str">
        <x:v>Wash &amp; dry</x:v>
      </x:c>
      <x:c r="G2526" s="9" t="str">
        <x:v>WS-02</x:v>
      </x:c>
      <x:c r="H2526" s="15" t="n">
        <x:v>165</x:v>
      </x:c>
      <x:c r="I2526" s="9" t="str">
        <x:v>P02</x:v>
      </x:c>
      <x:c r="J2526" s="11" t="n">
        <x:v>46309.39027777778</x:v>
      </x:c>
      <x:c r="K2526" s="15" t="n">
        <x:v>12</x:v>
      </x:c>
      <x:c r="L2526" s="15" t="n">
        <x:v>1</x:v>
      </x:c>
      <x:c r="M2526" s="13" t="n">
        <x:f>J2526+(K2526+L2526)/1440</x:f>
        <x:v>46309.399305555555</x:v>
      </x:c>
      <x:c r="N2526" s="13" t="n">
        <x:f>VLOOKUP(C2526,'MES orders'!$A$8:$H$127,5,FALSE)</x:f>
        <x:v>46309.666666666664</x:v>
      </x:c>
      <x:c r="O2526" s="16" t="n">
        <x:f>MAX(0,(M2526-N2526)*24)</x:f>
        <x:v>0</x:v>
      </x:c>
      <x:c r="P2526" s="9" t="str">
        <x:v>No</x:v>
      </x:c>
      <x:c r="Q2526" s="15" t="n">
        <x:v>13</x:v>
      </x:c>
      <x:c r="R2526" s="13" t="n">
        <x:f>J2526+Q2526/1440</x:f>
        <x:v>46309.399305555555</x:v>
      </x:c>
      <x:c r="S2526" s="2" t="str">
        <x:f>VLOOKUP(C2526,'MES orders'!$A$8:$H$127,6,FALSE)</x:f>
        <x:v>Normal</x:v>
      </x:c>
      <x:c r="T2526" s="9" t="str"/>
    </x:row>
    <x:row r="2527" ht="22" customHeight="1">
      <x:c r="A2527" s="2" t="str">
        <x:v>L00389-020</x:v>
      </x:c>
      <x:c r="B2527" s="2" t="str">
        <x:v>L00389</x:v>
      </x:c>
      <x:c r="C2527" s="2" t="str">
        <x:v>SO-26078</x:v>
      </x:c>
      <x:c r="D2527" s="2" t="str">
        <x:v>S-L-SS</x:v>
      </x:c>
      <x:c r="E2527" s="14" t="n">
        <x:v>20</x:v>
      </x:c>
      <x:c r="F2527" s="2" t="str">
        <x:v>Deburr &amp; inspect</x:v>
      </x:c>
      <x:c r="G2527" s="9" t="str">
        <x:v>DB-01</x:v>
      </x:c>
      <x:c r="H2527" s="15" t="n">
        <x:v>238</x:v>
      </x:c>
      <x:c r="I2527" s="9" t="str">
        <x:v>P05</x:v>
      </x:c>
      <x:c r="J2527" s="11" t="n">
        <x:v>46309.39236111111</x:v>
      </x:c>
      <x:c r="K2527" s="15" t="n">
        <x:v>4</x:v>
      </x:c>
      <x:c r="L2527" s="15" t="n">
        <x:v>19</x:v>
      </x:c>
      <x:c r="M2527" s="13" t="n">
        <x:f>J2527+(K2527+L2527)/1440</x:f>
        <x:v>46309.40833333333</x:v>
      </x:c>
      <x:c r="N2527" s="13" t="n">
        <x:f>VLOOKUP(C2527,'MES orders'!$A$8:$H$127,5,FALSE)</x:f>
        <x:v>46309.666666666664</x:v>
      </x:c>
      <x:c r="O2527" s="16" t="n">
        <x:f>MAX(0,(M2527-N2527)*24)</x:f>
        <x:v>0</x:v>
      </x:c>
      <x:c r="P2527" s="9" t="str">
        <x:v>No</x:v>
      </x:c>
      <x:c r="Q2527" s="15" t="n">
        <x:v>23</x:v>
      </x:c>
      <x:c r="R2527" s="13" t="n">
        <x:f>J2527+Q2527/1440</x:f>
        <x:v>46309.40833333333</x:v>
      </x:c>
      <x:c r="S2527" s="2" t="str">
        <x:f>VLOOKUP(C2527,'MES orders'!$A$8:$H$127,6,FALSE)</x:f>
        <x:v>High</x:v>
      </x:c>
      <x:c r="T2527" s="9" t="str"/>
    </x:row>
    <x:row r="2528" ht="22" customHeight="1">
      <x:c r="A2528" s="2" t="str">
        <x:v>L00390-020</x:v>
      </x:c>
      <x:c r="B2528" s="2" t="str">
        <x:v>L00390</x:v>
      </x:c>
      <x:c r="C2528" s="2" t="str">
        <x:v>SO-26078</x:v>
      </x:c>
      <x:c r="D2528" s="2" t="str">
        <x:v>S-L-SS</x:v>
      </x:c>
      <x:c r="E2528" s="14" t="n">
        <x:v>20</x:v>
      </x:c>
      <x:c r="F2528" s="2" t="str">
        <x:v>Deburr &amp; inspect</x:v>
      </x:c>
      <x:c r="G2528" s="9" t="str">
        <x:v>DB-02</x:v>
      </x:c>
      <x:c r="H2528" s="15" t="n">
        <x:v>165</x:v>
      </x:c>
      <x:c r="I2528" s="9" t="str">
        <x:v>P06</x:v>
      </x:c>
      <x:c r="J2528" s="11" t="n">
        <x:v>46309.39375</x:v>
      </x:c>
      <x:c r="K2528" s="15" t="n">
        <x:v>4</x:v>
      </x:c>
      <x:c r="L2528" s="15" t="n">
        <x:v>19</x:v>
      </x:c>
      <x:c r="M2528" s="13" t="n">
        <x:f>J2528+(K2528+L2528)/1440</x:f>
        <x:v>46309.409722222226</x:v>
      </x:c>
      <x:c r="N2528" s="13" t="n">
        <x:f>VLOOKUP(C2528,'MES orders'!$A$8:$H$127,5,FALSE)</x:f>
        <x:v>46309.666666666664</x:v>
      </x:c>
      <x:c r="O2528" s="16" t="n">
        <x:f>MAX(0,(M2528-N2528)*24)</x:f>
        <x:v>0</x:v>
      </x:c>
      <x:c r="P2528" s="9" t="str">
        <x:v>No</x:v>
      </x:c>
      <x:c r="Q2528" s="15" t="n">
        <x:v>23</x:v>
      </x:c>
      <x:c r="R2528" s="13" t="n">
        <x:f>J2528+Q2528/1440</x:f>
        <x:v>46309.409722222226</x:v>
      </x:c>
      <x:c r="S2528" s="2" t="str">
        <x:f>VLOOKUP(C2528,'MES orders'!$A$8:$H$127,6,FALSE)</x:f>
        <x:v>High</x:v>
      </x:c>
      <x:c r="T2528" s="9" t="str"/>
    </x:row>
    <x:row r="2529" ht="22" customHeight="1">
      <x:c r="A2529" s="2" t="str">
        <x:v>L00030-050</x:v>
      </x:c>
      <x:c r="B2529" s="2" t="str">
        <x:v>L00030</x:v>
      </x:c>
      <x:c r="C2529" s="2" t="str">
        <x:v>SO-26006</x:v>
      </x:c>
      <x:c r="D2529" s="2" t="str">
        <x:v>S-L-SS</x:v>
      </x:c>
      <x:c r="E2529" s="14" t="n">
        <x:v>10</x:v>
      </x:c>
      <x:c r="F2529" s="2" t="str">
        <x:v>Sensor installation</x:v>
      </x:c>
      <x:c r="G2529" s="9" t="str">
        <x:v>EL-01</x:v>
      </x:c>
      <x:c r="H2529" s="15" t="n">
        <x:v>86</x:v>
      </x:c>
      <x:c r="I2529" s="9" t="str">
        <x:v>P07</x:v>
      </x:c>
      <x:c r="J2529" s="11" t="n">
        <x:v>46309.39444444444</x:v>
      </x:c>
      <x:c r="K2529" s="15" t="n">
        <x:v>8</x:v>
      </x:c>
      <x:c r="L2529" s="15" t="n">
        <x:v>16</x:v>
      </x:c>
      <x:c r="M2529" s="13" t="n">
        <x:f>J2529+(K2529+L2529)/1440</x:f>
        <x:v>46309.41111111111</x:v>
      </x:c>
      <x:c r="N2529" s="13" t="n">
        <x:f>VLOOKUP(C2529,'MES orders'!$A$8:$H$127,5,FALSE)</x:f>
        <x:v>46309.666666666664</x:v>
      </x:c>
      <x:c r="O2529" s="16" t="n">
        <x:f>MAX(0,(M2529-N2529)*24)</x:f>
        <x:v>0</x:v>
      </x:c>
      <x:c r="P2529" s="9" t="str">
        <x:v>No</x:v>
      </x:c>
      <x:c r="Q2529" s="15" t="n">
        <x:v>24</x:v>
      </x:c>
      <x:c r="R2529" s="13" t="n">
        <x:f>J2529+Q2529/1440</x:f>
        <x:v>46309.41111111111</x:v>
      </x:c>
      <x:c r="S2529" s="2" t="str">
        <x:f>VLOOKUP(C2529,'MES orders'!$A$8:$H$127,6,FALSE)</x:f>
        <x:v>Normal</x:v>
      </x:c>
      <x:c r="T2529" s="9" t="str"/>
    </x:row>
    <x:row r="2530" ht="22" customHeight="1">
      <x:c r="A2530" s="2" t="str">
        <x:v>L00026-080</x:v>
      </x:c>
      <x:c r="B2530" s="2" t="str">
        <x:v>L00026</x:v>
      </x:c>
      <x:c r="C2530" s="2" t="str">
        <x:v>SO-26006</x:v>
      </x:c>
      <x:c r="D2530" s="2" t="str">
        <x:v>S-L-SS</x:v>
      </x:c>
      <x:c r="E2530" s="14" t="n">
        <x:v>10</x:v>
      </x:c>
      <x:c r="F2530" s="2" t="str">
        <x:v>Final leak / function test</x:v>
      </x:c>
      <x:c r="G2530" s="9" t="str">
        <x:v>QA-02</x:v>
      </x:c>
      <x:c r="H2530" s="15" t="n">
        <x:v>186</x:v>
      </x:c>
      <x:c r="I2530" s="9" t="str">
        <x:v>P11</x:v>
      </x:c>
      <x:c r="J2530" s="11" t="n">
        <x:v>46309.39722222222</x:v>
      </x:c>
      <x:c r="K2530" s="15" t="n">
        <x:v>10</x:v>
      </x:c>
      <x:c r="L2530" s="15" t="n">
        <x:v>12</x:v>
      </x:c>
      <x:c r="M2530" s="13" t="n">
        <x:f>J2530+(K2530+L2530)/1440</x:f>
        <x:v>46309.4125</x:v>
      </x:c>
      <x:c r="N2530" s="13" t="n">
        <x:f>VLOOKUP(C2530,'MES orders'!$A$8:$H$127,5,FALSE)</x:f>
        <x:v>46309.666666666664</x:v>
      </x:c>
      <x:c r="O2530" s="16" t="n">
        <x:f>MAX(0,(M2530-N2530)*24)</x:f>
        <x:v>0</x:v>
      </x:c>
      <x:c r="P2530" s="9" t="str">
        <x:v>No</x:v>
      </x:c>
      <x:c r="Q2530" s="15" t="n">
        <x:v>22</x:v>
      </x:c>
      <x:c r="R2530" s="13" t="n">
        <x:f>J2530+Q2530/1440</x:f>
        <x:v>46309.4125</x:v>
      </x:c>
      <x:c r="S2530" s="2" t="str">
        <x:f>VLOOKUP(C2530,'MES orders'!$A$8:$H$127,6,FALSE)</x:f>
        <x:v>Normal</x:v>
      </x:c>
      <x:c r="T2530" s="9" t="str"/>
    </x:row>
    <x:row r="2531" ht="22" customHeight="1">
      <x:c r="A2531" s="2" t="str">
        <x:v>L00069-040</x:v>
      </x:c>
      <x:c r="B2531" s="2" t="str">
        <x:v>L00069</x:v>
      </x:c>
      <x:c r="C2531" s="2" t="str">
        <x:v>SO-26014</x:v>
      </x:c>
      <x:c r="D2531" s="2" t="str">
        <x:v>D-C-SS</x:v>
      </x:c>
      <x:c r="E2531" s="14" t="n">
        <x:v>5</x:v>
      </x:c>
      <x:c r="F2531" s="2" t="str">
        <x:v>Mechanical assembly</x:v>
      </x:c>
      <x:c r="G2531" s="9" t="str">
        <x:v>AS-01</x:v>
      </x:c>
      <x:c r="H2531" s="15" t="n">
        <x:v>204</x:v>
      </x:c>
      <x:c r="I2531" s="9" t="str">
        <x:v>P01</x:v>
      </x:c>
      <x:c r="J2531" s="11" t="n">
        <x:v>46309.399305555555</x:v>
      </x:c>
      <x:c r="K2531" s="15" t="n">
        <x:v>8</x:v>
      </x:c>
      <x:c r="L2531" s="15" t="n">
        <x:v>7</x:v>
      </x:c>
      <x:c r="M2531" s="13" t="n">
        <x:f>J2531+(K2531+L2531)/1440</x:f>
        <x:v>46309.40972222222</x:v>
      </x:c>
      <x:c r="N2531" s="13" t="n">
        <x:f>VLOOKUP(C2531,'MES orders'!$A$8:$H$127,5,FALSE)</x:f>
        <x:v>46309.666666666664</x:v>
      </x:c>
      <x:c r="O2531" s="16" t="n">
        <x:f>MAX(0,(M2531-N2531)*24)</x:f>
        <x:v>0</x:v>
      </x:c>
      <x:c r="P2531" s="9" t="str">
        <x:v>No</x:v>
      </x:c>
      <x:c r="Q2531" s="15" t="n">
        <x:v>15</x:v>
      </x:c>
      <x:c r="R2531" s="13" t="n">
        <x:f>J2531+Q2531/1440</x:f>
        <x:v>46309.40972222222</x:v>
      </x:c>
      <x:c r="S2531" s="2" t="str">
        <x:f>VLOOKUP(C2531,'MES orders'!$A$8:$H$127,6,FALSE)</x:f>
        <x:v>Normal</x:v>
      </x:c>
      <x:c r="T2531" s="9" t="str"/>
    </x:row>
    <x:row r="2532" ht="22" customHeight="1">
      <x:c r="A2532" s="2" t="str">
        <x:v>L00148-010</x:v>
      </x:c>
      <x:c r="B2532" s="2" t="str">
        <x:v>L00148</x:v>
      </x:c>
      <x:c r="C2532" s="2" t="str">
        <x:v>SO-26030</x:v>
      </x:c>
      <x:c r="D2532" s="2" t="str">
        <x:v>D-L-SS</x:v>
      </x:c>
      <x:c r="E2532" s="14" t="n">
        <x:v>20</x:v>
      </x:c>
      <x:c r="F2532" s="2" t="str">
        <x:v>CNC machining</x:v>
      </x:c>
      <x:c r="G2532" s="9" t="str">
        <x:v>CNC-04</x:v>
      </x:c>
      <x:c r="H2532" s="15" t="n">
        <x:v>77</x:v>
      </x:c>
      <x:c r="I2532" s="9" t="str">
        <x:v>P02</x:v>
      </x:c>
      <x:c r="J2532" s="11" t="n">
        <x:v>46309.399305555555</x:v>
      </x:c>
      <x:c r="K2532" s="15" t="n">
        <x:v>18</x:v>
      </x:c>
      <x:c r="L2532" s="15" t="n">
        <x:v>81</x:v>
      </x:c>
      <x:c r="M2532" s="13" t="n">
        <x:f>J2532+(K2532+L2532)/1440</x:f>
        <x:v>46309.46805555555</x:v>
      </x:c>
      <x:c r="N2532" s="13" t="n">
        <x:f>VLOOKUP(C2532,'MES orders'!$A$8:$H$127,5,FALSE)</x:f>
        <x:v>46309.666666666664</x:v>
      </x:c>
      <x:c r="O2532" s="16" t="n">
        <x:f>MAX(0,(M2532-N2532)*24)</x:f>
        <x:v>0</x:v>
      </x:c>
      <x:c r="P2532" s="9" t="str">
        <x:v>No</x:v>
      </x:c>
      <x:c r="Q2532" s="15" t="n">
        <x:v>18</x:v>
      </x:c>
      <x:c r="R2532" s="13" t="n">
        <x:f>J2532+Q2532/1440</x:f>
        <x:v>46309.41180555555</x:v>
      </x:c>
      <x:c r="S2532" s="2" t="str">
        <x:f>VLOOKUP(C2532,'MES orders'!$A$8:$H$127,6,FALSE)</x:f>
        <x:v>Normal</x:v>
      </x:c>
      <x:c r="T2532" s="9" t="str"/>
    </x:row>
    <x:row r="2533" ht="22" customHeight="1">
      <x:c r="A2533" s="2" t="str">
        <x:v>L00149-010</x:v>
      </x:c>
      <x:c r="B2533" s="2" t="str">
        <x:v>L00149</x:v>
      </x:c>
      <x:c r="C2533" s="2" t="str">
        <x:v>SO-26030</x:v>
      </x:c>
      <x:c r="D2533" s="2" t="str">
        <x:v>D-L-SS</x:v>
      </x:c>
      <x:c r="E2533" s="14" t="n">
        <x:v>20</x:v>
      </x:c>
      <x:c r="F2533" s="2" t="str">
        <x:v>CNC machining</x:v>
      </x:c>
      <x:c r="G2533" s="9" t="str">
        <x:v>CNC-05</x:v>
      </x:c>
      <x:c r="H2533" s="15" t="n">
        <x:v>71</x:v>
      </x:c>
      <x:c r="I2533" s="9" t="str">
        <x:v>P03</x:v>
      </x:c>
      <x:c r="J2533" s="11" t="n">
        <x:v>46309.402083333334</x:v>
      </x:c>
      <x:c r="K2533" s="15" t="n">
        <x:v>18</x:v>
      </x:c>
      <x:c r="L2533" s="15" t="n">
        <x:v>81</x:v>
      </x:c>
      <x:c r="M2533" s="13" t="n">
        <x:f>J2533+(K2533+L2533)/1440</x:f>
        <x:v>46309.47083333333</x:v>
      </x:c>
      <x:c r="N2533" s="13" t="n">
        <x:f>VLOOKUP(C2533,'MES orders'!$A$8:$H$127,5,FALSE)</x:f>
        <x:v>46309.666666666664</x:v>
      </x:c>
      <x:c r="O2533" s="16" t="n">
        <x:f>MAX(0,(M2533-N2533)*24)</x:f>
        <x:v>0</x:v>
      </x:c>
      <x:c r="P2533" s="9" t="str">
        <x:v>No</x:v>
      </x:c>
      <x:c r="Q2533" s="15" t="n">
        <x:v>18</x:v>
      </x:c>
      <x:c r="R2533" s="13" t="n">
        <x:f>J2533+Q2533/1440</x:f>
        <x:v>46309.41458333333</x:v>
      </x:c>
      <x:c r="S2533" s="2" t="str">
        <x:f>VLOOKUP(C2533,'MES orders'!$A$8:$H$127,6,FALSE)</x:f>
        <x:v>Normal</x:v>
      </x:c>
      <x:c r="T2533" s="9" t="str"/>
    </x:row>
    <x:row r="2534" ht="22" customHeight="1">
      <x:c r="A2534" s="2" t="str">
        <x:v>L00075-060</x:v>
      </x:c>
      <x:c r="B2534" s="2" t="str">
        <x:v>L00075</x:v>
      </x:c>
      <x:c r="C2534" s="2" t="str">
        <x:v>SO-26015</x:v>
      </x:c>
      <x:c r="D2534" s="2" t="str">
        <x:v>R-S-AL</x:v>
      </x:c>
      <x:c r="E2534" s="14" t="n">
        <x:v>10</x:v>
      </x:c>
      <x:c r="F2534" s="2" t="str">
        <x:v>Final leak / function test</x:v>
      </x:c>
      <x:c r="G2534" s="9" t="str">
        <x:v>QA-03</x:v>
      </x:c>
      <x:c r="H2534" s="15" t="n">
        <x:v>110</x:v>
      </x:c>
      <x:c r="I2534" s="9" t="str">
        <x:v>P12</x:v>
      </x:c>
      <x:c r="J2534" s="11" t="n">
        <x:v>46309.402083333334</x:v>
      </x:c>
      <x:c r="K2534" s="15" t="n">
        <x:v>10</x:v>
      </x:c>
      <x:c r="L2534" s="15" t="n">
        <x:v>9</x:v>
      </x:c>
      <x:c r="M2534" s="13" t="n">
        <x:f>J2534+(K2534+L2534)/1440</x:f>
        <x:v>46309.41527777778</x:v>
      </x:c>
      <x:c r="N2534" s="13" t="n">
        <x:f>VLOOKUP(C2534,'MES orders'!$A$8:$H$127,5,FALSE)</x:f>
        <x:v>46310.666666666664</x:v>
      </x:c>
      <x:c r="O2534" s="16" t="n">
        <x:f>MAX(0,(M2534-N2534)*24)</x:f>
        <x:v>0</x:v>
      </x:c>
      <x:c r="P2534" s="9" t="str">
        <x:v>No</x:v>
      </x:c>
      <x:c r="Q2534" s="15" t="n">
        <x:v>19</x:v>
      </x:c>
      <x:c r="R2534" s="13" t="n">
        <x:f>J2534+Q2534/1440</x:f>
        <x:v>46309.41527777778</x:v>
      </x:c>
      <x:c r="S2534" s="2" t="str">
        <x:f>VLOOKUP(C2534,'MES orders'!$A$8:$H$127,6,FALSE)</x:f>
        <x:v>High</x:v>
      </x:c>
      <x:c r="T2534" s="9" t="str"/>
    </x:row>
    <x:row r="2535" ht="22" customHeight="1">
      <x:c r="A2535" s="2" t="str">
        <x:v>L00029-030</x:v>
      </x:c>
      <x:c r="B2535" s="2" t="str">
        <x:v>L00029</x:v>
      </x:c>
      <x:c r="C2535" s="2" t="str">
        <x:v>SO-26006</x:v>
      </x:c>
      <x:c r="D2535" s="2" t="str">
        <x:v>S-L-SS</x:v>
      </x:c>
      <x:c r="E2535" s="14" t="n">
        <x:v>10</x:v>
      </x:c>
      <x:c r="F2535" s="2" t="str">
        <x:v>Wash &amp; dry</x:v>
      </x:c>
      <x:c r="G2535" s="9" t="str">
        <x:v>WS-01</x:v>
      </x:c>
      <x:c r="H2535" s="15" t="n">
        <x:v>236</x:v>
      </x:c>
      <x:c r="I2535" s="9" t="str">
        <x:v>P04</x:v>
      </x:c>
      <x:c r="J2535" s="11" t="n">
        <x:v>46309.40416666667</x:v>
      </x:c>
      <x:c r="K2535" s="15" t="n">
        <x:v>12</x:v>
      </x:c>
      <x:c r="L2535" s="15" t="n">
        <x:v>5</x:v>
      </x:c>
      <x:c r="M2535" s="13" t="n">
        <x:f>J2535+(K2535+L2535)/1440</x:f>
        <x:v>46309.415972222225</x:v>
      </x:c>
      <x:c r="N2535" s="13" t="n">
        <x:f>VLOOKUP(C2535,'MES orders'!$A$8:$H$127,5,FALSE)</x:f>
        <x:v>46309.666666666664</x:v>
      </x:c>
      <x:c r="O2535" s="16" t="n">
        <x:f>MAX(0,(M2535-N2535)*24)</x:f>
        <x:v>0</x:v>
      </x:c>
      <x:c r="P2535" s="9" t="str">
        <x:v>No</x:v>
      </x:c>
      <x:c r="Q2535" s="15" t="n">
        <x:v>17</x:v>
      </x:c>
      <x:c r="R2535" s="13" t="n">
        <x:f>J2535+Q2535/1440</x:f>
        <x:v>46309.415972222225</x:v>
      </x:c>
      <x:c r="S2535" s="2" t="str">
        <x:f>VLOOKUP(C2535,'MES orders'!$A$8:$H$127,6,FALSE)</x:f>
        <x:v>Normal</x:v>
      </x:c>
      <x:c r="T2535" s="9" t="str"/>
    </x:row>
    <x:row r="2536" ht="22" customHeight="1">
      <x:c r="A2536" s="2" t="str">
        <x:v>L00067-020</x:v>
      </x:c>
      <x:c r="B2536" s="2" t="str">
        <x:v>L00067</x:v>
      </x:c>
      <x:c r="C2536" s="2" t="str">
        <x:v>SO-26014</x:v>
      </x:c>
      <x:c r="D2536" s="2" t="str">
        <x:v>D-C-SS</x:v>
      </x:c>
      <x:c r="E2536" s="14" t="n">
        <x:v>5</x:v>
      </x:c>
      <x:c r="F2536" s="2" t="str">
        <x:v>Deburr &amp; inspect</x:v>
      </x:c>
      <x:c r="G2536" s="9" t="str">
        <x:v>DB-01</x:v>
      </x:c>
      <x:c r="H2536" s="15" t="n">
        <x:v>239</x:v>
      </x:c>
      <x:c r="I2536" s="9" t="str">
        <x:v>P05</x:v>
      </x:c>
      <x:c r="J2536" s="11" t="n">
        <x:v>46309.40833333333</x:v>
      </x:c>
      <x:c r="K2536" s="15" t="n">
        <x:v>4</x:v>
      </x:c>
      <x:c r="L2536" s="15" t="n">
        <x:v>3</x:v>
      </x:c>
      <x:c r="M2536" s="13" t="n">
        <x:f>J2536+(K2536+L2536)/1440</x:f>
        <x:v>46309.413194444445</x:v>
      </x:c>
      <x:c r="N2536" s="13" t="n">
        <x:f>VLOOKUP(C2536,'MES orders'!$A$8:$H$127,5,FALSE)</x:f>
        <x:v>46309.666666666664</x:v>
      </x:c>
      <x:c r="O2536" s="16" t="n">
        <x:f>MAX(0,(M2536-N2536)*24)</x:f>
        <x:v>0</x:v>
      </x:c>
      <x:c r="P2536" s="9" t="str">
        <x:v>No</x:v>
      </x:c>
      <x:c r="Q2536" s="15" t="n">
        <x:v>7</x:v>
      </x:c>
      <x:c r="R2536" s="13" t="n">
        <x:f>J2536+Q2536/1440</x:f>
        <x:v>46309.413194444445</x:v>
      </x:c>
      <x:c r="S2536" s="2" t="str">
        <x:f>VLOOKUP(C2536,'MES orders'!$A$8:$H$127,6,FALSE)</x:f>
        <x:v>Normal</x:v>
      </x:c>
      <x:c r="T2536" s="9" t="str"/>
    </x:row>
    <x:row r="2537" ht="22" customHeight="1">
      <x:c r="A2537" s="2" t="str">
        <x:v>L00068-020</x:v>
      </x:c>
      <x:c r="B2537" s="2" t="str">
        <x:v>L00068</x:v>
      </x:c>
      <x:c r="C2537" s="2" t="str">
        <x:v>SO-26014</x:v>
      </x:c>
      <x:c r="D2537" s="2" t="str">
        <x:v>D-C-SS</x:v>
      </x:c>
      <x:c r="E2537" s="14" t="n">
        <x:v>5</x:v>
      </x:c>
      <x:c r="F2537" s="2" t="str">
        <x:v>Deburr &amp; inspect</x:v>
      </x:c>
      <x:c r="G2537" s="9" t="str">
        <x:v>DB-02</x:v>
      </x:c>
      <x:c r="H2537" s="15" t="n">
        <x:v>166</x:v>
      </x:c>
      <x:c r="I2537" s="9" t="str">
        <x:v>P06</x:v>
      </x:c>
      <x:c r="J2537" s="11" t="n">
        <x:v>46309.40972222222</x:v>
      </x:c>
      <x:c r="K2537" s="15" t="n">
        <x:v>4</x:v>
      </x:c>
      <x:c r="L2537" s="15" t="n">
        <x:v>3</x:v>
      </x:c>
      <x:c r="M2537" s="13" t="n">
        <x:f>J2537+(K2537+L2537)/1440</x:f>
        <x:v>46309.41458333333</x:v>
      </x:c>
      <x:c r="N2537" s="13" t="n">
        <x:f>VLOOKUP(C2537,'MES orders'!$A$8:$H$127,5,FALSE)</x:f>
        <x:v>46309.666666666664</x:v>
      </x:c>
      <x:c r="O2537" s="16" t="n">
        <x:f>MAX(0,(M2537-N2537)*24)</x:f>
        <x:v>0</x:v>
      </x:c>
      <x:c r="P2537" s="9" t="str">
        <x:v>No</x:v>
      </x:c>
      <x:c r="Q2537" s="15" t="n">
        <x:v>7</x:v>
      </x:c>
      <x:c r="R2537" s="13" t="n">
        <x:f>J2537+Q2537/1440</x:f>
        <x:v>46309.41458333333</x:v>
      </x:c>
      <x:c r="S2537" s="2" t="str">
        <x:f>VLOOKUP(C2537,'MES orders'!$A$8:$H$127,6,FALSE)</x:f>
        <x:v>Normal</x:v>
      </x:c>
      <x:c r="T2537" s="9" t="str"/>
    </x:row>
    <x:row r="2538" ht="22" customHeight="1">
      <x:c r="A2538" s="2" t="str">
        <x:v>L00388-040</x:v>
      </x:c>
      <x:c r="B2538" s="2" t="str">
        <x:v>L00388</x:v>
      </x:c>
      <x:c r="C2538" s="2" t="str">
        <x:v>SO-26078</x:v>
      </x:c>
      <x:c r="D2538" s="2" t="str">
        <x:v>S-L-SS</x:v>
      </x:c>
      <x:c r="E2538" s="14" t="n">
        <x:v>20</x:v>
      </x:c>
      <x:c r="F2538" s="2" t="str">
        <x:v>Mechanical preassembly</x:v>
      </x:c>
      <x:c r="G2538" s="9" t="str">
        <x:v>AS-01</x:v>
      </x:c>
      <x:c r="H2538" s="15" t="n">
        <x:v>205</x:v>
      </x:c>
      <x:c r="I2538" s="9" t="str">
        <x:v>P04</x:v>
      </x:c>
      <x:c r="J2538" s="11" t="n">
        <x:v>46309.4375</x:v>
      </x:c>
      <x:c r="K2538" s="15" t="n">
        <x:v>6</x:v>
      </x:c>
      <x:c r="L2538" s="15" t="n">
        <x:v>30</x:v>
      </x:c>
      <x:c r="M2538" s="13" t="n">
        <x:f>J2538+(K2538+L2538)/1440</x:f>
        <x:v>46309.4625</x:v>
      </x:c>
      <x:c r="N2538" s="13" t="n">
        <x:f>VLOOKUP(C2538,'MES orders'!$A$8:$H$127,5,FALSE)</x:f>
        <x:v>46309.666666666664</x:v>
      </x:c>
      <x:c r="O2538" s="16" t="n">
        <x:f>MAX(0,(M2538-N2538)*24)</x:f>
        <x:v>0</x:v>
      </x:c>
      <x:c r="P2538" s="9" t="str">
        <x:v>No</x:v>
      </x:c>
      <x:c r="Q2538" s="15" t="n">
        <x:v>36</x:v>
      </x:c>
      <x:c r="R2538" s="13" t="n">
        <x:f>J2538+Q2538/1440</x:f>
        <x:v>46309.4625</x:v>
      </x:c>
      <x:c r="S2538" s="2" t="str">
        <x:f>VLOOKUP(C2538,'MES orders'!$A$8:$H$127,6,FALSE)</x:f>
        <x:v>High</x:v>
      </x:c>
      <x:c r="T2538" s="9" t="str"/>
    </x:row>
    <x:row r="2539" ht="22" customHeight="1">
      <x:c r="A2539" s="2" t="str">
        <x:v>L00030-060</x:v>
      </x:c>
      <x:c r="B2539" s="2" t="str">
        <x:v>L00030</x:v>
      </x:c>
      <x:c r="C2539" s="2" t="str">
        <x:v>SO-26006</x:v>
      </x:c>
      <x:c r="D2539" s="2" t="str">
        <x:v>S-L-SS</x:v>
      </x:c>
      <x:c r="E2539" s="14" t="n">
        <x:v>10</x:v>
      </x:c>
      <x:c r="F2539" s="2" t="str">
        <x:v>Sensor calibration</x:v>
      </x:c>
      <x:c r="G2539" s="9" t="str">
        <x:v>CAL-01</x:v>
      </x:c>
      <x:c r="H2539" s="15" t="n">
        <x:v>129</x:v>
      </x:c>
      <x:c r="I2539" s="9" t="str">
        <x:v>P09</x:v>
      </x:c>
      <x:c r="J2539" s="11" t="n">
        <x:v>46309.4375</x:v>
      </x:c>
      <x:c r="K2539" s="15" t="n">
        <x:v>10</x:v>
      </x:c>
      <x:c r="L2539" s="15" t="n">
        <x:v>18</x:v>
      </x:c>
      <x:c r="M2539" s="13" t="n">
        <x:f>J2539+(K2539+L2539)/1440</x:f>
        <x:v>46309.45694444444</x:v>
      </x:c>
      <x:c r="N2539" s="13" t="n">
        <x:f>VLOOKUP(C2539,'MES orders'!$A$8:$H$127,5,FALSE)</x:f>
        <x:v>46309.666666666664</x:v>
      </x:c>
      <x:c r="O2539" s="16" t="n">
        <x:f>MAX(0,(M2539-N2539)*24)</x:f>
        <x:v>0</x:v>
      </x:c>
      <x:c r="P2539" s="9" t="str">
        <x:v>No</x:v>
      </x:c>
      <x:c r="Q2539" s="15" t="n">
        <x:v>28</x:v>
      </x:c>
      <x:c r="R2539" s="13" t="n">
        <x:f>J2539+Q2539/1440</x:f>
        <x:v>46309.45694444444</x:v>
      </x:c>
      <x:c r="S2539" s="2" t="str">
        <x:f>VLOOKUP(C2539,'MES orders'!$A$8:$H$127,6,FALSE)</x:f>
        <x:v>Normal</x:v>
      </x:c>
      <x:c r="T2539" s="9" t="str"/>
    </x:row>
    <x:row r="2540" ht="22" customHeight="1">
      <x:c r="A2540" s="2" t="str">
        <x:v>L00032-010</x:v>
      </x:c>
      <x:c r="B2540" s="2" t="str">
        <x:v>L00032</x:v>
      </x:c>
      <x:c r="C2540" s="2" t="str">
        <x:v>SO-26007</x:v>
      </x:c>
      <x:c r="D2540" s="2" t="str">
        <x:v>R-C-AL</x:v>
      </x:c>
      <x:c r="E2540" s="14" t="n">
        <x:v>5</x:v>
      </x:c>
      <x:c r="F2540" s="2" t="str">
        <x:v>CNC machining</x:v>
      </x:c>
      <x:c r="G2540" s="9" t="str">
        <x:v>CNC-01</x:v>
      </x:c>
      <x:c r="H2540" s="15" t="n">
        <x:v>71</x:v>
      </x:c>
      <x:c r="I2540" s="9" t="str">
        <x:v>P02</x:v>
      </x:c>
      <x:c r="J2540" s="11" t="n">
        <x:v>46309.4375</x:v>
      </x:c>
      <x:c r="K2540" s="15" t="n">
        <x:v>18</x:v>
      </x:c>
      <x:c r="L2540" s="15" t="n">
        <x:v>10</x:v>
      </x:c>
      <x:c r="M2540" s="13" t="n">
        <x:f>J2540+(K2540+L2540)/1440</x:f>
        <x:v>46309.45694444444</x:v>
      </x:c>
      <x:c r="N2540" s="13" t="n">
        <x:f>VLOOKUP(C2540,'MES orders'!$A$8:$H$127,5,FALSE)</x:f>
        <x:v>46310.666666666664</x:v>
      </x:c>
      <x:c r="O2540" s="16" t="n">
        <x:f>MAX(0,(M2540-N2540)*24)</x:f>
        <x:v>0</x:v>
      </x:c>
      <x:c r="P2540" s="9" t="str">
        <x:v>No</x:v>
      </x:c>
      <x:c r="Q2540" s="15" t="n">
        <x:v>18</x:v>
      </x:c>
      <x:c r="R2540" s="13" t="n">
        <x:f>J2540+Q2540/1440</x:f>
        <x:v>46309.45</x:v>
      </x:c>
      <x:c r="S2540" s="2" t="str">
        <x:f>VLOOKUP(C2540,'MES orders'!$A$8:$H$127,6,FALSE)</x:f>
        <x:v>Normal</x:v>
      </x:c>
      <x:c r="T2540" s="9" t="str"/>
    </x:row>
    <x:row r="2541" ht="22" customHeight="1">
      <x:c r="A2541" s="2" t="str">
        <x:v>L00033-010</x:v>
      </x:c>
      <x:c r="B2541" s="2" t="str">
        <x:v>L00033</x:v>
      </x:c>
      <x:c r="C2541" s="2" t="str">
        <x:v>SO-26007</x:v>
      </x:c>
      <x:c r="D2541" s="2" t="str">
        <x:v>R-C-AL</x:v>
      </x:c>
      <x:c r="E2541" s="14" t="n">
        <x:v>5</x:v>
      </x:c>
      <x:c r="F2541" s="2" t="str">
        <x:v>CNC machining</x:v>
      </x:c>
      <x:c r="G2541" s="9" t="str">
        <x:v>CNC-02</x:v>
      </x:c>
      <x:c r="H2541" s="15" t="n">
        <x:v>49</x:v>
      </x:c>
      <x:c r="I2541" s="9" t="str">
        <x:v>P03</x:v>
      </x:c>
      <x:c r="J2541" s="11" t="n">
        <x:v>46309.4375</x:v>
      </x:c>
      <x:c r="K2541" s="15" t="n">
        <x:v>18</x:v>
      </x:c>
      <x:c r="L2541" s="15" t="n">
        <x:v>10</x:v>
      </x:c>
      <x:c r="M2541" s="13" t="n">
        <x:f>J2541+(K2541+L2541)/1440</x:f>
        <x:v>46309.45694444444</x:v>
      </x:c>
      <x:c r="N2541" s="13" t="n">
        <x:f>VLOOKUP(C2541,'MES orders'!$A$8:$H$127,5,FALSE)</x:f>
        <x:v>46310.666666666664</x:v>
      </x:c>
      <x:c r="O2541" s="16" t="n">
        <x:f>MAX(0,(M2541-N2541)*24)</x:f>
        <x:v>0</x:v>
      </x:c>
      <x:c r="P2541" s="9" t="str">
        <x:v>No</x:v>
      </x:c>
      <x:c r="Q2541" s="15" t="n">
        <x:v>18</x:v>
      </x:c>
      <x:c r="R2541" s="13" t="n">
        <x:f>J2541+Q2541/1440</x:f>
        <x:v>46309.45</x:v>
      </x:c>
      <x:c r="S2541" s="2" t="str">
        <x:f>VLOOKUP(C2541,'MES orders'!$A$8:$H$127,6,FALSE)</x:f>
        <x:v>Normal</x:v>
      </x:c>
      <x:c r="T2541" s="9" t="str"/>
    </x:row>
    <x:row r="2542" ht="22" customHeight="1">
      <x:c r="A2542" s="2" t="str">
        <x:v>L00386-050</x:v>
      </x:c>
      <x:c r="B2542" s="2" t="str">
        <x:v>L00386</x:v>
      </x:c>
      <x:c r="C2542" s="2" t="str">
        <x:v>SO-26078</x:v>
      </x:c>
      <x:c r="D2542" s="2" t="str">
        <x:v>S-L-SS</x:v>
      </x:c>
      <x:c r="E2542" s="14" t="n">
        <x:v>20</x:v>
      </x:c>
      <x:c r="F2542" s="2" t="str">
        <x:v>Sensor installation</x:v>
      </x:c>
      <x:c r="G2542" s="9" t="str">
        <x:v>EL-01</x:v>
      </x:c>
      <x:c r="H2542" s="15" t="n">
        <x:v>87</x:v>
      </x:c>
      <x:c r="I2542" s="9" t="str">
        <x:v>P07</x:v>
      </x:c>
      <x:c r="J2542" s="11" t="n">
        <x:v>46309.4375</x:v>
      </x:c>
      <x:c r="K2542" s="15" t="n">
        <x:v>8</x:v>
      </x:c>
      <x:c r="L2542" s="15" t="n">
        <x:v>32</x:v>
      </x:c>
      <x:c r="M2542" s="13" t="n">
        <x:f>J2542+(K2542+L2542)/1440</x:f>
        <x:v>46309.46527777778</x:v>
      </x:c>
      <x:c r="N2542" s="13" t="n">
        <x:f>VLOOKUP(C2542,'MES orders'!$A$8:$H$127,5,FALSE)</x:f>
        <x:v>46309.666666666664</x:v>
      </x:c>
      <x:c r="O2542" s="16" t="n">
        <x:f>MAX(0,(M2542-N2542)*24)</x:f>
        <x:v>0</x:v>
      </x:c>
      <x:c r="P2542" s="9" t="str">
        <x:v>No</x:v>
      </x:c>
      <x:c r="Q2542" s="15" t="n">
        <x:v>40</x:v>
      </x:c>
      <x:c r="R2542" s="13" t="n">
        <x:f>J2542+Q2542/1440</x:f>
        <x:v>46309.46527777778</x:v>
      </x:c>
      <x:c r="S2542" s="2" t="str">
        <x:f>VLOOKUP(C2542,'MES orders'!$A$8:$H$127,6,FALSE)</x:f>
        <x:v>High</x:v>
      </x:c>
      <x:c r="T2542" s="9" t="str"/>
    </x:row>
    <x:row r="2543" ht="22" customHeight="1">
      <x:c r="A2543" s="2" t="str">
        <x:v>L00387-050</x:v>
      </x:c>
      <x:c r="B2543" s="2" t="str">
        <x:v>L00387</x:v>
      </x:c>
      <x:c r="C2543" s="2" t="str">
        <x:v>SO-26078</x:v>
      </x:c>
      <x:c r="D2543" s="2" t="str">
        <x:v>S-L-SS</x:v>
      </x:c>
      <x:c r="E2543" s="14" t="n">
        <x:v>20</x:v>
      </x:c>
      <x:c r="F2543" s="2" t="str">
        <x:v>Sensor installation</x:v>
      </x:c>
      <x:c r="G2543" s="9" t="str">
        <x:v>EL-02</x:v>
      </x:c>
      <x:c r="H2543" s="15" t="n">
        <x:v>44</x:v>
      </x:c>
      <x:c r="I2543" s="9" t="str">
        <x:v>P08</x:v>
      </x:c>
      <x:c r="J2543" s="11" t="n">
        <x:v>46309.4375</x:v>
      </x:c>
      <x:c r="K2543" s="15" t="n">
        <x:v>8</x:v>
      </x:c>
      <x:c r="L2543" s="15" t="n">
        <x:v>32</x:v>
      </x:c>
      <x:c r="M2543" s="13" t="n">
        <x:f>J2543+(K2543+L2543)/1440</x:f>
        <x:v>46309.46527777778</x:v>
      </x:c>
      <x:c r="N2543" s="13" t="n">
        <x:f>VLOOKUP(C2543,'MES orders'!$A$8:$H$127,5,FALSE)</x:f>
        <x:v>46309.666666666664</x:v>
      </x:c>
      <x:c r="O2543" s="16" t="n">
        <x:f>MAX(0,(M2543-N2543)*24)</x:f>
        <x:v>0</x:v>
      </x:c>
      <x:c r="P2543" s="9" t="str">
        <x:v>No</x:v>
      </x:c>
      <x:c r="Q2543" s="15" t="n">
        <x:v>40</x:v>
      </x:c>
      <x:c r="R2543" s="13" t="n">
        <x:f>J2543+Q2543/1440</x:f>
        <x:v>46309.46527777778</x:v>
      </x:c>
      <x:c r="S2543" s="2" t="str">
        <x:f>VLOOKUP(C2543,'MES orders'!$A$8:$H$127,6,FALSE)</x:f>
        <x:v>High</x:v>
      </x:c>
      <x:c r="T2543" s="9" t="str"/>
    </x:row>
    <x:row r="2544" ht="22" customHeight="1">
      <x:c r="A2544" s="2" t="str">
        <x:v>L00069-050</x:v>
      </x:c>
      <x:c r="B2544" s="2" t="str">
        <x:v>L00069</x:v>
      </x:c>
      <x:c r="C2544" s="2" t="str">
        <x:v>SO-26014</x:v>
      </x:c>
      <x:c r="D2544" s="2" t="str">
        <x:v>D-C-SS</x:v>
      </x:c>
      <x:c r="E2544" s="14" t="n">
        <x:v>5</x:v>
      </x:c>
      <x:c r="F2544" s="2" t="str">
        <x:v>Final leak / function test</x:v>
      </x:c>
      <x:c r="G2544" s="9" t="str">
        <x:v>QA-01</x:v>
      </x:c>
      <x:c r="H2544" s="15" t="n">
        <x:v>99</x:v>
      </x:c>
      <x:c r="I2544" s="9" t="str">
        <x:v>P11</x:v>
      </x:c>
      <x:c r="J2544" s="11" t="n">
        <x:v>46309.4375</x:v>
      </x:c>
      <x:c r="K2544" s="15" t="n">
        <x:v>10</x:v>
      </x:c>
      <x:c r="L2544" s="15" t="n">
        <x:v>4</x:v>
      </x:c>
      <x:c r="M2544" s="13" t="n">
        <x:f>J2544+(K2544+L2544)/1440</x:f>
        <x:v>46309.447222222225</x:v>
      </x:c>
      <x:c r="N2544" s="13" t="n">
        <x:f>VLOOKUP(C2544,'MES orders'!$A$8:$H$127,5,FALSE)</x:f>
        <x:v>46309.666666666664</x:v>
      </x:c>
      <x:c r="O2544" s="16" t="n">
        <x:f>MAX(0,(M2544-N2544)*24)</x:f>
        <x:v>0</x:v>
      </x:c>
      <x:c r="P2544" s="9" t="str">
        <x:v>No</x:v>
      </x:c>
      <x:c r="Q2544" s="15" t="n">
        <x:v>14</x:v>
      </x:c>
      <x:c r="R2544" s="13" t="n">
        <x:f>J2544+Q2544/1440</x:f>
        <x:v>46309.447222222225</x:v>
      </x:c>
      <x:c r="S2544" s="2" t="str">
        <x:f>VLOOKUP(C2544,'MES orders'!$A$8:$H$127,6,FALSE)</x:f>
        <x:v>Normal</x:v>
      </x:c>
      <x:c r="T2544" s="9" t="str"/>
    </x:row>
    <x:row r="2545" ht="22" customHeight="1">
      <x:c r="A2545" s="2" t="str">
        <x:v>L00031-060</x:v>
      </x:c>
      <x:c r="B2545" s="2" t="str">
        <x:v>L00031</x:v>
      </x:c>
      <x:c r="C2545" s="2" t="str">
        <x:v>SO-26007</x:v>
      </x:c>
      <x:c r="D2545" s="2" t="str">
        <x:v>R-C-AL</x:v>
      </x:c>
      <x:c r="E2545" s="14" t="n">
        <x:v>5</x:v>
      </x:c>
      <x:c r="F2545" s="2" t="str">
        <x:v>Final leak / function test</x:v>
      </x:c>
      <x:c r="G2545" s="9" t="str">
        <x:v>QA-02</x:v>
      </x:c>
      <x:c r="H2545" s="15" t="n">
        <x:v>187</x:v>
      </x:c>
      <x:c r="I2545" s="9" t="str">
        <x:v>P12</x:v>
      </x:c>
      <x:c r="J2545" s="11" t="n">
        <x:v>46309.4375</x:v>
      </x:c>
      <x:c r="K2545" s="15" t="n">
        <x:v>10</x:v>
      </x:c>
      <x:c r="L2545" s="15" t="n">
        <x:v>4</x:v>
      </x:c>
      <x:c r="M2545" s="13" t="n">
        <x:f>J2545+(K2545+L2545)/1440</x:f>
        <x:v>46309.447222222225</x:v>
      </x:c>
      <x:c r="N2545" s="13" t="n">
        <x:f>VLOOKUP(C2545,'MES orders'!$A$8:$H$127,5,FALSE)</x:f>
        <x:v>46310.666666666664</x:v>
      </x:c>
      <x:c r="O2545" s="16" t="n">
        <x:f>MAX(0,(M2545-N2545)*24)</x:f>
        <x:v>0</x:v>
      </x:c>
      <x:c r="P2545" s="9" t="str">
        <x:v>No</x:v>
      </x:c>
      <x:c r="Q2545" s="15" t="n">
        <x:v>14</x:v>
      </x:c>
      <x:c r="R2545" s="13" t="n">
        <x:f>J2545+Q2545/1440</x:f>
        <x:v>46309.447222222225</x:v>
      </x:c>
      <x:c r="S2545" s="2" t="str">
        <x:f>VLOOKUP(C2545,'MES orders'!$A$8:$H$127,6,FALSE)</x:f>
        <x:v>Normal</x:v>
      </x:c>
      <x:c r="T2545" s="9" t="str"/>
    </x:row>
    <x:row r="2546" ht="22" customHeight="1">
      <x:c r="A2546" s="2" t="str">
        <x:v>L00389-030</x:v>
      </x:c>
      <x:c r="B2546" s="2" t="str">
        <x:v>L00389</x:v>
      </x:c>
      <x:c r="C2546" s="2" t="str">
        <x:v>SO-26078</x:v>
      </x:c>
      <x:c r="D2546" s="2" t="str">
        <x:v>S-L-SS</x:v>
      </x:c>
      <x:c r="E2546" s="14" t="n">
        <x:v>20</x:v>
      </x:c>
      <x:c r="F2546" s="2" t="str">
        <x:v>Wash &amp; dry</x:v>
      </x:c>
      <x:c r="G2546" s="9" t="str">
        <x:v>WS-01</x:v>
      </x:c>
      <x:c r="H2546" s="15" t="n">
        <x:v>237</x:v>
      </x:c>
      <x:c r="I2546" s="9" t="str">
        <x:v>P05</x:v>
      </x:c>
      <x:c r="J2546" s="11" t="n">
        <x:v>46309.4375</x:v>
      </x:c>
      <x:c r="K2546" s="15" t="n">
        <x:v>12</x:v>
      </x:c>
      <x:c r="L2546" s="15" t="n">
        <x:v>9</x:v>
      </x:c>
      <x:c r="M2546" s="13" t="n">
        <x:f>J2546+(K2546+L2546)/1440</x:f>
        <x:v>46309.45208333333</x:v>
      </x:c>
      <x:c r="N2546" s="13" t="n">
        <x:f>VLOOKUP(C2546,'MES orders'!$A$8:$H$127,5,FALSE)</x:f>
        <x:v>46309.666666666664</x:v>
      </x:c>
      <x:c r="O2546" s="16" t="n">
        <x:f>MAX(0,(M2546-N2546)*24)</x:f>
        <x:v>0</x:v>
      </x:c>
      <x:c r="P2546" s="9" t="str">
        <x:v>No</x:v>
      </x:c>
      <x:c r="Q2546" s="15" t="n">
        <x:v>21</x:v>
      </x:c>
      <x:c r="R2546" s="13" t="n">
        <x:f>J2546+Q2546/1440</x:f>
        <x:v>46309.45208333333</x:v>
      </x:c>
      <x:c r="S2546" s="2" t="str">
        <x:f>VLOOKUP(C2546,'MES orders'!$A$8:$H$127,6,FALSE)</x:f>
        <x:v>High</x:v>
      </x:c>
      <x:c r="T2546" s="9" t="str"/>
    </x:row>
    <x:row r="2547" ht="22" customHeight="1">
      <x:c r="A2547" s="2" t="str">
        <x:v>L00390-030</x:v>
      </x:c>
      <x:c r="B2547" s="2" t="str">
        <x:v>L00390</x:v>
      </x:c>
      <x:c r="C2547" s="2" t="str">
        <x:v>SO-26078</x:v>
      </x:c>
      <x:c r="D2547" s="2" t="str">
        <x:v>S-L-SS</x:v>
      </x:c>
      <x:c r="E2547" s="14" t="n">
        <x:v>20</x:v>
      </x:c>
      <x:c r="F2547" s="2" t="str">
        <x:v>Wash &amp; dry</x:v>
      </x:c>
      <x:c r="G2547" s="9" t="str">
        <x:v>WS-02</x:v>
      </x:c>
      <x:c r="H2547" s="15" t="n">
        <x:v>166</x:v>
      </x:c>
      <x:c r="I2547" s="9" t="str">
        <x:v>P06</x:v>
      </x:c>
      <x:c r="J2547" s="11" t="n">
        <x:v>46309.4375</x:v>
      </x:c>
      <x:c r="K2547" s="15" t="n">
        <x:v>12</x:v>
      </x:c>
      <x:c r="L2547" s="15" t="n">
        <x:v>9</x:v>
      </x:c>
      <x:c r="M2547" s="13" t="n">
        <x:f>J2547+(K2547+L2547)/1440</x:f>
        <x:v>46309.45208333333</x:v>
      </x:c>
      <x:c r="N2547" s="13" t="n">
        <x:f>VLOOKUP(C2547,'MES orders'!$A$8:$H$127,5,FALSE)</x:f>
        <x:v>46309.666666666664</x:v>
      </x:c>
      <x:c r="O2547" s="16" t="n">
        <x:f>MAX(0,(M2547-N2547)*24)</x:f>
        <x:v>0</x:v>
      </x:c>
      <x:c r="P2547" s="9" t="str">
        <x:v>No</x:v>
      </x:c>
      <x:c r="Q2547" s="15" t="n">
        <x:v>21</x:v>
      </x:c>
      <x:c r="R2547" s="13" t="n">
        <x:f>J2547+Q2547/1440</x:f>
        <x:v>46309.45208333333</x:v>
      </x:c>
      <x:c r="S2547" s="2" t="str">
        <x:f>VLOOKUP(C2547,'MES orders'!$A$8:$H$127,6,FALSE)</x:f>
        <x:v>High</x:v>
      </x:c>
      <x:c r="T2547" s="9" t="str"/>
    </x:row>
    <x:row r="2548" ht="22" customHeight="1">
      <x:c r="A2548" s="2" t="str">
        <x:v>L00150-010</x:v>
      </x:c>
      <x:c r="B2548" s="2" t="str">
        <x:v>L00150</x:v>
      </x:c>
      <x:c r="C2548" s="2" t="str">
        <x:v>SO-26030</x:v>
      </x:c>
      <x:c r="D2548" s="2" t="str">
        <x:v>D-L-SS</x:v>
      </x:c>
      <x:c r="E2548" s="14" t="n">
        <x:v>20</x:v>
      </x:c>
      <x:c r="F2548" s="2" t="str">
        <x:v>CNC machining</x:v>
      </x:c>
      <x:c r="G2548" s="9" t="str">
        <x:v>CNC-06</x:v>
      </x:c>
      <x:c r="H2548" s="15" t="n">
        <x:v>65</x:v>
      </x:c>
      <x:c r="I2548" s="9" t="str">
        <x:v>P01</x:v>
      </x:c>
      <x:c r="J2548" s="11" t="n">
        <x:v>46309.44583333333</x:v>
      </x:c>
      <x:c r="K2548" s="15" t="n">
        <x:v>18</x:v>
      </x:c>
      <x:c r="L2548" s="15" t="n">
        <x:v>81</x:v>
      </x:c>
      <x:c r="M2548" s="13" t="n">
        <x:f>J2548+(K2548+L2548)/1440</x:f>
        <x:v>46309.51458333333</x:v>
      </x:c>
      <x:c r="N2548" s="13" t="n">
        <x:f>VLOOKUP(C2548,'MES orders'!$A$8:$H$127,5,FALSE)</x:f>
        <x:v>46309.666666666664</x:v>
      </x:c>
      <x:c r="O2548" s="16" t="n">
        <x:f>MAX(0,(M2548-N2548)*24)</x:f>
        <x:v>0</x:v>
      </x:c>
      <x:c r="P2548" s="9" t="str">
        <x:v>No</x:v>
      </x:c>
      <x:c r="Q2548" s="15" t="n">
        <x:v>18</x:v>
      </x:c>
      <x:c r="R2548" s="13" t="n">
        <x:f>J2548+Q2548/1440</x:f>
        <x:v>46309.45833333333</x:v>
      </x:c>
      <x:c r="S2548" s="2" t="str">
        <x:f>VLOOKUP(C2548,'MES orders'!$A$8:$H$127,6,FALSE)</x:f>
        <x:v>Normal</x:v>
      </x:c>
      <x:c r="T2548" s="9" t="str"/>
    </x:row>
    <x:row r="2549" ht="22" customHeight="1">
      <x:c r="A2549" s="2" t="str">
        <x:v>L00389-040</x:v>
      </x:c>
      <x:c r="B2549" s="2" t="str">
        <x:v>L00389</x:v>
      </x:c>
      <x:c r="C2549" s="2" t="str">
        <x:v>SO-26078</x:v>
      </x:c>
      <x:c r="D2549" s="2" t="str">
        <x:v>S-L-SS</x:v>
      </x:c>
      <x:c r="E2549" s="14" t="n">
        <x:v>20</x:v>
      </x:c>
      <x:c r="F2549" s="2" t="str">
        <x:v>Mechanical preassembly</x:v>
      </x:c>
      <x:c r="G2549" s="9" t="str">
        <x:v>AS-02</x:v>
      </x:c>
      <x:c r="H2549" s="15" t="n">
        <x:v>165</x:v>
      </x:c>
      <x:c r="I2549" s="9" t="str">
        <x:v>P05</x:v>
      </x:c>
      <x:c r="J2549" s="11" t="n">
        <x:v>46309.45208333333</x:v>
      </x:c>
      <x:c r="K2549" s="15" t="n">
        <x:v>6</x:v>
      </x:c>
      <x:c r="L2549" s="15" t="n">
        <x:v>30</x:v>
      </x:c>
      <x:c r="M2549" s="13" t="n">
        <x:f>J2549+(K2549+L2549)/1440</x:f>
        <x:v>46309.47708333333</x:v>
      </x:c>
      <x:c r="N2549" s="13" t="n">
        <x:f>VLOOKUP(C2549,'MES orders'!$A$8:$H$127,5,FALSE)</x:f>
        <x:v>46309.666666666664</x:v>
      </x:c>
      <x:c r="O2549" s="16" t="n">
        <x:f>MAX(0,(M2549-N2549)*24)</x:f>
        <x:v>0</x:v>
      </x:c>
      <x:c r="P2549" s="9" t="str">
        <x:v>No</x:v>
      </x:c>
      <x:c r="Q2549" s="15" t="n">
        <x:v>36</x:v>
      </x:c>
      <x:c r="R2549" s="13" t="n">
        <x:f>J2549+Q2549/1440</x:f>
        <x:v>46309.47708333333</x:v>
      </x:c>
      <x:c r="S2549" s="2" t="str">
        <x:f>VLOOKUP(C2549,'MES orders'!$A$8:$H$127,6,FALSE)</x:f>
        <x:v>High</x:v>
      </x:c>
      <x:c r="T2549" s="9" t="str"/>
    </x:row>
    <x:row r="2550" ht="22" customHeight="1">
      <x:c r="A2550" s="2" t="str">
        <x:v>L00390-040</x:v>
      </x:c>
      <x:c r="B2550" s="2" t="str">
        <x:v>L00390</x:v>
      </x:c>
      <x:c r="C2550" s="2" t="str">
        <x:v>SO-26078</x:v>
      </x:c>
      <x:c r="D2550" s="2" t="str">
        <x:v>S-L-SS</x:v>
      </x:c>
      <x:c r="E2550" s="14" t="n">
        <x:v>20</x:v>
      </x:c>
      <x:c r="F2550" s="2" t="str">
        <x:v>Mechanical preassembly</x:v>
      </x:c>
      <x:c r="G2550" s="9" t="str">
        <x:v>AS-03</x:v>
      </x:c>
      <x:c r="H2550" s="15" t="n">
        <x:v>134</x:v>
      </x:c>
      <x:c r="I2550" s="9" t="str">
        <x:v>P06</x:v>
      </x:c>
      <x:c r="J2550" s="11" t="n">
        <x:v>46309.45208333333</x:v>
      </x:c>
      <x:c r="K2550" s="15" t="n">
        <x:v>6</x:v>
      </x:c>
      <x:c r="L2550" s="15" t="n">
        <x:v>30</x:v>
      </x:c>
      <x:c r="M2550" s="13" t="n">
        <x:f>J2550+(K2550+L2550)/1440</x:f>
        <x:v>46309.47708333333</x:v>
      </x:c>
      <x:c r="N2550" s="13" t="n">
        <x:f>VLOOKUP(C2550,'MES orders'!$A$8:$H$127,5,FALSE)</x:f>
        <x:v>46309.666666666664</x:v>
      </x:c>
      <x:c r="O2550" s="16" t="n">
        <x:f>MAX(0,(M2550-N2550)*24)</x:f>
        <x:v>0</x:v>
      </x:c>
      <x:c r="P2550" s="9" t="str">
        <x:v>No</x:v>
      </x:c>
      <x:c r="Q2550" s="15" t="n">
        <x:v>36</x:v>
      </x:c>
      <x:c r="R2550" s="13" t="n">
        <x:f>J2550+Q2550/1440</x:f>
        <x:v>46309.47708333333</x:v>
      </x:c>
      <x:c r="S2550" s="2" t="str">
        <x:f>VLOOKUP(C2550,'MES orders'!$A$8:$H$127,6,FALSE)</x:f>
        <x:v>High</x:v>
      </x:c>
      <x:c r="T2550" s="9" t="str"/>
    </x:row>
    <x:row r="2551" ht="22" customHeight="1">
      <x:c r="A2551" s="2" t="str">
        <x:v>L00032-020</x:v>
      </x:c>
      <x:c r="B2551" s="2" t="str">
        <x:v>L00032</x:v>
      </x:c>
      <x:c r="C2551" s="2" t="str">
        <x:v>SO-26007</x:v>
      </x:c>
      <x:c r="D2551" s="2" t="str">
        <x:v>R-C-AL</x:v>
      </x:c>
      <x:c r="E2551" s="14" t="n">
        <x:v>5</x:v>
      </x:c>
      <x:c r="F2551" s="2" t="str">
        <x:v>Deburr &amp; inspect</x:v>
      </x:c>
      <x:c r="G2551" s="9" t="str">
        <x:v>DB-01</x:v>
      </x:c>
      <x:c r="H2551" s="15" t="n">
        <x:v>240</x:v>
      </x:c>
      <x:c r="I2551" s="9" t="str">
        <x:v>P03</x:v>
      </x:c>
      <x:c r="J2551" s="11" t="n">
        <x:v>46309.45694444444</x:v>
      </x:c>
      <x:c r="K2551" s="15" t="n">
        <x:v>4</x:v>
      </x:c>
      <x:c r="L2551" s="15" t="n">
        <x:v>3</x:v>
      </x:c>
      <x:c r="M2551" s="13" t="n">
        <x:f>J2551+(K2551+L2551)/1440</x:f>
        <x:v>46309.461805555555</x:v>
      </x:c>
      <x:c r="N2551" s="13" t="n">
        <x:f>VLOOKUP(C2551,'MES orders'!$A$8:$H$127,5,FALSE)</x:f>
        <x:v>46310.666666666664</x:v>
      </x:c>
      <x:c r="O2551" s="16" t="n">
        <x:f>MAX(0,(M2551-N2551)*24)</x:f>
        <x:v>0</x:v>
      </x:c>
      <x:c r="P2551" s="9" t="str">
        <x:v>No</x:v>
      </x:c>
      <x:c r="Q2551" s="15" t="n">
        <x:v>7</x:v>
      </x:c>
      <x:c r="R2551" s="13" t="n">
        <x:f>J2551+Q2551/1440</x:f>
        <x:v>46309.461805555555</x:v>
      </x:c>
      <x:c r="S2551" s="2" t="str">
        <x:f>VLOOKUP(C2551,'MES orders'!$A$8:$H$127,6,FALSE)</x:f>
        <x:v>Normal</x:v>
      </x:c>
      <x:c r="T2551" s="9" t="str"/>
    </x:row>
    <x:row r="2552" ht="22" customHeight="1">
      <x:c r="A2552" s="2" t="str">
        <x:v>L00033-020</x:v>
      </x:c>
      <x:c r="B2552" s="2" t="str">
        <x:v>L00033</x:v>
      </x:c>
      <x:c r="C2552" s="2" t="str">
        <x:v>SO-26007</x:v>
      </x:c>
      <x:c r="D2552" s="2" t="str">
        <x:v>R-C-AL</x:v>
      </x:c>
      <x:c r="E2552" s="14" t="n">
        <x:v>5</x:v>
      </x:c>
      <x:c r="F2552" s="2" t="str">
        <x:v>Deburr &amp; inspect</x:v>
      </x:c>
      <x:c r="G2552" s="9" t="str">
        <x:v>DB-02</x:v>
      </x:c>
      <x:c r="H2552" s="15" t="n">
        <x:v>167</x:v>
      </x:c>
      <x:c r="I2552" s="9" t="str">
        <x:v>P11</x:v>
      </x:c>
      <x:c r="J2552" s="11" t="n">
        <x:v>46309.45694444444</x:v>
      </x:c>
      <x:c r="K2552" s="15" t="n">
        <x:v>4</x:v>
      </x:c>
      <x:c r="L2552" s="15" t="n">
        <x:v>3</x:v>
      </x:c>
      <x:c r="M2552" s="13" t="n">
        <x:f>J2552+(K2552+L2552)/1440</x:f>
        <x:v>46309.461805555555</x:v>
      </x:c>
      <x:c r="N2552" s="13" t="n">
        <x:f>VLOOKUP(C2552,'MES orders'!$A$8:$H$127,5,FALSE)</x:f>
        <x:v>46310.666666666664</x:v>
      </x:c>
      <x:c r="O2552" s="16" t="n">
        <x:f>MAX(0,(M2552-N2552)*24)</x:f>
        <x:v>0</x:v>
      </x:c>
      <x:c r="P2552" s="9" t="str">
        <x:v>No</x:v>
      </x:c>
      <x:c r="Q2552" s="15" t="n">
        <x:v>7</x:v>
      </x:c>
      <x:c r="R2552" s="13" t="n">
        <x:f>J2552+Q2552/1440</x:f>
        <x:v>46309.461805555555</x:v>
      </x:c>
      <x:c r="S2552" s="2" t="str">
        <x:f>VLOOKUP(C2552,'MES orders'!$A$8:$H$127,6,FALSE)</x:f>
        <x:v>Normal</x:v>
      </x:c>
      <x:c r="T2552" s="9" t="str"/>
    </x:row>
    <x:row r="2553" ht="22" customHeight="1">
      <x:c r="A2553" s="2" t="str">
        <x:v>L00186-010</x:v>
      </x:c>
      <x:c r="B2553" s="2" t="str">
        <x:v>L00186</x:v>
      </x:c>
      <x:c r="C2553" s="2" t="str">
        <x:v>SO-26038</x:v>
      </x:c>
      <x:c r="D2553" s="2" t="str">
        <x:v>R-C-SS</x:v>
      </x:c>
      <x:c r="E2553" s="14" t="n">
        <x:v>20</x:v>
      </x:c>
      <x:c r="F2553" s="2" t="str">
        <x:v>CNC machining</x:v>
      </x:c>
      <x:c r="G2553" s="9" t="str">
        <x:v>CNC-03</x:v>
      </x:c>
      <x:c r="H2553" s="15" t="n">
        <x:v>81</x:v>
      </x:c>
      <x:c r="I2553" s="9" t="str">
        <x:v>P02</x:v>
      </x:c>
      <x:c r="J2553" s="11" t="n">
        <x:v>46309.458333333336</x:v>
      </x:c>
      <x:c r="K2553" s="15" t="n">
        <x:v>18</x:v>
      </x:c>
      <x:c r="L2553" s="15" t="n">
        <x:v>48</x:v>
      </x:c>
      <x:c r="M2553" s="13" t="n">
        <x:f>J2553+(K2553+L2553)/1440</x:f>
        <x:v>46309.504166666666</x:v>
      </x:c>
      <x:c r="N2553" s="13" t="n">
        <x:f>VLOOKUP(C2553,'MES orders'!$A$8:$H$127,5,FALSE)</x:f>
        <x:v>46309.666666666664</x:v>
      </x:c>
      <x:c r="O2553" s="16" t="n">
        <x:f>MAX(0,(M2553-N2553)*24)</x:f>
        <x:v>0</x:v>
      </x:c>
      <x:c r="P2553" s="9" t="str">
        <x:v>No</x:v>
      </x:c>
      <x:c r="Q2553" s="15" t="n">
        <x:v>18</x:v>
      </x:c>
      <x:c r="R2553" s="13" t="n">
        <x:f>J2553+Q2553/1440</x:f>
        <x:v>46309.47083333333</x:v>
      </x:c>
      <x:c r="S2553" s="2" t="str">
        <x:f>VLOOKUP(C2553,'MES orders'!$A$8:$H$127,6,FALSE)</x:f>
        <x:v>Normal</x:v>
      </x:c>
      <x:c r="T2553" s="9" t="str"/>
    </x:row>
    <x:row r="2554" ht="22" customHeight="1">
      <x:c r="A2554" s="2" t="str">
        <x:v>L00032-030</x:v>
      </x:c>
      <x:c r="B2554" s="2" t="str">
        <x:v>L00032</x:v>
      </x:c>
      <x:c r="C2554" s="2" t="str">
        <x:v>SO-26007</x:v>
      </x:c>
      <x:c r="D2554" s="2" t="str">
        <x:v>R-C-AL</x:v>
      </x:c>
      <x:c r="E2554" s="14" t="n">
        <x:v>5</x:v>
      </x:c>
      <x:c r="F2554" s="2" t="str">
        <x:v>Wash &amp; dry</x:v>
      </x:c>
      <x:c r="G2554" s="9" t="str">
        <x:v>WS-01</x:v>
      </x:c>
      <x:c r="H2554" s="15" t="n">
        <x:v>238</x:v>
      </x:c>
      <x:c r="I2554" s="9" t="str">
        <x:v>P11</x:v>
      </x:c>
      <x:c r="J2554" s="11" t="n">
        <x:v>46309.461805555555</x:v>
      </x:c>
      <x:c r="K2554" s="15" t="n">
        <x:v>12</x:v>
      </x:c>
      <x:c r="L2554" s="15" t="n">
        <x:v>1</x:v>
      </x:c>
      <x:c r="M2554" s="13" t="n">
        <x:f>J2554+(K2554+L2554)/1440</x:f>
        <x:v>46309.47083333333</x:v>
      </x:c>
      <x:c r="N2554" s="13" t="n">
        <x:f>VLOOKUP(C2554,'MES orders'!$A$8:$H$127,5,FALSE)</x:f>
        <x:v>46310.666666666664</x:v>
      </x:c>
      <x:c r="O2554" s="16" t="n">
        <x:f>MAX(0,(M2554-N2554)*24)</x:f>
        <x:v>0</x:v>
      </x:c>
      <x:c r="P2554" s="9" t="str">
        <x:v>No</x:v>
      </x:c>
      <x:c r="Q2554" s="15" t="n">
        <x:v>13</x:v>
      </x:c>
      <x:c r="R2554" s="13" t="n">
        <x:f>J2554+Q2554/1440</x:f>
        <x:v>46309.47083333333</x:v>
      </x:c>
      <x:c r="S2554" s="2" t="str">
        <x:f>VLOOKUP(C2554,'MES orders'!$A$8:$H$127,6,FALSE)</x:f>
        <x:v>Normal</x:v>
      </x:c>
      <x:c r="T2554" s="9" t="str"/>
    </x:row>
    <x:row r="2555" ht="22" customHeight="1">
      <x:c r="A2555" s="2" t="str">
        <x:v>L00033-030</x:v>
      </x:c>
      <x:c r="B2555" s="2" t="str">
        <x:v>L00033</x:v>
      </x:c>
      <x:c r="C2555" s="2" t="str">
        <x:v>SO-26007</x:v>
      </x:c>
      <x:c r="D2555" s="2" t="str">
        <x:v>R-C-AL</x:v>
      </x:c>
      <x:c r="E2555" s="14" t="n">
        <x:v>5</x:v>
      </x:c>
      <x:c r="F2555" s="2" t="str">
        <x:v>Wash &amp; dry</x:v>
      </x:c>
      <x:c r="G2555" s="9" t="str">
        <x:v>WS-02</x:v>
      </x:c>
      <x:c r="H2555" s="15" t="n">
        <x:v>167</x:v>
      </x:c>
      <x:c r="I2555" s="9" t="str">
        <x:v>P12</x:v>
      </x:c>
      <x:c r="J2555" s="11" t="n">
        <x:v>46309.461805555555</x:v>
      </x:c>
      <x:c r="K2555" s="15" t="n">
        <x:v>12</x:v>
      </x:c>
      <x:c r="L2555" s="15" t="n">
        <x:v>1</x:v>
      </x:c>
      <x:c r="M2555" s="13" t="n">
        <x:f>J2555+(K2555+L2555)/1440</x:f>
        <x:v>46309.47083333333</x:v>
      </x:c>
      <x:c r="N2555" s="13" t="n">
        <x:f>VLOOKUP(C2555,'MES orders'!$A$8:$H$127,5,FALSE)</x:f>
        <x:v>46310.666666666664</x:v>
      </x:c>
      <x:c r="O2555" s="16" t="n">
        <x:f>MAX(0,(M2555-N2555)*24)</x:f>
        <x:v>0</x:v>
      </x:c>
      <x:c r="P2555" s="9" t="str">
        <x:v>No</x:v>
      </x:c>
      <x:c r="Q2555" s="15" t="n">
        <x:v>13</x:v>
      </x:c>
      <x:c r="R2555" s="13" t="n">
        <x:f>J2555+Q2555/1440</x:f>
        <x:v>46309.47083333333</x:v>
      </x:c>
      <x:c r="S2555" s="2" t="str">
        <x:f>VLOOKUP(C2555,'MES orders'!$A$8:$H$127,6,FALSE)</x:f>
        <x:v>Normal</x:v>
      </x:c>
      <x:c r="T2555" s="9" t="str"/>
    </x:row>
    <x:row r="2556" ht="22" customHeight="1">
      <x:c r="A2556" s="2" t="str">
        <x:v>L00029-040</x:v>
      </x:c>
      <x:c r="B2556" s="2" t="str">
        <x:v>L00029</x:v>
      </x:c>
      <x:c r="C2556" s="2" t="str">
        <x:v>SO-26006</x:v>
      </x:c>
      <x:c r="D2556" s="2" t="str">
        <x:v>S-L-SS</x:v>
      </x:c>
      <x:c r="E2556" s="14" t="n">
        <x:v>10</x:v>
      </x:c>
      <x:c r="F2556" s="2" t="str">
        <x:v>Mechanical preassembly</x:v>
      </x:c>
      <x:c r="G2556" s="9" t="str">
        <x:v>AS-01</x:v>
      </x:c>
      <x:c r="H2556" s="15" t="n">
        <x:v>206</x:v>
      </x:c>
      <x:c r="I2556" s="9" t="str">
        <x:v>P04</x:v>
      </x:c>
      <x:c r="J2556" s="11" t="n">
        <x:v>46309.4625</x:v>
      </x:c>
      <x:c r="K2556" s="15" t="n">
        <x:v>6</x:v>
      </x:c>
      <x:c r="L2556" s="15" t="n">
        <x:v>15</x:v>
      </x:c>
      <x:c r="M2556" s="13" t="n">
        <x:f>J2556+(K2556+L2556)/1440</x:f>
        <x:v>46309.47708333333</x:v>
      </x:c>
      <x:c r="N2556" s="13" t="n">
        <x:f>VLOOKUP(C2556,'MES orders'!$A$8:$H$127,5,FALSE)</x:f>
        <x:v>46309.666666666664</x:v>
      </x:c>
      <x:c r="O2556" s="16" t="n">
        <x:f>MAX(0,(M2556-N2556)*24)</x:f>
        <x:v>0</x:v>
      </x:c>
      <x:c r="P2556" s="9" t="str">
        <x:v>No</x:v>
      </x:c>
      <x:c r="Q2556" s="15" t="n">
        <x:v>21</x:v>
      </x:c>
      <x:c r="R2556" s="13" t="n">
        <x:f>J2556+Q2556/1440</x:f>
        <x:v>46309.47708333333</x:v>
      </x:c>
      <x:c r="S2556" s="2" t="str">
        <x:f>VLOOKUP(C2556,'MES orders'!$A$8:$H$127,6,FALSE)</x:f>
        <x:v>Normal</x:v>
      </x:c>
      <x:c r="T2556" s="9" t="str"/>
    </x:row>
    <x:row r="2557" ht="22" customHeight="1">
      <x:c r="A2557" s="2" t="str">
        <x:v>L00386-060</x:v>
      </x:c>
      <x:c r="B2557" s="2" t="str">
        <x:v>L00386</x:v>
      </x:c>
      <x:c r="C2557" s="2" t="str">
        <x:v>SO-26078</x:v>
      </x:c>
      <x:c r="D2557" s="2" t="str">
        <x:v>S-L-SS</x:v>
      </x:c>
      <x:c r="E2557" s="14" t="n">
        <x:v>20</x:v>
      </x:c>
      <x:c r="F2557" s="2" t="str">
        <x:v>Sensor calibration</x:v>
      </x:c>
      <x:c r="G2557" s="9" t="str">
        <x:v>CAL-01</x:v>
      </x:c>
      <x:c r="H2557" s="15" t="n">
        <x:v>130</x:v>
      </x:c>
      <x:c r="I2557" s="9" t="str">
        <x:v>P09</x:v>
      </x:c>
      <x:c r="J2557" s="11" t="n">
        <x:v>46309.46527777778</x:v>
      </x:c>
      <x:c r="K2557" s="15" t="n">
        <x:v>10</x:v>
      </x:c>
      <x:c r="L2557" s="15" t="n">
        <x:v>35</x:v>
      </x:c>
      <x:c r="M2557" s="13" t="n">
        <x:f>J2557+(K2557+L2557)/1440</x:f>
        <x:v>46309.49652777778</x:v>
      </x:c>
      <x:c r="N2557" s="13" t="n">
        <x:f>VLOOKUP(C2557,'MES orders'!$A$8:$H$127,5,FALSE)</x:f>
        <x:v>46309.666666666664</x:v>
      </x:c>
      <x:c r="O2557" s="16" t="n">
        <x:f>MAX(0,(M2557-N2557)*24)</x:f>
        <x:v>0</x:v>
      </x:c>
      <x:c r="P2557" s="9" t="str">
        <x:v>No</x:v>
      </x:c>
      <x:c r="Q2557" s="15" t="n">
        <x:v>45</x:v>
      </x:c>
      <x:c r="R2557" s="13" t="n">
        <x:f>J2557+Q2557/1440</x:f>
        <x:v>46309.49652777778</x:v>
      </x:c>
      <x:c r="S2557" s="2" t="str">
        <x:f>VLOOKUP(C2557,'MES orders'!$A$8:$H$127,6,FALSE)</x:f>
        <x:v>High</x:v>
      </x:c>
      <x:c r="T2557" s="9" t="str"/>
    </x:row>
    <x:row r="2558" ht="22" customHeight="1">
      <x:c r="A2558" s="2" t="str">
        <x:v>L00388-050</x:v>
      </x:c>
      <x:c r="B2558" s="2" t="str">
        <x:v>L00388</x:v>
      </x:c>
      <x:c r="C2558" s="2" t="str">
        <x:v>SO-26078</x:v>
      </x:c>
      <x:c r="D2558" s="2" t="str">
        <x:v>S-L-SS</x:v>
      </x:c>
      <x:c r="E2558" s="14" t="n">
        <x:v>20</x:v>
      </x:c>
      <x:c r="F2558" s="2" t="str">
        <x:v>Sensor installation</x:v>
      </x:c>
      <x:c r="G2558" s="9" t="str">
        <x:v>EL-01</x:v>
      </x:c>
      <x:c r="H2558" s="15" t="n">
        <x:v>88</x:v>
      </x:c>
      <x:c r="I2558" s="9" t="str">
        <x:v>P07</x:v>
      </x:c>
      <x:c r="J2558" s="11" t="n">
        <x:v>46309.46527777778</x:v>
      </x:c>
      <x:c r="K2558" s="15" t="n">
        <x:v>8</x:v>
      </x:c>
      <x:c r="L2558" s="15" t="n">
        <x:v>32</x:v>
      </x:c>
      <x:c r="M2558" s="13" t="n">
        <x:f>J2558+(K2558+L2558)/1440</x:f>
        <x:v>46309.49305555556</x:v>
      </x:c>
      <x:c r="N2558" s="13" t="n">
        <x:f>VLOOKUP(C2558,'MES orders'!$A$8:$H$127,5,FALSE)</x:f>
        <x:v>46309.666666666664</x:v>
      </x:c>
      <x:c r="O2558" s="16" t="n">
        <x:f>MAX(0,(M2558-N2558)*24)</x:f>
        <x:v>0</x:v>
      </x:c>
      <x:c r="P2558" s="9" t="str">
        <x:v>No</x:v>
      </x:c>
      <x:c r="Q2558" s="15" t="n">
        <x:v>40</x:v>
      </x:c>
      <x:c r="R2558" s="13" t="n">
        <x:f>J2558+Q2558/1440</x:f>
        <x:v>46309.49305555556</x:v>
      </x:c>
      <x:c r="S2558" s="2" t="str">
        <x:f>VLOOKUP(C2558,'MES orders'!$A$8:$H$127,6,FALSE)</x:f>
        <x:v>High</x:v>
      </x:c>
      <x:c r="T2558" s="9" t="str"/>
    </x:row>
    <x:row r="2559" ht="22" customHeight="1">
      <x:c r="A2559" s="2" t="str">
        <x:v>L00187-010</x:v>
      </x:c>
      <x:c r="B2559" s="2" t="str">
        <x:v>L00187</x:v>
      </x:c>
      <x:c r="C2559" s="2" t="str">
        <x:v>SO-26038</x:v>
      </x:c>
      <x:c r="D2559" s="2" t="str">
        <x:v>R-C-SS</x:v>
      </x:c>
      <x:c r="E2559" s="14" t="n">
        <x:v>20</x:v>
      </x:c>
      <x:c r="F2559" s="2" t="str">
        <x:v>CNC machining</x:v>
      </x:c>
      <x:c r="G2559" s="9" t="str">
        <x:v>CNC-04</x:v>
      </x:c>
      <x:c r="H2559" s="15" t="n">
        <x:v>78</x:v>
      </x:c>
      <x:c r="I2559" s="9" t="str">
        <x:v>P03</x:v>
      </x:c>
      <x:c r="J2559" s="11" t="n">
        <x:v>46309.46805555555</x:v>
      </x:c>
      <x:c r="K2559" s="15" t="n">
        <x:v>18</x:v>
      </x:c>
      <x:c r="L2559" s="15" t="n">
        <x:v>48</x:v>
      </x:c>
      <x:c r="M2559" s="13" t="n">
        <x:f>J2559+(K2559+L2559)/1440</x:f>
        <x:v>46309.51388888888</x:v>
      </x:c>
      <x:c r="N2559" s="13" t="n">
        <x:f>VLOOKUP(C2559,'MES orders'!$A$8:$H$127,5,FALSE)</x:f>
        <x:v>46309.666666666664</x:v>
      </x:c>
      <x:c r="O2559" s="16" t="n">
        <x:f>MAX(0,(M2559-N2559)*24)</x:f>
        <x:v>0</x:v>
      </x:c>
      <x:c r="P2559" s="9" t="str">
        <x:v>No</x:v>
      </x:c>
      <x:c r="Q2559" s="15" t="n">
        <x:v>18</x:v>
      </x:c>
      <x:c r="R2559" s="13" t="n">
        <x:f>J2559+Q2559/1440</x:f>
        <x:v>46309.48055555555</x:v>
      </x:c>
      <x:c r="S2559" s="2" t="str">
        <x:f>VLOOKUP(C2559,'MES orders'!$A$8:$H$127,6,FALSE)</x:f>
        <x:v>Normal</x:v>
      </x:c>
      <x:c r="T2559" s="9" t="str"/>
    </x:row>
    <x:row r="2560" ht="22" customHeight="1">
      <x:c r="A2560" s="2" t="str">
        <x:v>L00148-020</x:v>
      </x:c>
      <x:c r="B2560" s="2" t="str">
        <x:v>L00148</x:v>
      </x:c>
      <x:c r="C2560" s="2" t="str">
        <x:v>SO-26030</x:v>
      </x:c>
      <x:c r="D2560" s="2" t="str">
        <x:v>D-L-SS</x:v>
      </x:c>
      <x:c r="E2560" s="14" t="n">
        <x:v>20</x:v>
      </x:c>
      <x:c r="F2560" s="2" t="str">
        <x:v>Deburr &amp; inspect</x:v>
      </x:c>
      <x:c r="G2560" s="9" t="str">
        <x:v>DB-01</x:v>
      </x:c>
      <x:c r="H2560" s="15" t="n">
        <x:v>241</x:v>
      </x:c>
      <x:c r="I2560" s="9" t="str">
        <x:v>P01</x:v>
      </x:c>
      <x:c r="J2560" s="11" t="n">
        <x:v>46309.46805555555</x:v>
      </x:c>
      <x:c r="K2560" s="15" t="n">
        <x:v>4</x:v>
      </x:c>
      <x:c r="L2560" s="15" t="n">
        <x:v>19</x:v>
      </x:c>
      <x:c r="M2560" s="13" t="n">
        <x:f>J2560+(K2560+L2560)/1440</x:f>
        <x:v>46309.48402777778</x:v>
      </x:c>
      <x:c r="N2560" s="13" t="n">
        <x:f>VLOOKUP(C2560,'MES orders'!$A$8:$H$127,5,FALSE)</x:f>
        <x:v>46309.666666666664</x:v>
      </x:c>
      <x:c r="O2560" s="16" t="n">
        <x:f>MAX(0,(M2560-N2560)*24)</x:f>
        <x:v>0</x:v>
      </x:c>
      <x:c r="P2560" s="9" t="str">
        <x:v>No</x:v>
      </x:c>
      <x:c r="Q2560" s="15" t="n">
        <x:v>23</x:v>
      </x:c>
      <x:c r="R2560" s="13" t="n">
        <x:f>J2560+Q2560/1440</x:f>
        <x:v>46309.48402777778</x:v>
      </x:c>
      <x:c r="S2560" s="2" t="str">
        <x:f>VLOOKUP(C2560,'MES orders'!$A$8:$H$127,6,FALSE)</x:f>
        <x:v>Normal</x:v>
      </x:c>
      <x:c r="T2560" s="9" t="str"/>
    </x:row>
    <x:row r="2561" ht="22" customHeight="1">
      <x:c r="A2561" s="2" t="str">
        <x:v>L00032-040</x:v>
      </x:c>
      <x:c r="B2561" s="2" t="str">
        <x:v>L00032</x:v>
      </x:c>
      <x:c r="C2561" s="2" t="str">
        <x:v>SO-26007</x:v>
      </x:c>
      <x:c r="D2561" s="2" t="str">
        <x:v>R-C-AL</x:v>
      </x:c>
      <x:c r="E2561" s="14" t="n">
        <x:v>5</x:v>
      </x:c>
      <x:c r="F2561" s="2" t="str">
        <x:v>Mechanical assembly</x:v>
      </x:c>
      <x:c r="G2561" s="9" t="str">
        <x:v>AS-04</x:v>
      </x:c>
      <x:c r="H2561" s="15" t="n">
        <x:v>92</x:v>
      </x:c>
      <x:c r="I2561" s="9" t="str">
        <x:v>P11</x:v>
      </x:c>
      <x:c r="J2561" s="11" t="n">
        <x:v>46309.47083333333</x:v>
      </x:c>
      <x:c r="K2561" s="15" t="n">
        <x:v>8</x:v>
      </x:c>
      <x:c r="L2561" s="15" t="n">
        <x:v>7</x:v>
      </x:c>
      <x:c r="M2561" s="13" t="n">
        <x:f>J2561+(K2561+L2561)/1440</x:f>
        <x:v>46309.48125</x:v>
      </x:c>
      <x:c r="N2561" s="13" t="n">
        <x:f>VLOOKUP(C2561,'MES orders'!$A$8:$H$127,5,FALSE)</x:f>
        <x:v>46310.666666666664</x:v>
      </x:c>
      <x:c r="O2561" s="16" t="n">
        <x:f>MAX(0,(M2561-N2561)*24)</x:f>
        <x:v>0</x:v>
      </x:c>
      <x:c r="P2561" s="9" t="str">
        <x:v>No</x:v>
      </x:c>
      <x:c r="Q2561" s="15" t="n">
        <x:v>15</x:v>
      </x:c>
      <x:c r="R2561" s="13" t="n">
        <x:f>J2561+Q2561/1440</x:f>
        <x:v>46309.48125</x:v>
      </x:c>
      <x:c r="S2561" s="2" t="str">
        <x:f>VLOOKUP(C2561,'MES orders'!$A$8:$H$127,6,FALSE)</x:f>
        <x:v>Normal</x:v>
      </x:c>
      <x:c r="T2561" s="9" t="str"/>
    </x:row>
    <x:row r="2562" ht="22" customHeight="1">
      <x:c r="A2562" s="2" t="str">
        <x:v>L00033-040</x:v>
      </x:c>
      <x:c r="B2562" s="2" t="str">
        <x:v>L00033</x:v>
      </x:c>
      <x:c r="C2562" s="2" t="str">
        <x:v>SO-26007</x:v>
      </x:c>
      <x:c r="D2562" s="2" t="str">
        <x:v>R-C-AL</x:v>
      </x:c>
      <x:c r="E2562" s="14" t="n">
        <x:v>5</x:v>
      </x:c>
      <x:c r="F2562" s="2" t="str">
        <x:v>Mechanical assembly</x:v>
      </x:c>
      <x:c r="G2562" s="9" t="str">
        <x:v>AS-05</x:v>
      </x:c>
      <x:c r="H2562" s="15" t="n">
        <x:v>49</x:v>
      </x:c>
      <x:c r="I2562" s="9" t="str">
        <x:v>P12</x:v>
      </x:c>
      <x:c r="J2562" s="11" t="n">
        <x:v>46309.47083333333</x:v>
      </x:c>
      <x:c r="K2562" s="15" t="n">
        <x:v>8</x:v>
      </x:c>
      <x:c r="L2562" s="15" t="n">
        <x:v>7</x:v>
      </x:c>
      <x:c r="M2562" s="13" t="n">
        <x:f>J2562+(K2562+L2562)/1440</x:f>
        <x:v>46309.48125</x:v>
      </x:c>
      <x:c r="N2562" s="13" t="n">
        <x:f>VLOOKUP(C2562,'MES orders'!$A$8:$H$127,5,FALSE)</x:f>
        <x:v>46310.666666666664</x:v>
      </x:c>
      <x:c r="O2562" s="16" t="n">
        <x:f>MAX(0,(M2562-N2562)*24)</x:f>
        <x:v>0</x:v>
      </x:c>
      <x:c r="P2562" s="9" t="str">
        <x:v>No</x:v>
      </x:c>
      <x:c r="Q2562" s="15" t="n">
        <x:v>15</x:v>
      </x:c>
      <x:c r="R2562" s="13" t="n">
        <x:f>J2562+Q2562/1440</x:f>
        <x:v>46309.48125</x:v>
      </x:c>
      <x:c r="S2562" s="2" t="str">
        <x:f>VLOOKUP(C2562,'MES orders'!$A$8:$H$127,6,FALSE)</x:f>
        <x:v>Normal</x:v>
      </x:c>
      <x:c r="T2562" s="9" t="str"/>
    </x:row>
    <x:row r="2563" ht="22" customHeight="1">
      <x:c r="A2563" s="2" t="str">
        <x:v>L00149-020</x:v>
      </x:c>
      <x:c r="B2563" s="2" t="str">
        <x:v>L00149</x:v>
      </x:c>
      <x:c r="C2563" s="2" t="str">
        <x:v>SO-26030</x:v>
      </x:c>
      <x:c r="D2563" s="2" t="str">
        <x:v>D-L-SS</x:v>
      </x:c>
      <x:c r="E2563" s="14" t="n">
        <x:v>20</x:v>
      </x:c>
      <x:c r="F2563" s="2" t="str">
        <x:v>Deburr &amp; inspect</x:v>
      </x:c>
      <x:c r="G2563" s="9" t="str">
        <x:v>DB-02</x:v>
      </x:c>
      <x:c r="H2563" s="15" t="n">
        <x:v>168</x:v>
      </x:c>
      <x:c r="I2563" s="9" t="str">
        <x:v>P02</x:v>
      </x:c>
      <x:c r="J2563" s="11" t="n">
        <x:v>46309.47083333333</x:v>
      </x:c>
      <x:c r="K2563" s="15" t="n">
        <x:v>4</x:v>
      </x:c>
      <x:c r="L2563" s="15" t="n">
        <x:v>19</x:v>
      </x:c>
      <x:c r="M2563" s="13" t="n">
        <x:f>J2563+(K2563+L2563)/1440</x:f>
        <x:v>46309.486805555556</x:v>
      </x:c>
      <x:c r="N2563" s="13" t="n">
        <x:f>VLOOKUP(C2563,'MES orders'!$A$8:$H$127,5,FALSE)</x:f>
        <x:v>46309.666666666664</x:v>
      </x:c>
      <x:c r="O2563" s="16" t="n">
        <x:f>MAX(0,(M2563-N2563)*24)</x:f>
        <x:v>0</x:v>
      </x:c>
      <x:c r="P2563" s="9" t="str">
        <x:v>No</x:v>
      </x:c>
      <x:c r="Q2563" s="15" t="n">
        <x:v>23</x:v>
      </x:c>
      <x:c r="R2563" s="13" t="n">
        <x:f>J2563+Q2563/1440</x:f>
        <x:v>46309.486805555556</x:v>
      </x:c>
      <x:c r="S2563" s="2" t="str">
        <x:f>VLOOKUP(C2563,'MES orders'!$A$8:$H$127,6,FALSE)</x:f>
        <x:v>Normal</x:v>
      </x:c>
      <x:c r="T2563" s="9" t="str"/>
    </x:row>
    <x:row r="2564" ht="22" customHeight="1">
      <x:c r="A2564" s="2" t="str">
        <x:v>L00030-070</x:v>
      </x:c>
      <x:c r="B2564" s="2" t="str">
        <x:v>L00030</x:v>
      </x:c>
      <x:c r="C2564" s="2" t="str">
        <x:v>SO-26006</x:v>
      </x:c>
      <x:c r="D2564" s="2" t="str">
        <x:v>S-L-SS</x:v>
      </x:c>
      <x:c r="E2564" s="14" t="n">
        <x:v>10</x:v>
      </x:c>
      <x:c r="F2564" s="2" t="str">
        <x:v>Final assembly</x:v>
      </x:c>
      <x:c r="G2564" s="9" t="str">
        <x:v>AS-01</x:v>
      </x:c>
      <x:c r="H2564" s="15" t="n">
        <x:v>207</x:v>
      </x:c>
      <x:c r="I2564" s="9" t="str">
        <x:v>P05</x:v>
      </x:c>
      <x:c r="J2564" s="11" t="n">
        <x:v>46309.47708333333</x:v>
      </x:c>
      <x:c r="K2564" s="15" t="n">
        <x:v>5</x:v>
      </x:c>
      <x:c r="L2564" s="15" t="n">
        <x:v>11</x:v>
      </x:c>
      <x:c r="M2564" s="13" t="n">
        <x:f>J2564+(K2564+L2564)/1440</x:f>
        <x:v>46309.48819444444</x:v>
      </x:c>
      <x:c r="N2564" s="13" t="n">
        <x:f>VLOOKUP(C2564,'MES orders'!$A$8:$H$127,5,FALSE)</x:f>
        <x:v>46309.666666666664</x:v>
      </x:c>
      <x:c r="O2564" s="16" t="n">
        <x:f>MAX(0,(M2564-N2564)*24)</x:f>
        <x:v>0</x:v>
      </x:c>
      <x:c r="P2564" s="9" t="str">
        <x:v>No</x:v>
      </x:c>
      <x:c r="Q2564" s="15" t="n">
        <x:v>16</x:v>
      </x:c>
      <x:c r="R2564" s="13" t="n">
        <x:f>J2564+Q2564/1440</x:f>
        <x:v>46309.48819444444</x:v>
      </x:c>
      <x:c r="S2564" s="2" t="str">
        <x:f>VLOOKUP(C2564,'MES orders'!$A$8:$H$127,6,FALSE)</x:f>
        <x:v>Normal</x:v>
      </x:c>
      <x:c r="T2564" s="9" t="str"/>
    </x:row>
    <x:row r="2565" ht="22" customHeight="1">
      <x:c r="A2565" s="2" t="str">
        <x:v>L00389-050</x:v>
      </x:c>
      <x:c r="B2565" s="2" t="str">
        <x:v>L00389</x:v>
      </x:c>
      <x:c r="C2565" s="2" t="str">
        <x:v>SO-26078</x:v>
      </x:c>
      <x:c r="D2565" s="2" t="str">
        <x:v>S-L-SS</x:v>
      </x:c>
      <x:c r="E2565" s="14" t="n">
        <x:v>20</x:v>
      </x:c>
      <x:c r="F2565" s="2" t="str">
        <x:v>Sensor installation</x:v>
      </x:c>
      <x:c r="G2565" s="9" t="str">
        <x:v>EL-02</x:v>
      </x:c>
      <x:c r="H2565" s="15" t="n">
        <x:v>45</x:v>
      </x:c>
      <x:c r="I2565" s="9" t="str">
        <x:v>P08</x:v>
      </x:c>
      <x:c r="J2565" s="11" t="n">
        <x:v>46309.47708333333</x:v>
      </x:c>
      <x:c r="K2565" s="15" t="n">
        <x:v>8</x:v>
      </x:c>
      <x:c r="L2565" s="15" t="n">
        <x:v>32</x:v>
      </x:c>
      <x:c r="M2565" s="13" t="n">
        <x:f>J2565+(K2565+L2565)/1440</x:f>
        <x:v>46309.50486111111</x:v>
      </x:c>
      <x:c r="N2565" s="13" t="n">
        <x:f>VLOOKUP(C2565,'MES orders'!$A$8:$H$127,5,FALSE)</x:f>
        <x:v>46309.666666666664</x:v>
      </x:c>
      <x:c r="O2565" s="16" t="n">
        <x:f>MAX(0,(M2565-N2565)*24)</x:f>
        <x:v>0</x:v>
      </x:c>
      <x:c r="P2565" s="9" t="str">
        <x:v>No</x:v>
      </x:c>
      <x:c r="Q2565" s="15" t="n">
        <x:v>40</x:v>
      </x:c>
      <x:c r="R2565" s="13" t="n">
        <x:f>J2565+Q2565/1440</x:f>
        <x:v>46309.50486111111</x:v>
      </x:c>
      <x:c r="S2565" s="2" t="str">
        <x:f>VLOOKUP(C2565,'MES orders'!$A$8:$H$127,6,FALSE)</x:f>
        <x:v>High</x:v>
      </x:c>
      <x:c r="T2565" s="9" t="str"/>
    </x:row>
    <x:row r="2566" ht="22" customHeight="1">
      <x:c r="A2566" s="2" t="str">
        <x:v>L00067-030</x:v>
      </x:c>
      <x:c r="B2566" s="2" t="str">
        <x:v>L00067</x:v>
      </x:c>
      <x:c r="C2566" s="2" t="str">
        <x:v>SO-26014</x:v>
      </x:c>
      <x:c r="D2566" s="2" t="str">
        <x:v>D-C-SS</x:v>
      </x:c>
      <x:c r="E2566" s="14" t="n">
        <x:v>5</x:v>
      </x:c>
      <x:c r="F2566" s="2" t="str">
        <x:v>Wash &amp; dry</x:v>
      </x:c>
      <x:c r="G2566" s="9" t="str">
        <x:v>WS-01</x:v>
      </x:c>
      <x:c r="H2566" s="15" t="n">
        <x:v>239</x:v>
      </x:c>
      <x:c r="I2566" s="9" t="str">
        <x:v>P04</x:v>
      </x:c>
      <x:c r="J2566" s="11" t="n">
        <x:v>46309.47708333333</x:v>
      </x:c>
      <x:c r="K2566" s="15" t="n">
        <x:v>12</x:v>
      </x:c>
      <x:c r="L2566" s="15" t="n">
        <x:v>1</x:v>
      </x:c>
      <x:c r="M2566" s="13" t="n">
        <x:f>J2566+(K2566+L2566)/1440</x:f>
        <x:v>46309.48611111111</x:v>
      </x:c>
      <x:c r="N2566" s="13" t="n">
        <x:f>VLOOKUP(C2566,'MES orders'!$A$8:$H$127,5,FALSE)</x:f>
        <x:v>46309.666666666664</x:v>
      </x:c>
      <x:c r="O2566" s="16" t="n">
        <x:f>MAX(0,(M2566-N2566)*24)</x:f>
        <x:v>0</x:v>
      </x:c>
      <x:c r="P2566" s="9" t="str">
        <x:v>No</x:v>
      </x:c>
      <x:c r="Q2566" s="15" t="n">
        <x:v>13</x:v>
      </x:c>
      <x:c r="R2566" s="13" t="n">
        <x:f>J2566+Q2566/1440</x:f>
        <x:v>46309.48611111111</x:v>
      </x:c>
      <x:c r="S2566" s="2" t="str">
        <x:f>VLOOKUP(C2566,'MES orders'!$A$8:$H$127,6,FALSE)</x:f>
        <x:v>Normal</x:v>
      </x:c>
      <x:c r="T2566" s="9" t="str"/>
    </x:row>
    <x:row r="2567" ht="22" customHeight="1">
      <x:c r="A2567" s="2" t="str">
        <x:v>L00068-030</x:v>
      </x:c>
      <x:c r="B2567" s="2" t="str">
        <x:v>L00068</x:v>
      </x:c>
      <x:c r="C2567" s="2" t="str">
        <x:v>SO-26014</x:v>
      </x:c>
      <x:c r="D2567" s="2" t="str">
        <x:v>D-C-SS</x:v>
      </x:c>
      <x:c r="E2567" s="14" t="n">
        <x:v>5</x:v>
      </x:c>
      <x:c r="F2567" s="2" t="str">
        <x:v>Wash &amp; dry</x:v>
      </x:c>
      <x:c r="G2567" s="9" t="str">
        <x:v>WS-02</x:v>
      </x:c>
      <x:c r="H2567" s="15" t="n">
        <x:v>168</x:v>
      </x:c>
      <x:c r="I2567" s="9" t="str">
        <x:v>P06</x:v>
      </x:c>
      <x:c r="J2567" s="11" t="n">
        <x:v>46309.47708333333</x:v>
      </x:c>
      <x:c r="K2567" s="15" t="n">
        <x:v>12</x:v>
      </x:c>
      <x:c r="L2567" s="15" t="n">
        <x:v>1</x:v>
      </x:c>
      <x:c r="M2567" s="13" t="n">
        <x:f>J2567+(K2567+L2567)/1440</x:f>
        <x:v>46309.48611111111</x:v>
      </x:c>
      <x:c r="N2567" s="13" t="n">
        <x:f>VLOOKUP(C2567,'MES orders'!$A$8:$H$127,5,FALSE)</x:f>
        <x:v>46309.666666666664</x:v>
      </x:c>
      <x:c r="O2567" s="16" t="n">
        <x:f>MAX(0,(M2567-N2567)*24)</x:f>
        <x:v>0</x:v>
      </x:c>
      <x:c r="P2567" s="9" t="str">
        <x:v>No</x:v>
      </x:c>
      <x:c r="Q2567" s="15" t="n">
        <x:v>13</x:v>
      </x:c>
      <x:c r="R2567" s="13" t="n">
        <x:f>J2567+Q2567/1440</x:f>
        <x:v>46309.48611111111</x:v>
      </x:c>
      <x:c r="S2567" s="2" t="str">
        <x:f>VLOOKUP(C2567,'MES orders'!$A$8:$H$127,6,FALSE)</x:f>
        <x:v>Normal</x:v>
      </x:c>
      <x:c r="T2567" s="9" t="str"/>
    </x:row>
    <x:row r="2568" ht="22" customHeight="1">
      <x:c r="A2568" s="2" t="str">
        <x:v>L00188-010</x:v>
      </x:c>
      <x:c r="B2568" s="2" t="str">
        <x:v>L00188</x:v>
      </x:c>
      <x:c r="C2568" s="2" t="str">
        <x:v>SO-26038</x:v>
      </x:c>
      <x:c r="D2568" s="2" t="str">
        <x:v>R-C-SS</x:v>
      </x:c>
      <x:c r="E2568" s="14" t="n">
        <x:v>20</x:v>
      </x:c>
      <x:c r="F2568" s="2" t="str">
        <x:v>CNC machining</x:v>
      </x:c>
      <x:c r="G2568" s="9" t="str">
        <x:v>CNC-05</x:v>
      </x:c>
      <x:c r="H2568" s="15" t="n">
        <x:v>72</x:v>
      </x:c>
      <x:c r="I2568" s="9" t="str">
        <x:v>P03</x:v>
      </x:c>
      <x:c r="J2568" s="11" t="n">
        <x:v>46309.48055555556</x:v>
      </x:c>
      <x:c r="K2568" s="15" t="n">
        <x:v>18</x:v>
      </x:c>
      <x:c r="L2568" s="15" t="n">
        <x:v>48</x:v>
      </x:c>
      <x:c r="M2568" s="13" t="n">
        <x:f>J2568+(K2568+L2568)/1440</x:f>
        <x:v>46309.52638888889</x:v>
      </x:c>
      <x:c r="N2568" s="13" t="n">
        <x:f>VLOOKUP(C2568,'MES orders'!$A$8:$H$127,5,FALSE)</x:f>
        <x:v>46309.666666666664</x:v>
      </x:c>
      <x:c r="O2568" s="16" t="n">
        <x:f>MAX(0,(M2568-N2568)*24)</x:f>
        <x:v>0</x:v>
      </x:c>
      <x:c r="P2568" s="9" t="str">
        <x:v>No</x:v>
      </x:c>
      <x:c r="Q2568" s="15" t="n">
        <x:v>18</x:v>
      </x:c>
      <x:c r="R2568" s="13" t="n">
        <x:f>J2568+Q2568/1440</x:f>
        <x:v>46309.493055555555</x:v>
      </x:c>
      <x:c r="S2568" s="2" t="str">
        <x:f>VLOOKUP(C2568,'MES orders'!$A$8:$H$127,6,FALSE)</x:f>
        <x:v>Normal</x:v>
      </x:c>
      <x:c r="T2568" s="9" t="str"/>
    </x:row>
    <x:row r="2569" ht="22" customHeight="1">
      <x:c r="A2569" s="2" t="str">
        <x:v>L00034-010</x:v>
      </x:c>
      <x:c r="B2569" s="2" t="str">
        <x:v>L00034</x:v>
      </x:c>
      <x:c r="C2569" s="2" t="str">
        <x:v>SO-26007</x:v>
      </x:c>
      <x:c r="D2569" s="2" t="str">
        <x:v>R-C-AL</x:v>
      </x:c>
      <x:c r="E2569" s="14" t="n">
        <x:v>5</x:v>
      </x:c>
      <x:c r="F2569" s="2" t="str">
        <x:v>CNC machining</x:v>
      </x:c>
      <x:c r="G2569" s="9" t="str">
        <x:v>CNC-01</x:v>
      </x:c>
      <x:c r="H2569" s="15" t="n">
        <x:v>72</x:v>
      </x:c>
      <x:c r="I2569" s="9" t="str">
        <x:v>P01</x:v>
      </x:c>
      <x:c r="J2569" s="11" t="n">
        <x:v>46309.48402777778</x:v>
      </x:c>
      <x:c r="K2569" s="15" t="n">
        <x:v>18</x:v>
      </x:c>
      <x:c r="L2569" s="15" t="n">
        <x:v>10</x:v>
      </x:c>
      <x:c r="M2569" s="13" t="n">
        <x:f>J2569+(K2569+L2569)/1440</x:f>
        <x:v>46309.50347222222</x:v>
      </x:c>
      <x:c r="N2569" s="13" t="n">
        <x:f>VLOOKUP(C2569,'MES orders'!$A$8:$H$127,5,FALSE)</x:f>
        <x:v>46310.666666666664</x:v>
      </x:c>
      <x:c r="O2569" s="16" t="n">
        <x:f>MAX(0,(M2569-N2569)*24)</x:f>
        <x:v>0</x:v>
      </x:c>
      <x:c r="P2569" s="9" t="str">
        <x:v>No</x:v>
      </x:c>
      <x:c r="Q2569" s="15" t="n">
        <x:v>18</x:v>
      </x:c>
      <x:c r="R2569" s="13" t="n">
        <x:f>J2569+Q2569/1440</x:f>
        <x:v>46309.496527777774</x:v>
      </x:c>
      <x:c r="S2569" s="2" t="str">
        <x:f>VLOOKUP(C2569,'MES orders'!$A$8:$H$127,6,FALSE)</x:f>
        <x:v>Normal</x:v>
      </x:c>
      <x:c r="T2569" s="9" t="str"/>
    </x:row>
    <x:row r="2570" ht="22" customHeight="1">
      <x:c r="A2570" s="2" t="str">
        <x:v>L00067-040</x:v>
      </x:c>
      <x:c r="B2570" s="2" t="str">
        <x:v>L00067</x:v>
      </x:c>
      <x:c r="C2570" s="2" t="str">
        <x:v>SO-26014</x:v>
      </x:c>
      <x:c r="D2570" s="2" t="str">
        <x:v>D-C-SS</x:v>
      </x:c>
      <x:c r="E2570" s="14" t="n">
        <x:v>5</x:v>
      </x:c>
      <x:c r="F2570" s="2" t="str">
        <x:v>Mechanical assembly</x:v>
      </x:c>
      <x:c r="G2570" s="9" t="str">
        <x:v>AS-02</x:v>
      </x:c>
      <x:c r="H2570" s="15" t="n">
        <x:v>166</x:v>
      </x:c>
      <x:c r="I2570" s="9" t="str">
        <x:v>P04</x:v>
      </x:c>
      <x:c r="J2570" s="11" t="n">
        <x:v>46309.48611111111</x:v>
      </x:c>
      <x:c r="K2570" s="15" t="n">
        <x:v>8</x:v>
      </x:c>
      <x:c r="L2570" s="15" t="n">
        <x:v>7</x:v>
      </x:c>
      <x:c r="M2570" s="13" t="n">
        <x:f>J2570+(K2570+L2570)/1440</x:f>
        <x:v>46309.496527777774</x:v>
      </x:c>
      <x:c r="N2570" s="13" t="n">
        <x:f>VLOOKUP(C2570,'MES orders'!$A$8:$H$127,5,FALSE)</x:f>
        <x:v>46309.666666666664</x:v>
      </x:c>
      <x:c r="O2570" s="16" t="n">
        <x:f>MAX(0,(M2570-N2570)*24)</x:f>
        <x:v>0</x:v>
      </x:c>
      <x:c r="P2570" s="9" t="str">
        <x:v>No</x:v>
      </x:c>
      <x:c r="Q2570" s="15" t="n">
        <x:v>15</x:v>
      </x:c>
      <x:c r="R2570" s="13" t="n">
        <x:f>J2570+Q2570/1440</x:f>
        <x:v>46309.496527777774</x:v>
      </x:c>
      <x:c r="S2570" s="2" t="str">
        <x:f>VLOOKUP(C2570,'MES orders'!$A$8:$H$127,6,FALSE)</x:f>
        <x:v>Normal</x:v>
      </x:c>
      <x:c r="T2570" s="9" t="str"/>
    </x:row>
    <x:row r="2571" ht="22" customHeight="1">
      <x:c r="A2571" s="2" t="str">
        <x:v>L00068-040</x:v>
      </x:c>
      <x:c r="B2571" s="2" t="str">
        <x:v>L00068</x:v>
      </x:c>
      <x:c r="C2571" s="2" t="str">
        <x:v>SO-26014</x:v>
      </x:c>
      <x:c r="D2571" s="2" t="str">
        <x:v>D-C-SS</x:v>
      </x:c>
      <x:c r="E2571" s="14" t="n">
        <x:v>5</x:v>
      </x:c>
      <x:c r="F2571" s="2" t="str">
        <x:v>Mechanical assembly</x:v>
      </x:c>
      <x:c r="G2571" s="9" t="str">
        <x:v>AS-03</x:v>
      </x:c>
      <x:c r="H2571" s="15" t="n">
        <x:v>135</x:v>
      </x:c>
      <x:c r="I2571" s="9" t="str">
        <x:v>P06</x:v>
      </x:c>
      <x:c r="J2571" s="11" t="n">
        <x:v>46309.48611111111</x:v>
      </x:c>
      <x:c r="K2571" s="15" t="n">
        <x:v>8</x:v>
      </x:c>
      <x:c r="L2571" s="15" t="n">
        <x:v>7</x:v>
      </x:c>
      <x:c r="M2571" s="13" t="n">
        <x:f>J2571+(K2571+L2571)/1440</x:f>
        <x:v>46309.496527777774</x:v>
      </x:c>
      <x:c r="N2571" s="13" t="n">
        <x:f>VLOOKUP(C2571,'MES orders'!$A$8:$H$127,5,FALSE)</x:f>
        <x:v>46309.666666666664</x:v>
      </x:c>
      <x:c r="O2571" s="16" t="n">
        <x:f>MAX(0,(M2571-N2571)*24)</x:f>
        <x:v>0</x:v>
      </x:c>
      <x:c r="P2571" s="9" t="str">
        <x:v>No</x:v>
      </x:c>
      <x:c r="Q2571" s="15" t="n">
        <x:v>15</x:v>
      </x:c>
      <x:c r="R2571" s="13" t="n">
        <x:f>J2571+Q2571/1440</x:f>
        <x:v>46309.496527777774</x:v>
      </x:c>
      <x:c r="S2571" s="2" t="str">
        <x:f>VLOOKUP(C2571,'MES orders'!$A$8:$H$127,6,FALSE)</x:f>
        <x:v>Normal</x:v>
      </x:c>
      <x:c r="T2571" s="9" t="str"/>
    </x:row>
    <x:row r="2572" ht="22" customHeight="1">
      <x:c r="A2572" s="2" t="str">
        <x:v>L00035-010</x:v>
      </x:c>
      <x:c r="B2572" s="2" t="str">
        <x:v>L00035</x:v>
      </x:c>
      <x:c r="C2572" s="2" t="str">
        <x:v>SO-26007</x:v>
      </x:c>
      <x:c r="D2572" s="2" t="str">
        <x:v>R-C-AL</x:v>
      </x:c>
      <x:c r="E2572" s="14" t="n">
        <x:v>5</x:v>
      </x:c>
      <x:c r="F2572" s="2" t="str">
        <x:v>CNC machining</x:v>
      </x:c>
      <x:c r="G2572" s="9" t="str">
        <x:v>CNC-02</x:v>
      </x:c>
      <x:c r="H2572" s="15" t="n">
        <x:v>50</x:v>
      </x:c>
      <x:c r="I2572" s="9" t="str">
        <x:v>P02</x:v>
      </x:c>
      <x:c r="J2572" s="11" t="n">
        <x:v>46309.486805555556</x:v>
      </x:c>
      <x:c r="K2572" s="15" t="n">
        <x:v>18</x:v>
      </x:c>
      <x:c r="L2572" s="15" t="n">
        <x:v>10</x:v>
      </x:c>
      <x:c r="M2572" s="13" t="n">
        <x:f>J2572+(K2572+L2572)/1440</x:f>
        <x:v>46309.50625</x:v>
      </x:c>
      <x:c r="N2572" s="13" t="n">
        <x:f>VLOOKUP(C2572,'MES orders'!$A$8:$H$127,5,FALSE)</x:f>
        <x:v>46310.666666666664</x:v>
      </x:c>
      <x:c r="O2572" s="16" t="n">
        <x:f>MAX(0,(M2572-N2572)*24)</x:f>
        <x:v>0</x:v>
      </x:c>
      <x:c r="P2572" s="9" t="str">
        <x:v>No</x:v>
      </x:c>
      <x:c r="Q2572" s="15" t="n">
        <x:v>18</x:v>
      </x:c>
      <x:c r="R2572" s="13" t="n">
        <x:f>J2572+Q2572/1440</x:f>
        <x:v>46309.49930555555</x:v>
      </x:c>
      <x:c r="S2572" s="2" t="str">
        <x:f>VLOOKUP(C2572,'MES orders'!$A$8:$H$127,6,FALSE)</x:f>
        <x:v>Normal</x:v>
      </x:c>
      <x:c r="T2572" s="9" t="str"/>
    </x:row>
    <x:row r="2573" ht="22" customHeight="1">
      <x:c r="A2573" s="2" t="str">
        <x:v>L00070-020</x:v>
      </x:c>
      <x:c r="B2573" s="2" t="str">
        <x:v>L00070</x:v>
      </x:c>
      <x:c r="C2573" s="2" t="str">
        <x:v>SO-26014</x:v>
      </x:c>
      <x:c r="D2573" s="2" t="str">
        <x:v>D-C-SS</x:v>
      </x:c>
      <x:c r="E2573" s="14" t="n">
        <x:v>5</x:v>
      </x:c>
      <x:c r="F2573" s="2" t="str">
        <x:v>Deburr &amp; inspect</x:v>
      </x:c>
      <x:c r="G2573" s="9" t="str">
        <x:v>DB-01</x:v>
      </x:c>
      <x:c r="H2573" s="15" t="n">
        <x:v>242</x:v>
      </x:c>
      <x:c r="I2573" s="9" t="str">
        <x:v>P05</x:v>
      </x:c>
      <x:c r="J2573" s="11" t="n">
        <x:v>46309.48819444444</x:v>
      </x:c>
      <x:c r="K2573" s="15" t="n">
        <x:v>4</x:v>
      </x:c>
      <x:c r="L2573" s="15" t="n">
        <x:v>3</x:v>
      </x:c>
      <x:c r="M2573" s="13" t="n">
        <x:f>J2573+(K2573+L2573)/1440</x:f>
        <x:v>46309.493055555555</x:v>
      </x:c>
      <x:c r="N2573" s="13" t="n">
        <x:f>VLOOKUP(C2573,'MES orders'!$A$8:$H$127,5,FALSE)</x:f>
        <x:v>46309.666666666664</x:v>
      </x:c>
      <x:c r="O2573" s="16" t="n">
        <x:f>MAX(0,(M2573-N2573)*24)</x:f>
        <x:v>0</x:v>
      </x:c>
      <x:c r="P2573" s="9" t="str">
        <x:v>No</x:v>
      </x:c>
      <x:c r="Q2573" s="15" t="n">
        <x:v>7</x:v>
      </x:c>
      <x:c r="R2573" s="13" t="n">
        <x:f>J2573+Q2573/1440</x:f>
        <x:v>46309.493055555555</x:v>
      </x:c>
      <x:c r="S2573" s="2" t="str">
        <x:f>VLOOKUP(C2573,'MES orders'!$A$8:$H$127,6,FALSE)</x:f>
        <x:v>Normal</x:v>
      </x:c>
      <x:c r="T2573" s="9" t="str"/>
    </x:row>
    <x:row r="2574" ht="22" customHeight="1">
      <x:c r="A2574" s="2" t="str">
        <x:v>L00030-080</x:v>
      </x:c>
      <x:c r="B2574" s="2" t="str">
        <x:v>L00030</x:v>
      </x:c>
      <x:c r="C2574" s="2" t="str">
        <x:v>SO-26006</x:v>
      </x:c>
      <x:c r="D2574" s="2" t="str">
        <x:v>S-L-SS</x:v>
      </x:c>
      <x:c r="E2574" s="14" t="n">
        <x:v>10</x:v>
      </x:c>
      <x:c r="F2574" s="2" t="str">
        <x:v>Final leak / function test</x:v>
      </x:c>
      <x:c r="G2574" s="9" t="str">
        <x:v>QA-02</x:v>
      </x:c>
      <x:c r="H2574" s="15" t="n">
        <x:v>188</x:v>
      </x:c>
      <x:c r="I2574" s="9" t="str">
        <x:v>P11</x:v>
      </x:c>
      <x:c r="J2574" s="11" t="n">
        <x:v>46309.48819444444</x:v>
      </x:c>
      <x:c r="K2574" s="15" t="n">
        <x:v>10</x:v>
      </x:c>
      <x:c r="L2574" s="15" t="n">
        <x:v>12</x:v>
      </x:c>
      <x:c r="M2574" s="13" t="n">
        <x:f>J2574+(K2574+L2574)/1440</x:f>
        <x:v>46309.50347222222</x:v>
      </x:c>
      <x:c r="N2574" s="13" t="n">
        <x:f>VLOOKUP(C2574,'MES orders'!$A$8:$H$127,5,FALSE)</x:f>
        <x:v>46309.666666666664</x:v>
      </x:c>
      <x:c r="O2574" s="16" t="n">
        <x:f>MAX(0,(M2574-N2574)*24)</x:f>
        <x:v>0</x:v>
      </x:c>
      <x:c r="P2574" s="9" t="str">
        <x:v>No</x:v>
      </x:c>
      <x:c r="Q2574" s="15" t="n">
        <x:v>22</x:v>
      </x:c>
      <x:c r="R2574" s="13" t="n">
        <x:f>J2574+Q2574/1440</x:f>
        <x:v>46309.50347222222</x:v>
      </x:c>
      <x:c r="S2574" s="2" t="str">
        <x:f>VLOOKUP(C2574,'MES orders'!$A$8:$H$127,6,FALSE)</x:f>
        <x:v>Normal</x:v>
      </x:c>
      <x:c r="T2574" s="9" t="str"/>
    </x:row>
    <x:row r="2575" ht="22" customHeight="1">
      <x:c r="A2575" s="2" t="str">
        <x:v>L00390-050</x:v>
      </x:c>
      <x:c r="B2575" s="2" t="str">
        <x:v>L00390</x:v>
      </x:c>
      <x:c r="C2575" s="2" t="str">
        <x:v>SO-26078</x:v>
      </x:c>
      <x:c r="D2575" s="2" t="str">
        <x:v>S-L-SS</x:v>
      </x:c>
      <x:c r="E2575" s="14" t="n">
        <x:v>20</x:v>
      </x:c>
      <x:c r="F2575" s="2" t="str">
        <x:v>Sensor installation</x:v>
      </x:c>
      <x:c r="G2575" s="9" t="str">
        <x:v>EL-01</x:v>
      </x:c>
      <x:c r="H2575" s="15" t="n">
        <x:v>89</x:v>
      </x:c>
      <x:c r="I2575" s="9" t="str">
        <x:v>P07</x:v>
      </x:c>
      <x:c r="J2575" s="11" t="n">
        <x:v>46309.493055555555</x:v>
      </x:c>
      <x:c r="K2575" s="15" t="n">
        <x:v>8</x:v>
      </x:c>
      <x:c r="L2575" s="15" t="n">
        <x:v>32</x:v>
      </x:c>
      <x:c r="M2575" s="13" t="n">
        <x:f>J2575+(K2575+L2575)/1440</x:f>
        <x:v>46309.520833333336</x:v>
      </x:c>
      <x:c r="N2575" s="13" t="n">
        <x:f>VLOOKUP(C2575,'MES orders'!$A$8:$H$127,5,FALSE)</x:f>
        <x:v>46309.666666666664</x:v>
      </x:c>
      <x:c r="O2575" s="16" t="n">
        <x:f>MAX(0,(M2575-N2575)*24)</x:f>
        <x:v>0</x:v>
      </x:c>
      <x:c r="P2575" s="9" t="str">
        <x:v>No</x:v>
      </x:c>
      <x:c r="Q2575" s="15" t="n">
        <x:v>40</x:v>
      </x:c>
      <x:c r="R2575" s="13" t="n">
        <x:f>J2575+Q2575/1440</x:f>
        <x:v>46309.520833333336</x:v>
      </x:c>
      <x:c r="S2575" s="2" t="str">
        <x:f>VLOOKUP(C2575,'MES orders'!$A$8:$H$127,6,FALSE)</x:f>
        <x:v>High</x:v>
      </x:c>
      <x:c r="T2575" s="9" t="str"/>
    </x:row>
    <x:row r="2576" ht="22" customHeight="1">
      <x:c r="A2576" s="2" t="str">
        <x:v>L00386-070</x:v>
      </x:c>
      <x:c r="B2576" s="2" t="str">
        <x:v>L00386</x:v>
      </x:c>
      <x:c r="C2576" s="2" t="str">
        <x:v>SO-26078</x:v>
      </x:c>
      <x:c r="D2576" s="2" t="str">
        <x:v>S-L-SS</x:v>
      </x:c>
      <x:c r="E2576" s="14" t="n">
        <x:v>20</x:v>
      </x:c>
      <x:c r="F2576" s="2" t="str">
        <x:v>Final assembly</x:v>
      </x:c>
      <x:c r="G2576" s="9" t="str">
        <x:v>AS-01</x:v>
      </x:c>
      <x:c r="H2576" s="15" t="n">
        <x:v>208</x:v>
      </x:c>
      <x:c r="I2576" s="9" t="str">
        <x:v>P05</x:v>
      </x:c>
      <x:c r="J2576" s="11" t="n">
        <x:v>46309.49652777778</x:v>
      </x:c>
      <x:c r="K2576" s="15" t="n">
        <x:v>5</x:v>
      </x:c>
      <x:c r="L2576" s="15" t="n">
        <x:v>22</x:v>
      </x:c>
      <x:c r="M2576" s="13" t="n">
        <x:f>J2576+(K2576+L2576)/1440</x:f>
        <x:v>46309.515277777784</x:v>
      </x:c>
      <x:c r="N2576" s="13" t="n">
        <x:f>VLOOKUP(C2576,'MES orders'!$A$8:$H$127,5,FALSE)</x:f>
        <x:v>46309.666666666664</x:v>
      </x:c>
      <x:c r="O2576" s="16" t="n">
        <x:f>MAX(0,(M2576-N2576)*24)</x:f>
        <x:v>0</x:v>
      </x:c>
      <x:c r="P2576" s="9" t="str">
        <x:v>No</x:v>
      </x:c>
      <x:c r="Q2576" s="15" t="n">
        <x:v>27</x:v>
      </x:c>
      <x:c r="R2576" s="13" t="n">
        <x:f>J2576+Q2576/1440</x:f>
        <x:v>46309.515277777784</x:v>
      </x:c>
      <x:c r="S2576" s="2" t="str">
        <x:f>VLOOKUP(C2576,'MES orders'!$A$8:$H$127,6,FALSE)</x:f>
        <x:v>High</x:v>
      </x:c>
      <x:c r="T2576" s="9" t="str"/>
    </x:row>
    <x:row r="2577" ht="22" customHeight="1">
      <x:c r="A2577" s="2" t="str">
        <x:v>L00387-060</x:v>
      </x:c>
      <x:c r="B2577" s="2" t="str">
        <x:v>L00387</x:v>
      </x:c>
      <x:c r="C2577" s="2" t="str">
        <x:v>SO-26078</x:v>
      </x:c>
      <x:c r="D2577" s="2" t="str">
        <x:v>S-L-SS</x:v>
      </x:c>
      <x:c r="E2577" s="14" t="n">
        <x:v>20</x:v>
      </x:c>
      <x:c r="F2577" s="2" t="str">
        <x:v>Sensor calibration</x:v>
      </x:c>
      <x:c r="G2577" s="9" t="str">
        <x:v>CAL-01</x:v>
      </x:c>
      <x:c r="H2577" s="15" t="n">
        <x:v>131</x:v>
      </x:c>
      <x:c r="I2577" s="9" t="str">
        <x:v>P09</x:v>
      </x:c>
      <x:c r="J2577" s="11" t="n">
        <x:v>46309.49652777778</x:v>
      </x:c>
      <x:c r="K2577" s="15" t="n">
        <x:v>10</x:v>
      </x:c>
      <x:c r="L2577" s="15" t="n">
        <x:v>35</x:v>
      </x:c>
      <x:c r="M2577" s="13" t="n">
        <x:f>J2577+(K2577+L2577)/1440</x:f>
        <x:v>46309.52777777778</x:v>
      </x:c>
      <x:c r="N2577" s="13" t="n">
        <x:f>VLOOKUP(C2577,'MES orders'!$A$8:$H$127,5,FALSE)</x:f>
        <x:v>46309.666666666664</x:v>
      </x:c>
      <x:c r="O2577" s="16" t="n">
        <x:f>MAX(0,(M2577-N2577)*24)</x:f>
        <x:v>0</x:v>
      </x:c>
      <x:c r="P2577" s="9" t="str">
        <x:v>No</x:v>
      </x:c>
      <x:c r="Q2577" s="15" t="n">
        <x:v>45</x:v>
      </x:c>
      <x:c r="R2577" s="13" t="n">
        <x:f>J2577+Q2577/1440</x:f>
        <x:v>46309.52777777778</x:v>
      </x:c>
      <x:c r="S2577" s="2" t="str">
        <x:f>VLOOKUP(C2577,'MES orders'!$A$8:$H$127,6,FALSE)</x:f>
        <x:v>High</x:v>
      </x:c>
      <x:c r="T2577" s="9" t="str"/>
    </x:row>
    <x:row r="2578" ht="22" customHeight="1">
      <x:c r="A2578" s="2" t="str">
        <x:v>L00146-020</x:v>
      </x:c>
      <x:c r="B2578" s="2" t="str">
        <x:v>L00146</x:v>
      </x:c>
      <x:c r="C2578" s="2" t="str">
        <x:v>SO-26030</x:v>
      </x:c>
      <x:c r="D2578" s="2" t="str">
        <x:v>D-L-SS</x:v>
      </x:c>
      <x:c r="E2578" s="14" t="n">
        <x:v>20</x:v>
      </x:c>
      <x:c r="F2578" s="2" t="str">
        <x:v>Deburr &amp; inspect</x:v>
      </x:c>
      <x:c r="G2578" s="9" t="str">
        <x:v>DB-01</x:v>
      </x:c>
      <x:c r="H2578" s="15" t="n">
        <x:v>243</x:v>
      </x:c>
      <x:c r="I2578" s="9" t="str">
        <x:v>P06</x:v>
      </x:c>
      <x:c r="J2578" s="11" t="n">
        <x:v>46309.49652777778</x:v>
      </x:c>
      <x:c r="K2578" s="15" t="n">
        <x:v>4</x:v>
      </x:c>
      <x:c r="L2578" s="15" t="n">
        <x:v>19</x:v>
      </x:c>
      <x:c r="M2578" s="13" t="n">
        <x:f>J2578+(K2578+L2578)/1440</x:f>
        <x:v>46309.512500000004</x:v>
      </x:c>
      <x:c r="N2578" s="13" t="n">
        <x:f>VLOOKUP(C2578,'MES orders'!$A$8:$H$127,5,FALSE)</x:f>
        <x:v>46309.666666666664</x:v>
      </x:c>
      <x:c r="O2578" s="16" t="n">
        <x:f>MAX(0,(M2578-N2578)*24)</x:f>
        <x:v>0</x:v>
      </x:c>
      <x:c r="P2578" s="9" t="str">
        <x:v>No</x:v>
      </x:c>
      <x:c r="Q2578" s="15" t="n">
        <x:v>23</x:v>
      </x:c>
      <x:c r="R2578" s="13" t="n">
        <x:f>J2578+Q2578/1440</x:f>
        <x:v>46309.512500000004</x:v>
      </x:c>
      <x:c r="S2578" s="2" t="str">
        <x:f>VLOOKUP(C2578,'MES orders'!$A$8:$H$127,6,FALSE)</x:f>
        <x:v>Normal</x:v>
      </x:c>
      <x:c r="T2578" s="9" t="str"/>
    </x:row>
    <x:row r="2579" ht="22" customHeight="1">
      <x:c r="A2579" s="2" t="str">
        <x:v>L00067-050</x:v>
      </x:c>
      <x:c r="B2579" s="2" t="str">
        <x:v>L00067</x:v>
      </x:c>
      <x:c r="C2579" s="2" t="str">
        <x:v>SO-26014</x:v>
      </x:c>
      <x:c r="D2579" s="2" t="str">
        <x:v>D-C-SS</x:v>
      </x:c>
      <x:c r="E2579" s="14" t="n">
        <x:v>5</x:v>
      </x:c>
      <x:c r="F2579" s="2" t="str">
        <x:v>Final leak / function test</x:v>
      </x:c>
      <x:c r="G2579" s="9" t="str">
        <x:v>QA-01</x:v>
      </x:c>
      <x:c r="H2579" s="15" t="n">
        <x:v>100</x:v>
      </x:c>
      <x:c r="I2579" s="9" t="str">
        <x:v>P12</x:v>
      </x:c>
      <x:c r="J2579" s="11" t="n">
        <x:v>46309.49652777778</x:v>
      </x:c>
      <x:c r="K2579" s="15" t="n">
        <x:v>10</x:v>
      </x:c>
      <x:c r="L2579" s="15" t="n">
        <x:v>4</x:v>
      </x:c>
      <x:c r="M2579" s="13" t="n">
        <x:f>J2579+(K2579+L2579)/1440</x:f>
        <x:v>46309.506250000006</x:v>
      </x:c>
      <x:c r="N2579" s="13" t="n">
        <x:f>VLOOKUP(C2579,'MES orders'!$A$8:$H$127,5,FALSE)</x:f>
        <x:v>46309.666666666664</x:v>
      </x:c>
      <x:c r="O2579" s="16" t="n">
        <x:f>MAX(0,(M2579-N2579)*24)</x:f>
        <x:v>0</x:v>
      </x:c>
      <x:c r="P2579" s="9" t="str">
        <x:v>No</x:v>
      </x:c>
      <x:c r="Q2579" s="15" t="n">
        <x:v>14</x:v>
      </x:c>
      <x:c r="R2579" s="13" t="n">
        <x:f>J2579+Q2579/1440</x:f>
        <x:v>46309.506250000006</x:v>
      </x:c>
      <x:c r="S2579" s="2" t="str">
        <x:f>VLOOKUP(C2579,'MES orders'!$A$8:$H$127,6,FALSE)</x:f>
        <x:v>Normal</x:v>
      </x:c>
      <x:c r="T2579" s="9" t="str"/>
    </x:row>
    <x:row r="2580" ht="22" customHeight="1">
      <x:c r="A2580" s="2" t="str">
        <x:v>L00070-030</x:v>
      </x:c>
      <x:c r="B2580" s="2" t="str">
        <x:v>L00070</x:v>
      </x:c>
      <x:c r="C2580" s="2" t="str">
        <x:v>SO-26014</x:v>
      </x:c>
      <x:c r="D2580" s="2" t="str">
        <x:v>D-C-SS</x:v>
      </x:c>
      <x:c r="E2580" s="14" t="n">
        <x:v>5</x:v>
      </x:c>
      <x:c r="F2580" s="2" t="str">
        <x:v>Wash &amp; dry</x:v>
      </x:c>
      <x:c r="G2580" s="9" t="str">
        <x:v>WS-01</x:v>
      </x:c>
      <x:c r="H2580" s="15" t="n">
        <x:v>240</x:v>
      </x:c>
      <x:c r="I2580" s="9" t="str">
        <x:v>P04</x:v>
      </x:c>
      <x:c r="J2580" s="11" t="n">
        <x:v>46309.49652777778</x:v>
      </x:c>
      <x:c r="K2580" s="15" t="n">
        <x:v>12</x:v>
      </x:c>
      <x:c r="L2580" s="15" t="n">
        <x:v>1</x:v>
      </x:c>
      <x:c r="M2580" s="13" t="n">
        <x:f>J2580+(K2580+L2580)/1440</x:f>
        <x:v>46309.50555555556</x:v>
      </x:c>
      <x:c r="N2580" s="13" t="n">
        <x:f>VLOOKUP(C2580,'MES orders'!$A$8:$H$127,5,FALSE)</x:f>
        <x:v>46309.666666666664</x:v>
      </x:c>
      <x:c r="O2580" s="16" t="n">
        <x:f>MAX(0,(M2580-N2580)*24)</x:f>
        <x:v>0</x:v>
      </x:c>
      <x:c r="P2580" s="9" t="str">
        <x:v>No</x:v>
      </x:c>
      <x:c r="Q2580" s="15" t="n">
        <x:v>13</x:v>
      </x:c>
      <x:c r="R2580" s="13" t="n">
        <x:f>J2580+Q2580/1440</x:f>
        <x:v>46309.50555555556</x:v>
      </x:c>
      <x:c r="S2580" s="2" t="str">
        <x:f>VLOOKUP(C2580,'MES orders'!$A$8:$H$127,6,FALSE)</x:f>
        <x:v>Normal</x:v>
      </x:c>
      <x:c r="T2580" s="9" t="str"/>
    </x:row>
    <x:row r="2581" ht="22" customHeight="1">
      <x:c r="A2581" s="2" t="str">
        <x:v>L00068-050</x:v>
      </x:c>
      <x:c r="B2581" s="2" t="str">
        <x:v>L00068</x:v>
      </x:c>
      <x:c r="C2581" s="2" t="str">
        <x:v>SO-26014</x:v>
      </x:c>
      <x:c r="D2581" s="2" t="str">
        <x:v>D-C-SS</x:v>
      </x:c>
      <x:c r="E2581" s="14" t="n">
        <x:v>5</x:v>
      </x:c>
      <x:c r="F2581" s="2" t="str">
        <x:v>Final leak / function test</x:v>
      </x:c>
      <x:c r="G2581" s="9" t="str">
        <x:v>QA-02</x:v>
      </x:c>
      <x:c r="H2581" s="15" t="n">
        <x:v>189</x:v>
      </x:c>
      <x:c r="I2581" s="9" t="str">
        <x:v>P11</x:v>
      </x:c>
      <x:c r="J2581" s="11" t="n">
        <x:v>46309.50347222222</x:v>
      </x:c>
      <x:c r="K2581" s="15" t="n">
        <x:v>10</x:v>
      </x:c>
      <x:c r="L2581" s="15" t="n">
        <x:v>4</x:v>
      </x:c>
      <x:c r="M2581" s="13" t="n">
        <x:f>J2581+(K2581+L2581)/1440</x:f>
        <x:v>46309.513194444444</x:v>
      </x:c>
      <x:c r="N2581" s="13" t="n">
        <x:f>VLOOKUP(C2581,'MES orders'!$A$8:$H$127,5,FALSE)</x:f>
        <x:v>46309.666666666664</x:v>
      </x:c>
      <x:c r="O2581" s="16" t="n">
        <x:f>MAX(0,(M2581-N2581)*24)</x:f>
        <x:v>0</x:v>
      </x:c>
      <x:c r="P2581" s="9" t="str">
        <x:v>No</x:v>
      </x:c>
      <x:c r="Q2581" s="15" t="n">
        <x:v>14</x:v>
      </x:c>
      <x:c r="R2581" s="13" t="n">
        <x:f>J2581+Q2581/1440</x:f>
        <x:v>46309.513194444444</x:v>
      </x:c>
      <x:c r="S2581" s="2" t="str">
        <x:f>VLOOKUP(C2581,'MES orders'!$A$8:$H$127,6,FALSE)</x:f>
        <x:v>Normal</x:v>
      </x:c>
      <x:c r="T2581" s="9" t="str"/>
    </x:row>
    <x:row r="2582" ht="22" customHeight="1">
      <x:c r="A2582" s="2" t="str">
        <x:v>L00189-010</x:v>
      </x:c>
      <x:c r="B2582" s="2" t="str">
        <x:v>L00189</x:v>
      </x:c>
      <x:c r="C2582" s="2" t="str">
        <x:v>SO-26038</x:v>
      </x:c>
      <x:c r="D2582" s="2" t="str">
        <x:v>R-C-SS</x:v>
      </x:c>
      <x:c r="E2582" s="14" t="n">
        <x:v>20</x:v>
      </x:c>
      <x:c r="F2582" s="2" t="str">
        <x:v>CNC machining</x:v>
      </x:c>
      <x:c r="G2582" s="9" t="str">
        <x:v>CNC-03</x:v>
      </x:c>
      <x:c r="H2582" s="15" t="n">
        <x:v>82</x:v>
      </x:c>
      <x:c r="I2582" s="9" t="str">
        <x:v>P01</x:v>
      </x:c>
      <x:c r="J2582" s="11" t="n">
        <x:v>46309.504166666666</x:v>
      </x:c>
      <x:c r="K2582" s="15" t="n">
        <x:v>18</x:v>
      </x:c>
      <x:c r="L2582" s="15" t="n">
        <x:v>48</x:v>
      </x:c>
      <x:c r="M2582" s="13" t="n">
        <x:f>J2582+(K2582+L2582)/1440</x:f>
        <x:v>46309.549999999996</x:v>
      </x:c>
      <x:c r="N2582" s="13" t="n">
        <x:f>VLOOKUP(C2582,'MES orders'!$A$8:$H$127,5,FALSE)</x:f>
        <x:v>46309.666666666664</x:v>
      </x:c>
      <x:c r="O2582" s="16" t="n">
        <x:f>MAX(0,(M2582-N2582)*24)</x:f>
        <x:v>0</x:v>
      </x:c>
      <x:c r="P2582" s="9" t="str">
        <x:v>No</x:v>
      </x:c>
      <x:c r="Q2582" s="15" t="n">
        <x:v>18</x:v>
      </x:c>
      <x:c r="R2582" s="13" t="n">
        <x:f>J2582+Q2582/1440</x:f>
        <x:v>46309.51666666666</x:v>
      </x:c>
      <x:c r="S2582" s="2" t="str">
        <x:f>VLOOKUP(C2582,'MES orders'!$A$8:$H$127,6,FALSE)</x:f>
        <x:v>Normal</x:v>
      </x:c>
      <x:c r="T2582" s="9" t="str"/>
    </x:row>
    <x:row r="2583" ht="22" customHeight="1">
      <x:c r="A2583" s="2" t="str">
        <x:v>L00029-050</x:v>
      </x:c>
      <x:c r="B2583" s="2" t="str">
        <x:v>L00029</x:v>
      </x:c>
      <x:c r="C2583" s="2" t="str">
        <x:v>SO-26006</x:v>
      </x:c>
      <x:c r="D2583" s="2" t="str">
        <x:v>S-L-SS</x:v>
      </x:c>
      <x:c r="E2583" s="14" t="n">
        <x:v>10</x:v>
      </x:c>
      <x:c r="F2583" s="2" t="str">
        <x:v>Sensor installation</x:v>
      </x:c>
      <x:c r="G2583" s="9" t="str">
        <x:v>EL-02</x:v>
      </x:c>
      <x:c r="H2583" s="15" t="n">
        <x:v>46</x:v>
      </x:c>
      <x:c r="I2583" s="9" t="str">
        <x:v>P08</x:v>
      </x:c>
      <x:c r="J2583" s="11" t="n">
        <x:v>46309.50486111111</x:v>
      </x:c>
      <x:c r="K2583" s="15" t="n">
        <x:v>8</x:v>
      </x:c>
      <x:c r="L2583" s="15" t="n">
        <x:v>16</x:v>
      </x:c>
      <x:c r="M2583" s="13" t="n">
        <x:f>J2583+(K2583+L2583)/1440</x:f>
        <x:v>46309.52152777778</x:v>
      </x:c>
      <x:c r="N2583" s="13" t="n">
        <x:f>VLOOKUP(C2583,'MES orders'!$A$8:$H$127,5,FALSE)</x:f>
        <x:v>46309.666666666664</x:v>
      </x:c>
      <x:c r="O2583" s="16" t="n">
        <x:f>MAX(0,(M2583-N2583)*24)</x:f>
        <x:v>0</x:v>
      </x:c>
      <x:c r="P2583" s="9" t="str">
        <x:v>No</x:v>
      </x:c>
      <x:c r="Q2583" s="15" t="n">
        <x:v>24</x:v>
      </x:c>
      <x:c r="R2583" s="13" t="n">
        <x:f>J2583+Q2583/1440</x:f>
        <x:v>46309.52152777778</x:v>
      </x:c>
      <x:c r="S2583" s="2" t="str">
        <x:f>VLOOKUP(C2583,'MES orders'!$A$8:$H$127,6,FALSE)</x:f>
        <x:v>Normal</x:v>
      </x:c>
      <x:c r="T2583" s="9" t="str"/>
    </x:row>
    <x:row r="2584" ht="22" customHeight="1">
      <x:c r="A2584" s="2" t="str">
        <x:v>L00070-040</x:v>
      </x:c>
      <x:c r="B2584" s="2" t="str">
        <x:v>L00070</x:v>
      </x:c>
      <x:c r="C2584" s="2" t="str">
        <x:v>SO-26014</x:v>
      </x:c>
      <x:c r="D2584" s="2" t="str">
        <x:v>D-C-SS</x:v>
      </x:c>
      <x:c r="E2584" s="14" t="n">
        <x:v>5</x:v>
      </x:c>
      <x:c r="F2584" s="2" t="str">
        <x:v>Mechanical assembly</x:v>
      </x:c>
      <x:c r="G2584" s="9" t="str">
        <x:v>AS-02</x:v>
      </x:c>
      <x:c r="H2584" s="15" t="n">
        <x:v>167</x:v>
      </x:c>
      <x:c r="I2584" s="9" t="str">
        <x:v>P04</x:v>
      </x:c>
      <x:c r="J2584" s="11" t="n">
        <x:v>46309.50555555556</x:v>
      </x:c>
      <x:c r="K2584" s="15" t="n">
        <x:v>8</x:v>
      </x:c>
      <x:c r="L2584" s="15" t="n">
        <x:v>7</x:v>
      </x:c>
      <x:c r="M2584" s="13" t="n">
        <x:f>J2584+(K2584+L2584)/1440</x:f>
        <x:v>46309.51597222222</x:v>
      </x:c>
      <x:c r="N2584" s="13" t="n">
        <x:f>VLOOKUP(C2584,'MES orders'!$A$8:$H$127,5,FALSE)</x:f>
        <x:v>46309.666666666664</x:v>
      </x:c>
      <x:c r="O2584" s="16" t="n">
        <x:f>MAX(0,(M2584-N2584)*24)</x:f>
        <x:v>0</x:v>
      </x:c>
      <x:c r="P2584" s="9" t="str">
        <x:v>No</x:v>
      </x:c>
      <x:c r="Q2584" s="15" t="n">
        <x:v>15</x:v>
      </x:c>
      <x:c r="R2584" s="13" t="n">
        <x:f>J2584+Q2584/1440</x:f>
        <x:v>46309.51597222222</x:v>
      </x:c>
      <x:c r="S2584" s="2" t="str">
        <x:f>VLOOKUP(C2584,'MES orders'!$A$8:$H$127,6,FALSE)</x:f>
        <x:v>Normal</x:v>
      </x:c>
      <x:c r="T2584" s="9" t="str"/>
    </x:row>
    <x:row r="2585" ht="22" customHeight="1">
      <x:c r="A2585" s="2" t="str">
        <x:v>L00035-020</x:v>
      </x:c>
      <x:c r="B2585" s="2" t="str">
        <x:v>L00035</x:v>
      </x:c>
      <x:c r="C2585" s="2" t="str">
        <x:v>SO-26007</x:v>
      </x:c>
      <x:c r="D2585" s="2" t="str">
        <x:v>R-C-AL</x:v>
      </x:c>
      <x:c r="E2585" s="14" t="n">
        <x:v>5</x:v>
      </x:c>
      <x:c r="F2585" s="2" t="str">
        <x:v>Deburr &amp; inspect</x:v>
      </x:c>
      <x:c r="G2585" s="9" t="str">
        <x:v>DB-02</x:v>
      </x:c>
      <x:c r="H2585" s="15" t="n">
        <x:v>169</x:v>
      </x:c>
      <x:c r="I2585" s="9" t="str">
        <x:v>P02</x:v>
      </x:c>
      <x:c r="J2585" s="11" t="n">
        <x:v>46309.50625</x:v>
      </x:c>
      <x:c r="K2585" s="15" t="n">
        <x:v>4</x:v>
      </x:c>
      <x:c r="L2585" s="15" t="n">
        <x:v>3</x:v>
      </x:c>
      <x:c r="M2585" s="13" t="n">
        <x:f>J2585+(K2585+L2585)/1440</x:f>
        <x:v>46309.51111111111</x:v>
      </x:c>
      <x:c r="N2585" s="13" t="n">
        <x:f>VLOOKUP(C2585,'MES orders'!$A$8:$H$127,5,FALSE)</x:f>
        <x:v>46310.666666666664</x:v>
      </x:c>
      <x:c r="O2585" s="16" t="n">
        <x:f>MAX(0,(M2585-N2585)*24)</x:f>
        <x:v>0</x:v>
      </x:c>
      <x:c r="P2585" s="9" t="str">
        <x:v>No</x:v>
      </x:c>
      <x:c r="Q2585" s="15" t="n">
        <x:v>7</x:v>
      </x:c>
      <x:c r="R2585" s="13" t="n">
        <x:f>J2585+Q2585/1440</x:f>
        <x:v>46309.51111111111</x:v>
      </x:c>
      <x:c r="S2585" s="2" t="str">
        <x:f>VLOOKUP(C2585,'MES orders'!$A$8:$H$127,6,FALSE)</x:f>
        <x:v>Normal</x:v>
      </x:c>
      <x:c r="T2585" s="9" t="str"/>
    </x:row>
    <x:row r="2586" ht="22" customHeight="1">
      <x:c r="A2586" s="2" t="str">
        <x:v>L00146-030</x:v>
      </x:c>
      <x:c r="B2586" s="2" t="str">
        <x:v>L00146</x:v>
      </x:c>
      <x:c r="C2586" s="2" t="str">
        <x:v>SO-26030</x:v>
      </x:c>
      <x:c r="D2586" s="2" t="str">
        <x:v>D-L-SS</x:v>
      </x:c>
      <x:c r="E2586" s="14" t="n">
        <x:v>20</x:v>
      </x:c>
      <x:c r="F2586" s="2" t="str">
        <x:v>Wash &amp; dry</x:v>
      </x:c>
      <x:c r="G2586" s="9" t="str">
        <x:v>WS-01</x:v>
      </x:c>
      <x:c r="H2586" s="15" t="n">
        <x:v>241</x:v>
      </x:c>
      <x:c r="I2586" s="9" t="str">
        <x:v>P06</x:v>
      </x:c>
      <x:c r="J2586" s="11" t="n">
        <x:v>46309.5125</x:v>
      </x:c>
      <x:c r="K2586" s="15" t="n">
        <x:v>12</x:v>
      </x:c>
      <x:c r="L2586" s="15" t="n">
        <x:v>9</x:v>
      </x:c>
      <x:c r="M2586" s="13" t="n">
        <x:f>J2586+(K2586+L2586)/1440</x:f>
        <x:v>46309.52708333333</x:v>
      </x:c>
      <x:c r="N2586" s="13" t="n">
        <x:f>VLOOKUP(C2586,'MES orders'!$A$8:$H$127,5,FALSE)</x:f>
        <x:v>46309.666666666664</x:v>
      </x:c>
      <x:c r="O2586" s="16" t="n">
        <x:f>MAX(0,(M2586-N2586)*24)</x:f>
        <x:v>0</x:v>
      </x:c>
      <x:c r="P2586" s="9" t="str">
        <x:v>No</x:v>
      </x:c>
      <x:c r="Q2586" s="15" t="n">
        <x:v>21</x:v>
      </x:c>
      <x:c r="R2586" s="13" t="n">
        <x:f>J2586+Q2586/1440</x:f>
        <x:v>46309.52708333333</x:v>
      </x:c>
      <x:c r="S2586" s="2" t="str">
        <x:f>VLOOKUP(C2586,'MES orders'!$A$8:$H$127,6,FALSE)</x:f>
        <x:v>Normal</x:v>
      </x:c>
      <x:c r="T2586" s="9" t="str"/>
    </x:row>
    <x:row r="2587" ht="22" customHeight="1">
      <x:c r="A2587" s="2" t="str">
        <x:v>L00190-010</x:v>
      </x:c>
      <x:c r="B2587" s="2" t="str">
        <x:v>L00190</x:v>
      </x:c>
      <x:c r="C2587" s="2" t="str">
        <x:v>SO-26038</x:v>
      </x:c>
      <x:c r="D2587" s="2" t="str">
        <x:v>R-C-SS</x:v>
      </x:c>
      <x:c r="E2587" s="14" t="n">
        <x:v>20</x:v>
      </x:c>
      <x:c r="F2587" s="2" t="str">
        <x:v>CNC machining</x:v>
      </x:c>
      <x:c r="G2587" s="9" t="str">
        <x:v>CNC-04</x:v>
      </x:c>
      <x:c r="H2587" s="15" t="n">
        <x:v>79</x:v>
      </x:c>
      <x:c r="I2587" s="9" t="str">
        <x:v>P02</x:v>
      </x:c>
      <x:c r="J2587" s="11" t="n">
        <x:v>46309.51388888889</x:v>
      </x:c>
      <x:c r="K2587" s="15" t="n">
        <x:v>18</x:v>
      </x:c>
      <x:c r="L2587" s="15" t="n">
        <x:v>48</x:v>
      </x:c>
      <x:c r="M2587" s="13" t="n">
        <x:f>J2587+(K2587+L2587)/1440</x:f>
        <x:v>46309.55972222222</x:v>
      </x:c>
      <x:c r="N2587" s="13" t="n">
        <x:f>VLOOKUP(C2587,'MES orders'!$A$8:$H$127,5,FALSE)</x:f>
        <x:v>46309.666666666664</x:v>
      </x:c>
      <x:c r="O2587" s="16" t="n">
        <x:f>MAX(0,(M2587-N2587)*24)</x:f>
        <x:v>0</x:v>
      </x:c>
      <x:c r="P2587" s="9" t="str">
        <x:v>No</x:v>
      </x:c>
      <x:c r="Q2587" s="15" t="n">
        <x:v>18</x:v>
      </x:c>
      <x:c r="R2587" s="13" t="n">
        <x:f>J2587+Q2587/1440</x:f>
        <x:v>46309.52638888889</x:v>
      </x:c>
      <x:c r="S2587" s="2" t="str">
        <x:f>VLOOKUP(C2587,'MES orders'!$A$8:$H$127,6,FALSE)</x:f>
        <x:v>Normal</x:v>
      </x:c>
      <x:c r="T2587" s="9" t="str"/>
    </x:row>
    <x:row r="2588" ht="22" customHeight="1">
      <x:c r="A2588" s="2" t="str">
        <x:v>L00226-010</x:v>
      </x:c>
      <x:c r="B2588" s="2" t="str">
        <x:v>L00226</x:v>
      </x:c>
      <x:c r="C2588" s="2" t="str">
        <x:v>SO-26046</x:v>
      </x:c>
      <x:c r="D2588" s="2" t="str">
        <x:v>R-S-SS</x:v>
      </x:c>
      <x:c r="E2588" s="14" t="n">
        <x:v>25</x:v>
      </x:c>
      <x:c r="F2588" s="2" t="str">
        <x:v>CNC machining</x:v>
      </x:c>
      <x:c r="G2588" s="9" t="str">
        <x:v>CNC-06</x:v>
      </x:c>
      <x:c r="H2588" s="15" t="n">
        <x:v>66</x:v>
      </x:c>
      <x:c r="I2588" s="9" t="str">
        <x:v>P03</x:v>
      </x:c>
      <x:c r="J2588" s="11" t="n">
        <x:v>46309.51458333333</x:v>
      </x:c>
      <x:c r="K2588" s="15" t="n">
        <x:v>18</x:v>
      </x:c>
      <x:c r="L2588" s="15" t="n">
        <x:v>75</x:v>
      </x:c>
      <x:c r="M2588" s="13" t="n">
        <x:f>J2588+(K2588+L2588)/1440</x:f>
        <x:v>46309.57916666666</x:v>
      </x:c>
      <x:c r="N2588" s="13" t="n">
        <x:f>VLOOKUP(C2588,'MES orders'!$A$8:$H$127,5,FALSE)</x:f>
        <x:v>46309.666666666664</x:v>
      </x:c>
      <x:c r="O2588" s="16" t="n">
        <x:f>MAX(0,(M2588-N2588)*24)</x:f>
        <x:v>0</x:v>
      </x:c>
      <x:c r="P2588" s="9" t="str">
        <x:v>No</x:v>
      </x:c>
      <x:c r="Q2588" s="15" t="n">
        <x:v>18</x:v>
      </x:c>
      <x:c r="R2588" s="13" t="n">
        <x:f>J2588+Q2588/1440</x:f>
        <x:v>46309.52708333333</x:v>
      </x:c>
      <x:c r="S2588" s="2" t="str">
        <x:f>VLOOKUP(C2588,'MES orders'!$A$8:$H$127,6,FALSE)</x:f>
        <x:v>Normal</x:v>
      </x:c>
      <x:c r="T2588" s="9" t="str"/>
    </x:row>
    <x:row r="2589" ht="22" customHeight="1">
      <x:c r="A2589" s="2" t="str">
        <x:v>L00186-020</x:v>
      </x:c>
      <x:c r="B2589" s="2" t="str">
        <x:v>L00186</x:v>
      </x:c>
      <x:c r="C2589" s="2" t="str">
        <x:v>SO-26038</x:v>
      </x:c>
      <x:c r="D2589" s="2" t="str">
        <x:v>R-C-SS</x:v>
      </x:c>
      <x:c r="E2589" s="14" t="n">
        <x:v>20</x:v>
      </x:c>
      <x:c r="F2589" s="2" t="str">
        <x:v>Deburr &amp; inspect</x:v>
      </x:c>
      <x:c r="G2589" s="9" t="str">
        <x:v>DB-01</x:v>
      </x:c>
      <x:c r="H2589" s="15" t="n">
        <x:v>244</x:v>
      </x:c>
      <x:c r="I2589" s="9" t="str">
        <x:v>P05</x:v>
      </x:c>
      <x:c r="J2589" s="11" t="n">
        <x:v>46309.51527777778</x:v>
      </x:c>
      <x:c r="K2589" s="15" t="n">
        <x:v>4</x:v>
      </x:c>
      <x:c r="L2589" s="15" t="n">
        <x:v>11</x:v>
      </x:c>
      <x:c r="M2589" s="13" t="n">
        <x:f>J2589+(K2589+L2589)/1440</x:f>
        <x:v>46309.52569444444</x:v>
      </x:c>
      <x:c r="N2589" s="13" t="n">
        <x:f>VLOOKUP(C2589,'MES orders'!$A$8:$H$127,5,FALSE)</x:f>
        <x:v>46309.666666666664</x:v>
      </x:c>
      <x:c r="O2589" s="16" t="n">
        <x:f>MAX(0,(M2589-N2589)*24)</x:f>
        <x:v>0</x:v>
      </x:c>
      <x:c r="P2589" s="9" t="str">
        <x:v>No</x:v>
      </x:c>
      <x:c r="Q2589" s="15" t="n">
        <x:v>15</x:v>
      </x:c>
      <x:c r="R2589" s="13" t="n">
        <x:f>J2589+Q2589/1440</x:f>
        <x:v>46309.52569444444</x:v>
      </x:c>
      <x:c r="S2589" s="2" t="str">
        <x:f>VLOOKUP(C2589,'MES orders'!$A$8:$H$127,6,FALSE)</x:f>
        <x:v>Normal</x:v>
      </x:c>
      <x:c r="T2589" s="9" t="str"/>
    </x:row>
    <x:row r="2590" ht="22" customHeight="1">
      <x:c r="A2590" s="2" t="str">
        <x:v>L00386-080</x:v>
      </x:c>
      <x:c r="B2590" s="2" t="str">
        <x:v>L00386</x:v>
      </x:c>
      <x:c r="C2590" s="2" t="str">
        <x:v>SO-26078</x:v>
      </x:c>
      <x:c r="D2590" s="2" t="str">
        <x:v>S-L-SS</x:v>
      </x:c>
      <x:c r="E2590" s="14" t="n">
        <x:v>20</x:v>
      </x:c>
      <x:c r="F2590" s="2" t="str">
        <x:v>Final leak / function test</x:v>
      </x:c>
      <x:c r="G2590" s="9" t="str">
        <x:v>QA-02</x:v>
      </x:c>
      <x:c r="H2590" s="15" t="n">
        <x:v>190</x:v>
      </x:c>
      <x:c r="I2590" s="9" t="str">
        <x:v>P11</x:v>
      </x:c>
      <x:c r="J2590" s="11" t="n">
        <x:v>46309.51527777778</x:v>
      </x:c>
      <x:c r="K2590" s="15" t="n">
        <x:v>10</x:v>
      </x:c>
      <x:c r="L2590" s="15" t="n">
        <x:v>24</x:v>
      </x:c>
      <x:c r="M2590" s="13" t="n">
        <x:f>J2590+(K2590+L2590)/1440</x:f>
        <x:v>46309.538888888885</x:v>
      </x:c>
      <x:c r="N2590" s="13" t="n">
        <x:f>VLOOKUP(C2590,'MES orders'!$A$8:$H$127,5,FALSE)</x:f>
        <x:v>46309.666666666664</x:v>
      </x:c>
      <x:c r="O2590" s="16" t="n">
        <x:f>MAX(0,(M2590-N2590)*24)</x:f>
        <x:v>0</x:v>
      </x:c>
      <x:c r="P2590" s="9" t="str">
        <x:v>No</x:v>
      </x:c>
      <x:c r="Q2590" s="15" t="n">
        <x:v>34</x:v>
      </x:c>
      <x:c r="R2590" s="13" t="n">
        <x:f>J2590+Q2590/1440</x:f>
        <x:v>46309.538888888885</x:v>
      </x:c>
      <x:c r="S2590" s="2" t="str">
        <x:f>VLOOKUP(C2590,'MES orders'!$A$8:$H$127,6,FALSE)</x:f>
        <x:v>High</x:v>
      </x:c>
      <x:c r="T2590" s="9" t="str"/>
    </x:row>
    <x:row r="2591" ht="22" customHeight="1">
      <x:c r="A2591" s="2" t="str">
        <x:v>L00187-020</x:v>
      </x:c>
      <x:c r="B2591" s="2" t="str">
        <x:v>L00187</x:v>
      </x:c>
      <x:c r="C2591" s="2" t="str">
        <x:v>SO-26038</x:v>
      </x:c>
      <x:c r="D2591" s="2" t="str">
        <x:v>R-C-SS</x:v>
      </x:c>
      <x:c r="E2591" s="14" t="n">
        <x:v>20</x:v>
      </x:c>
      <x:c r="F2591" s="2" t="str">
        <x:v>Deburr &amp; inspect</x:v>
      </x:c>
      <x:c r="G2591" s="9" t="str">
        <x:v>DB-02</x:v>
      </x:c>
      <x:c r="H2591" s="15" t="n">
        <x:v>170</x:v>
      </x:c>
      <x:c r="I2591" s="9" t="str">
        <x:v>P04</x:v>
      </x:c>
      <x:c r="J2591" s="11" t="n">
        <x:v>46309.51597222222</x:v>
      </x:c>
      <x:c r="K2591" s="15" t="n">
        <x:v>4</x:v>
      </x:c>
      <x:c r="L2591" s="15" t="n">
        <x:v>11</x:v>
      </x:c>
      <x:c r="M2591" s="13" t="n">
        <x:f>J2591+(K2591+L2591)/1440</x:f>
        <x:v>46309.52638888889</x:v>
      </x:c>
      <x:c r="N2591" s="13" t="n">
        <x:f>VLOOKUP(C2591,'MES orders'!$A$8:$H$127,5,FALSE)</x:f>
        <x:v>46309.666666666664</x:v>
      </x:c>
      <x:c r="O2591" s="16" t="n">
        <x:f>MAX(0,(M2591-N2591)*24)</x:f>
        <x:v>0</x:v>
      </x:c>
      <x:c r="P2591" s="9" t="str">
        <x:v>No</x:v>
      </x:c>
      <x:c r="Q2591" s="15" t="n">
        <x:v>15</x:v>
      </x:c>
      <x:c r="R2591" s="13" t="n">
        <x:f>J2591+Q2591/1440</x:f>
        <x:v>46309.52638888889</x:v>
      </x:c>
      <x:c r="S2591" s="2" t="str">
        <x:f>VLOOKUP(C2591,'MES orders'!$A$8:$H$127,6,FALSE)</x:f>
        <x:v>Normal</x:v>
      </x:c>
      <x:c r="T2591" s="9" t="str"/>
    </x:row>
    <x:row r="2592" ht="22" customHeight="1">
      <x:c r="A2592" s="2" t="str">
        <x:v>L00070-050</x:v>
      </x:c>
      <x:c r="B2592" s="2" t="str">
        <x:v>L00070</x:v>
      </x:c>
      <x:c r="C2592" s="2" t="str">
        <x:v>SO-26014</x:v>
      </x:c>
      <x:c r="D2592" s="2" t="str">
        <x:v>D-C-SS</x:v>
      </x:c>
      <x:c r="E2592" s="14" t="n">
        <x:v>5</x:v>
      </x:c>
      <x:c r="F2592" s="2" t="str">
        <x:v>Final leak / function test</x:v>
      </x:c>
      <x:c r="G2592" s="9" t="str">
        <x:v>QA-01</x:v>
      </x:c>
      <x:c r="H2592" s="15" t="n">
        <x:v>101</x:v>
      </x:c>
      <x:c r="I2592" s="9" t="str">
        <x:v>P12</x:v>
      </x:c>
      <x:c r="J2592" s="11" t="n">
        <x:v>46309.51597222222</x:v>
      </x:c>
      <x:c r="K2592" s="15" t="n">
        <x:v>10</x:v>
      </x:c>
      <x:c r="L2592" s="15" t="n">
        <x:v>4</x:v>
      </x:c>
      <x:c r="M2592" s="13" t="n">
        <x:f>J2592+(K2592+L2592)/1440</x:f>
        <x:v>46309.52569444445</x:v>
      </x:c>
      <x:c r="N2592" s="13" t="n">
        <x:f>VLOOKUP(C2592,'MES orders'!$A$8:$H$127,5,FALSE)</x:f>
        <x:v>46309.666666666664</x:v>
      </x:c>
      <x:c r="O2592" s="16" t="n">
        <x:f>MAX(0,(M2592-N2592)*24)</x:f>
        <x:v>0</x:v>
      </x:c>
      <x:c r="P2592" s="9" t="str">
        <x:v>No</x:v>
      </x:c>
      <x:c r="Q2592" s="15" t="n">
        <x:v>14</x:v>
      </x:c>
      <x:c r="R2592" s="13" t="n">
        <x:f>J2592+Q2592/1440</x:f>
        <x:v>46309.52569444445</x:v>
      </x:c>
      <x:c r="S2592" s="2" t="str">
        <x:f>VLOOKUP(C2592,'MES orders'!$A$8:$H$127,6,FALSE)</x:f>
        <x:v>Normal</x:v>
      </x:c>
      <x:c r="T2592" s="9" t="str"/>
    </x:row>
    <x:row r="2593" ht="22" customHeight="1">
      <x:c r="A2593" s="2" t="str">
        <x:v>L00035-030</x:v>
      </x:c>
      <x:c r="B2593" s="2" t="str">
        <x:v>L00035</x:v>
      </x:c>
      <x:c r="C2593" s="2" t="str">
        <x:v>SO-26007</x:v>
      </x:c>
      <x:c r="D2593" s="2" t="str">
        <x:v>R-C-AL</x:v>
      </x:c>
      <x:c r="E2593" s="14" t="n">
        <x:v>5</x:v>
      </x:c>
      <x:c r="F2593" s="2" t="str">
        <x:v>Wash &amp; dry</x:v>
      </x:c>
      <x:c r="G2593" s="9" t="str">
        <x:v>WS-02</x:v>
      </x:c>
      <x:c r="H2593" s="15" t="n">
        <x:v>169</x:v>
      </x:c>
      <x:c r="I2593" s="9" t="str">
        <x:v>P01</x:v>
      </x:c>
      <x:c r="J2593" s="11" t="n">
        <x:v>46309.51666666667</x:v>
      </x:c>
      <x:c r="K2593" s="15" t="n">
        <x:v>12</x:v>
      </x:c>
      <x:c r="L2593" s="15" t="n">
        <x:v>1</x:v>
      </x:c>
      <x:c r="M2593" s="13" t="n">
        <x:f>J2593+(K2593+L2593)/1440</x:f>
        <x:v>46309.52569444445</x:v>
      </x:c>
      <x:c r="N2593" s="13" t="n">
        <x:f>VLOOKUP(C2593,'MES orders'!$A$8:$H$127,5,FALSE)</x:f>
        <x:v>46310.666666666664</x:v>
      </x:c>
      <x:c r="O2593" s="16" t="n">
        <x:f>MAX(0,(M2593-N2593)*24)</x:f>
        <x:v>0</x:v>
      </x:c>
      <x:c r="P2593" s="9" t="str">
        <x:v>No</x:v>
      </x:c>
      <x:c r="Q2593" s="15" t="n">
        <x:v>13</x:v>
      </x:c>
      <x:c r="R2593" s="13" t="n">
        <x:f>J2593+Q2593/1440</x:f>
        <x:v>46309.52569444445</x:v>
      </x:c>
      <x:c r="S2593" s="2" t="str">
        <x:f>VLOOKUP(C2593,'MES orders'!$A$8:$H$127,6,FALSE)</x:f>
        <x:v>Normal</x:v>
      </x:c>
      <x:c r="T2593" s="9" t="str"/>
    </x:row>
    <x:row r="2594" ht="22" customHeight="1">
      <x:c r="A2594" s="2" t="str">
        <x:v>L00032-050</x:v>
      </x:c>
      <x:c r="B2594" s="2" t="str">
        <x:v>L00032</x:v>
      </x:c>
      <x:c r="C2594" s="2" t="str">
        <x:v>SO-26007</x:v>
      </x:c>
      <x:c r="D2594" s="2" t="str">
        <x:v>R-C-AL</x:v>
      </x:c>
      <x:c r="E2594" s="14" t="n">
        <x:v>5</x:v>
      </x:c>
      <x:c r="F2594" s="2" t="str">
        <x:v>Valve adjustment</x:v>
      </x:c>
      <x:c r="G2594" s="9" t="str">
        <x:v>AS-03</x:v>
      </x:c>
      <x:c r="H2594" s="15" t="n">
        <x:v>136</x:v>
      </x:c>
      <x:c r="I2594" s="9" t="str">
        <x:v>P08</x:v>
      </x:c>
      <x:c r="J2594" s="11" t="n">
        <x:v>46309.521527777775</x:v>
      </x:c>
      <x:c r="K2594" s="15" t="n">
        <x:v>6</x:v>
      </x:c>
      <x:c r="L2594" s="15" t="n">
        <x:v>4</x:v>
      </x:c>
      <x:c r="M2594" s="13" t="n">
        <x:f>J2594+(K2594+L2594)/1440</x:f>
        <x:v>46309.52847222222</x:v>
      </x:c>
      <x:c r="N2594" s="13" t="n">
        <x:f>VLOOKUP(C2594,'MES orders'!$A$8:$H$127,5,FALSE)</x:f>
        <x:v>46310.666666666664</x:v>
      </x:c>
      <x:c r="O2594" s="16" t="n">
        <x:f>MAX(0,(M2594-N2594)*24)</x:f>
        <x:v>0</x:v>
      </x:c>
      <x:c r="P2594" s="9" t="str">
        <x:v>No</x:v>
      </x:c>
      <x:c r="Q2594" s="15" t="n">
        <x:v>10</x:v>
      </x:c>
      <x:c r="R2594" s="13" t="n">
        <x:f>J2594+Q2594/1440</x:f>
        <x:v>46309.52847222222</x:v>
      </x:c>
      <x:c r="S2594" s="2" t="str">
        <x:f>VLOOKUP(C2594,'MES orders'!$A$8:$H$127,6,FALSE)</x:f>
        <x:v>Normal</x:v>
      </x:c>
      <x:c r="T2594" s="9" t="str"/>
    </x:row>
    <x:row r="2595" ht="22" customHeight="1">
      <x:c r="A2595" s="2" t="str">
        <x:v>L00035-040</x:v>
      </x:c>
      <x:c r="B2595" s="2" t="str">
        <x:v>L00035</x:v>
      </x:c>
      <x:c r="C2595" s="2" t="str">
        <x:v>SO-26007</x:v>
      </x:c>
      <x:c r="D2595" s="2" t="str">
        <x:v>R-C-AL</x:v>
      </x:c>
      <x:c r="E2595" s="14" t="n">
        <x:v>5</x:v>
      </x:c>
      <x:c r="F2595" s="2" t="str">
        <x:v>Mechanical assembly</x:v>
      </x:c>
      <x:c r="G2595" s="9" t="str">
        <x:v>AS-04</x:v>
      </x:c>
      <x:c r="H2595" s="15" t="n">
        <x:v>93</x:v>
      </x:c>
      <x:c r="I2595" s="9" t="str">
        <x:v>P07</x:v>
      </x:c>
      <x:c r="J2595" s="11" t="n">
        <x:v>46309.52569444444</x:v>
      </x:c>
      <x:c r="K2595" s="15" t="n">
        <x:v>8</x:v>
      </x:c>
      <x:c r="L2595" s="15" t="n">
        <x:v>7</x:v>
      </x:c>
      <x:c r="M2595" s="13" t="n">
        <x:f>J2595+(K2595+L2595)/1440</x:f>
        <x:v>46309.536111111105</x:v>
      </x:c>
      <x:c r="N2595" s="13" t="n">
        <x:f>VLOOKUP(C2595,'MES orders'!$A$8:$H$127,5,FALSE)</x:f>
        <x:v>46310.666666666664</x:v>
      </x:c>
      <x:c r="O2595" s="16" t="n">
        <x:f>MAX(0,(M2595-N2595)*24)</x:f>
        <x:v>0</x:v>
      </x:c>
      <x:c r="P2595" s="9" t="str">
        <x:v>No</x:v>
      </x:c>
      <x:c r="Q2595" s="15" t="n">
        <x:v>15</x:v>
      </x:c>
      <x:c r="R2595" s="13" t="n">
        <x:f>J2595+Q2595/1440</x:f>
        <x:v>46309.536111111105</x:v>
      </x:c>
      <x:c r="S2595" s="2" t="str">
        <x:f>VLOOKUP(C2595,'MES orders'!$A$8:$H$127,6,FALSE)</x:f>
        <x:v>Normal</x:v>
      </x:c>
      <x:c r="T2595" s="9" t="str"/>
    </x:row>
    <x:row r="2596" ht="22" customHeight="1">
      <x:c r="A2596" s="2" t="str">
        <x:v>L00227-010</x:v>
      </x:c>
      <x:c r="B2596" s="2" t="str">
        <x:v>L00227</x:v>
      </x:c>
      <x:c r="C2596" s="2" t="str">
        <x:v>SO-26046</x:v>
      </x:c>
      <x:c r="D2596" s="2" t="str">
        <x:v>R-S-SS</x:v>
      </x:c>
      <x:c r="E2596" s="14" t="n">
        <x:v>25</x:v>
      </x:c>
      <x:c r="F2596" s="2" t="str">
        <x:v>CNC machining</x:v>
      </x:c>
      <x:c r="G2596" s="9" t="str">
        <x:v>CNC-05</x:v>
      </x:c>
      <x:c r="H2596" s="15" t="n">
        <x:v>73</x:v>
      </x:c>
      <x:c r="I2596" s="9" t="str">
        <x:v>P02</x:v>
      </x:c>
      <x:c r="J2596" s="11" t="n">
        <x:v>46309.52638888889</x:v>
      </x:c>
      <x:c r="K2596" s="15" t="n">
        <x:v>18</x:v>
      </x:c>
      <x:c r="L2596" s="15" t="n">
        <x:v>75</x:v>
      </x:c>
      <x:c r="M2596" s="13" t="n">
        <x:f>J2596+(K2596+L2596)/1440</x:f>
        <x:v>46309.59097222222</x:v>
      </x:c>
      <x:c r="N2596" s="13" t="n">
        <x:f>VLOOKUP(C2596,'MES orders'!$A$8:$H$127,5,FALSE)</x:f>
        <x:v>46309.666666666664</x:v>
      </x:c>
      <x:c r="O2596" s="16" t="n">
        <x:f>MAX(0,(M2596-N2596)*24)</x:f>
        <x:v>0</x:v>
      </x:c>
      <x:c r="P2596" s="9" t="str">
        <x:v>No</x:v>
      </x:c>
      <x:c r="Q2596" s="15" t="n">
        <x:v>18</x:v>
      </x:c>
      <x:c r="R2596" s="13" t="n">
        <x:f>J2596+Q2596/1440</x:f>
        <x:v>46309.538888888885</x:v>
      </x:c>
      <x:c r="S2596" s="2" t="str">
        <x:f>VLOOKUP(C2596,'MES orders'!$A$8:$H$127,6,FALSE)</x:f>
        <x:v>Normal</x:v>
      </x:c>
      <x:c r="T2596" s="9" t="str"/>
    </x:row>
    <x:row r="2597" ht="22" customHeight="1">
      <x:c r="A2597" s="2" t="str">
        <x:v>L00187-030</x:v>
      </x:c>
      <x:c r="B2597" s="2" t="str">
        <x:v>L00187</x:v>
      </x:c>
      <x:c r="C2597" s="2" t="str">
        <x:v>SO-26038</x:v>
      </x:c>
      <x:c r="D2597" s="2" t="str">
        <x:v>R-C-SS</x:v>
      </x:c>
      <x:c r="E2597" s="14" t="n">
        <x:v>20</x:v>
      </x:c>
      <x:c r="F2597" s="2" t="str">
        <x:v>Wash &amp; dry</x:v>
      </x:c>
      <x:c r="G2597" s="9" t="str">
        <x:v>WS-02</x:v>
      </x:c>
      <x:c r="H2597" s="15" t="n">
        <x:v>170</x:v>
      </x:c>
      <x:c r="I2597" s="9" t="str">
        <x:v>P01</x:v>
      </x:c>
      <x:c r="J2597" s="11" t="n">
        <x:v>46309.52638888889</x:v>
      </x:c>
      <x:c r="K2597" s="15" t="n">
        <x:v>12</x:v>
      </x:c>
      <x:c r="L2597" s="15" t="n">
        <x:v>6</x:v>
      </x:c>
      <x:c r="M2597" s="13" t="n">
        <x:f>J2597+(K2597+L2597)/1440</x:f>
        <x:v>46309.538888888885</x:v>
      </x:c>
      <x:c r="N2597" s="13" t="n">
        <x:f>VLOOKUP(C2597,'MES orders'!$A$8:$H$127,5,FALSE)</x:f>
        <x:v>46309.666666666664</x:v>
      </x:c>
      <x:c r="O2597" s="16" t="n">
        <x:f>MAX(0,(M2597-N2597)*24)</x:f>
        <x:v>0</x:v>
      </x:c>
      <x:c r="P2597" s="9" t="str">
        <x:v>No</x:v>
      </x:c>
      <x:c r="Q2597" s="15" t="n">
        <x:v>18</x:v>
      </x:c>
      <x:c r="R2597" s="13" t="n">
        <x:f>J2597+Q2597/1440</x:f>
        <x:v>46309.538888888885</x:v>
      </x:c>
      <x:c r="S2597" s="2" t="str">
        <x:f>VLOOKUP(C2597,'MES orders'!$A$8:$H$127,6,FALSE)</x:f>
        <x:v>Normal</x:v>
      </x:c>
      <x:c r="T2597" s="9" t="str"/>
    </x:row>
    <x:row r="2598" ht="22" customHeight="1">
      <x:c r="A2598" s="2" t="str">
        <x:v>L00146-040</x:v>
      </x:c>
      <x:c r="B2598" s="2" t="str">
        <x:v>L00146</x:v>
      </x:c>
      <x:c r="C2598" s="2" t="str">
        <x:v>SO-26030</x:v>
      </x:c>
      <x:c r="D2598" s="2" t="str">
        <x:v>D-L-SS</x:v>
      </x:c>
      <x:c r="E2598" s="14" t="n">
        <x:v>20</x:v>
      </x:c>
      <x:c r="F2598" s="2" t="str">
        <x:v>Mechanical assembly</x:v>
      </x:c>
      <x:c r="G2598" s="9" t="str">
        <x:v>AS-02</x:v>
      </x:c>
      <x:c r="H2598" s="15" t="n">
        <x:v>168</x:v>
      </x:c>
      <x:c r="I2598" s="9" t="str">
        <x:v>P04</x:v>
      </x:c>
      <x:c r="J2598" s="11" t="n">
        <x:v>46309.527083333334</x:v>
      </x:c>
      <x:c r="K2598" s="15" t="n">
        <x:v>8</x:v>
      </x:c>
      <x:c r="L2598" s="15" t="n">
        <x:v>49</x:v>
      </x:c>
      <x:c r="M2598" s="13" t="n">
        <x:f>J2598+(K2598+L2598)/1440</x:f>
        <x:v>46309.566666666666</x:v>
      </x:c>
      <x:c r="N2598" s="13" t="n">
        <x:f>VLOOKUP(C2598,'MES orders'!$A$8:$H$127,5,FALSE)</x:f>
        <x:v>46309.666666666664</x:v>
      </x:c>
      <x:c r="O2598" s="16" t="n">
        <x:f>MAX(0,(M2598-N2598)*24)</x:f>
        <x:v>0</x:v>
      </x:c>
      <x:c r="P2598" s="9" t="str">
        <x:v>No</x:v>
      </x:c>
      <x:c r="Q2598" s="15" t="n">
        <x:v>57</x:v>
      </x:c>
      <x:c r="R2598" s="13" t="n">
        <x:f>J2598+Q2598/1440</x:f>
        <x:v>46309.566666666666</x:v>
      </x:c>
      <x:c r="S2598" s="2" t="str">
        <x:f>VLOOKUP(C2598,'MES orders'!$A$8:$H$127,6,FALSE)</x:f>
        <x:v>Normal</x:v>
      </x:c>
      <x:c r="T2598" s="9" t="str"/>
    </x:row>
    <x:row r="2599" ht="22" customHeight="1">
      <x:c r="A2599" s="2" t="str">
        <x:v>L00151-010</x:v>
      </x:c>
      <x:c r="B2599" s="2" t="str">
        <x:v>L00151</x:v>
      </x:c>
      <x:c r="C2599" s="2" t="str">
        <x:v>SO-26031</x:v>
      </x:c>
      <x:c r="D2599" s="2" t="str">
        <x:v>S-C-AL</x:v>
      </x:c>
      <x:c r="E2599" s="14" t="n">
        <x:v>15</x:v>
      </x:c>
      <x:c r="F2599" s="2" t="str">
        <x:v>CNC machining</x:v>
      </x:c>
      <x:c r="G2599" s="9" t="str">
        <x:v>CNC-01</x:v>
      </x:c>
      <x:c r="H2599" s="15" t="n">
        <x:v>73</x:v>
      </x:c>
      <x:c r="I2599" s="9" t="str">
        <x:v>P03</x:v>
      </x:c>
      <x:c r="J2599" s="11" t="n">
        <x:v>46309.527083333334</x:v>
      </x:c>
      <x:c r="K2599" s="15" t="n">
        <x:v>18</x:v>
      </x:c>
      <x:c r="L2599" s="15" t="n">
        <x:v>29</x:v>
      </x:c>
      <x:c r="M2599" s="13" t="n">
        <x:f>J2599+(K2599+L2599)/1440</x:f>
        <x:v>46309.55972222222</x:v>
      </x:c>
      <x:c r="N2599" s="13" t="n">
        <x:f>VLOOKUP(C2599,'MES orders'!$A$8:$H$127,5,FALSE)</x:f>
        <x:v>46310.666666666664</x:v>
      </x:c>
      <x:c r="O2599" s="16" t="n">
        <x:f>MAX(0,(M2599-N2599)*24)</x:f>
        <x:v>0</x:v>
      </x:c>
      <x:c r="P2599" s="9" t="str">
        <x:v>No</x:v>
      </x:c>
      <x:c r="Q2599" s="15" t="n">
        <x:v>18</x:v>
      </x:c>
      <x:c r="R2599" s="13" t="n">
        <x:f>J2599+Q2599/1440</x:f>
        <x:v>46309.53958333333</x:v>
      </x:c>
      <x:c r="S2599" s="2" t="str">
        <x:f>VLOOKUP(C2599,'MES orders'!$A$8:$H$127,6,FALSE)</x:f>
        <x:v>Normal</x:v>
      </x:c>
      <x:c r="T2599" s="9" t="str"/>
    </x:row>
    <x:row r="2600" ht="22" customHeight="1">
      <x:c r="A2600" s="2" t="str">
        <x:v>L00147-020</x:v>
      </x:c>
      <x:c r="B2600" s="2" t="str">
        <x:v>L00147</x:v>
      </x:c>
      <x:c r="C2600" s="2" t="str">
        <x:v>SO-26030</x:v>
      </x:c>
      <x:c r="D2600" s="2" t="str">
        <x:v>D-L-SS</x:v>
      </x:c>
      <x:c r="E2600" s="14" t="n">
        <x:v>20</x:v>
      </x:c>
      <x:c r="F2600" s="2" t="str">
        <x:v>Deburr &amp; inspect</x:v>
      </x:c>
      <x:c r="G2600" s="9" t="str">
        <x:v>DB-01</x:v>
      </x:c>
      <x:c r="H2600" s="15" t="n">
        <x:v>245</x:v>
      </x:c>
      <x:c r="I2600" s="9" t="str">
        <x:v>P06</x:v>
      </x:c>
      <x:c r="J2600" s="11" t="n">
        <x:v>46309.527083333334</x:v>
      </x:c>
      <x:c r="K2600" s="15" t="n">
        <x:v>4</x:v>
      </x:c>
      <x:c r="L2600" s="15" t="n">
        <x:v>19</x:v>
      </x:c>
      <x:c r="M2600" s="13" t="n">
        <x:f>J2600+(K2600+L2600)/1440</x:f>
        <x:v>46309.54305555556</x:v>
      </x:c>
      <x:c r="N2600" s="13" t="n">
        <x:f>VLOOKUP(C2600,'MES orders'!$A$8:$H$127,5,FALSE)</x:f>
        <x:v>46309.666666666664</x:v>
      </x:c>
      <x:c r="O2600" s="16" t="n">
        <x:f>MAX(0,(M2600-N2600)*24)</x:f>
        <x:v>0</x:v>
      </x:c>
      <x:c r="P2600" s="9" t="str">
        <x:v>No</x:v>
      </x:c>
      <x:c r="Q2600" s="15" t="n">
        <x:v>23</x:v>
      </x:c>
      <x:c r="R2600" s="13" t="n">
        <x:f>J2600+Q2600/1440</x:f>
        <x:v>46309.54305555556</x:v>
      </x:c>
      <x:c r="S2600" s="2" t="str">
        <x:f>VLOOKUP(C2600,'MES orders'!$A$8:$H$127,6,FALSE)</x:f>
        <x:v>Normal</x:v>
      </x:c>
      <x:c r="T2600" s="9" t="str"/>
    </x:row>
    <x:row r="2601" ht="22" customHeight="1">
      <x:c r="A2601" s="2" t="str">
        <x:v>L00387-070</x:v>
      </x:c>
      <x:c r="B2601" s="2" t="str">
        <x:v>L00387</x:v>
      </x:c>
      <x:c r="C2601" s="2" t="str">
        <x:v>SO-26078</x:v>
      </x:c>
      <x:c r="D2601" s="2" t="str">
        <x:v>S-L-SS</x:v>
      </x:c>
      <x:c r="E2601" s="14" t="n">
        <x:v>20</x:v>
      </x:c>
      <x:c r="F2601" s="2" t="str">
        <x:v>Final assembly</x:v>
      </x:c>
      <x:c r="G2601" s="9" t="str">
        <x:v>AS-01</x:v>
      </x:c>
      <x:c r="H2601" s="15" t="n">
        <x:v>209</x:v>
      </x:c>
      <x:c r="I2601" s="9" t="str">
        <x:v>P05</x:v>
      </x:c>
      <x:c r="J2601" s="11" t="n">
        <x:v>46309.52777777778</x:v>
      </x:c>
      <x:c r="K2601" s="15" t="n">
        <x:v>5</x:v>
      </x:c>
      <x:c r="L2601" s="15" t="n">
        <x:v>22</x:v>
      </x:c>
      <x:c r="M2601" s="13" t="n">
        <x:f>J2601+(K2601+L2601)/1440</x:f>
        <x:v>46309.546527777784</x:v>
      </x:c>
      <x:c r="N2601" s="13" t="n">
        <x:f>VLOOKUP(C2601,'MES orders'!$A$8:$H$127,5,FALSE)</x:f>
        <x:v>46309.666666666664</x:v>
      </x:c>
      <x:c r="O2601" s="16" t="n">
        <x:f>MAX(0,(M2601-N2601)*24)</x:f>
        <x:v>0</x:v>
      </x:c>
      <x:c r="P2601" s="9" t="str">
        <x:v>No</x:v>
      </x:c>
      <x:c r="Q2601" s="15" t="n">
        <x:v>27</x:v>
      </x:c>
      <x:c r="R2601" s="13" t="n">
        <x:f>J2601+Q2601/1440</x:f>
        <x:v>46309.546527777784</x:v>
      </x:c>
      <x:c r="S2601" s="2" t="str">
        <x:f>VLOOKUP(C2601,'MES orders'!$A$8:$H$127,6,FALSE)</x:f>
        <x:v>High</x:v>
      </x:c>
      <x:c r="T2601" s="9" t="str"/>
    </x:row>
    <x:row r="2602" ht="22" customHeight="1">
      <x:c r="A2602" s="2" t="str">
        <x:v>L00388-060</x:v>
      </x:c>
      <x:c r="B2602" s="2" t="str">
        <x:v>L00388</x:v>
      </x:c>
      <x:c r="C2602" s="2" t="str">
        <x:v>SO-26078</x:v>
      </x:c>
      <x:c r="D2602" s="2" t="str">
        <x:v>S-L-SS</x:v>
      </x:c>
      <x:c r="E2602" s="14" t="n">
        <x:v>20</x:v>
      </x:c>
      <x:c r="F2602" s="2" t="str">
        <x:v>Sensor calibration</x:v>
      </x:c>
      <x:c r="G2602" s="9" t="str">
        <x:v>CAL-01</x:v>
      </x:c>
      <x:c r="H2602" s="15" t="n">
        <x:v>132</x:v>
      </x:c>
      <x:c r="I2602" s="9" t="str">
        <x:v>P09</x:v>
      </x:c>
      <x:c r="J2602" s="11" t="n">
        <x:v>46309.52777777778</x:v>
      </x:c>
      <x:c r="K2602" s="15" t="n">
        <x:v>10</x:v>
      </x:c>
      <x:c r="L2602" s="15" t="n">
        <x:v>35</x:v>
      </x:c>
      <x:c r="M2602" s="13" t="n">
        <x:f>J2602+(K2602+L2602)/1440</x:f>
        <x:v>46309.55902777778</x:v>
      </x:c>
      <x:c r="N2602" s="13" t="n">
        <x:f>VLOOKUP(C2602,'MES orders'!$A$8:$H$127,5,FALSE)</x:f>
        <x:v>46309.666666666664</x:v>
      </x:c>
      <x:c r="O2602" s="16" t="n">
        <x:f>MAX(0,(M2602-N2602)*24)</x:f>
        <x:v>0</x:v>
      </x:c>
      <x:c r="P2602" s="9" t="str">
        <x:v>No</x:v>
      </x:c>
      <x:c r="Q2602" s="15" t="n">
        <x:v>45</x:v>
      </x:c>
      <x:c r="R2602" s="13" t="n">
        <x:f>J2602+Q2602/1440</x:f>
        <x:v>46309.55902777778</x:v>
      </x:c>
      <x:c r="S2602" s="2" t="str">
        <x:f>VLOOKUP(C2602,'MES orders'!$A$8:$H$127,6,FALSE)</x:f>
        <x:v>High</x:v>
      </x:c>
      <x:c r="T2602" s="9" t="str"/>
    </x:row>
    <x:row r="2603" ht="22" customHeight="1">
      <x:c r="A2603" s="2" t="str">
        <x:v>L00033-050</x:v>
      </x:c>
      <x:c r="B2603" s="2" t="str">
        <x:v>L00033</x:v>
      </x:c>
      <x:c r="C2603" s="2" t="str">
        <x:v>SO-26007</x:v>
      </x:c>
      <x:c r="D2603" s="2" t="str">
        <x:v>R-C-AL</x:v>
      </x:c>
      <x:c r="E2603" s="14" t="n">
        <x:v>5</x:v>
      </x:c>
      <x:c r="F2603" s="2" t="str">
        <x:v>Valve adjustment</x:v>
      </x:c>
      <x:c r="G2603" s="9" t="str">
        <x:v>AS-03</x:v>
      </x:c>
      <x:c r="H2603" s="15" t="n">
        <x:v>137</x:v>
      </x:c>
      <x:c r="I2603" s="9" t="str">
        <x:v>P08</x:v>
      </x:c>
      <x:c r="J2603" s="11" t="n">
        <x:v>46309.52847222222</x:v>
      </x:c>
      <x:c r="K2603" s="15" t="n">
        <x:v>6</x:v>
      </x:c>
      <x:c r="L2603" s="15" t="n">
        <x:v>4</x:v>
      </x:c>
      <x:c r="M2603" s="13" t="n">
        <x:f>J2603+(K2603+L2603)/1440</x:f>
        <x:v>46309.535416666666</x:v>
      </x:c>
      <x:c r="N2603" s="13" t="n">
        <x:f>VLOOKUP(C2603,'MES orders'!$A$8:$H$127,5,FALSE)</x:f>
        <x:v>46310.666666666664</x:v>
      </x:c>
      <x:c r="O2603" s="16" t="n">
        <x:f>MAX(0,(M2603-N2603)*24)</x:f>
        <x:v>0</x:v>
      </x:c>
      <x:c r="P2603" s="9" t="str">
        <x:v>No</x:v>
      </x:c>
      <x:c r="Q2603" s="15" t="n">
        <x:v>10</x:v>
      </x:c>
      <x:c r="R2603" s="13" t="n">
        <x:f>J2603+Q2603/1440</x:f>
        <x:v>46309.535416666666</x:v>
      </x:c>
      <x:c r="S2603" s="2" t="str">
        <x:f>VLOOKUP(C2603,'MES orders'!$A$8:$H$127,6,FALSE)</x:f>
        <x:v>Normal</x:v>
      </x:c>
      <x:c r="T2603" s="9" t="str"/>
    </x:row>
    <x:row r="2604" ht="22" customHeight="1">
      <x:c r="A2604" s="2" t="str">
        <x:v>L00032-060</x:v>
      </x:c>
      <x:c r="B2604" s="2" t="str">
        <x:v>L00032</x:v>
      </x:c>
      <x:c r="C2604" s="2" t="str">
        <x:v>SO-26007</x:v>
      </x:c>
      <x:c r="D2604" s="2" t="str">
        <x:v>R-C-AL</x:v>
      </x:c>
      <x:c r="E2604" s="14" t="n">
        <x:v>5</x:v>
      </x:c>
      <x:c r="F2604" s="2" t="str">
        <x:v>Final leak / function test</x:v>
      </x:c>
      <x:c r="G2604" s="9" t="str">
        <x:v>QA-03</x:v>
      </x:c>
      <x:c r="H2604" s="15" t="n">
        <x:v>111</x:v>
      </x:c>
      <x:c r="I2604" s="9" t="str">
        <x:v>P12</x:v>
      </x:c>
      <x:c r="J2604" s="11" t="n">
        <x:v>46309.52847222222</x:v>
      </x:c>
      <x:c r="K2604" s="15" t="n">
        <x:v>10</x:v>
      </x:c>
      <x:c r="L2604" s="15" t="n">
        <x:v>4</x:v>
      </x:c>
      <x:c r="M2604" s="13" t="n">
        <x:f>J2604+(K2604+L2604)/1440</x:f>
        <x:v>46309.538194444445</x:v>
      </x:c>
      <x:c r="N2604" s="13" t="n">
        <x:f>VLOOKUP(C2604,'MES orders'!$A$8:$H$127,5,FALSE)</x:f>
        <x:v>46310.666666666664</x:v>
      </x:c>
      <x:c r="O2604" s="16" t="n">
        <x:f>MAX(0,(M2604-N2604)*24)</x:f>
        <x:v>0</x:v>
      </x:c>
      <x:c r="P2604" s="9" t="str">
        <x:v>No</x:v>
      </x:c>
      <x:c r="Q2604" s="15" t="n">
        <x:v>14</x:v>
      </x:c>
      <x:c r="R2604" s="13" t="n">
        <x:f>J2604+Q2604/1440</x:f>
        <x:v>46309.538194444445</x:v>
      </x:c>
      <x:c r="S2604" s="2" t="str">
        <x:f>VLOOKUP(C2604,'MES orders'!$A$8:$H$127,6,FALSE)</x:f>
        <x:v>Normal</x:v>
      </x:c>
      <x:c r="T2604" s="9" t="str"/>
    </x:row>
    <x:row r="2605" ht="22" customHeight="1">
      <x:c r="A2605" s="2" t="str">
        <x:v>L00035-050</x:v>
      </x:c>
      <x:c r="B2605" s="2" t="str">
        <x:v>L00035</x:v>
      </x:c>
      <x:c r="C2605" s="2" t="str">
        <x:v>SO-26007</x:v>
      </x:c>
      <x:c r="D2605" s="2" t="str">
        <x:v>R-C-AL</x:v>
      </x:c>
      <x:c r="E2605" s="14" t="n">
        <x:v>5</x:v>
      </x:c>
      <x:c r="F2605" s="2" t="str">
        <x:v>Valve adjustment</x:v>
      </x:c>
      <x:c r="G2605" s="9" t="str">
        <x:v>AS-04</x:v>
      </x:c>
      <x:c r="H2605" s="15" t="n">
        <x:v>94</x:v>
      </x:c>
      <x:c r="I2605" s="9" t="str">
        <x:v>P08</x:v>
      </x:c>
      <x:c r="J2605" s="11" t="n">
        <x:v>46309.53611111111</x:v>
      </x:c>
      <x:c r="K2605" s="15" t="n">
        <x:v>6</x:v>
      </x:c>
      <x:c r="L2605" s="15" t="n">
        <x:v>4</x:v>
      </x:c>
      <x:c r="M2605" s="13" t="n">
        <x:f>J2605+(K2605+L2605)/1440</x:f>
        <x:v>46309.54305555556</x:v>
      </x:c>
      <x:c r="N2605" s="13" t="n">
        <x:f>VLOOKUP(C2605,'MES orders'!$A$8:$H$127,5,FALSE)</x:f>
        <x:v>46310.666666666664</x:v>
      </x:c>
      <x:c r="O2605" s="16" t="n">
        <x:f>MAX(0,(M2605-N2605)*24)</x:f>
        <x:v>0</x:v>
      </x:c>
      <x:c r="P2605" s="9" t="str">
        <x:v>No</x:v>
      </x:c>
      <x:c r="Q2605" s="15" t="n">
        <x:v>10</x:v>
      </x:c>
      <x:c r="R2605" s="13" t="n">
        <x:f>J2605+Q2605/1440</x:f>
        <x:v>46309.54305555556</x:v>
      </x:c>
      <x:c r="S2605" s="2" t="str">
        <x:f>VLOOKUP(C2605,'MES orders'!$A$8:$H$127,6,FALSE)</x:f>
        <x:v>Normal</x:v>
      </x:c>
      <x:c r="T2605" s="9" t="str"/>
    </x:row>
    <x:row r="2606" ht="22" customHeight="1">
      <x:c r="A2606" s="2" t="str">
        <x:v>L00033-060</x:v>
      </x:c>
      <x:c r="B2606" s="2" t="str">
        <x:v>L00033</x:v>
      </x:c>
      <x:c r="C2606" s="2" t="str">
        <x:v>SO-26007</x:v>
      </x:c>
      <x:c r="D2606" s="2" t="str">
        <x:v>R-C-AL</x:v>
      </x:c>
      <x:c r="E2606" s="14" t="n">
        <x:v>5</x:v>
      </x:c>
      <x:c r="F2606" s="2" t="str">
        <x:v>Final leak / function test</x:v>
      </x:c>
      <x:c r="G2606" s="9" t="str">
        <x:v>QA-03</x:v>
      </x:c>
      <x:c r="H2606" s="15" t="n">
        <x:v>112</x:v>
      </x:c>
      <x:c r="I2606" s="9" t="str">
        <x:v>P12</x:v>
      </x:c>
      <x:c r="J2606" s="11" t="n">
        <x:v>46309.538194444445</x:v>
      </x:c>
      <x:c r="K2606" s="15" t="n">
        <x:v>10</x:v>
      </x:c>
      <x:c r="L2606" s="15" t="n">
        <x:v>4</x:v>
      </x:c>
      <x:c r="M2606" s="13" t="n">
        <x:f>J2606+(K2606+L2606)/1440</x:f>
        <x:v>46309.54791666667</x:v>
      </x:c>
      <x:c r="N2606" s="13" t="n">
        <x:f>VLOOKUP(C2606,'MES orders'!$A$8:$H$127,5,FALSE)</x:f>
        <x:v>46310.666666666664</x:v>
      </x:c>
      <x:c r="O2606" s="16" t="n">
        <x:f>MAX(0,(M2606-N2606)*24)</x:f>
        <x:v>0</x:v>
      </x:c>
      <x:c r="P2606" s="9" t="str">
        <x:v>No</x:v>
      </x:c>
      <x:c r="Q2606" s="15" t="n">
        <x:v>14</x:v>
      </x:c>
      <x:c r="R2606" s="13" t="n">
        <x:f>J2606+Q2606/1440</x:f>
        <x:v>46309.54791666667</x:v>
      </x:c>
      <x:c r="S2606" s="2" t="str">
        <x:f>VLOOKUP(C2606,'MES orders'!$A$8:$H$127,6,FALSE)</x:f>
        <x:v>Normal</x:v>
      </x:c>
      <x:c r="T2606" s="9" t="str"/>
    </x:row>
    <x:row r="2607" ht="22" customHeight="1">
      <x:c r="A2607" s="2" t="str">
        <x:v>L00187-040</x:v>
      </x:c>
      <x:c r="B2607" s="2" t="str">
        <x:v>L00187</x:v>
      </x:c>
      <x:c r="C2607" s="2" t="str">
        <x:v>SO-26038</x:v>
      </x:c>
      <x:c r="D2607" s="2" t="str">
        <x:v>R-C-SS</x:v>
      </x:c>
      <x:c r="E2607" s="14" t="n">
        <x:v>20</x:v>
      </x:c>
      <x:c r="F2607" s="2" t="str">
        <x:v>Mechanical assembly</x:v>
      </x:c>
      <x:c r="G2607" s="9" t="str">
        <x:v>AS-03</x:v>
      </x:c>
      <x:c r="H2607" s="15" t="n">
        <x:v>138</x:v>
      </x:c>
      <x:c r="I2607" s="9" t="str">
        <x:v>P01</x:v>
      </x:c>
      <x:c r="J2607" s="11" t="n">
        <x:v>46309.53888888889</x:v>
      </x:c>
      <x:c r="K2607" s="15" t="n">
        <x:v>8</x:v>
      </x:c>
      <x:c r="L2607" s="15" t="n">
        <x:v>29</x:v>
      </x:c>
      <x:c r="M2607" s="13" t="n">
        <x:f>J2607+(K2607+L2607)/1440</x:f>
        <x:v>46309.56458333333</x:v>
      </x:c>
      <x:c r="N2607" s="13" t="n">
        <x:f>VLOOKUP(C2607,'MES orders'!$A$8:$H$127,5,FALSE)</x:f>
        <x:v>46309.666666666664</x:v>
      </x:c>
      <x:c r="O2607" s="16" t="n">
        <x:f>MAX(0,(M2607-N2607)*24)</x:f>
        <x:v>0</x:v>
      </x:c>
      <x:c r="P2607" s="9" t="str">
        <x:v>No</x:v>
      </x:c>
      <x:c r="Q2607" s="15" t="n">
        <x:v>37</x:v>
      </x:c>
      <x:c r="R2607" s="13" t="n">
        <x:f>J2607+Q2607/1440</x:f>
        <x:v>46309.56458333333</x:v>
      </x:c>
      <x:c r="S2607" s="2" t="str">
        <x:f>VLOOKUP(C2607,'MES orders'!$A$8:$H$127,6,FALSE)</x:f>
        <x:v>Normal</x:v>
      </x:c>
      <x:c r="T2607" s="9" t="str"/>
    </x:row>
    <x:row r="2608" ht="22" customHeight="1">
      <x:c r="A2608" s="2" t="str">
        <x:v>L00152-010</x:v>
      </x:c>
      <x:c r="B2608" s="2" t="str">
        <x:v>L00152</x:v>
      </x:c>
      <x:c r="C2608" s="2" t="str">
        <x:v>SO-26031</x:v>
      </x:c>
      <x:c r="D2608" s="2" t="str">
        <x:v>S-C-AL</x:v>
      </x:c>
      <x:c r="E2608" s="14" t="n">
        <x:v>15</x:v>
      </x:c>
      <x:c r="F2608" s="2" t="str">
        <x:v>CNC machining</x:v>
      </x:c>
      <x:c r="G2608" s="9" t="str">
        <x:v>CNC-02</x:v>
      </x:c>
      <x:c r="H2608" s="15" t="n">
        <x:v>51</x:v>
      </x:c>
      <x:c r="I2608" s="9" t="str">
        <x:v>P03</x:v>
      </x:c>
      <x:c r="J2608" s="11" t="n">
        <x:v>46309.53958333333</x:v>
      </x:c>
      <x:c r="K2608" s="15" t="n">
        <x:v>18</x:v>
      </x:c>
      <x:c r="L2608" s="15" t="n">
        <x:v>29</x:v>
      </x:c>
      <x:c r="M2608" s="13" t="n">
        <x:f>J2608+(K2608+L2608)/1440</x:f>
        <x:v>46309.57222222222</x:v>
      </x:c>
      <x:c r="N2608" s="13" t="n">
        <x:f>VLOOKUP(C2608,'MES orders'!$A$8:$H$127,5,FALSE)</x:f>
        <x:v>46310.666666666664</x:v>
      </x:c>
      <x:c r="O2608" s="16" t="n">
        <x:f>MAX(0,(M2608-N2608)*24)</x:f>
        <x:v>0</x:v>
      </x:c>
      <x:c r="P2608" s="9" t="str">
        <x:v>No</x:v>
      </x:c>
      <x:c r="Q2608" s="15" t="n">
        <x:v>18</x:v>
      </x:c>
      <x:c r="R2608" s="13" t="n">
        <x:f>J2608+Q2608/1440</x:f>
        <x:v>46309.55208333333</x:v>
      </x:c>
      <x:c r="S2608" s="2" t="str">
        <x:f>VLOOKUP(C2608,'MES orders'!$A$8:$H$127,6,FALSE)</x:f>
        <x:v>Normal</x:v>
      </x:c>
      <x:c r="T2608" s="9" t="str"/>
    </x:row>
    <x:row r="2609" ht="22" customHeight="1">
      <x:c r="A2609" s="2" t="str">
        <x:v>L00147-030</x:v>
      </x:c>
      <x:c r="B2609" s="2" t="str">
        <x:v>L00147</x:v>
      </x:c>
      <x:c r="C2609" s="2" t="str">
        <x:v>SO-26030</x:v>
      </x:c>
      <x:c r="D2609" s="2" t="str">
        <x:v>D-L-SS</x:v>
      </x:c>
      <x:c r="E2609" s="14" t="n">
        <x:v>20</x:v>
      </x:c>
      <x:c r="F2609" s="2" t="str">
        <x:v>Wash &amp; dry</x:v>
      </x:c>
      <x:c r="G2609" s="9" t="str">
        <x:v>WS-01</x:v>
      </x:c>
      <x:c r="H2609" s="15" t="n">
        <x:v>242</x:v>
      </x:c>
      <x:c r="I2609" s="9" t="str">
        <x:v>P06</x:v>
      </x:c>
      <x:c r="J2609" s="11" t="n">
        <x:v>46309.54305555556</x:v>
      </x:c>
      <x:c r="K2609" s="15" t="n">
        <x:v>12</x:v>
      </x:c>
      <x:c r="L2609" s="15" t="n">
        <x:v>9</x:v>
      </x:c>
      <x:c r="M2609" s="13" t="n">
        <x:f>J2609+(K2609+L2609)/1440</x:f>
        <x:v>46309.55763888889</x:v>
      </x:c>
      <x:c r="N2609" s="13" t="n">
        <x:f>VLOOKUP(C2609,'MES orders'!$A$8:$H$127,5,FALSE)</x:f>
        <x:v>46309.666666666664</x:v>
      </x:c>
      <x:c r="O2609" s="16" t="n">
        <x:f>MAX(0,(M2609-N2609)*24)</x:f>
        <x:v>0</x:v>
      </x:c>
      <x:c r="P2609" s="9" t="str">
        <x:v>No</x:v>
      </x:c>
      <x:c r="Q2609" s="15" t="n">
        <x:v>21</x:v>
      </x:c>
      <x:c r="R2609" s="13" t="n">
        <x:f>J2609+Q2609/1440</x:f>
        <x:v>46309.55763888889</x:v>
      </x:c>
      <x:c r="S2609" s="2" t="str">
        <x:f>VLOOKUP(C2609,'MES orders'!$A$8:$H$127,6,FALSE)</x:f>
        <x:v>Normal</x:v>
      </x:c>
      <x:c r="T2609" s="9" t="str"/>
    </x:row>
    <x:row r="2610" ht="22" customHeight="1">
      <x:c r="A2610" s="2" t="str">
        <x:v>L00387-080</x:v>
      </x:c>
      <x:c r="B2610" s="2" t="str">
        <x:v>L00387</x:v>
      </x:c>
      <x:c r="C2610" s="2" t="str">
        <x:v>SO-26078</x:v>
      </x:c>
      <x:c r="D2610" s="2" t="str">
        <x:v>S-L-SS</x:v>
      </x:c>
      <x:c r="E2610" s="14" t="n">
        <x:v>20</x:v>
      </x:c>
      <x:c r="F2610" s="2" t="str">
        <x:v>Final leak / function test</x:v>
      </x:c>
      <x:c r="G2610" s="9" t="str">
        <x:v>QA-02</x:v>
      </x:c>
      <x:c r="H2610" s="15" t="n">
        <x:v>191</x:v>
      </x:c>
      <x:c r="I2610" s="9" t="str">
        <x:v>P11</x:v>
      </x:c>
      <x:c r="J2610" s="11" t="n">
        <x:v>46309.54652777778</x:v>
      </x:c>
      <x:c r="K2610" s="15" t="n">
        <x:v>10</x:v>
      </x:c>
      <x:c r="L2610" s="15" t="n">
        <x:v>24</x:v>
      </x:c>
      <x:c r="M2610" s="13" t="n">
        <x:f>J2610+(K2610+L2610)/1440</x:f>
        <x:v>46309.570138888885</x:v>
      </x:c>
      <x:c r="N2610" s="13" t="n">
        <x:f>VLOOKUP(C2610,'MES orders'!$A$8:$H$127,5,FALSE)</x:f>
        <x:v>46309.666666666664</x:v>
      </x:c>
      <x:c r="O2610" s="16" t="n">
        <x:f>MAX(0,(M2610-N2610)*24)</x:f>
        <x:v>0</x:v>
      </x:c>
      <x:c r="P2610" s="9" t="str">
        <x:v>No</x:v>
      </x:c>
      <x:c r="Q2610" s="15" t="n">
        <x:v>34</x:v>
      </x:c>
      <x:c r="R2610" s="13" t="n">
        <x:f>J2610+Q2610/1440</x:f>
        <x:v>46309.570138888885</x:v>
      </x:c>
      <x:c r="S2610" s="2" t="str">
        <x:f>VLOOKUP(C2610,'MES orders'!$A$8:$H$127,6,FALSE)</x:f>
        <x:v>High</x:v>
      </x:c>
      <x:c r="T2610" s="9" t="str"/>
    </x:row>
    <x:row r="2611" ht="22" customHeight="1">
      <x:c r="A2611" s="2" t="str">
        <x:v>L00186-030</x:v>
      </x:c>
      <x:c r="B2611" s="2" t="str">
        <x:v>L00186</x:v>
      </x:c>
      <x:c r="C2611" s="2" t="str">
        <x:v>SO-26038</x:v>
      </x:c>
      <x:c r="D2611" s="2" t="str">
        <x:v>R-C-SS</x:v>
      </x:c>
      <x:c r="E2611" s="14" t="n">
        <x:v>20</x:v>
      </x:c>
      <x:c r="F2611" s="2" t="str">
        <x:v>Wash &amp; dry</x:v>
      </x:c>
      <x:c r="G2611" s="9" t="str">
        <x:v>WS-02</x:v>
      </x:c>
      <x:c r="H2611" s="15" t="n">
        <x:v>171</x:v>
      </x:c>
      <x:c r="I2611" s="9" t="str">
        <x:v>P05</x:v>
      </x:c>
      <x:c r="J2611" s="11" t="n">
        <x:v>46309.54652777778</x:v>
      </x:c>
      <x:c r="K2611" s="15" t="n">
        <x:v>12</x:v>
      </x:c>
      <x:c r="L2611" s="15" t="n">
        <x:v>6</x:v>
      </x:c>
      <x:c r="M2611" s="13" t="n">
        <x:f>J2611+(K2611+L2611)/1440</x:f>
        <x:v>46309.559027777774</x:v>
      </x:c>
      <x:c r="N2611" s="13" t="n">
        <x:f>VLOOKUP(C2611,'MES orders'!$A$8:$H$127,5,FALSE)</x:f>
        <x:v>46309.666666666664</x:v>
      </x:c>
      <x:c r="O2611" s="16" t="n">
        <x:f>MAX(0,(M2611-N2611)*24)</x:f>
        <x:v>0</x:v>
      </x:c>
      <x:c r="P2611" s="9" t="str">
        <x:v>No</x:v>
      </x:c>
      <x:c r="Q2611" s="15" t="n">
        <x:v>18</x:v>
      </x:c>
      <x:c r="R2611" s="13" t="n">
        <x:f>J2611+Q2611/1440</x:f>
        <x:v>46309.559027777774</x:v>
      </x:c>
      <x:c r="S2611" s="2" t="str">
        <x:f>VLOOKUP(C2611,'MES orders'!$A$8:$H$127,6,FALSE)</x:f>
        <x:v>Normal</x:v>
      </x:c>
      <x:c r="T2611" s="9" t="str"/>
    </x:row>
    <x:row r="2612" ht="22" customHeight="1">
      <x:c r="A2612" s="2" t="str">
        <x:v>L00035-060</x:v>
      </x:c>
      <x:c r="B2612" s="2" t="str">
        <x:v>L00035</x:v>
      </x:c>
      <x:c r="C2612" s="2" t="str">
        <x:v>SO-26007</x:v>
      </x:c>
      <x:c r="D2612" s="2" t="str">
        <x:v>R-C-AL</x:v>
      </x:c>
      <x:c r="E2612" s="14" t="n">
        <x:v>5</x:v>
      </x:c>
      <x:c r="F2612" s="2" t="str">
        <x:v>Final leak / function test</x:v>
      </x:c>
      <x:c r="G2612" s="9" t="str">
        <x:v>QA-03</x:v>
      </x:c>
      <x:c r="H2612" s="15" t="n">
        <x:v>113</x:v>
      </x:c>
      <x:c r="I2612" s="9" t="str">
        <x:v>P12</x:v>
      </x:c>
      <x:c r="J2612" s="11" t="n">
        <x:v>46309.54791666667</x:v>
      </x:c>
      <x:c r="K2612" s="15" t="n">
        <x:v>10</x:v>
      </x:c>
      <x:c r="L2612" s="15" t="n">
        <x:v>4</x:v>
      </x:c>
      <x:c r="M2612" s="13" t="n">
        <x:f>J2612+(K2612+L2612)/1440</x:f>
        <x:v>46309.557638888895</x:v>
      </x:c>
      <x:c r="N2612" s="13" t="n">
        <x:f>VLOOKUP(C2612,'MES orders'!$A$8:$H$127,5,FALSE)</x:f>
        <x:v>46310.666666666664</x:v>
      </x:c>
      <x:c r="O2612" s="16" t="n">
        <x:f>MAX(0,(M2612-N2612)*24)</x:f>
        <x:v>0</x:v>
      </x:c>
      <x:c r="P2612" s="9" t="str">
        <x:v>No</x:v>
      </x:c>
      <x:c r="Q2612" s="15" t="n">
        <x:v>14</x:v>
      </x:c>
      <x:c r="R2612" s="13" t="n">
        <x:f>J2612+Q2612/1440</x:f>
        <x:v>46309.557638888895</x:v>
      </x:c>
      <x:c r="S2612" s="2" t="str">
        <x:f>VLOOKUP(C2612,'MES orders'!$A$8:$H$127,6,FALSE)</x:f>
        <x:v>Normal</x:v>
      </x:c>
      <x:c r="T2612" s="9" t="str"/>
    </x:row>
    <x:row r="2613" ht="22" customHeight="1">
      <x:c r="A2613" s="2" t="str">
        <x:v>L00189-020</x:v>
      </x:c>
      <x:c r="B2613" s="2" t="str">
        <x:v>L00189</x:v>
      </x:c>
      <x:c r="C2613" s="2" t="str">
        <x:v>SO-26038</x:v>
      </x:c>
      <x:c r="D2613" s="2" t="str">
        <x:v>R-C-SS</x:v>
      </x:c>
      <x:c r="E2613" s="14" t="n">
        <x:v>20</x:v>
      </x:c>
      <x:c r="F2613" s="2" t="str">
        <x:v>Deburr &amp; inspect</x:v>
      </x:c>
      <x:c r="G2613" s="9" t="str">
        <x:v>DB-01</x:v>
      </x:c>
      <x:c r="H2613" s="15" t="n">
        <x:v>246</x:v>
      </x:c>
      <x:c r="I2613" s="9" t="str">
        <x:v>P02</x:v>
      </x:c>
      <x:c r="J2613" s="11" t="n">
        <x:v>46309.55</x:v>
      </x:c>
      <x:c r="K2613" s="15" t="n">
        <x:v>4</x:v>
      </x:c>
      <x:c r="L2613" s="15" t="n">
        <x:v>11</x:v>
      </x:c>
      <x:c r="M2613" s="13" t="n">
        <x:f>J2613+(K2613+L2613)/1440</x:f>
        <x:v>46309.56041666667</x:v>
      </x:c>
      <x:c r="N2613" s="13" t="n">
        <x:f>VLOOKUP(C2613,'MES orders'!$A$8:$H$127,5,FALSE)</x:f>
        <x:v>46309.666666666664</x:v>
      </x:c>
      <x:c r="O2613" s="16" t="n">
        <x:f>MAX(0,(M2613-N2613)*24)</x:f>
        <x:v>0</x:v>
      </x:c>
      <x:c r="P2613" s="9" t="str">
        <x:v>No</x:v>
      </x:c>
      <x:c r="Q2613" s="15" t="n">
        <x:v>15</x:v>
      </x:c>
      <x:c r="R2613" s="13" t="n">
        <x:f>J2613+Q2613/1440</x:f>
        <x:v>46309.56041666667</x:v>
      </x:c>
      <x:c r="S2613" s="2" t="str">
        <x:f>VLOOKUP(C2613,'MES orders'!$A$8:$H$127,6,FALSE)</x:f>
        <x:v>Normal</x:v>
      </x:c>
      <x:c r="T2613" s="9" t="str"/>
    </x:row>
    <x:row r="2614" ht="22" customHeight="1">
      <x:c r="A2614" s="2" t="str">
        <x:v>L00148-030</x:v>
      </x:c>
      <x:c r="B2614" s="2" t="str">
        <x:v>L00148</x:v>
      </x:c>
      <x:c r="C2614" s="2" t="str">
        <x:v>SO-26030</x:v>
      </x:c>
      <x:c r="D2614" s="2" t="str">
        <x:v>D-L-SS</x:v>
      </x:c>
      <x:c r="E2614" s="14" t="n">
        <x:v>20</x:v>
      </x:c>
      <x:c r="F2614" s="2" t="str">
        <x:v>Wash &amp; dry</x:v>
      </x:c>
      <x:c r="G2614" s="9" t="str">
        <x:v>WS-01</x:v>
      </x:c>
      <x:c r="H2614" s="15" t="n">
        <x:v>243</x:v>
      </x:c>
      <x:c r="I2614" s="9" t="str">
        <x:v>P06</x:v>
      </x:c>
      <x:c r="J2614" s="11" t="n">
        <x:v>46309.55763888889</x:v>
      </x:c>
      <x:c r="K2614" s="15" t="n">
        <x:v>12</x:v>
      </x:c>
      <x:c r="L2614" s="15" t="n">
        <x:v>9</x:v>
      </x:c>
      <x:c r="M2614" s="13" t="n">
        <x:f>J2614+(K2614+L2614)/1440</x:f>
        <x:v>46309.57222222222</x:v>
      </x:c>
      <x:c r="N2614" s="13" t="n">
        <x:f>VLOOKUP(C2614,'MES orders'!$A$8:$H$127,5,FALSE)</x:f>
        <x:v>46309.666666666664</x:v>
      </x:c>
      <x:c r="O2614" s="16" t="n">
        <x:f>MAX(0,(M2614-N2614)*24)</x:f>
        <x:v>0</x:v>
      </x:c>
      <x:c r="P2614" s="9" t="str">
        <x:v>No</x:v>
      </x:c>
      <x:c r="Q2614" s="15" t="n">
        <x:v>21</x:v>
      </x:c>
      <x:c r="R2614" s="13" t="n">
        <x:f>J2614+Q2614/1440</x:f>
        <x:v>46309.57222222222</x:v>
      </x:c>
      <x:c r="S2614" s="2" t="str">
        <x:f>VLOOKUP(C2614,'MES orders'!$A$8:$H$127,6,FALSE)</x:f>
        <x:v>Normal</x:v>
      </x:c>
      <x:c r="T2614" s="9" t="str"/>
    </x:row>
    <x:row r="2615" ht="22" customHeight="1">
      <x:c r="A2615" s="2" t="str">
        <x:v>L00388-070</x:v>
      </x:c>
      <x:c r="B2615" s="2" t="str">
        <x:v>L00388</x:v>
      </x:c>
      <x:c r="C2615" s="2" t="str">
        <x:v>SO-26078</x:v>
      </x:c>
      <x:c r="D2615" s="2" t="str">
        <x:v>S-L-SS</x:v>
      </x:c>
      <x:c r="E2615" s="14" t="n">
        <x:v>20</x:v>
      </x:c>
      <x:c r="F2615" s="2" t="str">
        <x:v>Final assembly</x:v>
      </x:c>
      <x:c r="G2615" s="9" t="str">
        <x:v>AS-01</x:v>
      </x:c>
      <x:c r="H2615" s="15" t="n">
        <x:v>210</x:v>
      </x:c>
      <x:c r="I2615" s="9" t="str">
        <x:v>P05</x:v>
      </x:c>
      <x:c r="J2615" s="11" t="n">
        <x:v>46309.55902777778</x:v>
      </x:c>
      <x:c r="K2615" s="15" t="n">
        <x:v>5</x:v>
      </x:c>
      <x:c r="L2615" s="15" t="n">
        <x:v>22</x:v>
      </x:c>
      <x:c r="M2615" s="13" t="n">
        <x:f>J2615+(K2615+L2615)/1440</x:f>
        <x:v>46309.577777777784</x:v>
      </x:c>
      <x:c r="N2615" s="13" t="n">
        <x:f>VLOOKUP(C2615,'MES orders'!$A$8:$H$127,5,FALSE)</x:f>
        <x:v>46309.666666666664</x:v>
      </x:c>
      <x:c r="O2615" s="16" t="n">
        <x:f>MAX(0,(M2615-N2615)*24)</x:f>
        <x:v>0</x:v>
      </x:c>
      <x:c r="P2615" s="9" t="str">
        <x:v>No</x:v>
      </x:c>
      <x:c r="Q2615" s="15" t="n">
        <x:v>27</x:v>
      </x:c>
      <x:c r="R2615" s="13" t="n">
        <x:f>J2615+Q2615/1440</x:f>
        <x:v>46309.577777777784</x:v>
      </x:c>
      <x:c r="S2615" s="2" t="str">
        <x:f>VLOOKUP(C2615,'MES orders'!$A$8:$H$127,6,FALSE)</x:f>
        <x:v>High</x:v>
      </x:c>
      <x:c r="T2615" s="9" t="str"/>
    </x:row>
    <x:row r="2616" ht="22" customHeight="1">
      <x:c r="A2616" s="2" t="str">
        <x:v>L00029-060</x:v>
      </x:c>
      <x:c r="B2616" s="2" t="str">
        <x:v>L00029</x:v>
      </x:c>
      <x:c r="C2616" s="2" t="str">
        <x:v>SO-26006</x:v>
      </x:c>
      <x:c r="D2616" s="2" t="str">
        <x:v>S-L-SS</x:v>
      </x:c>
      <x:c r="E2616" s="14" t="n">
        <x:v>10</x:v>
      </x:c>
      <x:c r="F2616" s="2" t="str">
        <x:v>Sensor calibration</x:v>
      </x:c>
      <x:c r="G2616" s="9" t="str">
        <x:v>CAL-01</x:v>
      </x:c>
      <x:c r="H2616" s="15" t="n">
        <x:v>133</x:v>
      </x:c>
      <x:c r="I2616" s="9" t="str">
        <x:v>P09</x:v>
      </x:c>
      <x:c r="J2616" s="11" t="n">
        <x:v>46309.55902777778</x:v>
      </x:c>
      <x:c r="K2616" s="15" t="n">
        <x:v>10</x:v>
      </x:c>
      <x:c r="L2616" s="15" t="n">
        <x:v>18</x:v>
      </x:c>
      <x:c r="M2616" s="13" t="n">
        <x:f>J2616+(K2616+L2616)/1440</x:f>
        <x:v>46309.57847222222</x:v>
      </x:c>
      <x:c r="N2616" s="13" t="n">
        <x:f>VLOOKUP(C2616,'MES orders'!$A$8:$H$127,5,FALSE)</x:f>
        <x:v>46309.666666666664</x:v>
      </x:c>
      <x:c r="O2616" s="16" t="n">
        <x:f>MAX(0,(M2616-N2616)*24)</x:f>
        <x:v>0</x:v>
      </x:c>
      <x:c r="P2616" s="9" t="str">
        <x:v>No</x:v>
      </x:c>
      <x:c r="Q2616" s="15" t="n">
        <x:v>28</x:v>
      </x:c>
      <x:c r="R2616" s="13" t="n">
        <x:f>J2616+Q2616/1440</x:f>
        <x:v>46309.57847222222</x:v>
      </x:c>
      <x:c r="S2616" s="2" t="str">
        <x:f>VLOOKUP(C2616,'MES orders'!$A$8:$H$127,6,FALSE)</x:f>
        <x:v>Normal</x:v>
      </x:c>
      <x:c r="T2616" s="9" t="str"/>
    </x:row>
    <x:row r="2617" ht="22" customHeight="1">
      <x:c r="A2617" s="2" t="str">
        <x:v>L00190-020</x:v>
      </x:c>
      <x:c r="B2617" s="2" t="str">
        <x:v>L00190</x:v>
      </x:c>
      <x:c r="C2617" s="2" t="str">
        <x:v>SO-26038</x:v>
      </x:c>
      <x:c r="D2617" s="2" t="str">
        <x:v>R-C-SS</x:v>
      </x:c>
      <x:c r="E2617" s="14" t="n">
        <x:v>20</x:v>
      </x:c>
      <x:c r="F2617" s="2" t="str">
        <x:v>Deburr &amp; inspect</x:v>
      </x:c>
      <x:c r="G2617" s="9" t="str">
        <x:v>DB-02</x:v>
      </x:c>
      <x:c r="H2617" s="15" t="n">
        <x:v>171</x:v>
      </x:c>
      <x:c r="I2617" s="9" t="str">
        <x:v>P03</x:v>
      </x:c>
      <x:c r="J2617" s="11" t="n">
        <x:v>46309.55972222222</x:v>
      </x:c>
      <x:c r="K2617" s="15" t="n">
        <x:v>4</x:v>
      </x:c>
      <x:c r="L2617" s="15" t="n">
        <x:v>11</x:v>
      </x:c>
      <x:c r="M2617" s="13" t="n">
        <x:f>J2617+(K2617+L2617)/1440</x:f>
        <x:v>46309.570138888885</x:v>
      </x:c>
      <x:c r="N2617" s="13" t="n">
        <x:f>VLOOKUP(C2617,'MES orders'!$A$8:$H$127,5,FALSE)</x:f>
        <x:v>46309.666666666664</x:v>
      </x:c>
      <x:c r="O2617" s="16" t="n">
        <x:f>MAX(0,(M2617-N2617)*24)</x:f>
        <x:v>0</x:v>
      </x:c>
      <x:c r="P2617" s="9" t="str">
        <x:v>No</x:v>
      </x:c>
      <x:c r="Q2617" s="15" t="n">
        <x:v>15</x:v>
      </x:c>
      <x:c r="R2617" s="13" t="n">
        <x:f>J2617+Q2617/1440</x:f>
        <x:v>46309.570138888885</x:v>
      </x:c>
      <x:c r="S2617" s="2" t="str">
        <x:f>VLOOKUP(C2617,'MES orders'!$A$8:$H$127,6,FALSE)</x:f>
        <x:v>Normal</x:v>
      </x:c>
      <x:c r="T2617" s="9" t="str"/>
    </x:row>
    <x:row r="2618" ht="22" customHeight="1">
      <x:c r="A2618" s="2" t="str">
        <x:v>L00228-010</x:v>
      </x:c>
      <x:c r="B2618" s="2" t="str">
        <x:v>L00228</x:v>
      </x:c>
      <x:c r="C2618" s="2" t="str">
        <x:v>SO-26046</x:v>
      </x:c>
      <x:c r="D2618" s="2" t="str">
        <x:v>R-S-SS</x:v>
      </x:c>
      <x:c r="E2618" s="14" t="n">
        <x:v>25</x:v>
      </x:c>
      <x:c r="F2618" s="2" t="str">
        <x:v>CNC machining</x:v>
      </x:c>
      <x:c r="G2618" s="9" t="str">
        <x:v>CNC-03</x:v>
      </x:c>
      <x:c r="H2618" s="15" t="n">
        <x:v>83</x:v>
      </x:c>
      <x:c r="I2618" s="9" t="str">
        <x:v>P02</x:v>
      </x:c>
      <x:c r="J2618" s="11" t="n">
        <x:v>46309.56041666667</x:v>
      </x:c>
      <x:c r="K2618" s="15" t="n">
        <x:v>18</x:v>
      </x:c>
      <x:c r="L2618" s="15" t="n">
        <x:v>75</x:v>
      </x:c>
      <x:c r="M2618" s="13" t="n">
        <x:f>J2618+(K2618+L2618)/1440</x:f>
        <x:v>46309.625</x:v>
      </x:c>
      <x:c r="N2618" s="13" t="n">
        <x:f>VLOOKUP(C2618,'MES orders'!$A$8:$H$127,5,FALSE)</x:f>
        <x:v>46309.666666666664</x:v>
      </x:c>
      <x:c r="O2618" s="16" t="n">
        <x:f>MAX(0,(M2618-N2618)*24)</x:f>
        <x:v>0</x:v>
      </x:c>
      <x:c r="P2618" s="9" t="str">
        <x:v>No</x:v>
      </x:c>
      <x:c r="Q2618" s="15" t="n">
        <x:v>18</x:v>
      </x:c>
      <x:c r="R2618" s="13" t="n">
        <x:f>J2618+Q2618/1440</x:f>
        <x:v>46309.572916666664</x:v>
      </x:c>
      <x:c r="S2618" s="2" t="str">
        <x:f>VLOOKUP(C2618,'MES orders'!$A$8:$H$127,6,FALSE)</x:f>
        <x:v>Normal</x:v>
      </x:c>
      <x:c r="T2618" s="9" t="str"/>
    </x:row>
    <x:row r="2619" ht="22" customHeight="1">
      <x:c r="A2619" s="2" t="str">
        <x:v>L00151-020</x:v>
      </x:c>
      <x:c r="B2619" s="2" t="str">
        <x:v>L00151</x:v>
      </x:c>
      <x:c r="C2619" s="2" t="str">
        <x:v>SO-26031</x:v>
      </x:c>
      <x:c r="D2619" s="2" t="str">
        <x:v>S-C-AL</x:v>
      </x:c>
      <x:c r="E2619" s="14" t="n">
        <x:v>15</x:v>
      </x:c>
      <x:c r="F2619" s="2" t="str">
        <x:v>Deburr &amp; inspect</x:v>
      </x:c>
      <x:c r="G2619" s="9" t="str">
        <x:v>DB-01</x:v>
      </x:c>
      <x:c r="H2619" s="15" t="n">
        <x:v>247</x:v>
      </x:c>
      <x:c r="I2619" s="9" t="str">
        <x:v>P07</x:v>
      </x:c>
      <x:c r="J2619" s="11" t="n">
        <x:v>46309.56041666667</x:v>
      </x:c>
      <x:c r="K2619" s="15" t="n">
        <x:v>4</x:v>
      </x:c>
      <x:c r="L2619" s="15" t="n">
        <x:v>8</x:v>
      </x:c>
      <x:c r="M2619" s="13" t="n">
        <x:f>J2619+(K2619+L2619)/1440</x:f>
        <x:v>46309.56875</x:v>
      </x:c>
      <x:c r="N2619" s="13" t="n">
        <x:f>VLOOKUP(C2619,'MES orders'!$A$8:$H$127,5,FALSE)</x:f>
        <x:v>46310.666666666664</x:v>
      </x:c>
      <x:c r="O2619" s="16" t="n">
        <x:f>MAX(0,(M2619-N2619)*24)</x:f>
        <x:v>0</x:v>
      </x:c>
      <x:c r="P2619" s="9" t="str">
        <x:v>No</x:v>
      </x:c>
      <x:c r="Q2619" s="15" t="n">
        <x:v>12</x:v>
      </x:c>
      <x:c r="R2619" s="13" t="n">
        <x:f>J2619+Q2619/1440</x:f>
        <x:v>46309.56875</x:v>
      </x:c>
      <x:c r="S2619" s="2" t="str">
        <x:f>VLOOKUP(C2619,'MES orders'!$A$8:$H$127,6,FALSE)</x:f>
        <x:v>Normal</x:v>
      </x:c>
      <x:c r="T2619" s="9" t="str"/>
    </x:row>
    <x:row r="2620" ht="22" customHeight="1">
      <x:c r="A2620" s="2" t="str">
        <x:v>L00187-050</x:v>
      </x:c>
      <x:c r="B2620" s="2" t="str">
        <x:v>L00187</x:v>
      </x:c>
      <x:c r="C2620" s="2" t="str">
        <x:v>SO-26038</x:v>
      </x:c>
      <x:c r="D2620" s="2" t="str">
        <x:v>R-C-SS</x:v>
      </x:c>
      <x:c r="E2620" s="14" t="n">
        <x:v>20</x:v>
      </x:c>
      <x:c r="F2620" s="2" t="str">
        <x:v>Valve adjustment</x:v>
      </x:c>
      <x:c r="G2620" s="9" t="str">
        <x:v>AS-03</x:v>
      </x:c>
      <x:c r="H2620" s="15" t="n">
        <x:v>139</x:v>
      </x:c>
      <x:c r="I2620" s="9" t="str">
        <x:v>P08</x:v>
      </x:c>
      <x:c r="J2620" s="11" t="n">
        <x:v>46309.56458333333</x:v>
      </x:c>
      <x:c r="K2620" s="15" t="n">
        <x:v>6</x:v>
      </x:c>
      <x:c r="L2620" s="15" t="n">
        <x:v>18</x:v>
      </x:c>
      <x:c r="M2620" s="13" t="n">
        <x:f>J2620+(K2620+L2620)/1440</x:f>
        <x:v>46309.58125</x:v>
      </x:c>
      <x:c r="N2620" s="13" t="n">
        <x:f>VLOOKUP(C2620,'MES orders'!$A$8:$H$127,5,FALSE)</x:f>
        <x:v>46309.666666666664</x:v>
      </x:c>
      <x:c r="O2620" s="16" t="n">
        <x:f>MAX(0,(M2620-N2620)*24)</x:f>
        <x:v>0</x:v>
      </x:c>
      <x:c r="P2620" s="9" t="str">
        <x:v>No</x:v>
      </x:c>
      <x:c r="Q2620" s="15" t="n">
        <x:v>24</x:v>
      </x:c>
      <x:c r="R2620" s="13" t="n">
        <x:f>J2620+Q2620/1440</x:f>
        <x:v>46309.58125</x:v>
      </x:c>
      <x:c r="S2620" s="2" t="str">
        <x:f>VLOOKUP(C2620,'MES orders'!$A$8:$H$127,6,FALSE)</x:f>
        <x:v>Normal</x:v>
      </x:c>
      <x:c r="T2620" s="9" t="str"/>
    </x:row>
    <x:row r="2621" ht="22" customHeight="1">
      <x:c r="A2621" s="2" t="str">
        <x:v>L00229-010</x:v>
      </x:c>
      <x:c r="B2621" s="2" t="str">
        <x:v>L00229</x:v>
      </x:c>
      <x:c r="C2621" s="2" t="str">
        <x:v>SO-26046</x:v>
      </x:c>
      <x:c r="D2621" s="2" t="str">
        <x:v>R-S-SS</x:v>
      </x:c>
      <x:c r="E2621" s="14" t="n">
        <x:v>25</x:v>
      </x:c>
      <x:c r="F2621" s="2" t="str">
        <x:v>CNC machining</x:v>
      </x:c>
      <x:c r="G2621" s="9" t="str">
        <x:v>CNC-04</x:v>
      </x:c>
      <x:c r="H2621" s="15" t="n">
        <x:v>80</x:v>
      </x:c>
      <x:c r="I2621" s="9" t="str">
        <x:v>P01</x:v>
      </x:c>
      <x:c r="J2621" s="11" t="n">
        <x:v>46309.56458333333</x:v>
      </x:c>
      <x:c r="K2621" s="15" t="n">
        <x:v>18</x:v>
      </x:c>
      <x:c r="L2621" s="15" t="n">
        <x:v>75</x:v>
      </x:c>
      <x:c r="M2621" s="13" t="n">
        <x:f>J2621+(K2621+L2621)/1440</x:f>
        <x:v>46309.629166666666</x:v>
      </x:c>
      <x:c r="N2621" s="13" t="n">
        <x:f>VLOOKUP(C2621,'MES orders'!$A$8:$H$127,5,FALSE)</x:f>
        <x:v>46309.666666666664</x:v>
      </x:c>
      <x:c r="O2621" s="16" t="n">
        <x:f>MAX(0,(M2621-N2621)*24)</x:f>
        <x:v>0</x:v>
      </x:c>
      <x:c r="P2621" s="9" t="str">
        <x:v>No</x:v>
      </x:c>
      <x:c r="Q2621" s="15" t="n">
        <x:v>18</x:v>
      </x:c>
      <x:c r="R2621" s="13" t="n">
        <x:f>J2621+Q2621/1440</x:f>
        <x:v>46309.57708333333</x:v>
      </x:c>
      <x:c r="S2621" s="2" t="str">
        <x:f>VLOOKUP(C2621,'MES orders'!$A$8:$H$127,6,FALSE)</x:f>
        <x:v>Normal</x:v>
      </x:c>
      <x:c r="T2621" s="9" t="str"/>
    </x:row>
    <x:row r="2622" ht="22" customHeight="1">
      <x:c r="A2622" s="2" t="str">
        <x:v>L00149-030</x:v>
      </x:c>
      <x:c r="B2622" s="2" t="str">
        <x:v>L00149</x:v>
      </x:c>
      <x:c r="C2622" s="2" t="str">
        <x:v>SO-26030</x:v>
      </x:c>
      <x:c r="D2622" s="2" t="str">
        <x:v>D-L-SS</x:v>
      </x:c>
      <x:c r="E2622" s="14" t="n">
        <x:v>20</x:v>
      </x:c>
      <x:c r="F2622" s="2" t="str">
        <x:v>Wash &amp; dry</x:v>
      </x:c>
      <x:c r="G2622" s="9" t="str">
        <x:v>WS-02</x:v>
      </x:c>
      <x:c r="H2622" s="15" t="n">
        <x:v>172</x:v>
      </x:c>
      <x:c r="I2622" s="9" t="str">
        <x:v>P04</x:v>
      </x:c>
      <x:c r="J2622" s="11" t="n">
        <x:v>46309.566666666666</x:v>
      </x:c>
      <x:c r="K2622" s="15" t="n">
        <x:v>12</x:v>
      </x:c>
      <x:c r="L2622" s="15" t="n">
        <x:v>9</x:v>
      </x:c>
      <x:c r="M2622" s="13" t="n">
        <x:f>J2622+(K2622+L2622)/1440</x:f>
        <x:v>46309.581249999996</x:v>
      </x:c>
      <x:c r="N2622" s="13" t="n">
        <x:f>VLOOKUP(C2622,'MES orders'!$A$8:$H$127,5,FALSE)</x:f>
        <x:v>46309.666666666664</x:v>
      </x:c>
      <x:c r="O2622" s="16" t="n">
        <x:f>MAX(0,(M2622-N2622)*24)</x:f>
        <x:v>0</x:v>
      </x:c>
      <x:c r="P2622" s="9" t="str">
        <x:v>No</x:v>
      </x:c>
      <x:c r="Q2622" s="15" t="n">
        <x:v>21</x:v>
      </x:c>
      <x:c r="R2622" s="13" t="n">
        <x:f>J2622+Q2622/1440</x:f>
        <x:v>46309.581249999996</x:v>
      </x:c>
      <x:c r="S2622" s="2" t="str">
        <x:f>VLOOKUP(C2622,'MES orders'!$A$8:$H$127,6,FALSE)</x:f>
        <x:v>Normal</x:v>
      </x:c>
      <x:c r="T2622" s="9" t="str"/>
    </x:row>
    <x:row r="2623" ht="22" customHeight="1">
      <x:c r="A2623" s="2" t="str">
        <x:v>L00188-020</x:v>
      </x:c>
      <x:c r="B2623" s="2" t="str">
        <x:v>L00188</x:v>
      </x:c>
      <x:c r="C2623" s="2" t="str">
        <x:v>SO-26038</x:v>
      </x:c>
      <x:c r="D2623" s="2" t="str">
        <x:v>R-C-SS</x:v>
      </x:c>
      <x:c r="E2623" s="14" t="n">
        <x:v>20</x:v>
      </x:c>
      <x:c r="F2623" s="2" t="str">
        <x:v>Deburr &amp; inspect</x:v>
      </x:c>
      <x:c r="G2623" s="9" t="str">
        <x:v>DB-01</x:v>
      </x:c>
      <x:c r="H2623" s="15" t="n">
        <x:v>248</x:v>
      </x:c>
      <x:c r="I2623" s="9" t="str">
        <x:v>P06</x:v>
      </x:c>
      <x:c r="J2623" s="11" t="n">
        <x:v>46309.572222222225</x:v>
      </x:c>
      <x:c r="K2623" s="15" t="n">
        <x:v>4</x:v>
      </x:c>
      <x:c r="L2623" s="15" t="n">
        <x:v>11</x:v>
      </x:c>
      <x:c r="M2623" s="13" t="n">
        <x:f>J2623+(K2623+L2623)/1440</x:f>
        <x:v>46309.58263888889</x:v>
      </x:c>
      <x:c r="N2623" s="13" t="n">
        <x:f>VLOOKUP(C2623,'MES orders'!$A$8:$H$127,5,FALSE)</x:f>
        <x:v>46309.666666666664</x:v>
      </x:c>
      <x:c r="O2623" s="16" t="n">
        <x:f>MAX(0,(M2623-N2623)*24)</x:f>
        <x:v>0</x:v>
      </x:c>
      <x:c r="P2623" s="9" t="str">
        <x:v>No</x:v>
      </x:c>
      <x:c r="Q2623" s="15" t="n">
        <x:v>15</x:v>
      </x:c>
      <x:c r="R2623" s="13" t="n">
        <x:f>J2623+Q2623/1440</x:f>
        <x:v>46309.58263888889</x:v>
      </x:c>
      <x:c r="S2623" s="2" t="str">
        <x:f>VLOOKUP(C2623,'MES orders'!$A$8:$H$127,6,FALSE)</x:f>
        <x:v>Normal</x:v>
      </x:c>
      <x:c r="T2623" s="9" t="str"/>
    </x:row>
    <x:row r="2624" ht="22" customHeight="1">
      <x:c r="A2624" s="2" t="str">
        <x:v>L00151-030</x:v>
      </x:c>
      <x:c r="B2624" s="2" t="str">
        <x:v>L00151</x:v>
      </x:c>
      <x:c r="C2624" s="2" t="str">
        <x:v>SO-26031</x:v>
      </x:c>
      <x:c r="D2624" s="2" t="str">
        <x:v>S-C-AL</x:v>
      </x:c>
      <x:c r="E2624" s="14" t="n">
        <x:v>15</x:v>
      </x:c>
      <x:c r="F2624" s="2" t="str">
        <x:v>Wash &amp; dry</x:v>
      </x:c>
      <x:c r="G2624" s="9" t="str">
        <x:v>WS-01</x:v>
      </x:c>
      <x:c r="H2624" s="15" t="n">
        <x:v>244</x:v>
      </x:c>
      <x:c r="I2624" s="9" t="str">
        <x:v>P03</x:v>
      </x:c>
      <x:c r="J2624" s="11" t="n">
        <x:v>46309.572222222225</x:v>
      </x:c>
      <x:c r="K2624" s="15" t="n">
        <x:v>12</x:v>
      </x:c>
      <x:c r="L2624" s="15" t="n">
        <x:v>4</x:v>
      </x:c>
      <x:c r="M2624" s="13" t="n">
        <x:f>J2624+(K2624+L2624)/1440</x:f>
        <x:v>46309.583333333336</x:v>
      </x:c>
      <x:c r="N2624" s="13" t="n">
        <x:f>VLOOKUP(C2624,'MES orders'!$A$8:$H$127,5,FALSE)</x:f>
        <x:v>46310.666666666664</x:v>
      </x:c>
      <x:c r="O2624" s="16" t="n">
        <x:f>MAX(0,(M2624-N2624)*24)</x:f>
        <x:v>0</x:v>
      </x:c>
      <x:c r="P2624" s="9" t="str">
        <x:v>No</x:v>
      </x:c>
      <x:c r="Q2624" s="15" t="n">
        <x:v>16</x:v>
      </x:c>
      <x:c r="R2624" s="13" t="n">
        <x:f>J2624+Q2624/1440</x:f>
        <x:v>46309.583333333336</x:v>
      </x:c>
      <x:c r="S2624" s="2" t="str">
        <x:f>VLOOKUP(C2624,'MES orders'!$A$8:$H$127,6,FALSE)</x:f>
        <x:v>Normal</x:v>
      </x:c>
      <x:c r="T2624" s="9" t="str"/>
    </x:row>
    <x:row r="2625" ht="22" customHeight="1">
      <x:c r="A2625" s="2" t="str">
        <x:v>L00034-020</x:v>
      </x:c>
      <x:c r="B2625" s="2" t="str">
        <x:v>L00034</x:v>
      </x:c>
      <x:c r="C2625" s="2" t="str">
        <x:v>SO-26007</x:v>
      </x:c>
      <x:c r="D2625" s="2" t="str">
        <x:v>R-C-AL</x:v>
      </x:c>
      <x:c r="E2625" s="14" t="n">
        <x:v>5</x:v>
      </x:c>
      <x:c r="F2625" s="2" t="str">
        <x:v>Deburr &amp; inspect</x:v>
      </x:c>
      <x:c r="G2625" s="9" t="str">
        <x:v>DB-02</x:v>
      </x:c>
      <x:c r="H2625" s="15" t="n">
        <x:v>172</x:v>
      </x:c>
      <x:c r="I2625" s="9" t="str">
        <x:v>P05</x:v>
      </x:c>
      <x:c r="J2625" s="11" t="n">
        <x:v>46309.57777777778</x:v>
      </x:c>
      <x:c r="K2625" s="15" t="n">
        <x:v>4</x:v>
      </x:c>
      <x:c r="L2625" s="15" t="n">
        <x:v>3</x:v>
      </x:c>
      <x:c r="M2625" s="13" t="n">
        <x:f>J2625+(K2625+L2625)/1440</x:f>
        <x:v>46309.58263888889</x:v>
      </x:c>
      <x:c r="N2625" s="13" t="n">
        <x:f>VLOOKUP(C2625,'MES orders'!$A$8:$H$127,5,FALSE)</x:f>
        <x:v>46310.666666666664</x:v>
      </x:c>
      <x:c r="O2625" s="16" t="n">
        <x:f>MAX(0,(M2625-N2625)*24)</x:f>
        <x:v>0</x:v>
      </x:c>
      <x:c r="P2625" s="9" t="str">
        <x:v>No</x:v>
      </x:c>
      <x:c r="Q2625" s="15" t="n">
        <x:v>7</x:v>
      </x:c>
      <x:c r="R2625" s="13" t="n">
        <x:f>J2625+Q2625/1440</x:f>
        <x:v>46309.58263888889</x:v>
      </x:c>
      <x:c r="S2625" s="2" t="str">
        <x:f>VLOOKUP(C2625,'MES orders'!$A$8:$H$127,6,FALSE)</x:f>
        <x:v>Normal</x:v>
      </x:c>
      <x:c r="T2625" s="9" t="str"/>
    </x:row>
    <x:row r="2626" ht="22" customHeight="1">
      <x:c r="A2626" s="2" t="str">
        <x:v>L00029-070</x:v>
      </x:c>
      <x:c r="B2626" s="2" t="str">
        <x:v>L00029</x:v>
      </x:c>
      <x:c r="C2626" s="2" t="str">
        <x:v>SO-26006</x:v>
      </x:c>
      <x:c r="D2626" s="2" t="str">
        <x:v>S-L-SS</x:v>
      </x:c>
      <x:c r="E2626" s="14" t="n">
        <x:v>10</x:v>
      </x:c>
      <x:c r="F2626" s="2" t="str">
        <x:v>Final assembly</x:v>
      </x:c>
      <x:c r="G2626" s="9" t="str">
        <x:v>AS-01</x:v>
      </x:c>
      <x:c r="H2626" s="15" t="n">
        <x:v>211</x:v>
      </x:c>
      <x:c r="I2626" s="9" t="str">
        <x:v>P17</x:v>
      </x:c>
      <x:c r="J2626" s="11" t="n">
        <x:v>46309.583333333336</x:v>
      </x:c>
      <x:c r="K2626" s="15" t="n">
        <x:v>5</x:v>
      </x:c>
      <x:c r="L2626" s="15" t="n">
        <x:v>11</x:v>
      </x:c>
      <x:c r="M2626" s="13" t="n">
        <x:f>J2626+(K2626+L2626)/1440</x:f>
        <x:v>46309.59444444445</x:v>
      </x:c>
      <x:c r="N2626" s="13" t="n">
        <x:f>VLOOKUP(C2626,'MES orders'!$A$8:$H$127,5,FALSE)</x:f>
        <x:v>46309.666666666664</x:v>
      </x:c>
      <x:c r="O2626" s="16" t="n">
        <x:f>MAX(0,(M2626-N2626)*24)</x:f>
        <x:v>0</x:v>
      </x:c>
      <x:c r="P2626" s="9" t="str">
        <x:v>No</x:v>
      </x:c>
      <x:c r="Q2626" s="15" t="n">
        <x:v>16</x:v>
      </x:c>
      <x:c r="R2626" s="13" t="n">
        <x:f>J2626+Q2626/1440</x:f>
        <x:v>46309.59444444445</x:v>
      </x:c>
      <x:c r="S2626" s="2" t="str">
        <x:f>VLOOKUP(C2626,'MES orders'!$A$8:$H$127,6,FALSE)</x:f>
        <x:v>Normal</x:v>
      </x:c>
      <x:c r="T2626" s="9" t="str"/>
    </x:row>
    <x:row r="2627" ht="22" customHeight="1">
      <x:c r="A2627" s="2" t="str">
        <x:v>L00147-040</x:v>
      </x:c>
      <x:c r="B2627" s="2" t="str">
        <x:v>L00147</x:v>
      </x:c>
      <x:c r="C2627" s="2" t="str">
        <x:v>SO-26030</x:v>
      </x:c>
      <x:c r="D2627" s="2" t="str">
        <x:v>D-L-SS</x:v>
      </x:c>
      <x:c r="E2627" s="14" t="n">
        <x:v>20</x:v>
      </x:c>
      <x:c r="F2627" s="2" t="str">
        <x:v>Mechanical assembly</x:v>
      </x:c>
      <x:c r="G2627" s="9" t="str">
        <x:v>AS-02</x:v>
      </x:c>
      <x:c r="H2627" s="15" t="n">
        <x:v>169</x:v>
      </x:c>
      <x:c r="I2627" s="9" t="str">
        <x:v>P16</x:v>
      </x:c>
      <x:c r="J2627" s="11" t="n">
        <x:v>46309.583333333336</x:v>
      </x:c>
      <x:c r="K2627" s="15" t="n">
        <x:v>8</x:v>
      </x:c>
      <x:c r="L2627" s="15" t="n">
        <x:v>49</x:v>
      </x:c>
      <x:c r="M2627" s="13" t="n">
        <x:f>J2627+(K2627+L2627)/1440</x:f>
        <x:v>46309.62291666667</x:v>
      </x:c>
      <x:c r="N2627" s="13" t="n">
        <x:f>VLOOKUP(C2627,'MES orders'!$A$8:$H$127,5,FALSE)</x:f>
        <x:v>46309.666666666664</x:v>
      </x:c>
      <x:c r="O2627" s="16" t="n">
        <x:f>MAX(0,(M2627-N2627)*24)</x:f>
        <x:v>0</x:v>
      </x:c>
      <x:c r="P2627" s="9" t="str">
        <x:v>No</x:v>
      </x:c>
      <x:c r="Q2627" s="15" t="n">
        <x:v>57</x:v>
      </x:c>
      <x:c r="R2627" s="13" t="n">
        <x:f>J2627+Q2627/1440</x:f>
        <x:v>46309.62291666667</x:v>
      </x:c>
      <x:c r="S2627" s="2" t="str">
        <x:f>VLOOKUP(C2627,'MES orders'!$A$8:$H$127,6,FALSE)</x:f>
        <x:v>Normal</x:v>
      </x:c>
      <x:c r="T2627" s="9" t="str"/>
    </x:row>
    <x:row r="2628" ht="22" customHeight="1">
      <x:c r="A2628" s="2" t="str">
        <x:v>L00148-040</x:v>
      </x:c>
      <x:c r="B2628" s="2" t="str">
        <x:v>L00148</x:v>
      </x:c>
      <x:c r="C2628" s="2" t="str">
        <x:v>SO-26030</x:v>
      </x:c>
      <x:c r="D2628" s="2" t="str">
        <x:v>D-L-SS</x:v>
      </x:c>
      <x:c r="E2628" s="14" t="n">
        <x:v>20</x:v>
      </x:c>
      <x:c r="F2628" s="2" t="str">
        <x:v>Mechanical assembly</x:v>
      </x:c>
      <x:c r="G2628" s="9" t="str">
        <x:v>AS-03</x:v>
      </x:c>
      <x:c r="H2628" s="15" t="n">
        <x:v>140</x:v>
      </x:c>
      <x:c r="I2628" s="9" t="str">
        <x:v>P18</x:v>
      </x:c>
      <x:c r="J2628" s="11" t="n">
        <x:v>46309.583333333336</x:v>
      </x:c>
      <x:c r="K2628" s="15" t="n">
        <x:v>8</x:v>
      </x:c>
      <x:c r="L2628" s="15" t="n">
        <x:v>49</x:v>
      </x:c>
      <x:c r="M2628" s="13" t="n">
        <x:f>J2628+(K2628+L2628)/1440</x:f>
        <x:v>46309.62291666667</x:v>
      </x:c>
      <x:c r="N2628" s="13" t="n">
        <x:f>VLOOKUP(C2628,'MES orders'!$A$8:$H$127,5,FALSE)</x:f>
        <x:v>46309.666666666664</x:v>
      </x:c>
      <x:c r="O2628" s="16" t="n">
        <x:f>MAX(0,(M2628-N2628)*24)</x:f>
        <x:v>0</x:v>
      </x:c>
      <x:c r="P2628" s="9" t="str">
        <x:v>No</x:v>
      </x:c>
      <x:c r="Q2628" s="15" t="n">
        <x:v>57</x:v>
      </x:c>
      <x:c r="R2628" s="13" t="n">
        <x:f>J2628+Q2628/1440</x:f>
        <x:v>46309.62291666667</x:v>
      </x:c>
      <x:c r="S2628" s="2" t="str">
        <x:f>VLOOKUP(C2628,'MES orders'!$A$8:$H$127,6,FALSE)</x:f>
        <x:v>Normal</x:v>
      </x:c>
      <x:c r="T2628" s="9" t="str"/>
    </x:row>
    <x:row r="2629" ht="22" customHeight="1">
      <x:c r="A2629" s="2" t="str">
        <x:v>L00151-040</x:v>
      </x:c>
      <x:c r="B2629" s="2" t="str">
        <x:v>L00151</x:v>
      </x:c>
      <x:c r="C2629" s="2" t="str">
        <x:v>SO-26031</x:v>
      </x:c>
      <x:c r="D2629" s="2" t="str">
        <x:v>S-C-AL</x:v>
      </x:c>
      <x:c r="E2629" s="14" t="n">
        <x:v>15</x:v>
      </x:c>
      <x:c r="F2629" s="2" t="str">
        <x:v>Mechanical preassembly</x:v>
      </x:c>
      <x:c r="G2629" s="9" t="str">
        <x:v>AS-06</x:v>
      </x:c>
      <x:c r="H2629" s="15" t="n">
        <x:v>20</x:v>
      </x:c>
      <x:c r="I2629" s="9" t="str">
        <x:v>P20</x:v>
      </x:c>
      <x:c r="J2629" s="11" t="n">
        <x:v>46309.583333333336</x:v>
      </x:c>
      <x:c r="K2629" s="15" t="n">
        <x:v>6</x:v>
      </x:c>
      <x:c r="L2629" s="15" t="n">
        <x:v>13</x:v>
      </x:c>
      <x:c r="M2629" s="13" t="n">
        <x:f>J2629+(K2629+L2629)/1440</x:f>
        <x:v>46309.59652777778</x:v>
      </x:c>
      <x:c r="N2629" s="13" t="n">
        <x:f>VLOOKUP(C2629,'MES orders'!$A$8:$H$127,5,FALSE)</x:f>
        <x:v>46310.666666666664</x:v>
      </x:c>
      <x:c r="O2629" s="16" t="n">
        <x:f>MAX(0,(M2629-N2629)*24)</x:f>
        <x:v>0</x:v>
      </x:c>
      <x:c r="P2629" s="9" t="str">
        <x:v>No</x:v>
      </x:c>
      <x:c r="Q2629" s="15" t="n">
        <x:v>19</x:v>
      </x:c>
      <x:c r="R2629" s="13" t="n">
        <x:f>J2629+Q2629/1440</x:f>
        <x:v>46309.59652777778</x:v>
      </x:c>
      <x:c r="S2629" s="2" t="str">
        <x:f>VLOOKUP(C2629,'MES orders'!$A$8:$H$127,6,FALSE)</x:f>
        <x:v>Normal</x:v>
      </x:c>
      <x:c r="T2629" s="9" t="str"/>
    </x:row>
    <x:row r="2630" ht="22" customHeight="1">
      <x:c r="A2630" s="2" t="str">
        <x:v>L00389-060</x:v>
      </x:c>
      <x:c r="B2630" s="2" t="str">
        <x:v>L00389</x:v>
      </x:c>
      <x:c r="C2630" s="2" t="str">
        <x:v>SO-26078</x:v>
      </x:c>
      <x:c r="D2630" s="2" t="str">
        <x:v>S-L-SS</x:v>
      </x:c>
      <x:c r="E2630" s="14" t="n">
        <x:v>20</x:v>
      </x:c>
      <x:c r="F2630" s="2" t="str">
        <x:v>Sensor calibration</x:v>
      </x:c>
      <x:c r="G2630" s="9" t="str">
        <x:v>CAL-01</x:v>
      </x:c>
      <x:c r="H2630" s="15" t="n">
        <x:v>134</x:v>
      </x:c>
      <x:c r="I2630" s="9" t="str">
        <x:v>P21</x:v>
      </x:c>
      <x:c r="J2630" s="11" t="n">
        <x:v>46309.583333333336</x:v>
      </x:c>
      <x:c r="K2630" s="15" t="n">
        <x:v>10</x:v>
      </x:c>
      <x:c r="L2630" s="15" t="n">
        <x:v>35</x:v>
      </x:c>
      <x:c r="M2630" s="13" t="n">
        <x:f>J2630+(K2630+L2630)/1440</x:f>
        <x:v>46309.614583333336</x:v>
      </x:c>
      <x:c r="N2630" s="13" t="n">
        <x:f>VLOOKUP(C2630,'MES orders'!$A$8:$H$127,5,FALSE)</x:f>
        <x:v>46309.666666666664</x:v>
      </x:c>
      <x:c r="O2630" s="16" t="n">
        <x:f>MAX(0,(M2630-N2630)*24)</x:f>
        <x:v>0</x:v>
      </x:c>
      <x:c r="P2630" s="9" t="str">
        <x:v>No</x:v>
      </x:c>
      <x:c r="Q2630" s="15" t="n">
        <x:v>45</x:v>
      </x:c>
      <x:c r="R2630" s="13" t="n">
        <x:f>J2630+Q2630/1440</x:f>
        <x:v>46309.614583333336</x:v>
      </x:c>
      <x:c r="S2630" s="2" t="str">
        <x:f>VLOOKUP(C2630,'MES orders'!$A$8:$H$127,6,FALSE)</x:f>
        <x:v>High</x:v>
      </x:c>
      <x:c r="T2630" s="9" t="str"/>
    </x:row>
    <x:row r="2631" ht="22" customHeight="1">
      <x:c r="A2631" s="2" t="str">
        <x:v>L00230-010</x:v>
      </x:c>
      <x:c r="B2631" s="2" t="str">
        <x:v>L00230</x:v>
      </x:c>
      <x:c r="C2631" s="2" t="str">
        <x:v>SO-26046</x:v>
      </x:c>
      <x:c r="D2631" s="2" t="str">
        <x:v>R-S-SS</x:v>
      </x:c>
      <x:c r="E2631" s="14" t="n">
        <x:v>25</x:v>
      </x:c>
      <x:c r="F2631" s="2" t="str">
        <x:v>CNC machining</x:v>
      </x:c>
      <x:c r="G2631" s="9" t="str">
        <x:v>CNC-06</x:v>
      </x:c>
      <x:c r="H2631" s="15" t="n">
        <x:v>67</x:v>
      </x:c>
      <x:c r="I2631" s="9" t="str">
        <x:v>P15</x:v>
      </x:c>
      <x:c r="J2631" s="11" t="n">
        <x:v>46309.583333333336</x:v>
      </x:c>
      <x:c r="K2631" s="15" t="n">
        <x:v>18</x:v>
      </x:c>
      <x:c r="L2631" s="15" t="n">
        <x:v>75</x:v>
      </x:c>
      <x:c r="M2631" s="13" t="n">
        <x:f>J2631+(K2631+L2631)/1440</x:f>
        <x:v>46309.64791666667</x:v>
      </x:c>
      <x:c r="N2631" s="13" t="n">
        <x:f>VLOOKUP(C2631,'MES orders'!$A$8:$H$127,5,FALSE)</x:f>
        <x:v>46309.666666666664</x:v>
      </x:c>
      <x:c r="O2631" s="16" t="n">
        <x:f>MAX(0,(M2631-N2631)*24)</x:f>
        <x:v>0</x:v>
      </x:c>
      <x:c r="P2631" s="9" t="str">
        <x:v>No</x:v>
      </x:c>
      <x:c r="Q2631" s="15" t="n">
        <x:v>18</x:v>
      </x:c>
      <x:c r="R2631" s="13" t="n">
        <x:f>J2631+Q2631/1440</x:f>
        <x:v>46309.59583333333</x:v>
      </x:c>
      <x:c r="S2631" s="2" t="str">
        <x:f>VLOOKUP(C2631,'MES orders'!$A$8:$H$127,6,FALSE)</x:f>
        <x:v>Normal</x:v>
      </x:c>
      <x:c r="T2631" s="9" t="str"/>
    </x:row>
    <x:row r="2632" ht="22" customHeight="1">
      <x:c r="A2632" s="2" t="str">
        <x:v>L00152-020</x:v>
      </x:c>
      <x:c r="B2632" s="2" t="str">
        <x:v>L00152</x:v>
      </x:c>
      <x:c r="C2632" s="2" t="str">
        <x:v>SO-26031</x:v>
      </x:c>
      <x:c r="D2632" s="2" t="str">
        <x:v>S-C-AL</x:v>
      </x:c>
      <x:c r="E2632" s="14" t="n">
        <x:v>15</x:v>
      </x:c>
      <x:c r="F2632" s="2" t="str">
        <x:v>Deburr &amp; inspect</x:v>
      </x:c>
      <x:c r="G2632" s="9" t="str">
        <x:v>DB-01</x:v>
      </x:c>
      <x:c r="H2632" s="15" t="n">
        <x:v>249</x:v>
      </x:c>
      <x:c r="I2632" s="9" t="str">
        <x:v>P24</x:v>
      </x:c>
      <x:c r="J2632" s="11" t="n">
        <x:v>46309.583333333336</x:v>
      </x:c>
      <x:c r="K2632" s="15" t="n">
        <x:v>4</x:v>
      </x:c>
      <x:c r="L2632" s="15" t="n">
        <x:v>8</x:v>
      </x:c>
      <x:c r="M2632" s="13" t="n">
        <x:f>J2632+(K2632+L2632)/1440</x:f>
        <x:v>46309.59166666667</x:v>
      </x:c>
      <x:c r="N2632" s="13" t="n">
        <x:f>VLOOKUP(C2632,'MES orders'!$A$8:$H$127,5,FALSE)</x:f>
        <x:v>46310.666666666664</x:v>
      </x:c>
      <x:c r="O2632" s="16" t="n">
        <x:f>MAX(0,(M2632-N2632)*24)</x:f>
        <x:v>0</x:v>
      </x:c>
      <x:c r="P2632" s="9" t="str">
        <x:v>No</x:v>
      </x:c>
      <x:c r="Q2632" s="15" t="n">
        <x:v>12</x:v>
      </x:c>
      <x:c r="R2632" s="13" t="n">
        <x:f>J2632+Q2632/1440</x:f>
        <x:v>46309.59166666667</x:v>
      </x:c>
      <x:c r="S2632" s="2" t="str">
        <x:f>VLOOKUP(C2632,'MES orders'!$A$8:$H$127,6,FALSE)</x:f>
        <x:v>Normal</x:v>
      </x:c>
      <x:c r="T2632" s="9" t="str"/>
    </x:row>
    <x:row r="2633" ht="22" customHeight="1">
      <x:c r="A2633" s="2" t="str">
        <x:v>L00226-020</x:v>
      </x:c>
      <x:c r="B2633" s="2" t="str">
        <x:v>L00226</x:v>
      </x:c>
      <x:c r="C2633" s="2" t="str">
        <x:v>SO-26046</x:v>
      </x:c>
      <x:c r="D2633" s="2" t="str">
        <x:v>R-S-SS</x:v>
      </x:c>
      <x:c r="E2633" s="14" t="n">
        <x:v>25</x:v>
      </x:c>
      <x:c r="F2633" s="2" t="str">
        <x:v>Deburr &amp; inspect</x:v>
      </x:c>
      <x:c r="G2633" s="9" t="str">
        <x:v>DB-02</x:v>
      </x:c>
      <x:c r="H2633" s="15" t="n">
        <x:v>173</x:v>
      </x:c>
      <x:c r="I2633" s="9" t="str">
        <x:v>P14</x:v>
      </x:c>
      <x:c r="J2633" s="11" t="n">
        <x:v>46309.583333333336</x:v>
      </x:c>
      <x:c r="K2633" s="15" t="n">
        <x:v>4</x:v>
      </x:c>
      <x:c r="L2633" s="15" t="n">
        <x:v>18</x:v>
      </x:c>
      <x:c r="M2633" s="13" t="n">
        <x:f>J2633+(K2633+L2633)/1440</x:f>
        <x:v>46309.59861111111</x:v>
      </x:c>
      <x:c r="N2633" s="13" t="n">
        <x:f>VLOOKUP(C2633,'MES orders'!$A$8:$H$127,5,FALSE)</x:f>
        <x:v>46309.666666666664</x:v>
      </x:c>
      <x:c r="O2633" s="16" t="n">
        <x:f>MAX(0,(M2633-N2633)*24)</x:f>
        <x:v>0</x:v>
      </x:c>
      <x:c r="P2633" s="9" t="str">
        <x:v>No</x:v>
      </x:c>
      <x:c r="Q2633" s="15" t="n">
        <x:v>22</x:v>
      </x:c>
      <x:c r="R2633" s="13" t="n">
        <x:f>J2633+Q2633/1440</x:f>
        <x:v>46309.59861111111</x:v>
      </x:c>
      <x:c r="S2633" s="2" t="str">
        <x:f>VLOOKUP(C2633,'MES orders'!$A$8:$H$127,6,FALSE)</x:f>
        <x:v>Normal</x:v>
      </x:c>
      <x:c r="T2633" s="9" t="str"/>
    </x:row>
    <x:row r="2634" ht="22" customHeight="1">
      <x:c r="A2634" s="2" t="str">
        <x:v>L00388-080</x:v>
      </x:c>
      <x:c r="B2634" s="2" t="str">
        <x:v>L00388</x:v>
      </x:c>
      <x:c r="C2634" s="2" t="str">
        <x:v>SO-26078</x:v>
      </x:c>
      <x:c r="D2634" s="2" t="str">
        <x:v>S-L-SS</x:v>
      </x:c>
      <x:c r="E2634" s="14" t="n">
        <x:v>20</x:v>
      </x:c>
      <x:c r="F2634" s="2" t="str">
        <x:v>Final leak / function test</x:v>
      </x:c>
      <x:c r="G2634" s="9" t="str">
        <x:v>QA-02</x:v>
      </x:c>
      <x:c r="H2634" s="15" t="n">
        <x:v>192</x:v>
      </x:c>
      <x:c r="I2634" s="9" t="str">
        <x:v>P23</x:v>
      </x:c>
      <x:c r="J2634" s="11" t="n">
        <x:v>46309.583333333336</x:v>
      </x:c>
      <x:c r="K2634" s="15" t="n">
        <x:v>10</x:v>
      </x:c>
      <x:c r="L2634" s="15" t="n">
        <x:v>24</x:v>
      </x:c>
      <x:c r="M2634" s="13" t="n">
        <x:f>J2634+(K2634+L2634)/1440</x:f>
        <x:v>46309.606944444444</x:v>
      </x:c>
      <x:c r="N2634" s="13" t="n">
        <x:f>VLOOKUP(C2634,'MES orders'!$A$8:$H$127,5,FALSE)</x:f>
        <x:v>46309.666666666664</x:v>
      </x:c>
      <x:c r="O2634" s="16" t="n">
        <x:f>MAX(0,(M2634-N2634)*24)</x:f>
        <x:v>0</x:v>
      </x:c>
      <x:c r="P2634" s="9" t="str">
        <x:v>No</x:v>
      </x:c>
      <x:c r="Q2634" s="15" t="n">
        <x:v>34</x:v>
      </x:c>
      <x:c r="R2634" s="13" t="n">
        <x:f>J2634+Q2634/1440</x:f>
        <x:v>46309.606944444444</x:v>
      </x:c>
      <x:c r="S2634" s="2" t="str">
        <x:f>VLOOKUP(C2634,'MES orders'!$A$8:$H$127,6,FALSE)</x:f>
        <x:v>High</x:v>
      </x:c>
      <x:c r="T2634" s="9" t="str"/>
    </x:row>
    <x:row r="2635" ht="22" customHeight="1">
      <x:c r="A2635" s="2" t="str">
        <x:v>L00190-030</x:v>
      </x:c>
      <x:c r="B2635" s="2" t="str">
        <x:v>L00190</x:v>
      </x:c>
      <x:c r="C2635" s="2" t="str">
        <x:v>SO-26038</x:v>
      </x:c>
      <x:c r="D2635" s="2" t="str">
        <x:v>R-C-SS</x:v>
      </x:c>
      <x:c r="E2635" s="14" t="n">
        <x:v>20</x:v>
      </x:c>
      <x:c r="F2635" s="2" t="str">
        <x:v>Wash &amp; dry</x:v>
      </x:c>
      <x:c r="G2635" s="9" t="str">
        <x:v>WS-01</x:v>
      </x:c>
      <x:c r="H2635" s="15" t="n">
        <x:v>245</x:v>
      </x:c>
      <x:c r="I2635" s="9" t="str">
        <x:v>P13</x:v>
      </x:c>
      <x:c r="J2635" s="11" t="n">
        <x:v>46309.583333333336</x:v>
      </x:c>
      <x:c r="K2635" s="15" t="n">
        <x:v>12</x:v>
      </x:c>
      <x:c r="L2635" s="15" t="n">
        <x:v>6</x:v>
      </x:c>
      <x:c r="M2635" s="13" t="n">
        <x:f>J2635+(K2635+L2635)/1440</x:f>
        <x:v>46309.59583333333</x:v>
      </x:c>
      <x:c r="N2635" s="13" t="n">
        <x:f>VLOOKUP(C2635,'MES orders'!$A$8:$H$127,5,FALSE)</x:f>
        <x:v>46309.666666666664</x:v>
      </x:c>
      <x:c r="O2635" s="16" t="n">
        <x:f>MAX(0,(M2635-N2635)*24)</x:f>
        <x:v>0</x:v>
      </x:c>
      <x:c r="P2635" s="9" t="str">
        <x:v>No</x:v>
      </x:c>
      <x:c r="Q2635" s="15" t="n">
        <x:v>18</x:v>
      </x:c>
      <x:c r="R2635" s="13" t="n">
        <x:f>J2635+Q2635/1440</x:f>
        <x:v>46309.59583333333</x:v>
      </x:c>
      <x:c r="S2635" s="2" t="str">
        <x:f>VLOOKUP(C2635,'MES orders'!$A$8:$H$127,6,FALSE)</x:f>
        <x:v>Normal</x:v>
      </x:c>
      <x:c r="T2635" s="9" t="str"/>
    </x:row>
    <x:row r="2636" ht="22" customHeight="1">
      <x:c r="A2636" s="2" t="str">
        <x:v>L00034-030</x:v>
      </x:c>
      <x:c r="B2636" s="2" t="str">
        <x:v>L00034</x:v>
      </x:c>
      <x:c r="C2636" s="2" t="str">
        <x:v>SO-26007</x:v>
      </x:c>
      <x:c r="D2636" s="2" t="str">
        <x:v>R-C-AL</x:v>
      </x:c>
      <x:c r="E2636" s="14" t="n">
        <x:v>5</x:v>
      </x:c>
      <x:c r="F2636" s="2" t="str">
        <x:v>Wash &amp; dry</x:v>
      </x:c>
      <x:c r="G2636" s="9" t="str">
        <x:v>WS-02</x:v>
      </x:c>
      <x:c r="H2636" s="15" t="n">
        <x:v>173</x:v>
      </x:c>
      <x:c r="I2636" s="9" t="str">
        <x:v>P19</x:v>
      </x:c>
      <x:c r="J2636" s="11" t="n">
        <x:v>46309.583333333336</x:v>
      </x:c>
      <x:c r="K2636" s="15" t="n">
        <x:v>12</x:v>
      </x:c>
      <x:c r="L2636" s="15" t="n">
        <x:v>1</x:v>
      </x:c>
      <x:c r="M2636" s="13" t="n">
        <x:f>J2636+(K2636+L2636)/1440</x:f>
        <x:v>46309.592361111114</x:v>
      </x:c>
      <x:c r="N2636" s="13" t="n">
        <x:f>VLOOKUP(C2636,'MES orders'!$A$8:$H$127,5,FALSE)</x:f>
        <x:v>46310.666666666664</x:v>
      </x:c>
      <x:c r="O2636" s="16" t="n">
        <x:f>MAX(0,(M2636-N2636)*24)</x:f>
        <x:v>0</x:v>
      </x:c>
      <x:c r="P2636" s="9" t="str">
        <x:v>No</x:v>
      </x:c>
      <x:c r="Q2636" s="15" t="n">
        <x:v>13</x:v>
      </x:c>
      <x:c r="R2636" s="13" t="n">
        <x:f>J2636+Q2636/1440</x:f>
        <x:v>46309.592361111114</x:v>
      </x:c>
      <x:c r="S2636" s="2" t="str">
        <x:f>VLOOKUP(C2636,'MES orders'!$A$8:$H$127,6,FALSE)</x:f>
        <x:v>Normal</x:v>
      </x:c>
      <x:c r="T2636" s="9" t="str"/>
    </x:row>
    <x:row r="2637" ht="22" customHeight="1">
      <x:c r="A2637" s="2" t="str">
        <x:v>L00034-040</x:v>
      </x:c>
      <x:c r="B2637" s="2" t="str">
        <x:v>L00034</x:v>
      </x:c>
      <x:c r="C2637" s="2" t="str">
        <x:v>SO-26007</x:v>
      </x:c>
      <x:c r="D2637" s="2" t="str">
        <x:v>R-C-AL</x:v>
      </x:c>
      <x:c r="E2637" s="14" t="n">
        <x:v>5</x:v>
      </x:c>
      <x:c r="F2637" s="2" t="str">
        <x:v>Mechanical assembly</x:v>
      </x:c>
      <x:c r="G2637" s="9" t="str">
        <x:v>AS-05</x:v>
      </x:c>
      <x:c r="H2637" s="15" t="n">
        <x:v>50</x:v>
      </x:c>
      <x:c r="I2637" s="9" t="str">
        <x:v>P19</x:v>
      </x:c>
      <x:c r="J2637" s="11" t="n">
        <x:v>46309.592361111114</x:v>
      </x:c>
      <x:c r="K2637" s="15" t="n">
        <x:v>8</x:v>
      </x:c>
      <x:c r="L2637" s="15" t="n">
        <x:v>7</x:v>
      </x:c>
      <x:c r="M2637" s="13" t="n">
        <x:f>J2637+(K2637+L2637)/1440</x:f>
        <x:v>46309.60277777778</x:v>
      </x:c>
      <x:c r="N2637" s="13" t="n">
        <x:f>VLOOKUP(C2637,'MES orders'!$A$8:$H$127,5,FALSE)</x:f>
        <x:v>46310.666666666664</x:v>
      </x:c>
      <x:c r="O2637" s="16" t="n">
        <x:f>MAX(0,(M2637-N2637)*24)</x:f>
        <x:v>0</x:v>
      </x:c>
      <x:c r="P2637" s="9" t="str">
        <x:v>No</x:v>
      </x:c>
      <x:c r="Q2637" s="15" t="n">
        <x:v>15</x:v>
      </x:c>
      <x:c r="R2637" s="13" t="n">
        <x:f>J2637+Q2637/1440</x:f>
        <x:v>46309.60277777778</x:v>
      </x:c>
      <x:c r="S2637" s="2" t="str">
        <x:f>VLOOKUP(C2637,'MES orders'!$A$8:$H$127,6,FALSE)</x:f>
        <x:v>Normal</x:v>
      </x:c>
      <x:c r="T2637" s="9" t="str"/>
    </x:row>
    <x:row r="2638" ht="22" customHeight="1">
      <x:c r="A2638" s="2" t="str">
        <x:v>L00150-020</x:v>
      </x:c>
      <x:c r="B2638" s="2" t="str">
        <x:v>L00150</x:v>
      </x:c>
      <x:c r="C2638" s="2" t="str">
        <x:v>SO-26030</x:v>
      </x:c>
      <x:c r="D2638" s="2" t="str">
        <x:v>D-L-SS</x:v>
      </x:c>
      <x:c r="E2638" s="14" t="n">
        <x:v>20</x:v>
      </x:c>
      <x:c r="F2638" s="2" t="str">
        <x:v>Deburr &amp; inspect</x:v>
      </x:c>
      <x:c r="G2638" s="9" t="str">
        <x:v>DB-01</x:v>
      </x:c>
      <x:c r="H2638" s="15" t="n">
        <x:v>250</x:v>
      </x:c>
      <x:c r="I2638" s="9" t="str">
        <x:v>P17</x:v>
      </x:c>
      <x:c r="J2638" s="11" t="n">
        <x:v>46309.59444444445</x:v>
      </x:c>
      <x:c r="K2638" s="15" t="n">
        <x:v>4</x:v>
      </x:c>
      <x:c r="L2638" s="15" t="n">
        <x:v>19</x:v>
      </x:c>
      <x:c r="M2638" s="13" t="n">
        <x:f>J2638+(K2638+L2638)/1440</x:f>
        <x:v>46309.61041666667</x:v>
      </x:c>
      <x:c r="N2638" s="13" t="n">
        <x:f>VLOOKUP(C2638,'MES orders'!$A$8:$H$127,5,FALSE)</x:f>
        <x:v>46309.666666666664</x:v>
      </x:c>
      <x:c r="O2638" s="16" t="n">
        <x:f>MAX(0,(M2638-N2638)*24)</x:f>
        <x:v>0</x:v>
      </x:c>
      <x:c r="P2638" s="9" t="str">
        <x:v>No</x:v>
      </x:c>
      <x:c r="Q2638" s="15" t="n">
        <x:v>23</x:v>
      </x:c>
      <x:c r="R2638" s="13" t="n">
        <x:f>J2638+Q2638/1440</x:f>
        <x:v>46309.61041666667</x:v>
      </x:c>
      <x:c r="S2638" s="2" t="str">
        <x:f>VLOOKUP(C2638,'MES orders'!$A$8:$H$127,6,FALSE)</x:f>
        <x:v>Normal</x:v>
      </x:c>
      <x:c r="T2638" s="9" t="str"/>
    </x:row>
    <x:row r="2639" ht="22" customHeight="1">
      <x:c r="A2639" s="2" t="str">
        <x:v>L00029-080</x:v>
      </x:c>
      <x:c r="B2639" s="2" t="str">
        <x:v>L00029</x:v>
      </x:c>
      <x:c r="C2639" s="2" t="str">
        <x:v>SO-26006</x:v>
      </x:c>
      <x:c r="D2639" s="2" t="str">
        <x:v>S-L-SS</x:v>
      </x:c>
      <x:c r="E2639" s="14" t="n">
        <x:v>10</x:v>
      </x:c>
      <x:c r="F2639" s="2" t="str">
        <x:v>Final leak / function test</x:v>
      </x:c>
      <x:c r="G2639" s="9" t="str">
        <x:v>QA-03</x:v>
      </x:c>
      <x:c r="H2639" s="15" t="n">
        <x:v>114</x:v>
      </x:c>
      <x:c r="I2639" s="9" t="str">
        <x:v>P24</x:v>
      </x:c>
      <x:c r="J2639" s="11" t="n">
        <x:v>46309.59444444445</x:v>
      </x:c>
      <x:c r="K2639" s="15" t="n">
        <x:v>10</x:v>
      </x:c>
      <x:c r="L2639" s="15" t="n">
        <x:v>12</x:v>
      </x:c>
      <x:c r="M2639" s="13" t="n">
        <x:f>J2639+(K2639+L2639)/1440</x:f>
        <x:v>46309.60972222222</x:v>
      </x:c>
      <x:c r="N2639" s="13" t="n">
        <x:f>VLOOKUP(C2639,'MES orders'!$A$8:$H$127,5,FALSE)</x:f>
        <x:v>46309.666666666664</x:v>
      </x:c>
      <x:c r="O2639" s="16" t="n">
        <x:f>MAX(0,(M2639-N2639)*24)</x:f>
        <x:v>0</x:v>
      </x:c>
      <x:c r="P2639" s="9" t="str">
        <x:v>No</x:v>
      </x:c>
      <x:c r="Q2639" s="15" t="n">
        <x:v>22</x:v>
      </x:c>
      <x:c r="R2639" s="13" t="n">
        <x:f>J2639+Q2639/1440</x:f>
        <x:v>46309.60972222222</x:v>
      </x:c>
      <x:c r="S2639" s="2" t="str">
        <x:f>VLOOKUP(C2639,'MES orders'!$A$8:$H$127,6,FALSE)</x:f>
        <x:v>Normal</x:v>
      </x:c>
      <x:c r="T2639" s="9" t="str"/>
    </x:row>
    <x:row r="2640" ht="22" customHeight="1">
      <x:c r="A2640" s="2" t="str">
        <x:v>L00190-040</x:v>
      </x:c>
      <x:c r="B2640" s="2" t="str">
        <x:v>L00190</x:v>
      </x:c>
      <x:c r="C2640" s="2" t="str">
        <x:v>SO-26038</x:v>
      </x:c>
      <x:c r="D2640" s="2" t="str">
        <x:v>R-C-SS</x:v>
      </x:c>
      <x:c r="E2640" s="14" t="n">
        <x:v>20</x:v>
      </x:c>
      <x:c r="F2640" s="2" t="str">
        <x:v>Mechanical assembly</x:v>
      </x:c>
      <x:c r="G2640" s="9" t="str">
        <x:v>AS-04</x:v>
      </x:c>
      <x:c r="H2640" s="15" t="n">
        <x:v>95</x:v>
      </x:c>
      <x:c r="I2640" s="9" t="str">
        <x:v>P13</x:v>
      </x:c>
      <x:c r="J2640" s="11" t="n">
        <x:v>46309.59583333333</x:v>
      </x:c>
      <x:c r="K2640" s="15" t="n">
        <x:v>8</x:v>
      </x:c>
      <x:c r="L2640" s="15" t="n">
        <x:v>29</x:v>
      </x:c>
      <x:c r="M2640" s="13" t="n">
        <x:f>J2640+(K2640+L2640)/1440</x:f>
        <x:v>46309.621527777774</x:v>
      </x:c>
      <x:c r="N2640" s="13" t="n">
        <x:f>VLOOKUP(C2640,'MES orders'!$A$8:$H$127,5,FALSE)</x:f>
        <x:v>46309.666666666664</x:v>
      </x:c>
      <x:c r="O2640" s="16" t="n">
        <x:f>MAX(0,(M2640-N2640)*24)</x:f>
        <x:v>0</x:v>
      </x:c>
      <x:c r="P2640" s="9" t="str">
        <x:v>No</x:v>
      </x:c>
      <x:c r="Q2640" s="15" t="n">
        <x:v>37</x:v>
      </x:c>
      <x:c r="R2640" s="13" t="n">
        <x:f>J2640+Q2640/1440</x:f>
        <x:v>46309.621527777774</x:v>
      </x:c>
      <x:c r="S2640" s="2" t="str">
        <x:f>VLOOKUP(C2640,'MES orders'!$A$8:$H$127,6,FALSE)</x:f>
        <x:v>Normal</x:v>
      </x:c>
      <x:c r="T2640" s="9" t="str"/>
    </x:row>
    <x:row r="2641" ht="22" customHeight="1">
      <x:c r="A2641" s="2" t="str">
        <x:v>L00151-050</x:v>
      </x:c>
      <x:c r="B2641" s="2" t="str">
        <x:v>L00151</x:v>
      </x:c>
      <x:c r="C2641" s="2" t="str">
        <x:v>SO-26031</x:v>
      </x:c>
      <x:c r="D2641" s="2" t="str">
        <x:v>S-C-AL</x:v>
      </x:c>
      <x:c r="E2641" s="14" t="n">
        <x:v>15</x:v>
      </x:c>
      <x:c r="F2641" s="2" t="str">
        <x:v>Sensor installation</x:v>
      </x:c>
      <x:c r="G2641" s="9" t="str">
        <x:v>EL-01</x:v>
      </x:c>
      <x:c r="H2641" s="15" t="n">
        <x:v>90</x:v>
      </x:c>
      <x:c r="I2641" s="9" t="str">
        <x:v>P20</x:v>
      </x:c>
      <x:c r="J2641" s="11" t="n">
        <x:v>46309.59652777778</x:v>
      </x:c>
      <x:c r="K2641" s="15" t="n">
        <x:v>8</x:v>
      </x:c>
      <x:c r="L2641" s="15" t="n">
        <x:v>14</x:v>
      </x:c>
      <x:c r="M2641" s="13" t="n">
        <x:f>J2641+(K2641+L2641)/1440</x:f>
        <x:v>46309.611805555556</x:v>
      </x:c>
      <x:c r="N2641" s="13" t="n">
        <x:f>VLOOKUP(C2641,'MES orders'!$A$8:$H$127,5,FALSE)</x:f>
        <x:v>46310.666666666664</x:v>
      </x:c>
      <x:c r="O2641" s="16" t="n">
        <x:f>MAX(0,(M2641-N2641)*24)</x:f>
        <x:v>0</x:v>
      </x:c>
      <x:c r="P2641" s="9" t="str">
        <x:v>No</x:v>
      </x:c>
      <x:c r="Q2641" s="15" t="n">
        <x:v>22</x:v>
      </x:c>
      <x:c r="R2641" s="13" t="n">
        <x:f>J2641+Q2641/1440</x:f>
        <x:v>46309.611805555556</x:v>
      </x:c>
      <x:c r="S2641" s="2" t="str">
        <x:f>VLOOKUP(C2641,'MES orders'!$A$8:$H$127,6,FALSE)</x:f>
        <x:v>Normal</x:v>
      </x:c>
      <x:c r="T2641" s="9" t="str"/>
    </x:row>
    <x:row r="2642" ht="22" customHeight="1">
      <x:c r="A2642" s="2" t="str">
        <x:v>L00227-020</x:v>
      </x:c>
      <x:c r="B2642" s="2" t="str">
        <x:v>L00227</x:v>
      </x:c>
      <x:c r="C2642" s="2" t="str">
        <x:v>SO-26046</x:v>
      </x:c>
      <x:c r="D2642" s="2" t="str">
        <x:v>R-S-SS</x:v>
      </x:c>
      <x:c r="E2642" s="14" t="n">
        <x:v>25</x:v>
      </x:c>
      <x:c r="F2642" s="2" t="str">
        <x:v>Deburr &amp; inspect</x:v>
      </x:c>
      <x:c r="G2642" s="9" t="str">
        <x:v>DB-02</x:v>
      </x:c>
      <x:c r="H2642" s="15" t="n">
        <x:v>174</x:v>
      </x:c>
      <x:c r="I2642" s="9" t="str">
        <x:v>P15</x:v>
      </x:c>
      <x:c r="J2642" s="11" t="n">
        <x:v>46309.59861111111</x:v>
      </x:c>
      <x:c r="K2642" s="15" t="n">
        <x:v>4</x:v>
      </x:c>
      <x:c r="L2642" s="15" t="n">
        <x:v>18</x:v>
      </x:c>
      <x:c r="M2642" s="13" t="n">
        <x:f>J2642+(K2642+L2642)/1440</x:f>
        <x:v>46309.61388888889</x:v>
      </x:c>
      <x:c r="N2642" s="13" t="n">
        <x:f>VLOOKUP(C2642,'MES orders'!$A$8:$H$127,5,FALSE)</x:f>
        <x:v>46309.666666666664</x:v>
      </x:c>
      <x:c r="O2642" s="16" t="n">
        <x:f>MAX(0,(M2642-N2642)*24)</x:f>
        <x:v>0</x:v>
      </x:c>
      <x:c r="P2642" s="9" t="str">
        <x:v>No</x:v>
      </x:c>
      <x:c r="Q2642" s="15" t="n">
        <x:v>22</x:v>
      </x:c>
      <x:c r="R2642" s="13" t="n">
        <x:f>J2642+Q2642/1440</x:f>
        <x:v>46309.61388888889</x:v>
      </x:c>
      <x:c r="S2642" s="2" t="str">
        <x:f>VLOOKUP(C2642,'MES orders'!$A$8:$H$127,6,FALSE)</x:f>
        <x:v>Normal</x:v>
      </x:c>
      <x:c r="T2642" s="9" t="str"/>
    </x:row>
    <x:row r="2643" ht="22" customHeight="1">
      <x:c r="A2643" s="2" t="str">
        <x:v>L00226-030</x:v>
      </x:c>
      <x:c r="B2643" s="2" t="str">
        <x:v>L00226</x:v>
      </x:c>
      <x:c r="C2643" s="2" t="str">
        <x:v>SO-26046</x:v>
      </x:c>
      <x:c r="D2643" s="2" t="str">
        <x:v>R-S-SS</x:v>
      </x:c>
      <x:c r="E2643" s="14" t="n">
        <x:v>25</x:v>
      </x:c>
      <x:c r="F2643" s="2" t="str">
        <x:v>Wash &amp; dry</x:v>
      </x:c>
      <x:c r="G2643" s="9" t="str">
        <x:v>WS-01</x:v>
      </x:c>
      <x:c r="H2643" s="15" t="n">
        <x:v>246</x:v>
      </x:c>
      <x:c r="I2643" s="9" t="str">
        <x:v>P14</x:v>
      </x:c>
      <x:c r="J2643" s="11" t="n">
        <x:v>46309.59861111111</x:v>
      </x:c>
      <x:c r="K2643" s="15" t="n">
        <x:v>12</x:v>
      </x:c>
      <x:c r="L2643" s="15" t="n">
        <x:v>9</x:v>
      </x:c>
      <x:c r="M2643" s="13" t="n">
        <x:f>J2643+(K2643+L2643)/1440</x:f>
        <x:v>46309.61319444444</x:v>
      </x:c>
      <x:c r="N2643" s="13" t="n">
        <x:f>VLOOKUP(C2643,'MES orders'!$A$8:$H$127,5,FALSE)</x:f>
        <x:v>46309.666666666664</x:v>
      </x:c>
      <x:c r="O2643" s="16" t="n">
        <x:f>MAX(0,(M2643-N2643)*24)</x:f>
        <x:v>0</x:v>
      </x:c>
      <x:c r="P2643" s="9" t="str">
        <x:v>No</x:v>
      </x:c>
      <x:c r="Q2643" s="15" t="n">
        <x:v>21</x:v>
      </x:c>
      <x:c r="R2643" s="13" t="n">
        <x:f>J2643+Q2643/1440</x:f>
        <x:v>46309.61319444444</x:v>
      </x:c>
      <x:c r="S2643" s="2" t="str">
        <x:f>VLOOKUP(C2643,'MES orders'!$A$8:$H$127,6,FALSE)</x:f>
        <x:v>Normal</x:v>
      </x:c>
      <x:c r="T2643" s="9" t="str"/>
    </x:row>
    <x:row r="2644" ht="22" customHeight="1">
      <x:c r="A2644" s="2" t="str">
        <x:v>L00152-030</x:v>
      </x:c>
      <x:c r="B2644" s="2" t="str">
        <x:v>L00152</x:v>
      </x:c>
      <x:c r="C2644" s="2" t="str">
        <x:v>SO-26031</x:v>
      </x:c>
      <x:c r="D2644" s="2" t="str">
        <x:v>S-C-AL</x:v>
      </x:c>
      <x:c r="E2644" s="14" t="n">
        <x:v>15</x:v>
      </x:c>
      <x:c r="F2644" s="2" t="str">
        <x:v>Wash &amp; dry</x:v>
      </x:c>
      <x:c r="G2644" s="9" t="str">
        <x:v>WS-02</x:v>
      </x:c>
      <x:c r="H2644" s="15" t="n">
        <x:v>174</x:v>
      </x:c>
      <x:c r="I2644" s="9" t="str">
        <x:v>P19</x:v>
      </x:c>
      <x:c r="J2644" s="11" t="n">
        <x:v>46309.60277777778</x:v>
      </x:c>
      <x:c r="K2644" s="15" t="n">
        <x:v>12</x:v>
      </x:c>
      <x:c r="L2644" s="15" t="n">
        <x:v>4</x:v>
      </x:c>
      <x:c r="M2644" s="13" t="n">
        <x:f>J2644+(K2644+L2644)/1440</x:f>
        <x:v>46309.61388888889</x:v>
      </x:c>
      <x:c r="N2644" s="13" t="n">
        <x:f>VLOOKUP(C2644,'MES orders'!$A$8:$H$127,5,FALSE)</x:f>
        <x:v>46310.666666666664</x:v>
      </x:c>
      <x:c r="O2644" s="16" t="n">
        <x:f>MAX(0,(M2644-N2644)*24)</x:f>
        <x:v>0</x:v>
      </x:c>
      <x:c r="P2644" s="9" t="str">
        <x:v>No</x:v>
      </x:c>
      <x:c r="Q2644" s="15" t="n">
        <x:v>16</x:v>
      </x:c>
      <x:c r="R2644" s="13" t="n">
        <x:f>J2644+Q2644/1440</x:f>
        <x:v>46309.61388888889</x:v>
      </x:c>
      <x:c r="S2644" s="2" t="str">
        <x:f>VLOOKUP(C2644,'MES orders'!$A$8:$H$127,6,FALSE)</x:f>
        <x:v>Normal</x:v>
      </x:c>
      <x:c r="T2644" s="9" t="str"/>
    </x:row>
    <x:row r="2645" ht="22" customHeight="1">
      <x:c r="A2645" s="2" t="str">
        <x:v>L00146-050</x:v>
      </x:c>
      <x:c r="B2645" s="2" t="str">
        <x:v>L00146</x:v>
      </x:c>
      <x:c r="C2645" s="2" t="str">
        <x:v>SO-26030</x:v>
      </x:c>
      <x:c r="D2645" s="2" t="str">
        <x:v>D-L-SS</x:v>
      </x:c>
      <x:c r="E2645" s="14" t="n">
        <x:v>20</x:v>
      </x:c>
      <x:c r="F2645" s="2" t="str">
        <x:v>Final leak / function test</x:v>
      </x:c>
      <x:c r="G2645" s="9" t="str">
        <x:v>QA-01</x:v>
      </x:c>
      <x:c r="H2645" s="15" t="n">
        <x:v>102</x:v>
      </x:c>
      <x:c r="I2645" s="9" t="str">
        <x:v>P23</x:v>
      </x:c>
      <x:c r="J2645" s="11" t="n">
        <x:v>46309.606944444444</x:v>
      </x:c>
      <x:c r="K2645" s="15" t="n">
        <x:v>10</x:v>
      </x:c>
      <x:c r="L2645" s="15" t="n">
        <x:v>24</x:v>
      </x:c>
      <x:c r="M2645" s="13" t="n">
        <x:f>J2645+(K2645+L2645)/1440</x:f>
        <x:v>46309.63055555555</x:v>
      </x:c>
      <x:c r="N2645" s="13" t="n">
        <x:f>VLOOKUP(C2645,'MES orders'!$A$8:$H$127,5,FALSE)</x:f>
        <x:v>46309.666666666664</x:v>
      </x:c>
      <x:c r="O2645" s="16" t="n">
        <x:f>MAX(0,(M2645-N2645)*24)</x:f>
        <x:v>0</x:v>
      </x:c>
      <x:c r="P2645" s="9" t="str">
        <x:v>No</x:v>
      </x:c>
      <x:c r="Q2645" s="15" t="n">
        <x:v>34</x:v>
      </x:c>
      <x:c r="R2645" s="13" t="n">
        <x:f>J2645+Q2645/1440</x:f>
        <x:v>46309.63055555555</x:v>
      </x:c>
      <x:c r="S2645" s="2" t="str">
        <x:f>VLOOKUP(C2645,'MES orders'!$A$8:$H$127,6,FALSE)</x:f>
        <x:v>Normal</x:v>
      </x:c>
      <x:c r="T2645" s="9" t="str"/>
    </x:row>
    <x:row r="2646" ht="22" customHeight="1">
      <x:c r="A2646" s="2" t="str">
        <x:v>L00187-060</x:v>
      </x:c>
      <x:c r="B2646" s="2" t="str">
        <x:v>L00187</x:v>
      </x:c>
      <x:c r="C2646" s="2" t="str">
        <x:v>SO-26038</x:v>
      </x:c>
      <x:c r="D2646" s="2" t="str">
        <x:v>R-C-SS</x:v>
      </x:c>
      <x:c r="E2646" s="14" t="n">
        <x:v>20</x:v>
      </x:c>
      <x:c r="F2646" s="2" t="str">
        <x:v>Final leak / function test</x:v>
      </x:c>
      <x:c r="G2646" s="9" t="str">
        <x:v>QA-02</x:v>
      </x:c>
      <x:c r="H2646" s="15" t="n">
        <x:v>193</x:v>
      </x:c>
      <x:c r="I2646" s="9" t="str">
        <x:v>P22</x:v>
      </x:c>
      <x:c r="J2646" s="11" t="n">
        <x:v>46309.606944444444</x:v>
      </x:c>
      <x:c r="K2646" s="15" t="n">
        <x:v>10</x:v>
      </x:c>
      <x:c r="L2646" s="15" t="n">
        <x:v>14</x:v>
      </x:c>
      <x:c r="M2646" s="13" t="n">
        <x:f>J2646+(K2646+L2646)/1440</x:f>
        <x:v>46309.623611111114</x:v>
      </x:c>
      <x:c r="N2646" s="13" t="n">
        <x:f>VLOOKUP(C2646,'MES orders'!$A$8:$H$127,5,FALSE)</x:f>
        <x:v>46309.666666666664</x:v>
      </x:c>
      <x:c r="O2646" s="16" t="n">
        <x:f>MAX(0,(M2646-N2646)*24)</x:f>
        <x:v>0</x:v>
      </x:c>
      <x:c r="P2646" s="9" t="str">
        <x:v>No</x:v>
      </x:c>
      <x:c r="Q2646" s="15" t="n">
        <x:v>24</x:v>
      </x:c>
      <x:c r="R2646" s="13" t="n">
        <x:f>J2646+Q2646/1440</x:f>
        <x:v>46309.623611111114</x:v>
      </x:c>
      <x:c r="S2646" s="2" t="str">
        <x:f>VLOOKUP(C2646,'MES orders'!$A$8:$H$127,6,FALSE)</x:f>
        <x:v>Normal</x:v>
      </x:c>
      <x:c r="T2646" s="9" t="str"/>
    </x:row>
    <x:row r="2647" ht="22" customHeight="1">
      <x:c r="A2647" s="2" t="str">
        <x:v>L00226-040</x:v>
      </x:c>
      <x:c r="B2647" s="2" t="str">
        <x:v>L00226</x:v>
      </x:c>
      <x:c r="C2647" s="2" t="str">
        <x:v>SO-26046</x:v>
      </x:c>
      <x:c r="D2647" s="2" t="str">
        <x:v>R-S-SS</x:v>
      </x:c>
      <x:c r="E2647" s="14" t="n">
        <x:v>25</x:v>
      </x:c>
      <x:c r="F2647" s="2" t="str">
        <x:v>Mechanical assembly</x:v>
      </x:c>
      <x:c r="G2647" s="9" t="str">
        <x:v>AS-05</x:v>
      </x:c>
      <x:c r="H2647" s="15" t="n">
        <x:v>51</x:v>
      </x:c>
      <x:c r="I2647" s="9" t="str">
        <x:v>P14</x:v>
      </x:c>
      <x:c r="J2647" s="11" t="n">
        <x:v>46309.61319444444</x:v>
      </x:c>
      <x:c r="K2647" s="15" t="n">
        <x:v>8</x:v>
      </x:c>
      <x:c r="L2647" s="15" t="n">
        <x:v>45</x:v>
      </x:c>
      <x:c r="M2647" s="13" t="n">
        <x:f>J2647+(K2647+L2647)/1440</x:f>
        <x:v>46309.65</x:v>
      </x:c>
      <x:c r="N2647" s="13" t="n">
        <x:f>VLOOKUP(C2647,'MES orders'!$A$8:$H$127,5,FALSE)</x:f>
        <x:v>46309.666666666664</x:v>
      </x:c>
      <x:c r="O2647" s="16" t="n">
        <x:f>MAX(0,(M2647-N2647)*24)</x:f>
        <x:v>0</x:v>
      </x:c>
      <x:c r="P2647" s="9" t="str">
        <x:v>No</x:v>
      </x:c>
      <x:c r="Q2647" s="15" t="n">
        <x:v>53</x:v>
      </x:c>
      <x:c r="R2647" s="13" t="n">
        <x:f>J2647+Q2647/1440</x:f>
        <x:v>46309.65</x:v>
      </x:c>
      <x:c r="S2647" s="2" t="str">
        <x:f>VLOOKUP(C2647,'MES orders'!$A$8:$H$127,6,FALSE)</x:f>
        <x:v>Normal</x:v>
      </x:c>
      <x:c r="T2647" s="9" t="str"/>
    </x:row>
    <x:row r="2648" ht="22" customHeight="1">
      <x:c r="A2648" s="2" t="str">
        <x:v>L00227-030</x:v>
      </x:c>
      <x:c r="B2648" s="2" t="str">
        <x:v>L00227</x:v>
      </x:c>
      <x:c r="C2648" s="2" t="str">
        <x:v>SO-26046</x:v>
      </x:c>
      <x:c r="D2648" s="2" t="str">
        <x:v>R-S-SS</x:v>
      </x:c>
      <x:c r="E2648" s="14" t="n">
        <x:v>25</x:v>
      </x:c>
      <x:c r="F2648" s="2" t="str">
        <x:v>Wash &amp; dry</x:v>
      </x:c>
      <x:c r="G2648" s="9" t="str">
        <x:v>WS-02</x:v>
      </x:c>
      <x:c r="H2648" s="15" t="n">
        <x:v>175</x:v>
      </x:c>
      <x:c r="I2648" s="9" t="str">
        <x:v>P15</x:v>
      </x:c>
      <x:c r="J2648" s="11" t="n">
        <x:v>46309.61388888889</x:v>
      </x:c>
      <x:c r="K2648" s="15" t="n">
        <x:v>12</x:v>
      </x:c>
      <x:c r="L2648" s="15" t="n">
        <x:v>9</x:v>
      </x:c>
      <x:c r="M2648" s="13" t="n">
        <x:f>J2648+(K2648+L2648)/1440</x:f>
        <x:v>46309.62847222222</x:v>
      </x:c>
      <x:c r="N2648" s="13" t="n">
        <x:f>VLOOKUP(C2648,'MES orders'!$A$8:$H$127,5,FALSE)</x:f>
        <x:v>46309.666666666664</x:v>
      </x:c>
      <x:c r="O2648" s="16" t="n">
        <x:f>MAX(0,(M2648-N2648)*24)</x:f>
        <x:v>0</x:v>
      </x:c>
      <x:c r="P2648" s="9" t="str">
        <x:v>No</x:v>
      </x:c>
      <x:c r="Q2648" s="15" t="n">
        <x:v>21</x:v>
      </x:c>
      <x:c r="R2648" s="13" t="n">
        <x:f>J2648+Q2648/1440</x:f>
        <x:v>46309.62847222222</x:v>
      </x:c>
      <x:c r="S2648" s="2" t="str">
        <x:f>VLOOKUP(C2648,'MES orders'!$A$8:$H$127,6,FALSE)</x:f>
        <x:v>Normal</x:v>
      </x:c>
      <x:c r="T2648" s="9" t="str"/>
    </x:row>
    <x:row r="2649" ht="22" customHeight="1">
      <x:c r="A2649" s="2" t="str">
        <x:v>L00389-070</x:v>
      </x:c>
      <x:c r="B2649" s="2" t="str">
        <x:v>L00389</x:v>
      </x:c>
      <x:c r="C2649" s="2" t="str">
        <x:v>SO-26078</x:v>
      </x:c>
      <x:c r="D2649" s="2" t="str">
        <x:v>S-L-SS</x:v>
      </x:c>
      <x:c r="E2649" s="14" t="n">
        <x:v>20</x:v>
      </x:c>
      <x:c r="F2649" s="2" t="str">
        <x:v>Final assembly</x:v>
      </x:c>
      <x:c r="G2649" s="9" t="str">
        <x:v>AS-01</x:v>
      </x:c>
      <x:c r="H2649" s="15" t="n">
        <x:v>212</x:v>
      </x:c>
      <x:c r="I2649" s="9" t="str">
        <x:v>P17</x:v>
      </x:c>
      <x:c r="J2649" s="11" t="n">
        <x:v>46309.614583333336</x:v>
      </x:c>
      <x:c r="K2649" s="15" t="n">
        <x:v>5</x:v>
      </x:c>
      <x:c r="L2649" s="15" t="n">
        <x:v>22</x:v>
      </x:c>
      <x:c r="M2649" s="13" t="n">
        <x:f>J2649+(K2649+L2649)/1440</x:f>
        <x:v>46309.63333333334</x:v>
      </x:c>
      <x:c r="N2649" s="13" t="n">
        <x:f>VLOOKUP(C2649,'MES orders'!$A$8:$H$127,5,FALSE)</x:f>
        <x:v>46309.666666666664</x:v>
      </x:c>
      <x:c r="O2649" s="16" t="n">
        <x:f>MAX(0,(M2649-N2649)*24)</x:f>
        <x:v>0</x:v>
      </x:c>
      <x:c r="P2649" s="9" t="str">
        <x:v>No</x:v>
      </x:c>
      <x:c r="Q2649" s="15" t="n">
        <x:v>27</x:v>
      </x:c>
      <x:c r="R2649" s="13" t="n">
        <x:f>J2649+Q2649/1440</x:f>
        <x:v>46309.63333333334</x:v>
      </x:c>
      <x:c r="S2649" s="2" t="str">
        <x:f>VLOOKUP(C2649,'MES orders'!$A$8:$H$127,6,FALSE)</x:f>
        <x:v>High</x:v>
      </x:c>
      <x:c r="T2649" s="9" t="str"/>
    </x:row>
    <x:row r="2650" ht="22" customHeight="1">
      <x:c r="A2650" s="2" t="str">
        <x:v>L00390-060</x:v>
      </x:c>
      <x:c r="B2650" s="2" t="str">
        <x:v>L00390</x:v>
      </x:c>
      <x:c r="C2650" s="2" t="str">
        <x:v>SO-26078</x:v>
      </x:c>
      <x:c r="D2650" s="2" t="str">
        <x:v>S-L-SS</x:v>
      </x:c>
      <x:c r="E2650" s="14" t="n">
        <x:v>20</x:v>
      </x:c>
      <x:c r="F2650" s="2" t="str">
        <x:v>Sensor calibration</x:v>
      </x:c>
      <x:c r="G2650" s="9" t="str">
        <x:v>CAL-01</x:v>
      </x:c>
      <x:c r="H2650" s="15" t="n">
        <x:v>135</x:v>
      </x:c>
      <x:c r="I2650" s="9" t="str">
        <x:v>P21</x:v>
      </x:c>
      <x:c r="J2650" s="11" t="n">
        <x:v>46309.614583333336</x:v>
      </x:c>
      <x:c r="K2650" s="15" t="n">
        <x:v>10</x:v>
      </x:c>
      <x:c r="L2650" s="15" t="n">
        <x:v>35</x:v>
      </x:c>
      <x:c r="M2650" s="13" t="n">
        <x:f>J2650+(K2650+L2650)/1440</x:f>
        <x:v>46309.645833333336</x:v>
      </x:c>
      <x:c r="N2650" s="13" t="n">
        <x:f>VLOOKUP(C2650,'MES orders'!$A$8:$H$127,5,FALSE)</x:f>
        <x:v>46309.666666666664</x:v>
      </x:c>
      <x:c r="O2650" s="16" t="n">
        <x:f>MAX(0,(M2650-N2650)*24)</x:f>
        <x:v>0</x:v>
      </x:c>
      <x:c r="P2650" s="9" t="str">
        <x:v>No</x:v>
      </x:c>
      <x:c r="Q2650" s="15" t="n">
        <x:v>45</x:v>
      </x:c>
      <x:c r="R2650" s="13" t="n">
        <x:f>J2650+Q2650/1440</x:f>
        <x:v>46309.645833333336</x:v>
      </x:c>
      <x:c r="S2650" s="2" t="str">
        <x:f>VLOOKUP(C2650,'MES orders'!$A$8:$H$127,6,FALSE)</x:f>
        <x:v>High</x:v>
      </x:c>
      <x:c r="T2650" s="9" t="str"/>
    </x:row>
    <x:row r="2651" ht="22" customHeight="1">
      <x:c r="A2651" s="2" t="str">
        <x:v>L00190-050</x:v>
      </x:c>
      <x:c r="B2651" s="2" t="str">
        <x:v>L00190</x:v>
      </x:c>
      <x:c r="C2651" s="2" t="str">
        <x:v>SO-26038</x:v>
      </x:c>
      <x:c r="D2651" s="2" t="str">
        <x:v>R-C-SS</x:v>
      </x:c>
      <x:c r="E2651" s="14" t="n">
        <x:v>20</x:v>
      </x:c>
      <x:c r="F2651" s="2" t="str">
        <x:v>Valve adjustment</x:v>
      </x:c>
      <x:c r="G2651" s="9" t="str">
        <x:v>AS-04</x:v>
      </x:c>
      <x:c r="H2651" s="15" t="n">
        <x:v>96</x:v>
      </x:c>
      <x:c r="I2651" s="9" t="str">
        <x:v>P20</x:v>
      </x:c>
      <x:c r="J2651" s="11" t="n">
        <x:v>46309.62152777778</x:v>
      </x:c>
      <x:c r="K2651" s="15" t="n">
        <x:v>6</x:v>
      </x:c>
      <x:c r="L2651" s="15" t="n">
        <x:v>18</x:v>
      </x:c>
      <x:c r="M2651" s="13" t="n">
        <x:f>J2651+(K2651+L2651)/1440</x:f>
        <x:v>46309.63819444445</x:v>
      </x:c>
      <x:c r="N2651" s="13" t="n">
        <x:f>VLOOKUP(C2651,'MES orders'!$A$8:$H$127,5,FALSE)</x:f>
        <x:v>46309.666666666664</x:v>
      </x:c>
      <x:c r="O2651" s="16" t="n">
        <x:f>MAX(0,(M2651-N2651)*24)</x:f>
        <x:v>0</x:v>
      </x:c>
      <x:c r="P2651" s="9" t="str">
        <x:v>No</x:v>
      </x:c>
      <x:c r="Q2651" s="15" t="n">
        <x:v>24</x:v>
      </x:c>
      <x:c r="R2651" s="13" t="n">
        <x:f>J2651+Q2651/1440</x:f>
        <x:v>46309.63819444445</x:v>
      </x:c>
      <x:c r="S2651" s="2" t="str">
        <x:f>VLOOKUP(C2651,'MES orders'!$A$8:$H$127,6,FALSE)</x:f>
        <x:v>Normal</x:v>
      </x:c>
      <x:c r="T2651" s="9" t="str"/>
    </x:row>
    <x:row r="2652" ht="22" customHeight="1">
      <x:c r="A2652" s="2" t="str">
        <x:v>L00149-040</x:v>
      </x:c>
      <x:c r="B2652" s="2" t="str">
        <x:v>L00149</x:v>
      </x:c>
      <x:c r="C2652" s="2" t="str">
        <x:v>SO-26030</x:v>
      </x:c>
      <x:c r="D2652" s="2" t="str">
        <x:v>D-L-SS</x:v>
      </x:c>
      <x:c r="E2652" s="14" t="n">
        <x:v>20</x:v>
      </x:c>
      <x:c r="F2652" s="2" t="str">
        <x:v>Mechanical assembly</x:v>
      </x:c>
      <x:c r="G2652" s="9" t="str">
        <x:v>AS-02</x:v>
      </x:c>
      <x:c r="H2652" s="15" t="n">
        <x:v>170</x:v>
      </x:c>
      <x:c r="I2652" s="9" t="str">
        <x:v>P16</x:v>
      </x:c>
      <x:c r="J2652" s="11" t="n">
        <x:v>46309.62291666667</x:v>
      </x:c>
      <x:c r="K2652" s="15" t="n">
        <x:v>8</x:v>
      </x:c>
      <x:c r="L2652" s="15" t="n">
        <x:v>49</x:v>
      </x:c>
      <x:c r="M2652" s="13" t="n">
        <x:f>J2652+(K2652+L2652)/1440</x:f>
        <x:v>46309.6625</x:v>
      </x:c>
      <x:c r="N2652" s="13" t="n">
        <x:f>VLOOKUP(C2652,'MES orders'!$A$8:$H$127,5,FALSE)</x:f>
        <x:v>46309.666666666664</x:v>
      </x:c>
      <x:c r="O2652" s="16" t="n">
        <x:f>MAX(0,(M2652-N2652)*24)</x:f>
        <x:v>0</x:v>
      </x:c>
      <x:c r="P2652" s="9" t="str">
        <x:v>No</x:v>
      </x:c>
      <x:c r="Q2652" s="15" t="n">
        <x:v>57</x:v>
      </x:c>
      <x:c r="R2652" s="13" t="n">
        <x:f>J2652+Q2652/1440</x:f>
        <x:v>46309.6625</x:v>
      </x:c>
      <x:c r="S2652" s="2" t="str">
        <x:f>VLOOKUP(C2652,'MES orders'!$A$8:$H$127,6,FALSE)</x:f>
        <x:v>Normal</x:v>
      </x:c>
      <x:c r="T2652" s="9" t="str"/>
    </x:row>
    <x:row r="2653" ht="22" customHeight="1">
      <x:c r="A2653" s="2" t="str">
        <x:v>L00147-050</x:v>
      </x:c>
      <x:c r="B2653" s="2" t="str">
        <x:v>L00147</x:v>
      </x:c>
      <x:c r="C2653" s="2" t="str">
        <x:v>SO-26030</x:v>
      </x:c>
      <x:c r="D2653" s="2" t="str">
        <x:v>D-L-SS</x:v>
      </x:c>
      <x:c r="E2653" s="14" t="n">
        <x:v>20</x:v>
      </x:c>
      <x:c r="F2653" s="2" t="str">
        <x:v>Final leak / function test</x:v>
      </x:c>
      <x:c r="G2653" s="9" t="str">
        <x:v>QA-03</x:v>
      </x:c>
      <x:c r="H2653" s="15" t="n">
        <x:v>115</x:v>
      </x:c>
      <x:c r="I2653" s="9" t="str">
        <x:v>P24</x:v>
      </x:c>
      <x:c r="J2653" s="11" t="n">
        <x:v>46309.62291666667</x:v>
      </x:c>
      <x:c r="K2653" s="15" t="n">
        <x:v>10</x:v>
      </x:c>
      <x:c r="L2653" s="15" t="n">
        <x:v>24</x:v>
      </x:c>
      <x:c r="M2653" s="13" t="n">
        <x:f>J2653+(K2653+L2653)/1440</x:f>
        <x:v>46309.646527777775</x:v>
      </x:c>
      <x:c r="N2653" s="13" t="n">
        <x:f>VLOOKUP(C2653,'MES orders'!$A$8:$H$127,5,FALSE)</x:f>
        <x:v>46309.666666666664</x:v>
      </x:c>
      <x:c r="O2653" s="16" t="n">
        <x:f>MAX(0,(M2653-N2653)*24)</x:f>
        <x:v>0</x:v>
      </x:c>
      <x:c r="P2653" s="9" t="str">
        <x:v>No</x:v>
      </x:c>
      <x:c r="Q2653" s="15" t="n">
        <x:v>34</x:v>
      </x:c>
      <x:c r="R2653" s="13" t="n">
        <x:f>J2653+Q2653/1440</x:f>
        <x:v>46309.646527777775</x:v>
      </x:c>
      <x:c r="S2653" s="2" t="str">
        <x:f>VLOOKUP(C2653,'MES orders'!$A$8:$H$127,6,FALSE)</x:f>
        <x:v>Normal</x:v>
      </x:c>
      <x:c r="T2653" s="9" t="str"/>
    </x:row>
    <x:row r="2654" ht="22" customHeight="1">
      <x:c r="A2654" s="2" t="str">
        <x:v>L00150-030</x:v>
      </x:c>
      <x:c r="B2654" s="2" t="str">
        <x:v>L00150</x:v>
      </x:c>
      <x:c r="C2654" s="2" t="str">
        <x:v>SO-26030</x:v>
      </x:c>
      <x:c r="D2654" s="2" t="str">
        <x:v>D-L-SS</x:v>
      </x:c>
      <x:c r="E2654" s="14" t="n">
        <x:v>20</x:v>
      </x:c>
      <x:c r="F2654" s="2" t="str">
        <x:v>Wash &amp; dry</x:v>
      </x:c>
      <x:c r="G2654" s="9" t="str">
        <x:v>WS-01</x:v>
      </x:c>
      <x:c r="H2654" s="15" t="n">
        <x:v>247</x:v>
      </x:c>
      <x:c r="I2654" s="9" t="str">
        <x:v>P18</x:v>
      </x:c>
      <x:c r="J2654" s="11" t="n">
        <x:v>46309.62291666667</x:v>
      </x:c>
      <x:c r="K2654" s="15" t="n">
        <x:v>12</x:v>
      </x:c>
      <x:c r="L2654" s="15" t="n">
        <x:v>9</x:v>
      </x:c>
      <x:c r="M2654" s="13" t="n">
        <x:f>J2654+(K2654+L2654)/1440</x:f>
        <x:v>46309.6375</x:v>
      </x:c>
      <x:c r="N2654" s="13" t="n">
        <x:f>VLOOKUP(C2654,'MES orders'!$A$8:$H$127,5,FALSE)</x:f>
        <x:v>46309.666666666664</x:v>
      </x:c>
      <x:c r="O2654" s="16" t="n">
        <x:f>MAX(0,(M2654-N2654)*24)</x:f>
        <x:v>0</x:v>
      </x:c>
      <x:c r="P2654" s="9" t="str">
        <x:v>No</x:v>
      </x:c>
      <x:c r="Q2654" s="15" t="n">
        <x:v>21</x:v>
      </x:c>
      <x:c r="R2654" s="13" t="n">
        <x:f>J2654+Q2654/1440</x:f>
        <x:v>46309.6375</x:v>
      </x:c>
      <x:c r="S2654" s="2" t="str">
        <x:f>VLOOKUP(C2654,'MES orders'!$A$8:$H$127,6,FALSE)</x:f>
        <x:v>Normal</x:v>
      </x:c>
      <x:c r="T2654" s="9" t="str"/>
    </x:row>
    <x:row r="2655" ht="22" customHeight="1">
      <x:c r="A2655" s="2" t="str">
        <x:v>L00228-020</x:v>
      </x:c>
      <x:c r="B2655" s="2" t="str">
        <x:v>L00228</x:v>
      </x:c>
      <x:c r="C2655" s="2" t="str">
        <x:v>SO-26046</x:v>
      </x:c>
      <x:c r="D2655" s="2" t="str">
        <x:v>R-S-SS</x:v>
      </x:c>
      <x:c r="E2655" s="14" t="n">
        <x:v>25</x:v>
      </x:c>
      <x:c r="F2655" s="2" t="str">
        <x:v>Deburr &amp; inspect</x:v>
      </x:c>
      <x:c r="G2655" s="9" t="str">
        <x:v>DB-01</x:v>
      </x:c>
      <x:c r="H2655" s="15" t="n">
        <x:v>251</x:v>
      </x:c>
      <x:c r="I2655" s="9" t="str">
        <x:v>P19</x:v>
      </x:c>
      <x:c r="J2655" s="11" t="n">
        <x:v>46309.625</x:v>
      </x:c>
      <x:c r="K2655" s="15" t="n">
        <x:v>4</x:v>
      </x:c>
      <x:c r="L2655" s="15" t="n">
        <x:v>18</x:v>
      </x:c>
      <x:c r="M2655" s="13" t="n">
        <x:f>J2655+(K2655+L2655)/1440</x:f>
        <x:v>46309.64027777778</x:v>
      </x:c>
      <x:c r="N2655" s="13" t="n">
        <x:f>VLOOKUP(C2655,'MES orders'!$A$8:$H$127,5,FALSE)</x:f>
        <x:v>46309.666666666664</x:v>
      </x:c>
      <x:c r="O2655" s="16" t="n">
        <x:f>MAX(0,(M2655-N2655)*24)</x:f>
        <x:v>0</x:v>
      </x:c>
      <x:c r="P2655" s="9" t="str">
        <x:v>No</x:v>
      </x:c>
      <x:c r="Q2655" s="15" t="n">
        <x:v>22</x:v>
      </x:c>
      <x:c r="R2655" s="13" t="n">
        <x:f>J2655+Q2655/1440</x:f>
        <x:v>46309.64027777778</x:v>
      </x:c>
      <x:c r="S2655" s="2" t="str">
        <x:f>VLOOKUP(C2655,'MES orders'!$A$8:$H$127,6,FALSE)</x:f>
        <x:v>Normal</x:v>
      </x:c>
      <x:c r="T2655" s="9" t="str"/>
    </x:row>
    <x:row r="2656" ht="22" customHeight="1">
      <x:c r="A2656" s="2" t="str">
        <x:v>L00227-040</x:v>
      </x:c>
      <x:c r="B2656" s="2" t="str">
        <x:v>L00227</x:v>
      </x:c>
      <x:c r="C2656" s="2" t="str">
        <x:v>SO-26046</x:v>
      </x:c>
      <x:c r="D2656" s="2" t="str">
        <x:v>R-S-SS</x:v>
      </x:c>
      <x:c r="E2656" s="14" t="n">
        <x:v>25</x:v>
      </x:c>
      <x:c r="F2656" s="2" t="str">
        <x:v>Mechanical assembly</x:v>
      </x:c>
      <x:c r="G2656" s="9" t="str">
        <x:v>AS-06</x:v>
      </x:c>
      <x:c r="H2656" s="15" t="n">
        <x:v>21</x:v>
      </x:c>
      <x:c r="I2656" s="9" t="str">
        <x:v>P13</x:v>
      </x:c>
      <x:c r="J2656" s="11" t="n">
        <x:v>46309.62847222222</x:v>
      </x:c>
      <x:c r="K2656" s="15" t="n">
        <x:v>8</x:v>
      </x:c>
      <x:c r="L2656" s="15" t="n">
        <x:v>45</x:v>
      </x:c>
      <x:c r="M2656" s="13" t="n">
        <x:f>J2656+(K2656+L2656)/1440</x:f>
        <x:v>46309.66527777778</x:v>
      </x:c>
      <x:c r="N2656" s="13" t="n">
        <x:f>VLOOKUP(C2656,'MES orders'!$A$8:$H$127,5,FALSE)</x:f>
        <x:v>46309.666666666664</x:v>
      </x:c>
      <x:c r="O2656" s="16" t="n">
        <x:f>MAX(0,(M2656-N2656)*24)</x:f>
        <x:v>0</x:v>
      </x:c>
      <x:c r="P2656" s="9" t="str">
        <x:v>No</x:v>
      </x:c>
      <x:c r="Q2656" s="15" t="n">
        <x:v>53</x:v>
      </x:c>
      <x:c r="R2656" s="13" t="n">
        <x:f>J2656+Q2656/1440</x:f>
        <x:v>46309.66527777778</x:v>
      </x:c>
      <x:c r="S2656" s="2" t="str">
        <x:f>VLOOKUP(C2656,'MES orders'!$A$8:$H$127,6,FALSE)</x:f>
        <x:v>Normal</x:v>
      </x:c>
      <x:c r="T2656" s="9" t="str"/>
    </x:row>
    <x:row r="2657" ht="22" customHeight="1">
      <x:c r="A2657" s="2" t="str">
        <x:v>L00229-020</x:v>
      </x:c>
      <x:c r="B2657" s="2" t="str">
        <x:v>L00229</x:v>
      </x:c>
      <x:c r="C2657" s="2" t="str">
        <x:v>SO-26046</x:v>
      </x:c>
      <x:c r="D2657" s="2" t="str">
        <x:v>R-S-SS</x:v>
      </x:c>
      <x:c r="E2657" s="14" t="n">
        <x:v>25</x:v>
      </x:c>
      <x:c r="F2657" s="2" t="str">
        <x:v>Deburr &amp; inspect</x:v>
      </x:c>
      <x:c r="G2657" s="9" t="str">
        <x:v>DB-02</x:v>
      </x:c>
      <x:c r="H2657" s="15" t="n">
        <x:v>175</x:v>
      </x:c>
      <x:c r="I2657" s="9" t="str">
        <x:v>P15</x:v>
      </x:c>
      <x:c r="J2657" s="11" t="n">
        <x:v>46309.629166666666</x:v>
      </x:c>
      <x:c r="K2657" s="15" t="n">
        <x:v>4</x:v>
      </x:c>
      <x:c r="L2657" s="15" t="n">
        <x:v>18</x:v>
      </x:c>
      <x:c r="M2657" s="13" t="n">
        <x:f>J2657+(K2657+L2657)/1440</x:f>
        <x:v>46309.64444444444</x:v>
      </x:c>
      <x:c r="N2657" s="13" t="n">
        <x:f>VLOOKUP(C2657,'MES orders'!$A$8:$H$127,5,FALSE)</x:f>
        <x:v>46309.666666666664</x:v>
      </x:c>
      <x:c r="O2657" s="16" t="n">
        <x:f>MAX(0,(M2657-N2657)*24)</x:f>
        <x:v>0</x:v>
      </x:c>
      <x:c r="P2657" s="9" t="str">
        <x:v>No</x:v>
      </x:c>
      <x:c r="Q2657" s="15" t="n">
        <x:v>22</x:v>
      </x:c>
      <x:c r="R2657" s="13" t="n">
        <x:f>J2657+Q2657/1440</x:f>
        <x:v>46309.64444444444</x:v>
      </x:c>
      <x:c r="S2657" s="2" t="str">
        <x:f>VLOOKUP(C2657,'MES orders'!$A$8:$H$127,6,FALSE)</x:f>
        <x:v>Normal</x:v>
      </x:c>
      <x:c r="T2657" s="9" t="str"/>
    </x:row>
    <x:row r="2658" ht="22" customHeight="1">
      <x:c r="A2658" s="2" t="str">
        <x:v>L00389-080</x:v>
      </x:c>
      <x:c r="B2658" s="2" t="str">
        <x:v>L00389</x:v>
      </x:c>
      <x:c r="C2658" s="2" t="str">
        <x:v>SO-26078</x:v>
      </x:c>
      <x:c r="D2658" s="2" t="str">
        <x:v>S-L-SS</x:v>
      </x:c>
      <x:c r="E2658" s="14" t="n">
        <x:v>20</x:v>
      </x:c>
      <x:c r="F2658" s="2" t="str">
        <x:v>Final leak / function test</x:v>
      </x:c>
      <x:c r="G2658" s="9" t="str">
        <x:v>QA-02</x:v>
      </x:c>
      <x:c r="H2658" s="15" t="n">
        <x:v>194</x:v>
      </x:c>
      <x:c r="I2658" s="9" t="str">
        <x:v>P23</x:v>
      </x:c>
      <x:c r="J2658" s="11" t="n">
        <x:v>46309.63333333333</x:v>
      </x:c>
      <x:c r="K2658" s="15" t="n">
        <x:v>10</x:v>
      </x:c>
      <x:c r="L2658" s="15" t="n">
        <x:v>24</x:v>
      </x:c>
      <x:c r="M2658" s="13" t="n">
        <x:f>J2658+(K2658+L2658)/1440</x:f>
        <x:v>46309.65694444444</x:v>
      </x:c>
      <x:c r="N2658" s="13" t="n">
        <x:f>VLOOKUP(C2658,'MES orders'!$A$8:$H$127,5,FALSE)</x:f>
        <x:v>46309.666666666664</x:v>
      </x:c>
      <x:c r="O2658" s="16" t="n">
        <x:f>MAX(0,(M2658-N2658)*24)</x:f>
        <x:v>0</x:v>
      </x:c>
      <x:c r="P2658" s="9" t="str">
        <x:v>No</x:v>
      </x:c>
      <x:c r="Q2658" s="15" t="n">
        <x:v>34</x:v>
      </x:c>
      <x:c r="R2658" s="13" t="n">
        <x:f>J2658+Q2658/1440</x:f>
        <x:v>46309.65694444444</x:v>
      </x:c>
      <x:c r="S2658" s="2" t="str">
        <x:f>VLOOKUP(C2658,'MES orders'!$A$8:$H$127,6,FALSE)</x:f>
        <x:v>High</x:v>
      </x:c>
      <x:c r="T2658" s="9" t="str"/>
    </x:row>
    <x:row r="2659" ht="22" customHeight="1">
      <x:c r="A2659" s="2" t="str">
        <x:v>L00188-030</x:v>
      </x:c>
      <x:c r="B2659" s="2" t="str">
        <x:v>L00188</x:v>
      </x:c>
      <x:c r="C2659" s="2" t="str">
        <x:v>SO-26038</x:v>
      </x:c>
      <x:c r="D2659" s="2" t="str">
        <x:v>R-C-SS</x:v>
      </x:c>
      <x:c r="E2659" s="14" t="n">
        <x:v>20</x:v>
      </x:c>
      <x:c r="F2659" s="2" t="str">
        <x:v>Wash &amp; dry</x:v>
      </x:c>
      <x:c r="G2659" s="9" t="str">
        <x:v>WS-02</x:v>
      </x:c>
      <x:c r="H2659" s="15" t="n">
        <x:v>176</x:v>
      </x:c>
      <x:c r="I2659" s="9" t="str">
        <x:v>P17</x:v>
      </x:c>
      <x:c r="J2659" s="11" t="n">
        <x:v>46309.63333333333</x:v>
      </x:c>
      <x:c r="K2659" s="15" t="n">
        <x:v>12</x:v>
      </x:c>
      <x:c r="L2659" s="15" t="n">
        <x:v>6</x:v>
      </x:c>
      <x:c r="M2659" s="13" t="n">
        <x:f>J2659+(K2659+L2659)/1440</x:f>
        <x:v>46309.64583333333</x:v>
      </x:c>
      <x:c r="N2659" s="13" t="n">
        <x:f>VLOOKUP(C2659,'MES orders'!$A$8:$H$127,5,FALSE)</x:f>
        <x:v>46309.666666666664</x:v>
      </x:c>
      <x:c r="O2659" s="16" t="n">
        <x:f>MAX(0,(M2659-N2659)*24)</x:f>
        <x:v>0</x:v>
      </x:c>
      <x:c r="P2659" s="9" t="str">
        <x:v>No</x:v>
      </x:c>
      <x:c r="Q2659" s="15" t="n">
        <x:v>18</x:v>
      </x:c>
      <x:c r="R2659" s="13" t="n">
        <x:f>J2659+Q2659/1440</x:f>
        <x:v>46309.64583333333</x:v>
      </x:c>
      <x:c r="S2659" s="2" t="str">
        <x:f>VLOOKUP(C2659,'MES orders'!$A$8:$H$127,6,FALSE)</x:f>
        <x:v>Normal</x:v>
      </x:c>
      <x:c r="T2659" s="9" t="str"/>
    </x:row>
    <x:row r="2660" ht="22" customHeight="1">
      <x:c r="A2660" s="2" t="str">
        <x:v>L00150-040</x:v>
      </x:c>
      <x:c r="B2660" s="2" t="str">
        <x:v>L00150</x:v>
      </x:c>
      <x:c r="C2660" s="2" t="str">
        <x:v>SO-26030</x:v>
      </x:c>
      <x:c r="D2660" s="2" t="str">
        <x:v>D-L-SS</x:v>
      </x:c>
      <x:c r="E2660" s="14" t="n">
        <x:v>20</x:v>
      </x:c>
      <x:c r="F2660" s="2" t="str">
        <x:v>Mechanical assembly</x:v>
      </x:c>
      <x:c r="G2660" s="9" t="str">
        <x:v>AS-03</x:v>
      </x:c>
      <x:c r="H2660" s="15" t="n">
        <x:v>141</x:v>
      </x:c>
      <x:c r="I2660" s="9" t="str">
        <x:v>P18</x:v>
      </x:c>
      <x:c r="J2660" s="11" t="n">
        <x:v>46309.6375</x:v>
      </x:c>
      <x:c r="K2660" s="15" t="n">
        <x:v>8</x:v>
      </x:c>
      <x:c r="L2660" s="15" t="n">
        <x:v>49</x:v>
      </x:c>
      <x:c r="M2660" s="13" t="n">
        <x:f>J2660+(K2660+L2660)/1440</x:f>
        <x:v>46309.67708333333</x:v>
      </x:c>
      <x:c r="N2660" s="13" t="n">
        <x:f>VLOOKUP(C2660,'MES orders'!$A$8:$H$127,5,FALSE)</x:f>
        <x:v>46309.666666666664</x:v>
      </x:c>
      <x:c r="O2660" s="16" t="n">
        <x:f>MAX(0,(M2660-N2660)*24)</x:f>
        <x:v>0.24999999994179234</x:v>
      </x:c>
      <x:c r="P2660" s="9" t="str">
        <x:v>No</x:v>
      </x:c>
      <x:c r="Q2660" s="15" t="n">
        <x:v>57</x:v>
      </x:c>
      <x:c r="R2660" s="13" t="n">
        <x:f>J2660+Q2660/1440</x:f>
        <x:v>46309.67708333333</x:v>
      </x:c>
      <x:c r="S2660" s="2" t="str">
        <x:f>VLOOKUP(C2660,'MES orders'!$A$8:$H$127,6,FALSE)</x:f>
        <x:v>Normal</x:v>
      </x:c>
      <x:c r="T2660" s="9" t="str"/>
    </x:row>
    <x:row r="2661" ht="22" customHeight="1">
      <x:c r="A2661" s="2" t="str">
        <x:v>L00152-040</x:v>
      </x:c>
      <x:c r="B2661" s="2" t="str">
        <x:v>L00152</x:v>
      </x:c>
      <x:c r="C2661" s="2" t="str">
        <x:v>SO-26031</x:v>
      </x:c>
      <x:c r="D2661" s="2" t="str">
        <x:v>S-C-AL</x:v>
      </x:c>
      <x:c r="E2661" s="14" t="n">
        <x:v>15</x:v>
      </x:c>
      <x:c r="F2661" s="2" t="str">
        <x:v>Mechanical preassembly</x:v>
      </x:c>
      <x:c r="G2661" s="9" t="str">
        <x:v>AS-04</x:v>
      </x:c>
      <x:c r="H2661" s="15" t="n">
        <x:v>97</x:v>
      </x:c>
      <x:c r="I2661" s="9" t="str">
        <x:v>P20</x:v>
      </x:c>
      <x:c r="J2661" s="11" t="n">
        <x:v>46309.638194444444</x:v>
      </x:c>
      <x:c r="K2661" s="15" t="n">
        <x:v>6</x:v>
      </x:c>
      <x:c r="L2661" s="15" t="n">
        <x:v>13</x:v>
      </x:c>
      <x:c r="M2661" s="13" t="n">
        <x:f>J2661+(K2661+L2661)/1440</x:f>
        <x:v>46309.65138888889</x:v>
      </x:c>
      <x:c r="N2661" s="13" t="n">
        <x:f>VLOOKUP(C2661,'MES orders'!$A$8:$H$127,5,FALSE)</x:f>
        <x:v>46310.666666666664</x:v>
      </x:c>
      <x:c r="O2661" s="16" t="n">
        <x:f>MAX(0,(M2661-N2661)*24)</x:f>
        <x:v>0</x:v>
      </x:c>
      <x:c r="P2661" s="9" t="str">
        <x:v>No</x:v>
      </x:c>
      <x:c r="Q2661" s="15" t="n">
        <x:v>19</x:v>
      </x:c>
      <x:c r="R2661" s="13" t="n">
        <x:f>J2661+Q2661/1440</x:f>
        <x:v>46309.65138888889</x:v>
      </x:c>
      <x:c r="S2661" s="2" t="str">
        <x:f>VLOOKUP(C2661,'MES orders'!$A$8:$H$127,6,FALSE)</x:f>
        <x:v>Normal</x:v>
      </x:c>
      <x:c r="T2661" s="9" t="str"/>
    </x:row>
    <x:row r="2662" ht="22" customHeight="1">
      <x:c r="A2662" s="2" t="str">
        <x:v>L00229-030</x:v>
      </x:c>
      <x:c r="B2662" s="2" t="str">
        <x:v>L00229</x:v>
      </x:c>
      <x:c r="C2662" s="2" t="str">
        <x:v>SO-26046</x:v>
      </x:c>
      <x:c r="D2662" s="2" t="str">
        <x:v>R-S-SS</x:v>
      </x:c>
      <x:c r="E2662" s="14" t="n">
        <x:v>25</x:v>
      </x:c>
      <x:c r="F2662" s="2" t="str">
        <x:v>Wash &amp; dry</x:v>
      </x:c>
      <x:c r="G2662" s="9" t="str">
        <x:v>WS-01</x:v>
      </x:c>
      <x:c r="H2662" s="15" t="n">
        <x:v>248</x:v>
      </x:c>
      <x:c r="I2662" s="9" t="str">
        <x:v>P15</x:v>
      </x:c>
      <x:c r="J2662" s="11" t="n">
        <x:v>46309.64444444444</x:v>
      </x:c>
      <x:c r="K2662" s="15" t="n">
        <x:v>12</x:v>
      </x:c>
      <x:c r="L2662" s="15" t="n">
        <x:v>9</x:v>
      </x:c>
      <x:c r="M2662" s="13" t="n">
        <x:f>J2662+(K2662+L2662)/1440</x:f>
        <x:v>46309.65902777777</x:v>
      </x:c>
      <x:c r="N2662" s="13" t="n">
        <x:f>VLOOKUP(C2662,'MES orders'!$A$8:$H$127,5,FALSE)</x:f>
        <x:v>46309.666666666664</x:v>
      </x:c>
      <x:c r="O2662" s="16" t="n">
        <x:f>MAX(0,(M2662-N2662)*24)</x:f>
        <x:v>0</x:v>
      </x:c>
      <x:c r="P2662" s="9" t="str">
        <x:v>No</x:v>
      </x:c>
      <x:c r="Q2662" s="15" t="n">
        <x:v>21</x:v>
      </x:c>
      <x:c r="R2662" s="13" t="n">
        <x:f>J2662+Q2662/1440</x:f>
        <x:v>46309.65902777777</x:v>
      </x:c>
      <x:c r="S2662" s="2" t="str">
        <x:f>VLOOKUP(C2662,'MES orders'!$A$8:$H$127,6,FALSE)</x:f>
        <x:v>Normal</x:v>
      </x:c>
      <x:c r="T2662" s="9" t="str"/>
    </x:row>
    <x:row r="2663" ht="22" customHeight="1">
      <x:c r="A2663" s="2" t="str">
        <x:v>L00390-070</x:v>
      </x:c>
      <x:c r="B2663" s="2" t="str">
        <x:v>L00390</x:v>
      </x:c>
      <x:c r="C2663" s="2" t="str">
        <x:v>SO-26078</x:v>
      </x:c>
      <x:c r="D2663" s="2" t="str">
        <x:v>S-L-SS</x:v>
      </x:c>
      <x:c r="E2663" s="14" t="n">
        <x:v>20</x:v>
      </x:c>
      <x:c r="F2663" s="2" t="str">
        <x:v>Final assembly</x:v>
      </x:c>
      <x:c r="G2663" s="9" t="str">
        <x:v>AS-01</x:v>
      </x:c>
      <x:c r="H2663" s="15" t="n">
        <x:v>213</x:v>
      </x:c>
      <x:c r="I2663" s="9" t="str">
        <x:v>P17</x:v>
      </x:c>
      <x:c r="J2663" s="11" t="n">
        <x:v>46309.645833333336</x:v>
      </x:c>
      <x:c r="K2663" s="15" t="n">
        <x:v>5</x:v>
      </x:c>
      <x:c r="L2663" s="15" t="n">
        <x:v>22</x:v>
      </x:c>
      <x:c r="M2663" s="13" t="n">
        <x:f>J2663+(K2663+L2663)/1440</x:f>
        <x:v>46309.66458333334</x:v>
      </x:c>
      <x:c r="N2663" s="13" t="n">
        <x:f>VLOOKUP(C2663,'MES orders'!$A$8:$H$127,5,FALSE)</x:f>
        <x:v>46309.666666666664</x:v>
      </x:c>
      <x:c r="O2663" s="16" t="n">
        <x:f>MAX(0,(M2663-N2663)*24)</x:f>
        <x:v>0</x:v>
      </x:c>
      <x:c r="P2663" s="9" t="str">
        <x:v>No</x:v>
      </x:c>
      <x:c r="Q2663" s="15" t="n">
        <x:v>27</x:v>
      </x:c>
      <x:c r="R2663" s="13" t="n">
        <x:f>J2663+Q2663/1440</x:f>
        <x:v>46309.66458333334</x:v>
      </x:c>
      <x:c r="S2663" s="2" t="str">
        <x:f>VLOOKUP(C2663,'MES orders'!$A$8:$H$127,6,FALSE)</x:f>
        <x:v>High</x:v>
      </x:c>
      <x:c r="T2663" s="9" t="str"/>
    </x:row>
    <x:row r="2664" ht="22" customHeight="1">
      <x:c r="A2664" s="2" t="str">
        <x:v>L00151-060</x:v>
      </x:c>
      <x:c r="B2664" s="2" t="str">
        <x:v>L00151</x:v>
      </x:c>
      <x:c r="C2664" s="2" t="str">
        <x:v>SO-26031</x:v>
      </x:c>
      <x:c r="D2664" s="2" t="str">
        <x:v>S-C-AL</x:v>
      </x:c>
      <x:c r="E2664" s="14" t="n">
        <x:v>15</x:v>
      </x:c>
      <x:c r="F2664" s="2" t="str">
        <x:v>Sensor calibration</x:v>
      </x:c>
      <x:c r="G2664" s="9" t="str">
        <x:v>CAL-01</x:v>
      </x:c>
      <x:c r="H2664" s="15" t="n">
        <x:v>136</x:v>
      </x:c>
      <x:c r="I2664" s="9" t="str">
        <x:v>P21</x:v>
      </x:c>
      <x:c r="J2664" s="11" t="n">
        <x:v>46309.645833333336</x:v>
      </x:c>
      <x:c r="K2664" s="15" t="n">
        <x:v>10</x:v>
      </x:c>
      <x:c r="L2664" s="15" t="n">
        <x:v>16</x:v>
      </x:c>
      <x:c r="M2664" s="13" t="n">
        <x:f>J2664+(K2664+L2664)/1440</x:f>
        <x:v>46309.66388888889</x:v>
      </x:c>
      <x:c r="N2664" s="13" t="n">
        <x:f>VLOOKUP(C2664,'MES orders'!$A$8:$H$127,5,FALSE)</x:f>
        <x:v>46310.666666666664</x:v>
      </x:c>
      <x:c r="O2664" s="16" t="n">
        <x:f>MAX(0,(M2664-N2664)*24)</x:f>
        <x:v>0</x:v>
      </x:c>
      <x:c r="P2664" s="9" t="str">
        <x:v>No</x:v>
      </x:c>
      <x:c r="Q2664" s="15" t="n">
        <x:v>26</x:v>
      </x:c>
      <x:c r="R2664" s="13" t="n">
        <x:f>J2664+Q2664/1440</x:f>
        <x:v>46309.66388888889</x:v>
      </x:c>
      <x:c r="S2664" s="2" t="str">
        <x:f>VLOOKUP(C2664,'MES orders'!$A$8:$H$127,6,FALSE)</x:f>
        <x:v>Normal</x:v>
      </x:c>
      <x:c r="T2664" s="9" t="str"/>
    </x:row>
    <x:row r="2665" ht="22" customHeight="1">
      <x:c r="A2665" s="2" t="str">
        <x:v>L00148-050</x:v>
      </x:c>
      <x:c r="B2665" s="2" t="str">
        <x:v>L00148</x:v>
      </x:c>
      <x:c r="C2665" s="2" t="str">
        <x:v>SO-26030</x:v>
      </x:c>
      <x:c r="D2665" s="2" t="str">
        <x:v>D-L-SS</x:v>
      </x:c>
      <x:c r="E2665" s="14" t="n">
        <x:v>20</x:v>
      </x:c>
      <x:c r="F2665" s="2" t="str">
        <x:v>Final leak / function test</x:v>
      </x:c>
      <x:c r="G2665" s="9" t="str">
        <x:v>QA-01</x:v>
      </x:c>
      <x:c r="H2665" s="15" t="n">
        <x:v>103</x:v>
      </x:c>
      <x:c r="I2665" s="9" t="str">
        <x:v>P24</x:v>
      </x:c>
      <x:c r="J2665" s="11" t="n">
        <x:v>46309.646527777775</x:v>
      </x:c>
      <x:c r="K2665" s="15" t="n">
        <x:v>10</x:v>
      </x:c>
      <x:c r="L2665" s="15" t="n">
        <x:v>24</x:v>
      </x:c>
      <x:c r="M2665" s="13" t="n">
        <x:f>J2665+(K2665+L2665)/1440</x:f>
        <x:v>46309.67013888888</x:v>
      </x:c>
      <x:c r="N2665" s="13" t="n">
        <x:f>VLOOKUP(C2665,'MES orders'!$A$8:$H$127,5,FALSE)</x:f>
        <x:v>46309.666666666664</x:v>
      </x:c>
      <x:c r="O2665" s="16" t="n">
        <x:f>MAX(0,(M2665-N2665)*24)</x:f>
        <x:v>0.08333333325572312</x:v>
      </x:c>
      <x:c r="P2665" s="9" t="str">
        <x:v>No</x:v>
      </x:c>
      <x:c r="Q2665" s="15" t="n">
        <x:v>34</x:v>
      </x:c>
      <x:c r="R2665" s="13" t="n">
        <x:f>J2665+Q2665/1440</x:f>
        <x:v>46309.67013888888</x:v>
      </x:c>
      <x:c r="S2665" s="2" t="str">
        <x:f>VLOOKUP(C2665,'MES orders'!$A$8:$H$127,6,FALSE)</x:f>
        <x:v>Normal</x:v>
      </x:c>
      <x:c r="T2665" s="9" t="str"/>
    </x:row>
    <x:row r="2666" ht="22" customHeight="1">
      <x:c r="A2666" s="2" t="str">
        <x:v>L00190-060</x:v>
      </x:c>
      <x:c r="B2666" s="2" t="str">
        <x:v>L00190</x:v>
      </x:c>
      <x:c r="C2666" s="2" t="str">
        <x:v>SO-26038</x:v>
      </x:c>
      <x:c r="D2666" s="2" t="str">
        <x:v>R-C-SS</x:v>
      </x:c>
      <x:c r="E2666" s="14" t="n">
        <x:v>20</x:v>
      </x:c>
      <x:c r="F2666" s="2" t="str">
        <x:v>Final leak / function test</x:v>
      </x:c>
      <x:c r="G2666" s="9" t="str">
        <x:v>QA-03</x:v>
      </x:c>
      <x:c r="H2666" s="15" t="n">
        <x:v>116</x:v>
      </x:c>
      <x:c r="I2666" s="9" t="str">
        <x:v>P22</x:v>
      </x:c>
      <x:c r="J2666" s="11" t="n">
        <x:v>46309.646527777775</x:v>
      </x:c>
      <x:c r="K2666" s="15" t="n">
        <x:v>10</x:v>
      </x:c>
      <x:c r="L2666" s="15" t="n">
        <x:v>14</x:v>
      </x:c>
      <x:c r="M2666" s="13" t="n">
        <x:f>J2666+(K2666+L2666)/1440</x:f>
        <x:v>46309.663194444445</x:v>
      </x:c>
      <x:c r="N2666" s="13" t="n">
        <x:f>VLOOKUP(C2666,'MES orders'!$A$8:$H$127,5,FALSE)</x:f>
        <x:v>46309.666666666664</x:v>
      </x:c>
      <x:c r="O2666" s="16" t="n">
        <x:f>MAX(0,(M2666-N2666)*24)</x:f>
        <x:v>0</x:v>
      </x:c>
      <x:c r="P2666" s="9" t="str">
        <x:v>No</x:v>
      </x:c>
      <x:c r="Q2666" s="15" t="n">
        <x:v>24</x:v>
      </x:c>
      <x:c r="R2666" s="13" t="n">
        <x:f>J2666+Q2666/1440</x:f>
        <x:v>46309.663194444445</x:v>
      </x:c>
      <x:c r="S2666" s="2" t="str">
        <x:f>VLOOKUP(C2666,'MES orders'!$A$8:$H$127,6,FALSE)</x:f>
        <x:v>Normal</x:v>
      </x:c>
      <x:c r="T2666" s="9" t="str"/>
    </x:row>
    <x:row r="2667" ht="22" customHeight="1">
      <x:c r="A2667" s="2" t="str">
        <x:v>L00152-050</x:v>
      </x:c>
      <x:c r="B2667" s="2" t="str">
        <x:v>L00152</x:v>
      </x:c>
      <x:c r="C2667" s="2" t="str">
        <x:v>SO-26031</x:v>
      </x:c>
      <x:c r="D2667" s="2" t="str">
        <x:v>S-C-AL</x:v>
      </x:c>
      <x:c r="E2667" s="14" t="n">
        <x:v>15</x:v>
      </x:c>
      <x:c r="F2667" s="2" t="str">
        <x:v>Sensor installation</x:v>
      </x:c>
      <x:c r="G2667" s="9" t="str">
        <x:v>EL-01</x:v>
      </x:c>
      <x:c r="H2667" s="15" t="n">
        <x:v>91</x:v>
      </x:c>
      <x:c r="I2667" s="9" t="str">
        <x:v>P19</x:v>
      </x:c>
      <x:c r="J2667" s="11" t="n">
        <x:v>46309.65138888889</x:v>
      </x:c>
      <x:c r="K2667" s="15" t="n">
        <x:v>8</x:v>
      </x:c>
      <x:c r="L2667" s="15" t="n">
        <x:v>14</x:v>
      </x:c>
      <x:c r="M2667" s="13" t="n">
        <x:f>J2667+(K2667+L2667)/1440</x:f>
        <x:v>46309.666666666664</x:v>
      </x:c>
      <x:c r="N2667" s="13" t="n">
        <x:f>VLOOKUP(C2667,'MES orders'!$A$8:$H$127,5,FALSE)</x:f>
        <x:v>46310.666666666664</x:v>
      </x:c>
      <x:c r="O2667" s="16" t="n">
        <x:f>MAX(0,(M2667-N2667)*24)</x:f>
        <x:v>0</x:v>
      </x:c>
      <x:c r="P2667" s="9" t="str">
        <x:v>No</x:v>
      </x:c>
      <x:c r="Q2667" s="15" t="n">
        <x:v>22</x:v>
      </x:c>
      <x:c r="R2667" s="13" t="n">
        <x:f>J2667+Q2667/1440</x:f>
        <x:v>46309.666666666664</x:v>
      </x:c>
      <x:c r="S2667" s="2" t="str">
        <x:f>VLOOKUP(C2667,'MES orders'!$A$8:$H$127,6,FALSE)</x:f>
        <x:v>Normal</x:v>
      </x:c>
      <x:c r="T2667" s="9" t="str"/>
    </x:row>
    <x:row r="2668" ht="22" customHeight="1">
      <x:c r="A2668" s="2" t="str">
        <x:v>L00229-040</x:v>
      </x:c>
      <x:c r="B2668" s="2" t="str">
        <x:v>L00229</x:v>
      </x:c>
      <x:c r="C2668" s="2" t="str">
        <x:v>SO-26046</x:v>
      </x:c>
      <x:c r="D2668" s="2" t="str">
        <x:v>R-S-SS</x:v>
      </x:c>
      <x:c r="E2668" s="14" t="n">
        <x:v>25</x:v>
      </x:c>
      <x:c r="F2668" s="2" t="str">
        <x:v>Mechanical assembly</x:v>
      </x:c>
      <x:c r="G2668" s="9" t="str">
        <x:v>AS-07</x:v>
      </x:c>
      <x:c r="H2668" s="15" t="n">
        <x:v>5</x:v>
      </x:c>
      <x:c r="I2668" s="9" t="str">
        <x:v>P14</x:v>
      </x:c>
      <x:c r="J2668" s="11" t="n">
        <x:v>46309.65902777778</x:v>
      </x:c>
      <x:c r="K2668" s="15" t="n">
        <x:v>8</x:v>
      </x:c>
      <x:c r="L2668" s="15" t="n">
        <x:v>45</x:v>
      </x:c>
      <x:c r="M2668" s="13" t="n">
        <x:f>J2668+(K2668+L2668)/1440</x:f>
        <x:v>46309.69583333334</x:v>
      </x:c>
      <x:c r="N2668" s="13" t="n">
        <x:f>VLOOKUP(C2668,'MES orders'!$A$8:$H$127,5,FALSE)</x:f>
        <x:v>46309.666666666664</x:v>
      </x:c>
      <x:c r="O2668" s="16" t="n">
        <x:f>MAX(0,(M2668-N2668)*24)</x:f>
        <x:v>0.7000000001862645</x:v>
      </x:c>
      <x:c r="P2668" s="9" t="str">
        <x:v>No</x:v>
      </x:c>
      <x:c r="Q2668" s="15" t="n">
        <x:v>53</x:v>
      </x:c>
      <x:c r="R2668" s="13" t="n">
        <x:f>J2668+Q2668/1440</x:f>
        <x:v>46309.69583333334</x:v>
      </x:c>
      <x:c r="S2668" s="2" t="str">
        <x:f>VLOOKUP(C2668,'MES orders'!$A$8:$H$127,6,FALSE)</x:f>
        <x:v>Normal</x:v>
      </x:c>
      <x:c r="T2668" s="9" t="str"/>
    </x:row>
    <x:row r="2669" ht="22" customHeight="1">
      <x:c r="A2669" s="2" t="str">
        <x:v>L00266-010</x:v>
      </x:c>
      <x:c r="B2669" s="2" t="str">
        <x:v>L00266</x:v>
      </x:c>
      <x:c r="C2669" s="2" t="str">
        <x:v>SO-26054</x:v>
      </x:c>
      <x:c r="D2669" s="2" t="str">
        <x:v>R-L-SS</x:v>
      </x:c>
      <x:c r="E2669" s="14" t="n">
        <x:v>25</x:v>
      </x:c>
      <x:c r="F2669" s="2" t="str">
        <x:v>CNC machining</x:v>
      </x:c>
      <x:c r="G2669" s="9" t="str">
        <x:v>CNC-03</x:v>
      </x:c>
      <x:c r="H2669" s="15" t="n">
        <x:v>84</x:v>
      </x:c>
      <x:c r="I2669" s="9" t="str">
        <x:v>P15</x:v>
      </x:c>
      <x:c r="J2669" s="11" t="n">
        <x:v>46309.65902777778</x:v>
      </x:c>
      <x:c r="K2669" s="15" t="n">
        <x:v>18</x:v>
      </x:c>
      <x:c r="L2669" s="15" t="n">
        <x:v>101</x:v>
      </x:c>
      <x:c r="M2669" s="13" t="n">
        <x:f>J2669+(K2669+L2669)/1440</x:f>
        <x:v>46309.74166666667</x:v>
      </x:c>
      <x:c r="N2669" s="13" t="n">
        <x:f>VLOOKUP(C2669,'MES orders'!$A$8:$H$127,5,FALSE)</x:f>
        <x:v>46309.666666666664</x:v>
      </x:c>
      <x:c r="O2669" s="16" t="n">
        <x:f>MAX(0,(M2669-N2669)*24)</x:f>
        <x:v>1.8000000001047738</x:v>
      </x:c>
      <x:c r="P2669" s="9" t="str">
        <x:v>No</x:v>
      </x:c>
      <x:c r="Q2669" s="15" t="n">
        <x:v>18</x:v>
      </x:c>
      <x:c r="R2669" s="13" t="n">
        <x:f>J2669+Q2669/1440</x:f>
        <x:v>46309.67152777778</x:v>
      </x:c>
      <x:c r="S2669" s="2" t="str">
        <x:f>VLOOKUP(C2669,'MES orders'!$A$8:$H$127,6,FALSE)</x:f>
        <x:v>Normal</x:v>
      </x:c>
      <x:c r="T2669" s="9" t="str"/>
    </x:row>
    <x:row r="2670" ht="22" customHeight="1">
      <x:c r="A2670" s="2" t="str">
        <x:v>L00186-040</x:v>
      </x:c>
      <x:c r="B2670" s="2" t="str">
        <x:v>L00186</x:v>
      </x:c>
      <x:c r="C2670" s="2" t="str">
        <x:v>SO-26038</x:v>
      </x:c>
      <x:c r="D2670" s="2" t="str">
        <x:v>R-C-SS</x:v>
      </x:c>
      <x:c r="E2670" s="14" t="n">
        <x:v>20</x:v>
      </x:c>
      <x:c r="F2670" s="2" t="str">
        <x:v>Mechanical assembly</x:v>
      </x:c>
      <x:c r="G2670" s="9" t="str">
        <x:v>AS-02</x:v>
      </x:c>
      <x:c r="H2670" s="15" t="n">
        <x:v>171</x:v>
      </x:c>
      <x:c r="I2670" s="9" t="str">
        <x:v>P16</x:v>
      </x:c>
      <x:c r="J2670" s="11" t="n">
        <x:v>46309.6625</x:v>
      </x:c>
      <x:c r="K2670" s="15" t="n">
        <x:v>8</x:v>
      </x:c>
      <x:c r="L2670" s="15" t="n">
        <x:v>29</x:v>
      </x:c>
      <x:c r="M2670" s="13" t="n">
        <x:f>J2670+(K2670+L2670)/1440</x:f>
        <x:v>46309.68819444444</x:v>
      </x:c>
      <x:c r="N2670" s="13" t="n">
        <x:f>VLOOKUP(C2670,'MES orders'!$A$8:$H$127,5,FALSE)</x:f>
        <x:v>46309.666666666664</x:v>
      </x:c>
      <x:c r="O2670" s="16" t="n">
        <x:f>MAX(0,(M2670-N2670)*24)</x:f>
        <x:v>0.5166666666045785</x:v>
      </x:c>
      <x:c r="P2670" s="9" t="str">
        <x:v>No</x:v>
      </x:c>
      <x:c r="Q2670" s="15" t="n">
        <x:v>37</x:v>
      </x:c>
      <x:c r="R2670" s="13" t="n">
        <x:f>J2670+Q2670/1440</x:f>
        <x:v>46309.68819444444</x:v>
      </x:c>
      <x:c r="S2670" s="2" t="str">
        <x:f>VLOOKUP(C2670,'MES orders'!$A$8:$H$127,6,FALSE)</x:f>
        <x:v>Normal</x:v>
      </x:c>
      <x:c r="T2670" s="9" t="str"/>
    </x:row>
    <x:row r="2671" ht="22" customHeight="1">
      <x:c r="A2671" s="2" t="str">
        <x:v>L00390-080</x:v>
      </x:c>
      <x:c r="B2671" s="2" t="str">
        <x:v>L00390</x:v>
      </x:c>
      <x:c r="C2671" s="2" t="str">
        <x:v>SO-26078</x:v>
      </x:c>
      <x:c r="D2671" s="2" t="str">
        <x:v>S-L-SS</x:v>
      </x:c>
      <x:c r="E2671" s="14" t="n">
        <x:v>20</x:v>
      </x:c>
      <x:c r="F2671" s="2" t="str">
        <x:v>Final leak / function test</x:v>
      </x:c>
      <x:c r="G2671" s="9" t="str">
        <x:v>QA-02</x:v>
      </x:c>
      <x:c r="H2671" s="15" t="n">
        <x:v>195</x:v>
      </x:c>
      <x:c r="I2671" s="9" t="str">
        <x:v>P23</x:v>
      </x:c>
      <x:c r="J2671" s="11" t="n">
        <x:v>46309.66458333333</x:v>
      </x:c>
      <x:c r="K2671" s="15" t="n">
        <x:v>10</x:v>
      </x:c>
      <x:c r="L2671" s="15" t="n">
        <x:v>24</x:v>
      </x:c>
      <x:c r="M2671" s="13" t="n">
        <x:f>J2671+(K2671+L2671)/1440</x:f>
        <x:v>46309.68819444444</x:v>
      </x:c>
      <x:c r="N2671" s="13" t="n">
        <x:f>VLOOKUP(C2671,'MES orders'!$A$8:$H$127,5,FALSE)</x:f>
        <x:v>46309.666666666664</x:v>
      </x:c>
      <x:c r="O2671" s="16" t="n">
        <x:f>MAX(0,(M2671-N2671)*24)</x:f>
        <x:v>0.5166666666045785</x:v>
      </x:c>
      <x:c r="P2671" s="9" t="str">
        <x:v>No</x:v>
      </x:c>
      <x:c r="Q2671" s="15" t="n">
        <x:v>34</x:v>
      </x:c>
      <x:c r="R2671" s="13" t="n">
        <x:f>J2671+Q2671/1440</x:f>
        <x:v>46309.68819444444</x:v>
      </x:c>
      <x:c r="S2671" s="2" t="str">
        <x:f>VLOOKUP(C2671,'MES orders'!$A$8:$H$127,6,FALSE)</x:f>
        <x:v>High</x:v>
      </x:c>
      <x:c r="T2671" s="9" t="str"/>
    </x:row>
    <x:row r="2672" ht="22" customHeight="1">
      <x:c r="A2672" s="2" t="str">
        <x:v>L00189-030</x:v>
      </x:c>
      <x:c r="B2672" s="2" t="str">
        <x:v>L00189</x:v>
      </x:c>
      <x:c r="C2672" s="2" t="str">
        <x:v>SO-26038</x:v>
      </x:c>
      <x:c r="D2672" s="2" t="str">
        <x:v>R-C-SS</x:v>
      </x:c>
      <x:c r="E2672" s="14" t="n">
        <x:v>20</x:v>
      </x:c>
      <x:c r="F2672" s="2" t="str">
        <x:v>Wash &amp; dry</x:v>
      </x:c>
      <x:c r="G2672" s="9" t="str">
        <x:v>WS-01</x:v>
      </x:c>
      <x:c r="H2672" s="15" t="n">
        <x:v>249</x:v>
      </x:c>
      <x:c r="I2672" s="9" t="str">
        <x:v>P17</x:v>
      </x:c>
      <x:c r="J2672" s="11" t="n">
        <x:v>46309.66458333333</x:v>
      </x:c>
      <x:c r="K2672" s="15" t="n">
        <x:v>12</x:v>
      </x:c>
      <x:c r="L2672" s="15" t="n">
        <x:v>6</x:v>
      </x:c>
      <x:c r="M2672" s="13" t="n">
        <x:f>J2672+(K2672+L2672)/1440</x:f>
        <x:v>46309.67708333333</x:v>
      </x:c>
      <x:c r="N2672" s="13" t="n">
        <x:f>VLOOKUP(C2672,'MES orders'!$A$8:$H$127,5,FALSE)</x:f>
        <x:v>46309.666666666664</x:v>
      </x:c>
      <x:c r="O2672" s="16" t="n">
        <x:f>MAX(0,(M2672-N2672)*24)</x:f>
        <x:v>0.24999999994179234</x:v>
      </x:c>
      <x:c r="P2672" s="9" t="str">
        <x:v>No</x:v>
      </x:c>
      <x:c r="Q2672" s="15" t="n">
        <x:v>18</x:v>
      </x:c>
      <x:c r="R2672" s="13" t="n">
        <x:f>J2672+Q2672/1440</x:f>
        <x:v>46309.67708333333</x:v>
      </x:c>
      <x:c r="S2672" s="2" t="str">
        <x:f>VLOOKUP(C2672,'MES orders'!$A$8:$H$127,6,FALSE)</x:f>
        <x:v>Normal</x:v>
      </x:c>
      <x:c r="T2672" s="9" t="str"/>
    </x:row>
    <x:row r="2673" ht="22" customHeight="1">
      <x:c r="A2673" s="2" t="str">
        <x:v>L00227-050</x:v>
      </x:c>
      <x:c r="B2673" s="2" t="str">
        <x:v>L00227</x:v>
      </x:c>
      <x:c r="C2673" s="2" t="str">
        <x:v>SO-26046</x:v>
      </x:c>
      <x:c r="D2673" s="2" t="str">
        <x:v>R-S-SS</x:v>
      </x:c>
      <x:c r="E2673" s="14" t="n">
        <x:v>25</x:v>
      </x:c>
      <x:c r="F2673" s="2" t="str">
        <x:v>Valve adjustment</x:v>
      </x:c>
      <x:c r="G2673" s="9" t="str">
        <x:v>AS-05</x:v>
      </x:c>
      <x:c r="H2673" s="15" t="n">
        <x:v>52</x:v>
      </x:c>
      <x:c r="I2673" s="9" t="str">
        <x:v>P20</x:v>
      </x:c>
      <x:c r="J2673" s="11" t="n">
        <x:v>46309.66527777778</x:v>
      </x:c>
      <x:c r="K2673" s="15" t="n">
        <x:v>6</x:v>
      </x:c>
      <x:c r="L2673" s="15" t="n">
        <x:v>28</x:v>
      </x:c>
      <x:c r="M2673" s="13" t="n">
        <x:f>J2673+(K2673+L2673)/1440</x:f>
        <x:v>46309.688888888886</x:v>
      </x:c>
      <x:c r="N2673" s="13" t="n">
        <x:f>VLOOKUP(C2673,'MES orders'!$A$8:$H$127,5,FALSE)</x:f>
        <x:v>46309.666666666664</x:v>
      </x:c>
      <x:c r="O2673" s="16" t="n">
        <x:f>MAX(0,(M2673-N2673)*24)</x:f>
        <x:v>0.5333333333255723</x:v>
      </x:c>
      <x:c r="P2673" s="9" t="str">
        <x:v>No</x:v>
      </x:c>
      <x:c r="Q2673" s="15" t="n">
        <x:v>34</x:v>
      </x:c>
      <x:c r="R2673" s="13" t="n">
        <x:f>J2673+Q2673/1440</x:f>
        <x:v>46309.688888888886</x:v>
      </x:c>
      <x:c r="S2673" s="2" t="str">
        <x:f>VLOOKUP(C2673,'MES orders'!$A$8:$H$127,6,FALSE)</x:f>
        <x:v>Normal</x:v>
      </x:c>
      <x:c r="T2673" s="9" t="str"/>
    </x:row>
    <x:row r="2674" ht="22" customHeight="1">
      <x:c r="A2674" s="2" t="str">
        <x:v>L00267-010</x:v>
      </x:c>
      <x:c r="B2674" s="2" t="str">
        <x:v>L00267</x:v>
      </x:c>
      <x:c r="C2674" s="2" t="str">
        <x:v>SO-26054</x:v>
      </x:c>
      <x:c r="D2674" s="2" t="str">
        <x:v>R-L-SS</x:v>
      </x:c>
      <x:c r="E2674" s="14" t="n">
        <x:v>25</x:v>
      </x:c>
      <x:c r="F2674" s="2" t="str">
        <x:v>CNC machining</x:v>
      </x:c>
      <x:c r="G2674" s="9" t="str">
        <x:v>CNC-04</x:v>
      </x:c>
      <x:c r="H2674" s="15" t="n">
        <x:v>81</x:v>
      </x:c>
      <x:c r="I2674" s="9" t="str">
        <x:v>P13</x:v>
      </x:c>
      <x:c r="J2674" s="11" t="n">
        <x:v>46309.66527777778</x:v>
      </x:c>
      <x:c r="K2674" s="15" t="n">
        <x:v>18</x:v>
      </x:c>
      <x:c r="L2674" s="15" t="n">
        <x:v>101</x:v>
      </x:c>
      <x:c r="M2674" s="13" t="n">
        <x:f>J2674+(K2674+L2674)/1440</x:f>
        <x:v>46309.74791666667</x:v>
      </x:c>
      <x:c r="N2674" s="13" t="n">
        <x:f>VLOOKUP(C2674,'MES orders'!$A$8:$H$127,5,FALSE)</x:f>
        <x:v>46309.666666666664</x:v>
      </x:c>
      <x:c r="O2674" s="16" t="n">
        <x:f>MAX(0,(M2674-N2674)*24)</x:f>
        <x:v>1.9500000000698492</x:v>
      </x:c>
      <x:c r="P2674" s="9" t="str">
        <x:v>No</x:v>
      </x:c>
      <x:c r="Q2674" s="15" t="n">
        <x:v>18</x:v>
      </x:c>
      <x:c r="R2674" s="13" t="n">
        <x:f>J2674+Q2674/1440</x:f>
        <x:v>46309.677777777775</x:v>
      </x:c>
      <x:c r="S2674" s="2" t="str">
        <x:f>VLOOKUP(C2674,'MES orders'!$A$8:$H$127,6,FALSE)</x:f>
        <x:v>Normal</x:v>
      </x:c>
      <x:c r="T2674" s="9" t="str"/>
    </x:row>
    <x:row r="2675" ht="22" customHeight="1">
      <x:c r="A2675" s="2" t="str">
        <x:v>L00152-060</x:v>
      </x:c>
      <x:c r="B2675" s="2" t="str">
        <x:v>L00152</x:v>
      </x:c>
      <x:c r="C2675" s="2" t="str">
        <x:v>SO-26031</x:v>
      </x:c>
      <x:c r="D2675" s="2" t="str">
        <x:v>S-C-AL</x:v>
      </x:c>
      <x:c r="E2675" s="14" t="n">
        <x:v>15</x:v>
      </x:c>
      <x:c r="F2675" s="2" t="str">
        <x:v>Sensor calibration</x:v>
      </x:c>
      <x:c r="G2675" s="9" t="str">
        <x:v>CAL-01</x:v>
      </x:c>
      <x:c r="H2675" s="15" t="n">
        <x:v>137</x:v>
      </x:c>
      <x:c r="I2675" s="9" t="str">
        <x:v>P21</x:v>
      </x:c>
      <x:c r="J2675" s="11" t="n">
        <x:v>46309.666666666664</x:v>
      </x:c>
      <x:c r="K2675" s="15" t="n">
        <x:v>10</x:v>
      </x:c>
      <x:c r="L2675" s="15" t="n">
        <x:v>16</x:v>
      </x:c>
      <x:c r="M2675" s="13" t="n">
        <x:f>J2675+(K2675+L2675)/1440</x:f>
        <x:v>46309.68472222222</x:v>
      </x:c>
      <x:c r="N2675" s="13" t="n">
        <x:f>VLOOKUP(C2675,'MES orders'!$A$8:$H$127,5,FALSE)</x:f>
        <x:v>46310.666666666664</x:v>
      </x:c>
      <x:c r="O2675" s="16" t="n">
        <x:f>MAX(0,(M2675-N2675)*24)</x:f>
        <x:v>0</x:v>
      </x:c>
      <x:c r="P2675" s="9" t="str">
        <x:v>No</x:v>
      </x:c>
      <x:c r="Q2675" s="15" t="n">
        <x:v>26</x:v>
      </x:c>
      <x:c r="R2675" s="13" t="n">
        <x:f>J2675+Q2675/1440</x:f>
        <x:v>46309.68472222222</x:v>
      </x:c>
      <x:c r="S2675" s="2" t="str">
        <x:f>VLOOKUP(C2675,'MES orders'!$A$8:$H$127,6,FALSE)</x:f>
        <x:v>Normal</x:v>
      </x:c>
      <x:c r="T2675" s="9" t="str"/>
    </x:row>
    <x:row r="2676" ht="22" customHeight="1">
      <x:c r="A2676" s="2" t="str">
        <x:v>L00149-050</x:v>
      </x:c>
      <x:c r="B2676" s="2" t="str">
        <x:v>L00149</x:v>
      </x:c>
      <x:c r="C2676" s="2" t="str">
        <x:v>SO-26030</x:v>
      </x:c>
      <x:c r="D2676" s="2" t="str">
        <x:v>D-L-SS</x:v>
      </x:c>
      <x:c r="E2676" s="14" t="n">
        <x:v>20</x:v>
      </x:c>
      <x:c r="F2676" s="2" t="str">
        <x:v>Final leak / function test</x:v>
      </x:c>
      <x:c r="G2676" s="9" t="str">
        <x:v>QA-01</x:v>
      </x:c>
      <x:c r="H2676" s="15" t="n">
        <x:v>104</x:v>
      </x:c>
      <x:c r="I2676" s="9" t="str">
        <x:v>P24</x:v>
      </x:c>
      <x:c r="J2676" s="11" t="n">
        <x:v>46309.67013888889</x:v>
      </x:c>
      <x:c r="K2676" s="15" t="n">
        <x:v>10</x:v>
      </x:c>
      <x:c r="L2676" s="15" t="n">
        <x:v>24</x:v>
      </x:c>
      <x:c r="M2676" s="13" t="n">
        <x:f>J2676+(K2676+L2676)/1440</x:f>
        <x:v>46309.69375</x:v>
      </x:c>
      <x:c r="N2676" s="13" t="n">
        <x:f>VLOOKUP(C2676,'MES orders'!$A$8:$H$127,5,FALSE)</x:f>
        <x:v>46309.666666666664</x:v>
      </x:c>
      <x:c r="O2676" s="16" t="n">
        <x:f>MAX(0,(M2676-N2676)*24)</x:f>
        <x:v>0.6500000000232831</x:v>
      </x:c>
      <x:c r="P2676" s="9" t="str">
        <x:v>No</x:v>
      </x:c>
      <x:c r="Q2676" s="15" t="n">
        <x:v>34</x:v>
      </x:c>
      <x:c r="R2676" s="13" t="n">
        <x:f>J2676+Q2676/1440</x:f>
        <x:v>46309.69375</x:v>
      </x:c>
      <x:c r="S2676" s="2" t="str">
        <x:f>VLOOKUP(C2676,'MES orders'!$A$8:$H$127,6,FALSE)</x:f>
        <x:v>Normal</x:v>
      </x:c>
      <x:c r="T2676" s="9" t="str"/>
    </x:row>
    <x:row r="2677" ht="22" customHeight="1">
      <x:c r="A2677" s="2" t="str">
        <x:v>L00268-010</x:v>
      </x:c>
      <x:c r="B2677" s="2" t="str">
        <x:v>L00268</x:v>
      </x:c>
      <x:c r="C2677" s="2" t="str">
        <x:v>SO-26054</x:v>
      </x:c>
      <x:c r="D2677" s="2" t="str">
        <x:v>R-L-SS</x:v>
      </x:c>
      <x:c r="E2677" s="14" t="n">
        <x:v>25</x:v>
      </x:c>
      <x:c r="F2677" s="2" t="str">
        <x:v>CNC machining</x:v>
      </x:c>
      <x:c r="G2677" s="9" t="str">
        <x:v>CNC-05</x:v>
      </x:c>
      <x:c r="H2677" s="15" t="n">
        <x:v>74</x:v>
      </x:c>
      <x:c r="I2677" s="9" t="str">
        <x:v>P15</x:v>
      </x:c>
      <x:c r="J2677" s="11" t="n">
        <x:v>46309.67152777778</x:v>
      </x:c>
      <x:c r="K2677" s="15" t="n">
        <x:v>18</x:v>
      </x:c>
      <x:c r="L2677" s="15" t="n">
        <x:v>101</x:v>
      </x:c>
      <x:c r="M2677" s="13" t="n">
        <x:f>J2677+(K2677+L2677)/1440</x:f>
        <x:v>46309.754166666666</x:v>
      </x:c>
      <x:c r="N2677" s="13" t="n">
        <x:f>VLOOKUP(C2677,'MES orders'!$A$8:$H$127,5,FALSE)</x:f>
        <x:v>46309.666666666664</x:v>
      </x:c>
      <x:c r="O2677" s="16" t="n">
        <x:f>MAX(0,(M2677-N2677)*24)</x:f>
        <x:v>2.1000000000349246</x:v>
      </x:c>
      <x:c r="P2677" s="9" t="str">
        <x:v>No</x:v>
      </x:c>
      <x:c r="Q2677" s="15" t="n">
        <x:v>18</x:v>
      </x:c>
      <x:c r="R2677" s="13" t="n">
        <x:f>J2677+Q2677/1440</x:f>
        <x:v>46309.684027777774</x:v>
      </x:c>
      <x:c r="S2677" s="2" t="str">
        <x:f>VLOOKUP(C2677,'MES orders'!$A$8:$H$127,6,FALSE)</x:f>
        <x:v>Normal</x:v>
      </x:c>
      <x:c r="T2677" s="9" t="str"/>
    </x:row>
    <x:row r="2678" ht="22" customHeight="1">
      <x:c r="A2678" s="2" t="str">
        <x:v>L00034-050</x:v>
      </x:c>
      <x:c r="B2678" s="2" t="str">
        <x:v>L00034</x:v>
      </x:c>
      <x:c r="C2678" s="2" t="str">
        <x:v>SO-26007</x:v>
      </x:c>
      <x:c r="D2678" s="2" t="str">
        <x:v>R-C-AL</x:v>
      </x:c>
      <x:c r="E2678" s="14" t="n">
        <x:v>5</x:v>
      </x:c>
      <x:c r="F2678" s="2" t="str">
        <x:v>Valve adjustment</x:v>
      </x:c>
      <x:c r="G2678" s="9" t="str">
        <x:v>AS-01</x:v>
      </x:c>
      <x:c r="H2678" s="15" t="n">
        <x:v>214</x:v>
      </x:c>
      <x:c r="I2678" s="9" t="str">
        <x:v>P17</x:v>
      </x:c>
      <x:c r="J2678" s="11" t="n">
        <x:v>46309.677083333336</x:v>
      </x:c>
      <x:c r="K2678" s="15" t="n">
        <x:v>6</x:v>
      </x:c>
      <x:c r="L2678" s="15" t="n">
        <x:v>4</x:v>
      </x:c>
      <x:c r="M2678" s="13" t="n">
        <x:f>J2678+(K2678+L2678)/1440</x:f>
        <x:v>46309.68402777778</x:v>
      </x:c>
      <x:c r="N2678" s="13" t="n">
        <x:f>VLOOKUP(C2678,'MES orders'!$A$8:$H$127,5,FALSE)</x:f>
        <x:v>46310.666666666664</x:v>
      </x:c>
      <x:c r="O2678" s="16" t="n">
        <x:f>MAX(0,(M2678-N2678)*24)</x:f>
        <x:v>0</x:v>
      </x:c>
      <x:c r="P2678" s="9" t="str">
        <x:v>No</x:v>
      </x:c>
      <x:c r="Q2678" s="15" t="n">
        <x:v>10</x:v>
      </x:c>
      <x:c r="R2678" s="13" t="n">
        <x:f>J2678+Q2678/1440</x:f>
        <x:v>46309.68402777778</x:v>
      </x:c>
      <x:c r="S2678" s="2" t="str">
        <x:f>VLOOKUP(C2678,'MES orders'!$A$8:$H$127,6,FALSE)</x:f>
        <x:v>Normal</x:v>
      </x:c>
      <x:c r="T2678" s="9" t="str"/>
    </x:row>
    <x:row r="2679" ht="22" customHeight="1">
      <x:c r="A2679" s="2" t="str">
        <x:v>L00188-040</x:v>
      </x:c>
      <x:c r="B2679" s="2" t="str">
        <x:v>L00188</x:v>
      </x:c>
      <x:c r="C2679" s="2" t="str">
        <x:v>SO-26038</x:v>
      </x:c>
      <x:c r="D2679" s="2" t="str">
        <x:v>R-C-SS</x:v>
      </x:c>
      <x:c r="E2679" s="14" t="n">
        <x:v>20</x:v>
      </x:c>
      <x:c r="F2679" s="2" t="str">
        <x:v>Mechanical assembly</x:v>
      </x:c>
      <x:c r="G2679" s="9" t="str">
        <x:v>AS-03</x:v>
      </x:c>
      <x:c r="H2679" s="15" t="n">
        <x:v>142</x:v>
      </x:c>
      <x:c r="I2679" s="9" t="str">
        <x:v>P18</x:v>
      </x:c>
      <x:c r="J2679" s="11" t="n">
        <x:v>46309.677083333336</x:v>
      </x:c>
      <x:c r="K2679" s="15" t="n">
        <x:v>8</x:v>
      </x:c>
      <x:c r="L2679" s="15" t="n">
        <x:v>29</x:v>
      </x:c>
      <x:c r="M2679" s="13" t="n">
        <x:f>J2679+(K2679+L2679)/1440</x:f>
        <x:v>46309.70277777778</x:v>
      </x:c>
      <x:c r="N2679" s="13" t="n">
        <x:f>VLOOKUP(C2679,'MES orders'!$A$8:$H$127,5,FALSE)</x:f>
        <x:v>46309.666666666664</x:v>
      </x:c>
      <x:c r="O2679" s="16" t="n">
        <x:f>MAX(0,(M2679-N2679)*24)</x:f>
        <x:v>0.8666666666977108</x:v>
      </x:c>
      <x:c r="P2679" s="9" t="str">
        <x:v>No</x:v>
      </x:c>
      <x:c r="Q2679" s="15" t="n">
        <x:v>37</x:v>
      </x:c>
      <x:c r="R2679" s="13" t="n">
        <x:f>J2679+Q2679/1440</x:f>
        <x:v>46309.70277777778</x:v>
      </x:c>
      <x:c r="S2679" s="2" t="str">
        <x:f>VLOOKUP(C2679,'MES orders'!$A$8:$H$127,6,FALSE)</x:f>
        <x:v>Normal</x:v>
      </x:c>
      <x:c r="T2679" s="9" t="str"/>
    </x:row>
    <x:row r="2680" ht="22" customHeight="1">
      <x:c r="A2680" s="2" t="str">
        <x:v>L00269-010</x:v>
      </x:c>
      <x:c r="B2680" s="2" t="str">
        <x:v>L00269</x:v>
      </x:c>
      <x:c r="C2680" s="2" t="str">
        <x:v>SO-26054</x:v>
      </x:c>
      <x:c r="D2680" s="2" t="str">
        <x:v>R-L-SS</x:v>
      </x:c>
      <x:c r="E2680" s="14" t="n">
        <x:v>25</x:v>
      </x:c>
      <x:c r="F2680" s="2" t="str">
        <x:v>CNC machining</x:v>
      </x:c>
      <x:c r="G2680" s="9" t="str">
        <x:v>CNC-06</x:v>
      </x:c>
      <x:c r="H2680" s="15" t="n">
        <x:v>68</x:v>
      </x:c>
      <x:c r="I2680" s="9" t="str">
        <x:v>P13</x:v>
      </x:c>
      <x:c r="J2680" s="11" t="n">
        <x:v>46309.677777777775</x:v>
      </x:c>
      <x:c r="K2680" s="15" t="n">
        <x:v>18</x:v>
      </x:c>
      <x:c r="L2680" s="15" t="n">
        <x:v>101</x:v>
      </x:c>
      <x:c r="M2680" s="13" t="n">
        <x:f>J2680+(K2680+L2680)/1440</x:f>
        <x:v>46309.760416666664</x:v>
      </x:c>
      <x:c r="N2680" s="13" t="n">
        <x:f>VLOOKUP(C2680,'MES orders'!$A$8:$H$127,5,FALSE)</x:f>
        <x:v>46309.666666666664</x:v>
      </x:c>
      <x:c r="O2680" s="16" t="n">
        <x:f>MAX(0,(M2680-N2680)*24)</x:f>
        <x:v>2.25</x:v>
      </x:c>
      <x:c r="P2680" s="9" t="str">
        <x:v>No</x:v>
      </x:c>
      <x:c r="Q2680" s="15" t="n">
        <x:v>18</x:v>
      </x:c>
      <x:c r="R2680" s="13" t="n">
        <x:f>J2680+Q2680/1440</x:f>
        <x:v>46309.69027777777</x:v>
      </x:c>
      <x:c r="S2680" s="2" t="str">
        <x:f>VLOOKUP(C2680,'MES orders'!$A$8:$H$127,6,FALSE)</x:f>
        <x:v>Normal</x:v>
      </x:c>
      <x:c r="T2680" s="9" t="str"/>
    </x:row>
    <x:row r="2681" ht="22" customHeight="1">
      <x:c r="A2681" s="2" t="str">
        <x:v>L00153-010</x:v>
      </x:c>
      <x:c r="B2681" s="2" t="str">
        <x:v>L00153</x:v>
      </x:c>
      <x:c r="C2681" s="2" t="str">
        <x:v>SO-26031</x:v>
      </x:c>
      <x:c r="D2681" s="2" t="str">
        <x:v>S-C-AL</x:v>
      </x:c>
      <x:c r="E2681" s="14" t="n">
        <x:v>15</x:v>
      </x:c>
      <x:c r="F2681" s="2" t="str">
        <x:v>CNC machining</x:v>
      </x:c>
      <x:c r="G2681" s="9" t="str">
        <x:v>CNC-01</x:v>
      </x:c>
      <x:c r="H2681" s="15" t="n">
        <x:v>74</x:v>
      </x:c>
      <x:c r="I2681" s="9" t="str">
        <x:v>P15</x:v>
      </x:c>
      <x:c r="J2681" s="11" t="n">
        <x:v>46309.68402777778</x:v>
      </x:c>
      <x:c r="K2681" s="15" t="n">
        <x:v>18</x:v>
      </x:c>
      <x:c r="L2681" s="15" t="n">
        <x:v>29</x:v>
      </x:c>
      <x:c r="M2681" s="13" t="n">
        <x:f>J2681+(K2681+L2681)/1440</x:f>
        <x:v>46309.71666666667</x:v>
      </x:c>
      <x:c r="N2681" s="13" t="n">
        <x:f>VLOOKUP(C2681,'MES orders'!$A$8:$H$127,5,FALSE)</x:f>
        <x:v>46310.666666666664</x:v>
      </x:c>
      <x:c r="O2681" s="16" t="n">
        <x:f>MAX(0,(M2681-N2681)*24)</x:f>
        <x:v>0</x:v>
      </x:c>
      <x:c r="P2681" s="9" t="str">
        <x:v>No</x:v>
      </x:c>
      <x:c r="Q2681" s="15" t="n">
        <x:v>18</x:v>
      </x:c>
      <x:c r="R2681" s="13" t="n">
        <x:f>J2681+Q2681/1440</x:f>
        <x:v>46309.69652777778</x:v>
      </x:c>
      <x:c r="S2681" s="2" t="str">
        <x:f>VLOOKUP(C2681,'MES orders'!$A$8:$H$127,6,FALSE)</x:f>
        <x:v>Normal</x:v>
      </x:c>
      <x:c r="T2681" s="9" t="str"/>
    </x:row>
    <x:row r="2682" ht="22" customHeight="1">
      <x:c r="A2682" s="2" t="str">
        <x:v>L00186-050</x:v>
      </x:c>
      <x:c r="B2682" s="2" t="str">
        <x:v>L00186</x:v>
      </x:c>
      <x:c r="C2682" s="2" t="str">
        <x:v>SO-26038</x:v>
      </x:c>
      <x:c r="D2682" s="2" t="str">
        <x:v>R-C-SS</x:v>
      </x:c>
      <x:c r="E2682" s="14" t="n">
        <x:v>20</x:v>
      </x:c>
      <x:c r="F2682" s="2" t="str">
        <x:v>Valve adjustment</x:v>
      </x:c>
      <x:c r="G2682" s="9" t="str">
        <x:v>AS-01</x:v>
      </x:c>
      <x:c r="H2682" s="15" t="n">
        <x:v>215</x:v>
      </x:c>
      <x:c r="I2682" s="9" t="str">
        <x:v>P17</x:v>
      </x:c>
      <x:c r="J2682" s="11" t="n">
        <x:v>46309.68819444445</x:v>
      </x:c>
      <x:c r="K2682" s="15" t="n">
        <x:v>6</x:v>
      </x:c>
      <x:c r="L2682" s="15" t="n">
        <x:v>18</x:v>
      </x:c>
      <x:c r="M2682" s="13" t="n">
        <x:f>J2682+(K2682+L2682)/1440</x:f>
        <x:v>46309.70486111112</x:v>
      </x:c>
      <x:c r="N2682" s="13" t="n">
        <x:f>VLOOKUP(C2682,'MES orders'!$A$8:$H$127,5,FALSE)</x:f>
        <x:v>46309.666666666664</x:v>
      </x:c>
      <x:c r="O2682" s="16" t="n">
        <x:f>MAX(0,(M2682-N2682)*24)</x:f>
        <x:v>0.9166666668606922</x:v>
      </x:c>
      <x:c r="P2682" s="9" t="str">
        <x:v>No</x:v>
      </x:c>
      <x:c r="Q2682" s="15" t="n">
        <x:v>24</x:v>
      </x:c>
      <x:c r="R2682" s="13" t="n">
        <x:f>J2682+Q2682/1440</x:f>
        <x:v>46309.70486111112</x:v>
      </x:c>
      <x:c r="S2682" s="2" t="str">
        <x:f>VLOOKUP(C2682,'MES orders'!$A$8:$H$127,6,FALSE)</x:f>
        <x:v>Normal</x:v>
      </x:c>
      <x:c r="T2682" s="9" t="str"/>
    </x:row>
    <x:row r="2683" ht="22" customHeight="1">
      <x:c r="A2683" s="2" t="str">
        <x:v>L00189-040</x:v>
      </x:c>
      <x:c r="B2683" s="2" t="str">
        <x:v>L00189</x:v>
      </x:c>
      <x:c r="C2683" s="2" t="str">
        <x:v>SO-26038</x:v>
      </x:c>
      <x:c r="D2683" s="2" t="str">
        <x:v>R-C-SS</x:v>
      </x:c>
      <x:c r="E2683" s="14" t="n">
        <x:v>20</x:v>
      </x:c>
      <x:c r="F2683" s="2" t="str">
        <x:v>Mechanical assembly</x:v>
      </x:c>
      <x:c r="G2683" s="9" t="str">
        <x:v>AS-04</x:v>
      </x:c>
      <x:c r="H2683" s="15" t="n">
        <x:v>98</x:v>
      </x:c>
      <x:c r="I2683" s="9" t="str">
        <x:v>P16</x:v>
      </x:c>
      <x:c r="J2683" s="11" t="n">
        <x:v>46309.68819444445</x:v>
      </x:c>
      <x:c r="K2683" s="15" t="n">
        <x:v>8</x:v>
      </x:c>
      <x:c r="L2683" s="15" t="n">
        <x:v>29</x:v>
      </x:c>
      <x:c r="M2683" s="13" t="n">
        <x:f>J2683+(K2683+L2683)/1440</x:f>
        <x:v>46309.71388888889</x:v>
      </x:c>
      <x:c r="N2683" s="13" t="n">
        <x:f>VLOOKUP(C2683,'MES orders'!$A$8:$H$127,5,FALSE)</x:f>
        <x:v>46309.666666666664</x:v>
      </x:c>
      <x:c r="O2683" s="16" t="n">
        <x:f>MAX(0,(M2683-N2683)*24)</x:f>
        <x:v>1.133333333360497</x:v>
      </x:c>
      <x:c r="P2683" s="9" t="str">
        <x:v>No</x:v>
      </x:c>
      <x:c r="Q2683" s="15" t="n">
        <x:v>37</x:v>
      </x:c>
      <x:c r="R2683" s="13" t="n">
        <x:f>J2683+Q2683/1440</x:f>
        <x:v>46309.71388888889</x:v>
      </x:c>
      <x:c r="S2683" s="2" t="str">
        <x:f>VLOOKUP(C2683,'MES orders'!$A$8:$H$127,6,FALSE)</x:f>
        <x:v>Normal</x:v>
      </x:c>
      <x:c r="T2683" s="9" t="str"/>
    </x:row>
    <x:row r="2684" ht="22" customHeight="1">
      <x:c r="A2684" s="2" t="str">
        <x:v>L00150-050</x:v>
      </x:c>
      <x:c r="B2684" s="2" t="str">
        <x:v>L00150</x:v>
      </x:c>
      <x:c r="C2684" s="2" t="str">
        <x:v>SO-26030</x:v>
      </x:c>
      <x:c r="D2684" s="2" t="str">
        <x:v>D-L-SS</x:v>
      </x:c>
      <x:c r="E2684" s="14" t="n">
        <x:v>20</x:v>
      </x:c>
      <x:c r="F2684" s="2" t="str">
        <x:v>Final leak / function test</x:v>
      </x:c>
      <x:c r="G2684" s="9" t="str">
        <x:v>QA-02</x:v>
      </x:c>
      <x:c r="H2684" s="15" t="n">
        <x:v>196</x:v>
      </x:c>
      <x:c r="I2684" s="9" t="str">
        <x:v>P23</x:v>
      </x:c>
      <x:c r="J2684" s="11" t="n">
        <x:v>46309.68819444445</x:v>
      </x:c>
      <x:c r="K2684" s="15" t="n">
        <x:v>10</x:v>
      </x:c>
      <x:c r="L2684" s="15" t="n">
        <x:v>24</x:v>
      </x:c>
      <x:c r="M2684" s="13" t="n">
        <x:f>J2684+(K2684+L2684)/1440</x:f>
        <x:v>46309.711805555555</x:v>
      </x:c>
      <x:c r="N2684" s="13" t="n">
        <x:f>VLOOKUP(C2684,'MES orders'!$A$8:$H$127,5,FALSE)</x:f>
        <x:v>46309.666666666664</x:v>
      </x:c>
      <x:c r="O2684" s="16" t="n">
        <x:f>MAX(0,(M2684-N2684)*24)</x:f>
        <x:v>1.0833333333721384</x:v>
      </x:c>
      <x:c r="P2684" s="9" t="str">
        <x:v>No</x:v>
      </x:c>
      <x:c r="Q2684" s="15" t="n">
        <x:v>34</x:v>
      </x:c>
      <x:c r="R2684" s="13" t="n">
        <x:f>J2684+Q2684/1440</x:f>
        <x:v>46309.711805555555</x:v>
      </x:c>
      <x:c r="S2684" s="2" t="str">
        <x:f>VLOOKUP(C2684,'MES orders'!$A$8:$H$127,6,FALSE)</x:f>
        <x:v>Normal</x:v>
      </x:c>
      <x:c r="T2684" s="9" t="str"/>
    </x:row>
    <x:row r="2685" ht="22" customHeight="1">
      <x:c r="A2685" s="2" t="str">
        <x:v>L00152-070</x:v>
      </x:c>
      <x:c r="B2685" s="2" t="str">
        <x:v>L00152</x:v>
      </x:c>
      <x:c r="C2685" s="2" t="str">
        <x:v>SO-26031</x:v>
      </x:c>
      <x:c r="D2685" s="2" t="str">
        <x:v>S-C-AL</x:v>
      </x:c>
      <x:c r="E2685" s="14" t="n">
        <x:v>15</x:v>
      </x:c>
      <x:c r="F2685" s="2" t="str">
        <x:v>Final assembly</x:v>
      </x:c>
      <x:c r="G2685" s="9" t="str">
        <x:v>AS-02</x:v>
      </x:c>
      <x:c r="H2685" s="15" t="n">
        <x:v>172</x:v>
      </x:c>
      <x:c r="I2685" s="9" t="str">
        <x:v>P20</x:v>
      </x:c>
      <x:c r="J2685" s="11" t="n">
        <x:v>46309.688888888886</x:v>
      </x:c>
      <x:c r="K2685" s="15" t="n">
        <x:v>5</x:v>
      </x:c>
      <x:c r="L2685" s="15" t="n">
        <x:v>10</x:v>
      </x:c>
      <x:c r="M2685" s="13" t="n">
        <x:f>J2685+(K2685+L2685)/1440</x:f>
        <x:v>46309.69930555555</x:v>
      </x:c>
      <x:c r="N2685" s="13" t="n">
        <x:f>VLOOKUP(C2685,'MES orders'!$A$8:$H$127,5,FALSE)</x:f>
        <x:v>46310.666666666664</x:v>
      </x:c>
      <x:c r="O2685" s="16" t="n">
        <x:f>MAX(0,(M2685-N2685)*24)</x:f>
        <x:v>0</x:v>
      </x:c>
      <x:c r="P2685" s="9" t="str">
        <x:v>No</x:v>
      </x:c>
      <x:c r="Q2685" s="15" t="n">
        <x:v>15</x:v>
      </x:c>
      <x:c r="R2685" s="13" t="n">
        <x:f>J2685+Q2685/1440</x:f>
        <x:v>46309.69930555555</x:v>
      </x:c>
      <x:c r="S2685" s="2" t="str">
        <x:f>VLOOKUP(C2685,'MES orders'!$A$8:$H$127,6,FALSE)</x:f>
        <x:v>Normal</x:v>
      </x:c>
      <x:c r="T2685" s="9" t="str"/>
    </x:row>
    <x:row r="2686" ht="22" customHeight="1">
      <x:c r="A2686" s="2" t="str">
        <x:v>L00154-010</x:v>
      </x:c>
      <x:c r="B2686" s="2" t="str">
        <x:v>L00154</x:v>
      </x:c>
      <x:c r="C2686" s="2" t="str">
        <x:v>SO-26031</x:v>
      </x:c>
      <x:c r="D2686" s="2" t="str">
        <x:v>S-C-AL</x:v>
      </x:c>
      <x:c r="E2686" s="14" t="n">
        <x:v>15</x:v>
      </x:c>
      <x:c r="F2686" s="2" t="str">
        <x:v>CNC machining</x:v>
      </x:c>
      <x:c r="G2686" s="9" t="str">
        <x:v>CNC-02</x:v>
      </x:c>
      <x:c r="H2686" s="15" t="n">
        <x:v>52</x:v>
      </x:c>
      <x:c r="I2686" s="9" t="str">
        <x:v>P13</x:v>
      </x:c>
      <x:c r="J2686" s="11" t="n">
        <x:v>46309.69027777778</x:v>
      </x:c>
      <x:c r="K2686" s="15" t="n">
        <x:v>18</x:v>
      </x:c>
      <x:c r="L2686" s="15" t="n">
        <x:v>29</x:v>
      </x:c>
      <x:c r="M2686" s="13" t="n">
        <x:f>J2686+(K2686+L2686)/1440</x:f>
        <x:v>46309.722916666666</x:v>
      </x:c>
      <x:c r="N2686" s="13" t="n">
        <x:f>VLOOKUP(C2686,'MES orders'!$A$8:$H$127,5,FALSE)</x:f>
        <x:v>46310.666666666664</x:v>
      </x:c>
      <x:c r="O2686" s="16" t="n">
        <x:f>MAX(0,(M2686-N2686)*24)</x:f>
        <x:v>0</x:v>
      </x:c>
      <x:c r="P2686" s="9" t="str">
        <x:v>No</x:v>
      </x:c>
      <x:c r="Q2686" s="15" t="n">
        <x:v>18</x:v>
      </x:c>
      <x:c r="R2686" s="13" t="n">
        <x:f>J2686+Q2686/1440</x:f>
        <x:v>46309.70277777778</x:v>
      </x:c>
      <x:c r="S2686" s="2" t="str">
        <x:f>VLOOKUP(C2686,'MES orders'!$A$8:$H$127,6,FALSE)</x:f>
        <x:v>Normal</x:v>
      </x:c>
      <x:c r="T2686" s="9" t="str"/>
    </x:row>
    <x:row r="2687" ht="22" customHeight="1">
      <x:c r="A2687" s="2" t="str">
        <x:v>L00034-060</x:v>
      </x:c>
      <x:c r="B2687" s="2" t="str">
        <x:v>L00034</x:v>
      </x:c>
      <x:c r="C2687" s="2" t="str">
        <x:v>SO-26007</x:v>
      </x:c>
      <x:c r="D2687" s="2" t="str">
        <x:v>R-C-AL</x:v>
      </x:c>
      <x:c r="E2687" s="14" t="n">
        <x:v>5</x:v>
      </x:c>
      <x:c r="F2687" s="2" t="str">
        <x:v>Final leak / function test</x:v>
      </x:c>
      <x:c r="G2687" s="9" t="str">
        <x:v>QA-03</x:v>
      </x:c>
      <x:c r="H2687" s="15" t="n">
        <x:v>117</x:v>
      </x:c>
      <x:c r="I2687" s="9" t="str">
        <x:v>P24</x:v>
      </x:c>
      <x:c r="J2687" s="11" t="n">
        <x:v>46309.69375</x:v>
      </x:c>
      <x:c r="K2687" s="15" t="n">
        <x:v>10</x:v>
      </x:c>
      <x:c r="L2687" s="15" t="n">
        <x:v>4</x:v>
      </x:c>
      <x:c r="M2687" s="13" t="n">
        <x:f>J2687+(K2687+L2687)/1440</x:f>
        <x:v>46309.70347222222</x:v>
      </x:c>
      <x:c r="N2687" s="13" t="n">
        <x:f>VLOOKUP(C2687,'MES orders'!$A$8:$H$127,5,FALSE)</x:f>
        <x:v>46310.666666666664</x:v>
      </x:c>
      <x:c r="O2687" s="16" t="n">
        <x:f>MAX(0,(M2687-N2687)*24)</x:f>
        <x:v>0</x:v>
      </x:c>
      <x:c r="P2687" s="9" t="str">
        <x:v>No</x:v>
      </x:c>
      <x:c r="Q2687" s="15" t="n">
        <x:v>14</x:v>
      </x:c>
      <x:c r="R2687" s="13" t="n">
        <x:f>J2687+Q2687/1440</x:f>
        <x:v>46309.70347222222</x:v>
      </x:c>
      <x:c r="S2687" s="2" t="str">
        <x:f>VLOOKUP(C2687,'MES orders'!$A$8:$H$127,6,FALSE)</x:f>
        <x:v>Normal</x:v>
      </x:c>
      <x:c r="T2687" s="9" t="str"/>
    </x:row>
    <x:row r="2688" ht="22" customHeight="1">
      <x:c r="A2688" s="2" t="str">
        <x:v>L00188-050</x:v>
      </x:c>
      <x:c r="B2688" s="2" t="str">
        <x:v>L00188</x:v>
      </x:c>
      <x:c r="C2688" s="2" t="str">
        <x:v>SO-26038</x:v>
      </x:c>
      <x:c r="D2688" s="2" t="str">
        <x:v>R-C-SS</x:v>
      </x:c>
      <x:c r="E2688" s="14" t="n">
        <x:v>20</x:v>
      </x:c>
      <x:c r="F2688" s="2" t="str">
        <x:v>Valve adjustment</x:v>
      </x:c>
      <x:c r="G2688" s="9" t="str">
        <x:v>AS-02</x:v>
      </x:c>
      <x:c r="H2688" s="15" t="n">
        <x:v>173</x:v>
      </x:c>
      <x:c r="I2688" s="9" t="str">
        <x:v>P18</x:v>
      </x:c>
      <x:c r="J2688" s="11" t="n">
        <x:v>46309.70277777778</x:v>
      </x:c>
      <x:c r="K2688" s="15" t="n">
        <x:v>6</x:v>
      </x:c>
      <x:c r="L2688" s="15" t="n">
        <x:v>18</x:v>
      </x:c>
      <x:c r="M2688" s="13" t="n">
        <x:f>J2688+(K2688+L2688)/1440</x:f>
        <x:v>46309.71944444445</x:v>
      </x:c>
      <x:c r="N2688" s="13" t="n">
        <x:f>VLOOKUP(C2688,'MES orders'!$A$8:$H$127,5,FALSE)</x:f>
        <x:v>46309.666666666664</x:v>
      </x:c>
      <x:c r="O2688" s="16" t="n">
        <x:f>MAX(0,(M2688-N2688)*24)</x:f>
        <x:v>1.2666666667792015</x:v>
      </x:c>
      <x:c r="P2688" s="9" t="str">
        <x:v>No</x:v>
      </x:c>
      <x:c r="Q2688" s="15" t="n">
        <x:v>24</x:v>
      </x:c>
      <x:c r="R2688" s="13" t="n">
        <x:f>J2688+Q2688/1440</x:f>
        <x:v>46309.71944444445</x:v>
      </x:c>
      <x:c r="S2688" s="2" t="str">
        <x:f>VLOOKUP(C2688,'MES orders'!$A$8:$H$127,6,FALSE)</x:f>
        <x:v>Normal</x:v>
      </x:c>
      <x:c r="T2688" s="9" t="str"/>
    </x:row>
    <x:row r="2689" ht="22" customHeight="1">
      <x:c r="A2689" s="2" t="str">
        <x:v>L00186-060</x:v>
      </x:c>
      <x:c r="B2689" s="2" t="str">
        <x:v>L00186</x:v>
      </x:c>
      <x:c r="C2689" s="2" t="str">
        <x:v>SO-26038</x:v>
      </x:c>
      <x:c r="D2689" s="2" t="str">
        <x:v>R-C-SS</x:v>
      </x:c>
      <x:c r="E2689" s="14" t="n">
        <x:v>20</x:v>
      </x:c>
      <x:c r="F2689" s="2" t="str">
        <x:v>Final leak / function test</x:v>
      </x:c>
      <x:c r="G2689" s="9" t="str">
        <x:v>QA-03</x:v>
      </x:c>
      <x:c r="H2689" s="15" t="n">
        <x:v>118</x:v>
      </x:c>
      <x:c r="I2689" s="9" t="str">
        <x:v>P24</x:v>
      </x:c>
      <x:c r="J2689" s="11" t="n">
        <x:v>46309.70486111111</x:v>
      </x:c>
      <x:c r="K2689" s="15" t="n">
        <x:v>10</x:v>
      </x:c>
      <x:c r="L2689" s="15" t="n">
        <x:v>14</x:v>
      </x:c>
      <x:c r="M2689" s="13" t="n">
        <x:f>J2689+(K2689+L2689)/1440</x:f>
        <x:v>46309.72152777778</x:v>
      </x:c>
      <x:c r="N2689" s="13" t="n">
        <x:f>VLOOKUP(C2689,'MES orders'!$A$8:$H$127,5,FALSE)</x:f>
        <x:v>46309.666666666664</x:v>
      </x:c>
      <x:c r="O2689" s="16" t="n">
        <x:f>MAX(0,(M2689-N2689)*24)</x:f>
        <x:v>1.31666666676756</x:v>
      </x:c>
      <x:c r="P2689" s="9" t="str">
        <x:v>No</x:v>
      </x:c>
      <x:c r="Q2689" s="15" t="n">
        <x:v>24</x:v>
      </x:c>
      <x:c r="R2689" s="13" t="n">
        <x:f>J2689+Q2689/1440</x:f>
        <x:v>46309.72152777778</x:v>
      </x:c>
      <x:c r="S2689" s="2" t="str">
        <x:f>VLOOKUP(C2689,'MES orders'!$A$8:$H$127,6,FALSE)</x:f>
        <x:v>Normal</x:v>
      </x:c>
      <x:c r="T2689" s="9" t="str"/>
    </x:row>
    <x:row r="2690" ht="22" customHeight="1">
      <x:c r="A2690" s="2" t="str">
        <x:v>L00189-050</x:v>
      </x:c>
      <x:c r="B2690" s="2" t="str">
        <x:v>L00189</x:v>
      </x:c>
      <x:c r="C2690" s="2" t="str">
        <x:v>SO-26038</x:v>
      </x:c>
      <x:c r="D2690" s="2" t="str">
        <x:v>R-C-SS</x:v>
      </x:c>
      <x:c r="E2690" s="14" t="n">
        <x:v>20</x:v>
      </x:c>
      <x:c r="F2690" s="2" t="str">
        <x:v>Valve adjustment</x:v>
      </x:c>
      <x:c r="G2690" s="9" t="str">
        <x:v>AS-01</x:v>
      </x:c>
      <x:c r="H2690" s="15" t="n">
        <x:v>216</x:v>
      </x:c>
      <x:c r="I2690" s="9" t="str">
        <x:v>P17</x:v>
      </x:c>
      <x:c r="J2690" s="11" t="n">
        <x:v>46309.71388888889</x:v>
      </x:c>
      <x:c r="K2690" s="15" t="n">
        <x:v>6</x:v>
      </x:c>
      <x:c r="L2690" s="15" t="n">
        <x:v>18</x:v>
      </x:c>
      <x:c r="M2690" s="13" t="n">
        <x:f>J2690+(K2690+L2690)/1440</x:f>
        <x:v>46309.73055555556</x:v>
      </x:c>
      <x:c r="N2690" s="13" t="n">
        <x:f>VLOOKUP(C2690,'MES orders'!$A$8:$H$127,5,FALSE)</x:f>
        <x:v>46309.666666666664</x:v>
      </x:c>
      <x:c r="O2690" s="16" t="n">
        <x:f>MAX(0,(M2690-N2690)*24)</x:f>
        <x:v>1.5333333334419876</x:v>
      </x:c>
      <x:c r="P2690" s="9" t="str">
        <x:v>No</x:v>
      </x:c>
      <x:c r="Q2690" s="15" t="n">
        <x:v>24</x:v>
      </x:c>
      <x:c r="R2690" s="13" t="n">
        <x:f>J2690+Q2690/1440</x:f>
        <x:v>46309.73055555556</x:v>
      </x:c>
      <x:c r="S2690" s="2" t="str">
        <x:f>VLOOKUP(C2690,'MES orders'!$A$8:$H$127,6,FALSE)</x:f>
        <x:v>Normal</x:v>
      </x:c>
      <x:c r="T2690" s="9" t="str"/>
    </x:row>
    <x:row r="2691" ht="22" customHeight="1">
      <x:c r="A2691" s="2" t="str">
        <x:v>L00228-030</x:v>
      </x:c>
      <x:c r="B2691" s="2" t="str">
        <x:v>L00228</x:v>
      </x:c>
      <x:c r="C2691" s="2" t="str">
        <x:v>SO-26046</x:v>
      </x:c>
      <x:c r="D2691" s="2" t="str">
        <x:v>R-S-SS</x:v>
      </x:c>
      <x:c r="E2691" s="14" t="n">
        <x:v>25</x:v>
      </x:c>
      <x:c r="F2691" s="2" t="str">
        <x:v>Wash &amp; dry</x:v>
      </x:c>
      <x:c r="G2691" s="9" t="str">
        <x:v>WS-01</x:v>
      </x:c>
      <x:c r="H2691" s="15" t="n">
        <x:v>250</x:v>
      </x:c>
      <x:c r="I2691" s="9" t="str">
        <x:v>P16</x:v>
      </x:c>
      <x:c r="J2691" s="11" t="n">
        <x:v>46309.71388888889</x:v>
      </x:c>
      <x:c r="K2691" s="15" t="n">
        <x:v>12</x:v>
      </x:c>
      <x:c r="L2691" s="15" t="n">
        <x:v>9</x:v>
      </x:c>
      <x:c r="M2691" s="13" t="n">
        <x:f>J2691+(K2691+L2691)/1440</x:f>
        <x:v>46309.72847222222</x:v>
      </x:c>
      <x:c r="N2691" s="13" t="n">
        <x:f>VLOOKUP(C2691,'MES orders'!$A$8:$H$127,5,FALSE)</x:f>
        <x:v>46309.666666666664</x:v>
      </x:c>
      <x:c r="O2691" s="16" t="n">
        <x:f>MAX(0,(M2691-N2691)*24)</x:f>
        <x:v>1.4833333332790062</x:v>
      </x:c>
      <x:c r="P2691" s="9" t="str">
        <x:v>No</x:v>
      </x:c>
      <x:c r="Q2691" s="15" t="n">
        <x:v>21</x:v>
      </x:c>
      <x:c r="R2691" s="13" t="n">
        <x:f>J2691+Q2691/1440</x:f>
        <x:v>46309.72847222222</x:v>
      </x:c>
      <x:c r="S2691" s="2" t="str">
        <x:f>VLOOKUP(C2691,'MES orders'!$A$8:$H$127,6,FALSE)</x:f>
        <x:v>Normal</x:v>
      </x:c>
      <x:c r="T2691" s="9" t="str"/>
    </x:row>
    <x:row r="2692" ht="22" customHeight="1">
      <x:c r="A2692" s="2" t="str">
        <x:v>L00155-010</x:v>
      </x:c>
      <x:c r="B2692" s="2" t="str">
        <x:v>L00155</x:v>
      </x:c>
      <x:c r="C2692" s="2" t="str">
        <x:v>SO-26031</x:v>
      </x:c>
      <x:c r="D2692" s="2" t="str">
        <x:v>S-C-AL</x:v>
      </x:c>
      <x:c r="E2692" s="14" t="n">
        <x:v>15</x:v>
      </x:c>
      <x:c r="F2692" s="2" t="str">
        <x:v>CNC machining</x:v>
      </x:c>
      <x:c r="G2692" s="9" t="str">
        <x:v>CNC-01</x:v>
      </x:c>
      <x:c r="H2692" s="15" t="n">
        <x:v>75</x:v>
      </x:c>
      <x:c r="I2692" s="9" t="str">
        <x:v>P13</x:v>
      </x:c>
      <x:c r="J2692" s="11" t="n">
        <x:v>46309.71666666667</x:v>
      </x:c>
      <x:c r="K2692" s="15" t="n">
        <x:v>18</x:v>
      </x:c>
      <x:c r="L2692" s="15" t="n">
        <x:v>29</x:v>
      </x:c>
      <x:c r="M2692" s="13" t="n">
        <x:f>J2692+(K2692+L2692)/1440</x:f>
        <x:v>46309.74930555555</x:v>
      </x:c>
      <x:c r="N2692" s="13" t="n">
        <x:f>VLOOKUP(C2692,'MES orders'!$A$8:$H$127,5,FALSE)</x:f>
        <x:v>46310.666666666664</x:v>
      </x:c>
      <x:c r="O2692" s="16" t="n">
        <x:f>MAX(0,(M2692-N2692)*24)</x:f>
        <x:v>0</x:v>
      </x:c>
      <x:c r="P2692" s="9" t="str">
        <x:v>No</x:v>
      </x:c>
      <x:c r="Q2692" s="15" t="n">
        <x:v>18</x:v>
      </x:c>
      <x:c r="R2692" s="13" t="n">
        <x:f>J2692+Q2692/1440</x:f>
        <x:v>46309.729166666664</x:v>
      </x:c>
      <x:c r="S2692" s="2" t="str">
        <x:f>VLOOKUP(C2692,'MES orders'!$A$8:$H$127,6,FALSE)</x:f>
        <x:v>Normal</x:v>
      </x:c>
      <x:c r="T2692" s="9" t="str"/>
    </x:row>
    <x:row r="2693" ht="22" customHeight="1">
      <x:c r="A2693" s="2" t="str">
        <x:v>L00226-050</x:v>
      </x:c>
      <x:c r="B2693" s="2" t="str">
        <x:v>L00226</x:v>
      </x:c>
      <x:c r="C2693" s="2" t="str">
        <x:v>SO-26046</x:v>
      </x:c>
      <x:c r="D2693" s="2" t="str">
        <x:v>R-S-SS</x:v>
      </x:c>
      <x:c r="E2693" s="14" t="n">
        <x:v>25</x:v>
      </x:c>
      <x:c r="F2693" s="2" t="str">
        <x:v>Valve adjustment</x:v>
      </x:c>
      <x:c r="G2693" s="9" t="str">
        <x:v>AS-02</x:v>
      </x:c>
      <x:c r="H2693" s="15" t="n">
        <x:v>174</x:v>
      </x:c>
      <x:c r="I2693" s="9" t="str">
        <x:v>P18</x:v>
      </x:c>
      <x:c r="J2693" s="11" t="n">
        <x:v>46309.71944444445</x:v>
      </x:c>
      <x:c r="K2693" s="15" t="n">
        <x:v>6</x:v>
      </x:c>
      <x:c r="L2693" s="15" t="n">
        <x:v>28</x:v>
      </x:c>
      <x:c r="M2693" s="13" t="n">
        <x:f>J2693+(K2693+L2693)/1440</x:f>
        <x:v>46309.743055555555</x:v>
      </x:c>
      <x:c r="N2693" s="13" t="n">
        <x:f>VLOOKUP(C2693,'MES orders'!$A$8:$H$127,5,FALSE)</x:f>
        <x:v>46309.666666666664</x:v>
      </x:c>
      <x:c r="O2693" s="16" t="n">
        <x:f>MAX(0,(M2693-N2693)*24)</x:f>
        <x:v>1.8333333333721384</x:v>
      </x:c>
      <x:c r="P2693" s="9" t="str">
        <x:v>No</x:v>
      </x:c>
      <x:c r="Q2693" s="15" t="n">
        <x:v>34</x:v>
      </x:c>
      <x:c r="R2693" s="13" t="n">
        <x:f>J2693+Q2693/1440</x:f>
        <x:v>46309.743055555555</x:v>
      </x:c>
      <x:c r="S2693" s="2" t="str">
        <x:f>VLOOKUP(C2693,'MES orders'!$A$8:$H$127,6,FALSE)</x:f>
        <x:v>Normal</x:v>
      </x:c>
      <x:c r="T2693" s="9" t="str"/>
    </x:row>
    <x:row r="2694" ht="22" customHeight="1">
      <x:c r="A2694" s="2" t="str">
        <x:v>L00188-060</x:v>
      </x:c>
      <x:c r="B2694" s="2" t="str">
        <x:v>L00188</x:v>
      </x:c>
      <x:c r="C2694" s="2" t="str">
        <x:v>SO-26038</x:v>
      </x:c>
      <x:c r="D2694" s="2" t="str">
        <x:v>R-C-SS</x:v>
      </x:c>
      <x:c r="E2694" s="14" t="n">
        <x:v>20</x:v>
      </x:c>
      <x:c r="F2694" s="2" t="str">
        <x:v>Final leak / function test</x:v>
      </x:c>
      <x:c r="G2694" s="9" t="str">
        <x:v>QA-02</x:v>
      </x:c>
      <x:c r="H2694" s="15" t="n">
        <x:v>197</x:v>
      </x:c>
      <x:c r="I2694" s="9" t="str">
        <x:v>P23</x:v>
      </x:c>
      <x:c r="J2694" s="11" t="n">
        <x:v>46309.71944444445</x:v>
      </x:c>
      <x:c r="K2694" s="15" t="n">
        <x:v>10</x:v>
      </x:c>
      <x:c r="L2694" s="15" t="n">
        <x:v>14</x:v>
      </x:c>
      <x:c r="M2694" s="13" t="n">
        <x:f>J2694+(K2694+L2694)/1440</x:f>
        <x:v>46309.73611111112</x:v>
      </x:c>
      <x:c r="N2694" s="13" t="n">
        <x:f>VLOOKUP(C2694,'MES orders'!$A$8:$H$127,5,FALSE)</x:f>
        <x:v>46309.666666666664</x:v>
      </x:c>
      <x:c r="O2694" s="16" t="n">
        <x:f>MAX(0,(M2694-N2694)*24)</x:f>
        <x:v>1.6666666668606922</x:v>
      </x:c>
      <x:c r="P2694" s="9" t="str">
        <x:v>No</x:v>
      </x:c>
      <x:c r="Q2694" s="15" t="n">
        <x:v>24</x:v>
      </x:c>
      <x:c r="R2694" s="13" t="n">
        <x:f>J2694+Q2694/1440</x:f>
        <x:v>46309.73611111112</x:v>
      </x:c>
      <x:c r="S2694" s="2" t="str">
        <x:f>VLOOKUP(C2694,'MES orders'!$A$8:$H$127,6,FALSE)</x:f>
        <x:v>Normal</x:v>
      </x:c>
      <x:c r="T2694" s="9" t="str"/>
    </x:row>
    <x:row r="2695" ht="22" customHeight="1">
      <x:c r="A2695" s="2" t="str">
        <x:v>L00191-010</x:v>
      </x:c>
      <x:c r="B2695" s="2" t="str">
        <x:v>L00191</x:v>
      </x:c>
      <x:c r="C2695" s="2" t="str">
        <x:v>SO-26039</x:v>
      </x:c>
      <x:c r="D2695" s="2" t="str">
        <x:v>S-S-AL</x:v>
      </x:c>
      <x:c r="E2695" s="14" t="n">
        <x:v>5</x:v>
      </x:c>
      <x:c r="F2695" s="2" t="str">
        <x:v>CNC machining</x:v>
      </x:c>
      <x:c r="G2695" s="9" t="str">
        <x:v>CNC-02</x:v>
      </x:c>
      <x:c r="H2695" s="15" t="n">
        <x:v>53</x:v>
      </x:c>
      <x:c r="I2695" s="9" t="str">
        <x:v>P14</x:v>
      </x:c>
      <x:c r="J2695" s="11" t="n">
        <x:v>46309.722916666666</x:v>
      </x:c>
      <x:c r="K2695" s="15" t="n">
        <x:v>18</x:v>
      </x:c>
      <x:c r="L2695" s="15" t="n">
        <x:v>12</x:v>
      </x:c>
      <x:c r="M2695" s="13" t="n">
        <x:f>J2695+(K2695+L2695)/1440</x:f>
        <x:v>46309.74375</x:v>
      </x:c>
      <x:c r="N2695" s="13" t="n">
        <x:f>VLOOKUP(C2695,'MES orders'!$A$8:$H$127,5,FALSE)</x:f>
        <x:v>46310.666666666664</x:v>
      </x:c>
      <x:c r="O2695" s="16" t="n">
        <x:f>MAX(0,(M2695-N2695)*24)</x:f>
        <x:v>0</x:v>
      </x:c>
      <x:c r="P2695" s="9" t="str">
        <x:v>No</x:v>
      </x:c>
      <x:c r="Q2695" s="15" t="n">
        <x:v>18</x:v>
      </x:c>
      <x:c r="R2695" s="13" t="n">
        <x:f>J2695+Q2695/1440</x:f>
        <x:v>46309.73541666666</x:v>
      </x:c>
      <x:c r="S2695" s="2" t="str">
        <x:f>VLOOKUP(C2695,'MES orders'!$A$8:$H$127,6,FALSE)</x:f>
        <x:v>Normal</x:v>
      </x:c>
      <x:c r="T2695" s="9" t="str"/>
    </x:row>
    <x:row r="2696" ht="22" customHeight="1">
      <x:c r="A2696" s="2" t="str">
        <x:v>L00230-020</x:v>
      </x:c>
      <x:c r="B2696" s="2" t="str">
        <x:v>L00230</x:v>
      </x:c>
      <x:c r="C2696" s="2" t="str">
        <x:v>SO-26046</x:v>
      </x:c>
      <x:c r="D2696" s="2" t="str">
        <x:v>R-S-SS</x:v>
      </x:c>
      <x:c r="E2696" s="14" t="n">
        <x:v>25</x:v>
      </x:c>
      <x:c r="F2696" s="2" t="str">
        <x:v>Deburr &amp; inspect</x:v>
      </x:c>
      <x:c r="G2696" s="9" t="str">
        <x:v>DB-01</x:v>
      </x:c>
      <x:c r="H2696" s="15" t="n">
        <x:v>252</x:v>
      </x:c>
      <x:c r="I2696" s="9" t="str">
        <x:v>P16</x:v>
      </x:c>
      <x:c r="J2696" s="11" t="n">
        <x:v>46309.728472222225</x:v>
      </x:c>
      <x:c r="K2696" s="15" t="n">
        <x:v>4</x:v>
      </x:c>
      <x:c r="L2696" s="15" t="n">
        <x:v>18</x:v>
      </x:c>
      <x:c r="M2696" s="13" t="n">
        <x:f>J2696+(K2696+L2696)/1440</x:f>
        <x:v>46309.74375</x:v>
      </x:c>
      <x:c r="N2696" s="13" t="n">
        <x:f>VLOOKUP(C2696,'MES orders'!$A$8:$H$127,5,FALSE)</x:f>
        <x:v>46309.666666666664</x:v>
      </x:c>
      <x:c r="O2696" s="16" t="n">
        <x:f>MAX(0,(M2696-N2696)*24)</x:f>
        <x:v>1.8500000000931323</x:v>
      </x:c>
      <x:c r="P2696" s="9" t="str">
        <x:v>No</x:v>
      </x:c>
      <x:c r="Q2696" s="15" t="n">
        <x:v>22</x:v>
      </x:c>
      <x:c r="R2696" s="13" t="n">
        <x:f>J2696+Q2696/1440</x:f>
        <x:v>46309.74375</x:v>
      </x:c>
      <x:c r="S2696" s="2" t="str">
        <x:f>VLOOKUP(C2696,'MES orders'!$A$8:$H$127,6,FALSE)</x:f>
        <x:v>Normal</x:v>
      </x:c>
      <x:c r="T2696" s="9" t="str"/>
    </x:row>
    <x:row r="2697" ht="22" customHeight="1">
      <x:c r="A2697" s="2" t="str">
        <x:v>L00151-070</x:v>
      </x:c>
      <x:c r="B2697" s="2" t="str">
        <x:v>L00151</x:v>
      </x:c>
      <x:c r="C2697" s="2" t="str">
        <x:v>SO-26031</x:v>
      </x:c>
      <x:c r="D2697" s="2" t="str">
        <x:v>S-C-AL</x:v>
      </x:c>
      <x:c r="E2697" s="14" t="n">
        <x:v>15</x:v>
      </x:c>
      <x:c r="F2697" s="2" t="str">
        <x:v>Final assembly</x:v>
      </x:c>
      <x:c r="G2697" s="9" t="str">
        <x:v>AS-01</x:v>
      </x:c>
      <x:c r="H2697" s="15" t="n">
        <x:v>217</x:v>
      </x:c>
      <x:c r="I2697" s="9" t="str">
        <x:v>P17</x:v>
      </x:c>
      <x:c r="J2697" s="11" t="n">
        <x:v>46309.73055555556</x:v>
      </x:c>
      <x:c r="K2697" s="15" t="n">
        <x:v>5</x:v>
      </x:c>
      <x:c r="L2697" s="15" t="n">
        <x:v>10</x:v>
      </x:c>
      <x:c r="M2697" s="13" t="n">
        <x:f>J2697+(K2697+L2697)/1440</x:f>
        <x:v>46309.74097222222</x:v>
      </x:c>
      <x:c r="N2697" s="13" t="n">
        <x:f>VLOOKUP(C2697,'MES orders'!$A$8:$H$127,5,FALSE)</x:f>
        <x:v>46310.666666666664</x:v>
      </x:c>
      <x:c r="O2697" s="16" t="n">
        <x:f>MAX(0,(M2697-N2697)*24)</x:f>
        <x:v>0</x:v>
      </x:c>
      <x:c r="P2697" s="9" t="str">
        <x:v>No</x:v>
      </x:c>
      <x:c r="Q2697" s="15" t="n">
        <x:v>15</x:v>
      </x:c>
      <x:c r="R2697" s="13" t="n">
        <x:f>J2697+Q2697/1440</x:f>
        <x:v>46309.74097222222</x:v>
      </x:c>
      <x:c r="S2697" s="2" t="str">
        <x:f>VLOOKUP(C2697,'MES orders'!$A$8:$H$127,6,FALSE)</x:f>
        <x:v>Normal</x:v>
      </x:c>
      <x:c r="T2697" s="9" t="str"/>
    </x:row>
    <x:row r="2698" ht="22" customHeight="1">
      <x:c r="A2698" s="2" t="str">
        <x:v>L00189-060</x:v>
      </x:c>
      <x:c r="B2698" s="2" t="str">
        <x:v>L00189</x:v>
      </x:c>
      <x:c r="C2698" s="2" t="str">
        <x:v>SO-26038</x:v>
      </x:c>
      <x:c r="D2698" s="2" t="str">
        <x:v>R-C-SS</x:v>
      </x:c>
      <x:c r="E2698" s="14" t="n">
        <x:v>20</x:v>
      </x:c>
      <x:c r="F2698" s="2" t="str">
        <x:v>Final leak / function test</x:v>
      </x:c>
      <x:c r="G2698" s="9" t="str">
        <x:v>QA-03</x:v>
      </x:c>
      <x:c r="H2698" s="15" t="n">
        <x:v>119</x:v>
      </x:c>
      <x:c r="I2698" s="9" t="str">
        <x:v>P24</x:v>
      </x:c>
      <x:c r="J2698" s="11" t="n">
        <x:v>46309.73055555556</x:v>
      </x:c>
      <x:c r="K2698" s="15" t="n">
        <x:v>10</x:v>
      </x:c>
      <x:c r="L2698" s="15" t="n">
        <x:v>14</x:v>
      </x:c>
      <x:c r="M2698" s="13" t="n">
        <x:f>J2698+(K2698+L2698)/1440</x:f>
        <x:v>46309.74722222223</x:v>
      </x:c>
      <x:c r="N2698" s="13" t="n">
        <x:f>VLOOKUP(C2698,'MES orders'!$A$8:$H$127,5,FALSE)</x:f>
        <x:v>46309.666666666664</x:v>
      </x:c>
      <x:c r="O2698" s="16" t="n">
        <x:f>MAX(0,(M2698-N2698)*24)</x:f>
        <x:v>1.9333333335234784</x:v>
      </x:c>
      <x:c r="P2698" s="9" t="str">
        <x:v>No</x:v>
      </x:c>
      <x:c r="Q2698" s="15" t="n">
        <x:v>24</x:v>
      </x:c>
      <x:c r="R2698" s="13" t="n">
        <x:f>J2698+Q2698/1440</x:f>
        <x:v>46309.74722222223</x:v>
      </x:c>
      <x:c r="S2698" s="2" t="str">
        <x:f>VLOOKUP(C2698,'MES orders'!$A$8:$H$127,6,FALSE)</x:f>
        <x:v>Normal</x:v>
      </x:c>
      <x:c r="T2698" s="9" t="str"/>
    </x:row>
    <x:row r="2699" ht="22" customHeight="1">
      <x:c r="A2699" s="2" t="str">
        <x:v>L00153-020</x:v>
      </x:c>
      <x:c r="B2699" s="2" t="str">
        <x:v>L00153</x:v>
      </x:c>
      <x:c r="C2699" s="2" t="str">
        <x:v>SO-26031</x:v>
      </x:c>
      <x:c r="D2699" s="2" t="str">
        <x:v>S-C-AL</x:v>
      </x:c>
      <x:c r="E2699" s="14" t="n">
        <x:v>15</x:v>
      </x:c>
      <x:c r="F2699" s="2" t="str">
        <x:v>Deburr &amp; inspect</x:v>
      </x:c>
      <x:c r="G2699" s="9" t="str">
        <x:v>DB-02</x:v>
      </x:c>
      <x:c r="H2699" s="15" t="n">
        <x:v>176</x:v>
      </x:c>
      <x:c r="I2699" s="9" t="str">
        <x:v>P17</x:v>
      </x:c>
      <x:c r="J2699" s="11" t="n">
        <x:v>46309.74097222222</x:v>
      </x:c>
      <x:c r="K2699" s="15" t="n">
        <x:v>4</x:v>
      </x:c>
      <x:c r="L2699" s="15" t="n">
        <x:v>8</x:v>
      </x:c>
      <x:c r="M2699" s="13" t="n">
        <x:f>J2699+(K2699+L2699)/1440</x:f>
        <x:v>46309.74930555555</x:v>
      </x:c>
      <x:c r="N2699" s="13" t="n">
        <x:f>VLOOKUP(C2699,'MES orders'!$A$8:$H$127,5,FALSE)</x:f>
        <x:v>46310.666666666664</x:v>
      </x:c>
      <x:c r="O2699" s="16" t="n">
        <x:f>MAX(0,(M2699-N2699)*24)</x:f>
        <x:v>0</x:v>
      </x:c>
      <x:c r="P2699" s="9" t="str">
        <x:v>No</x:v>
      </x:c>
      <x:c r="Q2699" s="15" t="n">
        <x:v>12</x:v>
      </x:c>
      <x:c r="R2699" s="13" t="n">
        <x:f>J2699+Q2699/1440</x:f>
        <x:v>46309.74930555555</x:v>
      </x:c>
      <x:c r="S2699" s="2" t="str">
        <x:f>VLOOKUP(C2699,'MES orders'!$A$8:$H$127,6,FALSE)</x:f>
        <x:v>Normal</x:v>
      </x:c>
      <x:c r="T2699" s="9" t="str"/>
    </x:row>
    <x:row r="2700" ht="22" customHeight="1">
      <x:c r="A2700" s="2" t="str">
        <x:v>L00191-020</x:v>
      </x:c>
      <x:c r="B2700" s="2" t="str">
        <x:v>L00191</x:v>
      </x:c>
      <x:c r="C2700" s="2" t="str">
        <x:v>SO-26039</x:v>
      </x:c>
      <x:c r="D2700" s="2" t="str">
        <x:v>S-S-AL</x:v>
      </x:c>
      <x:c r="E2700" s="14" t="n">
        <x:v>5</x:v>
      </x:c>
      <x:c r="F2700" s="2" t="str">
        <x:v>Deburr &amp; inspect</x:v>
      </x:c>
      <x:c r="G2700" s="9" t="str">
        <x:v>DB-01</x:v>
      </x:c>
      <x:c r="H2700" s="15" t="n">
        <x:v>253</x:v>
      </x:c>
      <x:c r="I2700" s="9" t="str">
        <x:v>P16</x:v>
      </x:c>
      <x:c r="J2700" s="11" t="n">
        <x:v>46309.74375</x:v>
      </x:c>
      <x:c r="K2700" s="15" t="n">
        <x:v>4</x:v>
      </x:c>
      <x:c r="L2700" s="15" t="n">
        <x:v>4</x:v>
      </x:c>
      <x:c r="M2700" s="13" t="n">
        <x:f>J2700+(K2700+L2700)/1440</x:f>
        <x:v>46309.74930555556</x:v>
      </x:c>
      <x:c r="N2700" s="13" t="n">
        <x:f>VLOOKUP(C2700,'MES orders'!$A$8:$H$127,5,FALSE)</x:f>
        <x:v>46310.666666666664</x:v>
      </x:c>
      <x:c r="O2700" s="16" t="n">
        <x:f>MAX(0,(M2700-N2700)*24)</x:f>
        <x:v>0</x:v>
      </x:c>
      <x:c r="P2700" s="9" t="str">
        <x:v>No</x:v>
      </x:c>
      <x:c r="Q2700" s="15" t="n">
        <x:v>8</x:v>
      </x:c>
      <x:c r="R2700" s="13" t="n">
        <x:f>J2700+Q2700/1440</x:f>
        <x:v>46309.74930555556</x:v>
      </x:c>
      <x:c r="S2700" s="2" t="str">
        <x:f>VLOOKUP(C2700,'MES orders'!$A$8:$H$127,6,FALSE)</x:f>
        <x:v>Normal</x:v>
      </x:c>
      <x:c r="T2700" s="9" t="str"/>
    </x:row>
    <x:row r="2701" ht="22" customHeight="1">
      <x:c r="A2701" s="2" t="str">
        <x:v>L00228-040</x:v>
      </x:c>
      <x:c r="B2701" s="2" t="str">
        <x:v>L00228</x:v>
      </x:c>
      <x:c r="C2701" s="2" t="str">
        <x:v>SO-26046</x:v>
      </x:c>
      <x:c r="D2701" s="2" t="str">
        <x:v>R-S-SS</x:v>
      </x:c>
      <x:c r="E2701" s="14" t="n">
        <x:v>25</x:v>
      </x:c>
      <x:c r="F2701" s="2" t="str">
        <x:v>Mechanical assembly</x:v>
      </x:c>
      <x:c r="G2701" s="9" t="str">
        <x:v>AS-01</x:v>
      </x:c>
      <x:c r="H2701" s="15" t="n">
        <x:v>218</x:v>
      </x:c>
      <x:c r="I2701" s="9" t="str">
        <x:v>P16</x:v>
      </x:c>
      <x:c r="J2701" s="11" t="n">
        <x:v>46309.770833333336</x:v>
      </x:c>
      <x:c r="K2701" s="15" t="n">
        <x:v>8</x:v>
      </x:c>
      <x:c r="L2701" s="15" t="n">
        <x:v>45</x:v>
      </x:c>
      <x:c r="M2701" s="13" t="n">
        <x:f>J2701+(K2701+L2701)/1440</x:f>
        <x:v>46309.807638888895</x:v>
      </x:c>
      <x:c r="N2701" s="13" t="n">
        <x:f>VLOOKUP(C2701,'MES orders'!$A$8:$H$127,5,FALSE)</x:f>
        <x:v>46309.666666666664</x:v>
      </x:c>
      <x:c r="O2701" s="16" t="n">
        <x:f>MAX(0,(M2701-N2701)*24)</x:f>
        <x:v>3.38333333353512</x:v>
      </x:c>
      <x:c r="P2701" s="9" t="str">
        <x:v>No</x:v>
      </x:c>
      <x:c r="Q2701" s="15" t="n">
        <x:v>53</x:v>
      </x:c>
      <x:c r="R2701" s="13" t="n">
        <x:f>J2701+Q2701/1440</x:f>
        <x:v>46309.807638888895</x:v>
      </x:c>
      <x:c r="S2701" s="2" t="str">
        <x:f>VLOOKUP(C2701,'MES orders'!$A$8:$H$127,6,FALSE)</x:f>
        <x:v>Normal</x:v>
      </x:c>
      <x:c r="T2701" s="9" t="str"/>
    </x:row>
    <x:row r="2702" ht="22" customHeight="1">
      <x:c r="A2702" s="2" t="str">
        <x:v>L00229-050</x:v>
      </x:c>
      <x:c r="B2702" s="2" t="str">
        <x:v>L00229</x:v>
      </x:c>
      <x:c r="C2702" s="2" t="str">
        <x:v>SO-26046</x:v>
      </x:c>
      <x:c r="D2702" s="2" t="str">
        <x:v>R-S-SS</x:v>
      </x:c>
      <x:c r="E2702" s="14" t="n">
        <x:v>25</x:v>
      </x:c>
      <x:c r="F2702" s="2" t="str">
        <x:v>Valve adjustment</x:v>
      </x:c>
      <x:c r="G2702" s="9" t="str">
        <x:v>AS-02</x:v>
      </x:c>
      <x:c r="H2702" s="15" t="n">
        <x:v>175</x:v>
      </x:c>
      <x:c r="I2702" s="9" t="str">
        <x:v>P17</x:v>
      </x:c>
      <x:c r="J2702" s="11" t="n">
        <x:v>46309.770833333336</x:v>
      </x:c>
      <x:c r="K2702" s="15" t="n">
        <x:v>6</x:v>
      </x:c>
      <x:c r="L2702" s="15" t="n">
        <x:v>28</x:v>
      </x:c>
      <x:c r="M2702" s="13" t="n">
        <x:f>J2702+(K2702+L2702)/1440</x:f>
        <x:v>46309.794444444444</x:v>
      </x:c>
      <x:c r="N2702" s="13" t="n">
        <x:f>VLOOKUP(C2702,'MES orders'!$A$8:$H$127,5,FALSE)</x:f>
        <x:v>46309.666666666664</x:v>
      </x:c>
      <x:c r="O2702" s="16" t="n">
        <x:f>MAX(0,(M2702-N2702)*24)</x:f>
        <x:v>3.0666666667093523</x:v>
      </x:c>
      <x:c r="P2702" s="9" t="str">
        <x:v>No</x:v>
      </x:c>
      <x:c r="Q2702" s="15" t="n">
        <x:v>34</x:v>
      </x:c>
      <x:c r="R2702" s="13" t="n">
        <x:f>J2702+Q2702/1440</x:f>
        <x:v>46309.794444444444</x:v>
      </x:c>
      <x:c r="S2702" s="2" t="str">
        <x:f>VLOOKUP(C2702,'MES orders'!$A$8:$H$127,6,FALSE)</x:f>
        <x:v>Normal</x:v>
      </x:c>
      <x:c r="T2702" s="9" t="str"/>
    </x:row>
    <x:row r="2703" ht="22" customHeight="1">
      <x:c r="A2703" s="2" t="str">
        <x:v>L00270-010</x:v>
      </x:c>
      <x:c r="B2703" s="2" t="str">
        <x:v>L00270</x:v>
      </x:c>
      <x:c r="C2703" s="2" t="str">
        <x:v>SO-26054</x:v>
      </x:c>
      <x:c r="D2703" s="2" t="str">
        <x:v>R-L-SS</x:v>
      </x:c>
      <x:c r="E2703" s="14" t="n">
        <x:v>25</x:v>
      </x:c>
      <x:c r="F2703" s="2" t="str">
        <x:v>CNC machining</x:v>
      </x:c>
      <x:c r="G2703" s="9" t="str">
        <x:v>CNC-03</x:v>
      </x:c>
      <x:c r="H2703" s="15" t="n">
        <x:v>85</x:v>
      </x:c>
      <x:c r="I2703" s="9" t="str">
        <x:v>P14</x:v>
      </x:c>
      <x:c r="J2703" s="11" t="n">
        <x:v>46309.770833333336</x:v>
      </x:c>
      <x:c r="K2703" s="15" t="n">
        <x:v>18</x:v>
      </x:c>
      <x:c r="L2703" s="15" t="n">
        <x:v>101</x:v>
      </x:c>
      <x:c r="M2703" s="13" t="n">
        <x:f>J2703+(K2703+L2703)/1440</x:f>
        <x:v>46309.853472222225</x:v>
      </x:c>
      <x:c r="N2703" s="13" t="n">
        <x:f>VLOOKUP(C2703,'MES orders'!$A$8:$H$127,5,FALSE)</x:f>
        <x:v>46309.666666666664</x:v>
      </x:c>
      <x:c r="O2703" s="16" t="n">
        <x:f>MAX(0,(M2703-N2703)*24)</x:f>
        <x:v>4.483333333453629</x:v>
      </x:c>
      <x:c r="P2703" s="9" t="str">
        <x:v>No</x:v>
      </x:c>
      <x:c r="Q2703" s="15" t="n">
        <x:v>18</x:v>
      </x:c>
      <x:c r="R2703" s="13" t="n">
        <x:f>J2703+Q2703/1440</x:f>
        <x:v>46309.78333333333</x:v>
      </x:c>
      <x:c r="S2703" s="2" t="str">
        <x:f>VLOOKUP(C2703,'MES orders'!$A$8:$H$127,6,FALSE)</x:f>
        <x:v>Normal</x:v>
      </x:c>
      <x:c r="T2703" s="9" t="str"/>
    </x:row>
    <x:row r="2704" ht="22" customHeight="1">
      <x:c r="A2704" s="2" t="str">
        <x:v>L00306-010</x:v>
      </x:c>
      <x:c r="B2704" s="2" t="str">
        <x:v>L00306</x:v>
      </x:c>
      <x:c r="C2704" s="2" t="str">
        <x:v>SO-26062</x:v>
      </x:c>
      <x:c r="D2704" s="2" t="str">
        <x:v>S-C-SS</x:v>
      </x:c>
      <x:c r="E2704" s="14" t="n">
        <x:v>5</x:v>
      </x:c>
      <x:c r="F2704" s="2" t="str">
        <x:v>CNC machining</x:v>
      </x:c>
      <x:c r="G2704" s="9" t="str">
        <x:v>CNC-04</x:v>
      </x:c>
      <x:c r="H2704" s="15" t="n">
        <x:v>82</x:v>
      </x:c>
      <x:c r="I2704" s="9" t="str">
        <x:v>P15</x:v>
      </x:c>
      <x:c r="J2704" s="11" t="n">
        <x:v>46309.770833333336</x:v>
      </x:c>
      <x:c r="K2704" s="15" t="n">
        <x:v>18</x:v>
      </x:c>
      <x:c r="L2704" s="15" t="n">
        <x:v>12</x:v>
      </x:c>
      <x:c r="M2704" s="13" t="n">
        <x:f>J2704+(K2704+L2704)/1440</x:f>
        <x:v>46309.79166666667</x:v>
      </x:c>
      <x:c r="N2704" s="13" t="n">
        <x:f>VLOOKUP(C2704,'MES orders'!$A$8:$H$127,5,FALSE)</x:f>
        <x:v>46309.666666666664</x:v>
      </x:c>
      <x:c r="O2704" s="16" t="n">
        <x:f>MAX(0,(M2704-N2704)*24)</x:f>
        <x:v>3.000000000174623</x:v>
      </x:c>
      <x:c r="P2704" s="9" t="str">
        <x:v>No</x:v>
      </x:c>
      <x:c r="Q2704" s="15" t="n">
        <x:v>18</x:v>
      </x:c>
      <x:c r="R2704" s="13" t="n">
        <x:f>J2704+Q2704/1440</x:f>
        <x:v>46309.78333333333</x:v>
      </x:c>
      <x:c r="S2704" s="2" t="str">
        <x:f>VLOOKUP(C2704,'MES orders'!$A$8:$H$127,6,FALSE)</x:f>
        <x:v>Normal</x:v>
      </x:c>
      <x:c r="T2704" s="9" t="str"/>
    </x:row>
    <x:row r="2705" ht="22" customHeight="1">
      <x:c r="A2705" s="2" t="str">
        <x:v>L00269-020</x:v>
      </x:c>
      <x:c r="B2705" s="2" t="str">
        <x:v>L00269</x:v>
      </x:c>
      <x:c r="C2705" s="2" t="str">
        <x:v>SO-26054</x:v>
      </x:c>
      <x:c r="D2705" s="2" t="str">
        <x:v>R-L-SS</x:v>
      </x:c>
      <x:c r="E2705" s="14" t="n">
        <x:v>25</x:v>
      </x:c>
      <x:c r="F2705" s="2" t="str">
        <x:v>Deburr &amp; inspect</x:v>
      </x:c>
      <x:c r="G2705" s="9" t="str">
        <x:v>DB-01</x:v>
      </x:c>
      <x:c r="H2705" s="15" t="n">
        <x:v>254</x:v>
      </x:c>
      <x:c r="I2705" s="9" t="str">
        <x:v>P13</x:v>
      </x:c>
      <x:c r="J2705" s="11" t="n">
        <x:v>46309.770833333336</x:v>
      </x:c>
      <x:c r="K2705" s="15" t="n">
        <x:v>4</x:v>
      </x:c>
      <x:c r="L2705" s="15" t="n">
        <x:v>24</x:v>
      </x:c>
      <x:c r="M2705" s="13" t="n">
        <x:f>J2705+(K2705+L2705)/1440</x:f>
        <x:v>46309.79027777778</x:v>
      </x:c>
      <x:c r="N2705" s="13" t="n">
        <x:f>VLOOKUP(C2705,'MES orders'!$A$8:$H$127,5,FALSE)</x:f>
        <x:v>46309.666666666664</x:v>
      </x:c>
      <x:c r="O2705" s="16" t="n">
        <x:f>MAX(0,(M2705-N2705)*24)</x:f>
        <x:v>2.9666666667326353</x:v>
      </x:c>
      <x:c r="P2705" s="9" t="str">
        <x:v>No</x:v>
      </x:c>
      <x:c r="Q2705" s="15" t="n">
        <x:v>28</x:v>
      </x:c>
      <x:c r="R2705" s="13" t="n">
        <x:f>J2705+Q2705/1440</x:f>
        <x:v>46309.79027777778</x:v>
      </x:c>
      <x:c r="S2705" s="2" t="str">
        <x:f>VLOOKUP(C2705,'MES orders'!$A$8:$H$127,6,FALSE)</x:f>
        <x:v>Normal</x:v>
      </x:c>
      <x:c r="T2705" s="9" t="str"/>
    </x:row>
    <x:row r="2706" ht="22" customHeight="1">
      <x:c r="A2706" s="2" t="str">
        <x:v>L00155-020</x:v>
      </x:c>
      <x:c r="B2706" s="2" t="str">
        <x:v>L00155</x:v>
      </x:c>
      <x:c r="C2706" s="2" t="str">
        <x:v>SO-26031</x:v>
      </x:c>
      <x:c r="D2706" s="2" t="str">
        <x:v>S-C-AL</x:v>
      </x:c>
      <x:c r="E2706" s="14" t="n">
        <x:v>15</x:v>
      </x:c>
      <x:c r="F2706" s="2" t="str">
        <x:v>Deburr &amp; inspect</x:v>
      </x:c>
      <x:c r="G2706" s="9" t="str">
        <x:v>DB-02</x:v>
      </x:c>
      <x:c r="H2706" s="15" t="n">
        <x:v>177</x:v>
      </x:c>
      <x:c r="I2706" s="9" t="str">
        <x:v>P20</x:v>
      </x:c>
      <x:c r="J2706" s="11" t="n">
        <x:v>46309.770833333336</x:v>
      </x:c>
      <x:c r="K2706" s="15" t="n">
        <x:v>4</x:v>
      </x:c>
      <x:c r="L2706" s="15" t="n">
        <x:v>8</x:v>
      </x:c>
      <x:c r="M2706" s="13" t="n">
        <x:f>J2706+(K2706+L2706)/1440</x:f>
        <x:v>46309.77916666667</x:v>
      </x:c>
      <x:c r="N2706" s="13" t="n">
        <x:f>VLOOKUP(C2706,'MES orders'!$A$8:$H$127,5,FALSE)</x:f>
        <x:v>46310.666666666664</x:v>
      </x:c>
      <x:c r="O2706" s="16" t="n">
        <x:f>MAX(0,(M2706-N2706)*24)</x:f>
        <x:v>0</x:v>
      </x:c>
      <x:c r="P2706" s="9" t="str">
        <x:v>No</x:v>
      </x:c>
      <x:c r="Q2706" s="15" t="n">
        <x:v>12</x:v>
      </x:c>
      <x:c r="R2706" s="13" t="n">
        <x:f>J2706+Q2706/1440</x:f>
        <x:v>46309.77916666667</x:v>
      </x:c>
      <x:c r="S2706" s="2" t="str">
        <x:f>VLOOKUP(C2706,'MES orders'!$A$8:$H$127,6,FALSE)</x:f>
        <x:v>Normal</x:v>
      </x:c>
      <x:c r="T2706" s="9" t="str"/>
    </x:row>
    <x:row r="2707" ht="22" customHeight="1">
      <x:c r="A2707" s="2" t="str">
        <x:v>L00226-060</x:v>
      </x:c>
      <x:c r="B2707" s="2" t="str">
        <x:v>L00226</x:v>
      </x:c>
      <x:c r="C2707" s="2" t="str">
        <x:v>SO-26046</x:v>
      </x:c>
      <x:c r="D2707" s="2" t="str">
        <x:v>R-S-SS</x:v>
      </x:c>
      <x:c r="E2707" s="14" t="n">
        <x:v>25</x:v>
      </x:c>
      <x:c r="F2707" s="2" t="str">
        <x:v>Final leak / function test</x:v>
      </x:c>
      <x:c r="G2707" s="9" t="str">
        <x:v>QA-02</x:v>
      </x:c>
      <x:c r="H2707" s="15" t="n">
        <x:v>198</x:v>
      </x:c>
      <x:c r="I2707" s="9" t="str">
        <x:v>P23</x:v>
      </x:c>
      <x:c r="J2707" s="11" t="n">
        <x:v>46309.770833333336</x:v>
      </x:c>
      <x:c r="K2707" s="15" t="n">
        <x:v>10</x:v>
      </x:c>
      <x:c r="L2707" s="15" t="n">
        <x:v>22</x:v>
      </x:c>
      <x:c r="M2707" s="13" t="n">
        <x:f>J2707+(K2707+L2707)/1440</x:f>
        <x:v>46309.79305555556</x:v>
      </x:c>
      <x:c r="N2707" s="13" t="n">
        <x:f>VLOOKUP(C2707,'MES orders'!$A$8:$H$127,5,FALSE)</x:f>
        <x:v>46309.666666666664</x:v>
      </x:c>
      <x:c r="O2707" s="16" t="n">
        <x:f>MAX(0,(M2707-N2707)*24)</x:f>
        <x:v>3.0333333334419876</x:v>
      </x:c>
      <x:c r="P2707" s="9" t="str">
        <x:v>No</x:v>
      </x:c>
      <x:c r="Q2707" s="15" t="n">
        <x:v>32</x:v>
      </x:c>
      <x:c r="R2707" s="13" t="n">
        <x:f>J2707+Q2707/1440</x:f>
        <x:v>46309.79305555556</x:v>
      </x:c>
      <x:c r="S2707" s="2" t="str">
        <x:f>VLOOKUP(C2707,'MES orders'!$A$8:$H$127,6,FALSE)</x:f>
        <x:v>Normal</x:v>
      </x:c>
      <x:c r="T2707" s="9" t="str"/>
    </x:row>
    <x:row r="2708" ht="22" customHeight="1">
      <x:c r="A2708" s="2" t="str">
        <x:v>L00227-060</x:v>
      </x:c>
      <x:c r="B2708" s="2" t="str">
        <x:v>L00227</x:v>
      </x:c>
      <x:c r="C2708" s="2" t="str">
        <x:v>SO-26046</x:v>
      </x:c>
      <x:c r="D2708" s="2" t="str">
        <x:v>R-S-SS</x:v>
      </x:c>
      <x:c r="E2708" s="14" t="n">
        <x:v>25</x:v>
      </x:c>
      <x:c r="F2708" s="2" t="str">
        <x:v>Final leak / function test</x:v>
      </x:c>
      <x:c r="G2708" s="9" t="str">
        <x:v>QA-03</x:v>
      </x:c>
      <x:c r="H2708" s="15" t="n">
        <x:v>120</x:v>
      </x:c>
      <x:c r="I2708" s="9" t="str">
        <x:v>P24</x:v>
      </x:c>
      <x:c r="J2708" s="11" t="n">
        <x:v>46309.770833333336</x:v>
      </x:c>
      <x:c r="K2708" s="15" t="n">
        <x:v>10</x:v>
      </x:c>
      <x:c r="L2708" s="15" t="n">
        <x:v>22</x:v>
      </x:c>
      <x:c r="M2708" s="13" t="n">
        <x:f>J2708+(K2708+L2708)/1440</x:f>
        <x:v>46309.79305555556</x:v>
      </x:c>
      <x:c r="N2708" s="13" t="n">
        <x:f>VLOOKUP(C2708,'MES orders'!$A$8:$H$127,5,FALSE)</x:f>
        <x:v>46309.666666666664</x:v>
      </x:c>
      <x:c r="O2708" s="16" t="n">
        <x:f>MAX(0,(M2708-N2708)*24)</x:f>
        <x:v>3.0333333334419876</x:v>
      </x:c>
      <x:c r="P2708" s="9" t="str">
        <x:v>No</x:v>
      </x:c>
      <x:c r="Q2708" s="15" t="n">
        <x:v>32</x:v>
      </x:c>
      <x:c r="R2708" s="13" t="n">
        <x:f>J2708+Q2708/1440</x:f>
        <x:v>46309.79305555556</x:v>
      </x:c>
      <x:c r="S2708" s="2" t="str">
        <x:f>VLOOKUP(C2708,'MES orders'!$A$8:$H$127,6,FALSE)</x:f>
        <x:v>Normal</x:v>
      </x:c>
      <x:c r="T2708" s="9" t="str"/>
    </x:row>
    <x:row r="2709" ht="22" customHeight="1">
      <x:c r="A2709" s="2" t="str">
        <x:v>L00230-030</x:v>
      </x:c>
      <x:c r="B2709" s="2" t="str">
        <x:v>L00230</x:v>
      </x:c>
      <x:c r="C2709" s="2" t="str">
        <x:v>SO-26046</x:v>
      </x:c>
      <x:c r="D2709" s="2" t="str">
        <x:v>R-S-SS</x:v>
      </x:c>
      <x:c r="E2709" s="14" t="n">
        <x:v>25</x:v>
      </x:c>
      <x:c r="F2709" s="2" t="str">
        <x:v>Wash &amp; dry</x:v>
      </x:c>
      <x:c r="G2709" s="9" t="str">
        <x:v>WS-01</x:v>
      </x:c>
      <x:c r="H2709" s="15" t="n">
        <x:v>251</x:v>
      </x:c>
      <x:c r="I2709" s="9" t="str">
        <x:v>P18</x:v>
      </x:c>
      <x:c r="J2709" s="11" t="n">
        <x:v>46309.770833333336</x:v>
      </x:c>
      <x:c r="K2709" s="15" t="n">
        <x:v>12</x:v>
      </x:c>
      <x:c r="L2709" s="15" t="n">
        <x:v>9</x:v>
      </x:c>
      <x:c r="M2709" s="13" t="n">
        <x:f>J2709+(K2709+L2709)/1440</x:f>
        <x:v>46309.785416666666</x:v>
      </x:c>
      <x:c r="N2709" s="13" t="n">
        <x:f>VLOOKUP(C2709,'MES orders'!$A$8:$H$127,5,FALSE)</x:f>
        <x:v>46309.666666666664</x:v>
      </x:c>
      <x:c r="O2709" s="16" t="n">
        <x:f>MAX(0,(M2709-N2709)*24)</x:f>
        <x:v>2.8500000000349246</x:v>
      </x:c>
      <x:c r="P2709" s="9" t="str">
        <x:v>No</x:v>
      </x:c>
      <x:c r="Q2709" s="15" t="n">
        <x:v>21</x:v>
      </x:c>
      <x:c r="R2709" s="13" t="n">
        <x:f>J2709+Q2709/1440</x:f>
        <x:v>46309.785416666666</x:v>
      </x:c>
      <x:c r="S2709" s="2" t="str">
        <x:f>VLOOKUP(C2709,'MES orders'!$A$8:$H$127,6,FALSE)</x:f>
        <x:v>Normal</x:v>
      </x:c>
      <x:c r="T2709" s="9" t="str"/>
    </x:row>
    <x:row r="2710" ht="22" customHeight="1">
      <x:c r="A2710" s="2" t="str">
        <x:v>L00153-030</x:v>
      </x:c>
      <x:c r="B2710" s="2" t="str">
        <x:v>L00153</x:v>
      </x:c>
      <x:c r="C2710" s="2" t="str">
        <x:v>SO-26031</x:v>
      </x:c>
      <x:c r="D2710" s="2" t="str">
        <x:v>S-C-AL</x:v>
      </x:c>
      <x:c r="E2710" s="14" t="n">
        <x:v>15</x:v>
      </x:c>
      <x:c r="F2710" s="2" t="str">
        <x:v>Wash &amp; dry</x:v>
      </x:c>
      <x:c r="G2710" s="9" t="str">
        <x:v>WS-02</x:v>
      </x:c>
      <x:c r="H2710" s="15" t="n">
        <x:v>177</x:v>
      </x:c>
      <x:c r="I2710" s="9" t="str">
        <x:v>P19</x:v>
      </x:c>
      <x:c r="J2710" s="11" t="n">
        <x:v>46309.770833333336</x:v>
      </x:c>
      <x:c r="K2710" s="15" t="n">
        <x:v>12</x:v>
      </x:c>
      <x:c r="L2710" s="15" t="n">
        <x:v>4</x:v>
      </x:c>
      <x:c r="M2710" s="13" t="n">
        <x:f>J2710+(K2710+L2710)/1440</x:f>
        <x:v>46309.78194444445</x:v>
      </x:c>
      <x:c r="N2710" s="13" t="n">
        <x:f>VLOOKUP(C2710,'MES orders'!$A$8:$H$127,5,FALSE)</x:f>
        <x:v>46310.666666666664</x:v>
      </x:c>
      <x:c r="O2710" s="16" t="n">
        <x:f>MAX(0,(M2710-N2710)*24)</x:f>
        <x:v>0</x:v>
      </x:c>
      <x:c r="P2710" s="9" t="str">
        <x:v>No</x:v>
      </x:c>
      <x:c r="Q2710" s="15" t="n">
        <x:v>16</x:v>
      </x:c>
      <x:c r="R2710" s="13" t="n">
        <x:f>J2710+Q2710/1440</x:f>
        <x:v>46309.78194444445</x:v>
      </x:c>
      <x:c r="S2710" s="2" t="str">
        <x:f>VLOOKUP(C2710,'MES orders'!$A$8:$H$127,6,FALSE)</x:f>
        <x:v>Normal</x:v>
      </x:c>
      <x:c r="T2710" s="9" t="str"/>
    </x:row>
    <x:row r="2711" ht="22" customHeight="1">
      <x:c r="A2711" s="2" t="str">
        <x:v>L00153-040</x:v>
      </x:c>
      <x:c r="B2711" s="2" t="str">
        <x:v>L00153</x:v>
      </x:c>
      <x:c r="C2711" s="2" t="str">
        <x:v>SO-26031</x:v>
      </x:c>
      <x:c r="D2711" s="2" t="str">
        <x:v>S-C-AL</x:v>
      </x:c>
      <x:c r="E2711" s="14" t="n">
        <x:v>15</x:v>
      </x:c>
      <x:c r="F2711" s="2" t="str">
        <x:v>Mechanical preassembly</x:v>
      </x:c>
      <x:c r="G2711" s="9" t="str">
        <x:v>AS-04</x:v>
      </x:c>
      <x:c r="H2711" s="15" t="n">
        <x:v>99</x:v>
      </x:c>
      <x:c r="I2711" s="9" t="str">
        <x:v>P19</x:v>
      </x:c>
      <x:c r="J2711" s="11" t="n">
        <x:v>46309.78194444445</x:v>
      </x:c>
      <x:c r="K2711" s="15" t="n">
        <x:v>6</x:v>
      </x:c>
      <x:c r="L2711" s="15" t="n">
        <x:v>13</x:v>
      </x:c>
      <x:c r="M2711" s="13" t="n">
        <x:f>J2711+(K2711+L2711)/1440</x:f>
        <x:v>46309.79513888889</x:v>
      </x:c>
      <x:c r="N2711" s="13" t="n">
        <x:f>VLOOKUP(C2711,'MES orders'!$A$8:$H$127,5,FALSE)</x:f>
        <x:v>46310.666666666664</x:v>
      </x:c>
      <x:c r="O2711" s="16" t="n">
        <x:f>MAX(0,(M2711-N2711)*24)</x:f>
        <x:v>0</x:v>
      </x:c>
      <x:c r="P2711" s="9" t="str">
        <x:v>No</x:v>
      </x:c>
      <x:c r="Q2711" s="15" t="n">
        <x:v>19</x:v>
      </x:c>
      <x:c r="R2711" s="13" t="n">
        <x:f>J2711+Q2711/1440</x:f>
        <x:v>46309.79513888889</x:v>
      </x:c>
      <x:c r="S2711" s="2" t="str">
        <x:f>VLOOKUP(C2711,'MES orders'!$A$8:$H$127,6,FALSE)</x:f>
        <x:v>Normal</x:v>
      </x:c>
      <x:c r="T2711" s="9" t="str"/>
    </x:row>
    <x:row r="2712" ht="22" customHeight="1">
      <x:c r="A2712" s="2" t="str">
        <x:v>L00155-030</x:v>
      </x:c>
      <x:c r="B2712" s="2" t="str">
        <x:v>L00155</x:v>
      </x:c>
      <x:c r="C2712" s="2" t="str">
        <x:v>SO-26031</x:v>
      </x:c>
      <x:c r="D2712" s="2" t="str">
        <x:v>S-C-AL</x:v>
      </x:c>
      <x:c r="E2712" s="14" t="n">
        <x:v>15</x:v>
      </x:c>
      <x:c r="F2712" s="2" t="str">
        <x:v>Wash &amp; dry</x:v>
      </x:c>
      <x:c r="G2712" s="9" t="str">
        <x:v>WS-02</x:v>
      </x:c>
      <x:c r="H2712" s="15" t="n">
        <x:v>178</x:v>
      </x:c>
      <x:c r="I2712" s="9" t="str">
        <x:v>P20</x:v>
      </x:c>
      <x:c r="J2712" s="11" t="n">
        <x:v>46309.78194444445</x:v>
      </x:c>
      <x:c r="K2712" s="15" t="n">
        <x:v>12</x:v>
      </x:c>
      <x:c r="L2712" s="15" t="n">
        <x:v>4</x:v>
      </x:c>
      <x:c r="M2712" s="13" t="n">
        <x:f>J2712+(K2712+L2712)/1440</x:f>
        <x:v>46309.79305555556</x:v>
      </x:c>
      <x:c r="N2712" s="13" t="n">
        <x:f>VLOOKUP(C2712,'MES orders'!$A$8:$H$127,5,FALSE)</x:f>
        <x:v>46310.666666666664</x:v>
      </x:c>
      <x:c r="O2712" s="16" t="n">
        <x:f>MAX(0,(M2712-N2712)*24)</x:f>
        <x:v>0</x:v>
      </x:c>
      <x:c r="P2712" s="9" t="str">
        <x:v>No</x:v>
      </x:c>
      <x:c r="Q2712" s="15" t="n">
        <x:v>16</x:v>
      </x:c>
      <x:c r="R2712" s="13" t="n">
        <x:f>J2712+Q2712/1440</x:f>
        <x:v>46309.79305555556</x:v>
      </x:c>
      <x:c r="S2712" s="2" t="str">
        <x:f>VLOOKUP(C2712,'MES orders'!$A$8:$H$127,6,FALSE)</x:f>
        <x:v>Normal</x:v>
      </x:c>
      <x:c r="T2712" s="9" t="str"/>
    </x:row>
    <x:row r="2713" ht="22" customHeight="1">
      <x:c r="A2713" s="2" t="str">
        <x:v>L00307-010</x:v>
      </x:c>
      <x:c r="B2713" s="2" t="str">
        <x:v>L00307</x:v>
      </x:c>
      <x:c r="C2713" s="2" t="str">
        <x:v>SO-26062</x:v>
      </x:c>
      <x:c r="D2713" s="2" t="str">
        <x:v>S-C-SS</x:v>
      </x:c>
      <x:c r="E2713" s="14" t="n">
        <x:v>5</x:v>
      </x:c>
      <x:c r="F2713" s="2" t="str">
        <x:v>CNC machining</x:v>
      </x:c>
      <x:c r="G2713" s="9" t="str">
        <x:v>CNC-05</x:v>
      </x:c>
      <x:c r="H2713" s="15" t="n">
        <x:v>75</x:v>
      </x:c>
      <x:c r="I2713" s="9" t="str">
        <x:v>P14</x:v>
      </x:c>
      <x:c r="J2713" s="11" t="n">
        <x:v>46309.78333333333</x:v>
      </x:c>
      <x:c r="K2713" s="15" t="n">
        <x:v>18</x:v>
      </x:c>
      <x:c r="L2713" s="15" t="n">
        <x:v>12</x:v>
      </x:c>
      <x:c r="M2713" s="13" t="n">
        <x:f>J2713+(K2713+L2713)/1440</x:f>
        <x:v>46309.80416666667</x:v>
      </x:c>
      <x:c r="N2713" s="13" t="n">
        <x:f>VLOOKUP(C2713,'MES orders'!$A$8:$H$127,5,FALSE)</x:f>
        <x:v>46309.666666666664</x:v>
      </x:c>
      <x:c r="O2713" s="16" t="n">
        <x:f>MAX(0,(M2713-N2713)*24)</x:f>
        <x:v>3.300000000104774</x:v>
      </x:c>
      <x:c r="P2713" s="9" t="str">
        <x:v>No</x:v>
      </x:c>
      <x:c r="Q2713" s="15" t="n">
        <x:v>18</x:v>
      </x:c>
      <x:c r="R2713" s="13" t="n">
        <x:f>J2713+Q2713/1440</x:f>
        <x:v>46309.79583333333</x:v>
      </x:c>
      <x:c r="S2713" s="2" t="str">
        <x:f>VLOOKUP(C2713,'MES orders'!$A$8:$H$127,6,FALSE)</x:f>
        <x:v>Normal</x:v>
      </x:c>
      <x:c r="T2713" s="9" t="str"/>
    </x:row>
    <x:row r="2714" ht="22" customHeight="1">
      <x:c r="A2714" s="2" t="str">
        <x:v>L00308-010</x:v>
      </x:c>
      <x:c r="B2714" s="2" t="str">
        <x:v>L00308</x:v>
      </x:c>
      <x:c r="C2714" s="2" t="str">
        <x:v>SO-26062</x:v>
      </x:c>
      <x:c r="D2714" s="2" t="str">
        <x:v>S-C-SS</x:v>
      </x:c>
      <x:c r="E2714" s="14" t="n">
        <x:v>5</x:v>
      </x:c>
      <x:c r="F2714" s="2" t="str">
        <x:v>CNC machining</x:v>
      </x:c>
      <x:c r="G2714" s="9" t="str">
        <x:v>CNC-06</x:v>
      </x:c>
      <x:c r="H2714" s="15" t="n">
        <x:v>69</x:v>
      </x:c>
      <x:c r="I2714" s="9" t="str">
        <x:v>P15</x:v>
      </x:c>
      <x:c r="J2714" s="11" t="n">
        <x:v>46309.78333333333</x:v>
      </x:c>
      <x:c r="K2714" s="15" t="n">
        <x:v>18</x:v>
      </x:c>
      <x:c r="L2714" s="15" t="n">
        <x:v>12</x:v>
      </x:c>
      <x:c r="M2714" s="13" t="n">
        <x:f>J2714+(K2714+L2714)/1440</x:f>
        <x:v>46309.80416666667</x:v>
      </x:c>
      <x:c r="N2714" s="13" t="n">
        <x:f>VLOOKUP(C2714,'MES orders'!$A$8:$H$127,5,FALSE)</x:f>
        <x:v>46309.666666666664</x:v>
      </x:c>
      <x:c r="O2714" s="16" t="n">
        <x:f>MAX(0,(M2714-N2714)*24)</x:f>
        <x:v>3.300000000104774</x:v>
      </x:c>
      <x:c r="P2714" s="9" t="str">
        <x:v>No</x:v>
      </x:c>
      <x:c r="Q2714" s="15" t="n">
        <x:v>18</x:v>
      </x:c>
      <x:c r="R2714" s="13" t="n">
        <x:f>J2714+Q2714/1440</x:f>
        <x:v>46309.79583333333</x:v>
      </x:c>
      <x:c r="S2714" s="2" t="str">
        <x:f>VLOOKUP(C2714,'MES orders'!$A$8:$H$127,6,FALSE)</x:f>
        <x:v>Normal</x:v>
      </x:c>
      <x:c r="T2714" s="9" t="str"/>
    </x:row>
    <x:row r="2715" ht="22" customHeight="1">
      <x:c r="A2715" s="2" t="str">
        <x:v>L00230-040</x:v>
      </x:c>
      <x:c r="B2715" s="2" t="str">
        <x:v>L00230</x:v>
      </x:c>
      <x:c r="C2715" s="2" t="str">
        <x:v>SO-26046</x:v>
      </x:c>
      <x:c r="D2715" s="2" t="str">
        <x:v>R-S-SS</x:v>
      </x:c>
      <x:c r="E2715" s="14" t="n">
        <x:v>25</x:v>
      </x:c>
      <x:c r="F2715" s="2" t="str">
        <x:v>Mechanical assembly</x:v>
      </x:c>
      <x:c r="G2715" s="9" t="str">
        <x:v>AS-03</x:v>
      </x:c>
      <x:c r="H2715" s="15" t="n">
        <x:v>143</x:v>
      </x:c>
      <x:c r="I2715" s="9" t="str">
        <x:v>P18</x:v>
      </x:c>
      <x:c r="J2715" s="11" t="n">
        <x:v>46309.785416666666</x:v>
      </x:c>
      <x:c r="K2715" s="15" t="n">
        <x:v>8</x:v>
      </x:c>
      <x:c r="L2715" s="15" t="n">
        <x:v>45</x:v>
      </x:c>
      <x:c r="M2715" s="13" t="n">
        <x:f>J2715+(K2715+L2715)/1440</x:f>
        <x:v>46309.822222222225</x:v>
      </x:c>
      <x:c r="N2715" s="13" t="n">
        <x:f>VLOOKUP(C2715,'MES orders'!$A$8:$H$127,5,FALSE)</x:f>
        <x:v>46309.666666666664</x:v>
      </x:c>
      <x:c r="O2715" s="16" t="n">
        <x:f>MAX(0,(M2715-N2715)*24)</x:f>
        <x:v>3.733333333453629</x:v>
      </x:c>
      <x:c r="P2715" s="9" t="str">
        <x:v>No</x:v>
      </x:c>
      <x:c r="Q2715" s="15" t="n">
        <x:v>53</x:v>
      </x:c>
      <x:c r="R2715" s="13" t="n">
        <x:f>J2715+Q2715/1440</x:f>
        <x:v>46309.822222222225</x:v>
      </x:c>
      <x:c r="S2715" s="2" t="str">
        <x:f>VLOOKUP(C2715,'MES orders'!$A$8:$H$127,6,FALSE)</x:f>
        <x:v>Normal</x:v>
      </x:c>
      <x:c r="T2715" s="9" t="str"/>
    </x:row>
    <x:row r="2716" ht="22" customHeight="1">
      <x:c r="A2716" s="2" t="str">
        <x:v>L00269-030</x:v>
      </x:c>
      <x:c r="B2716" s="2" t="str">
        <x:v>L00269</x:v>
      </x:c>
      <x:c r="C2716" s="2" t="str">
        <x:v>SO-26054</x:v>
      </x:c>
      <x:c r="D2716" s="2" t="str">
        <x:v>R-L-SS</x:v>
      </x:c>
      <x:c r="E2716" s="14" t="n">
        <x:v>25</x:v>
      </x:c>
      <x:c r="F2716" s="2" t="str">
        <x:v>Wash &amp; dry</x:v>
      </x:c>
      <x:c r="G2716" s="9" t="str">
        <x:v>WS-01</x:v>
      </x:c>
      <x:c r="H2716" s="15" t="n">
        <x:v>252</x:v>
      </x:c>
      <x:c r="I2716" s="9" t="str">
        <x:v>P13</x:v>
      </x:c>
      <x:c r="J2716" s="11" t="n">
        <x:v>46309.79027777778</x:v>
      </x:c>
      <x:c r="K2716" s="15" t="n">
        <x:v>12</x:v>
      </x:c>
      <x:c r="L2716" s="15" t="n">
        <x:v>12</x:v>
      </x:c>
      <x:c r="M2716" s="13" t="n">
        <x:f>J2716+(K2716+L2716)/1440</x:f>
        <x:v>46309.80694444445</x:v>
      </x:c>
      <x:c r="N2716" s="13" t="n">
        <x:f>VLOOKUP(C2716,'MES orders'!$A$8:$H$127,5,FALSE)</x:f>
        <x:v>46309.666666666664</x:v>
      </x:c>
      <x:c r="O2716" s="16" t="n">
        <x:f>MAX(0,(M2716-N2716)*24)</x:f>
        <x:v>3.366666666814126</x:v>
      </x:c>
      <x:c r="P2716" s="9" t="str">
        <x:v>No</x:v>
      </x:c>
      <x:c r="Q2716" s="15" t="n">
        <x:v>24</x:v>
      </x:c>
      <x:c r="R2716" s="13" t="n">
        <x:f>J2716+Q2716/1440</x:f>
        <x:v>46309.80694444445</x:v>
      </x:c>
      <x:c r="S2716" s="2" t="str">
        <x:f>VLOOKUP(C2716,'MES orders'!$A$8:$H$127,6,FALSE)</x:f>
        <x:v>Normal</x:v>
      </x:c>
      <x:c r="T2716" s="9" t="str"/>
    </x:row>
    <x:row r="2717" ht="22" customHeight="1">
      <x:c r="A2717" s="2" t="str">
        <x:v>L00151-080</x:v>
      </x:c>
      <x:c r="B2717" s="2" t="str">
        <x:v>L00151</x:v>
      </x:c>
      <x:c r="C2717" s="2" t="str">
        <x:v>SO-26031</x:v>
      </x:c>
      <x:c r="D2717" s="2" t="str">
        <x:v>S-C-AL</x:v>
      </x:c>
      <x:c r="E2717" s="14" t="n">
        <x:v>15</x:v>
      </x:c>
      <x:c r="F2717" s="2" t="str">
        <x:v>Final leak / function test</x:v>
      </x:c>
      <x:c r="G2717" s="9" t="str">
        <x:v>QA-03</x:v>
      </x:c>
      <x:c r="H2717" s="15" t="n">
        <x:v>121</x:v>
      </x:c>
      <x:c r="I2717" s="9" t="str">
        <x:v>P24</x:v>
      </x:c>
      <x:c r="J2717" s="11" t="n">
        <x:v>46309.79305555556</x:v>
      </x:c>
      <x:c r="K2717" s="15" t="n">
        <x:v>10</x:v>
      </x:c>
      <x:c r="L2717" s="15" t="n">
        <x:v>11</x:v>
      </x:c>
      <x:c r="M2717" s="13" t="n">
        <x:f>J2717+(K2717+L2717)/1440</x:f>
        <x:v>46309.80763888889</x:v>
      </x:c>
      <x:c r="N2717" s="13" t="n">
        <x:f>VLOOKUP(C2717,'MES orders'!$A$8:$H$127,5,FALSE)</x:f>
        <x:v>46310.666666666664</x:v>
      </x:c>
      <x:c r="O2717" s="16" t="n">
        <x:f>MAX(0,(M2717-N2717)*24)</x:f>
        <x:v>0</x:v>
      </x:c>
      <x:c r="P2717" s="9" t="str">
        <x:v>No</x:v>
      </x:c>
      <x:c r="Q2717" s="15" t="n">
        <x:v>21</x:v>
      </x:c>
      <x:c r="R2717" s="13" t="n">
        <x:f>J2717+Q2717/1440</x:f>
        <x:v>46309.80763888889</x:v>
      </x:c>
      <x:c r="S2717" s="2" t="str">
        <x:f>VLOOKUP(C2717,'MES orders'!$A$8:$H$127,6,FALSE)</x:f>
        <x:v>Normal</x:v>
      </x:c>
      <x:c r="T2717" s="9" t="str"/>
    </x:row>
    <x:row r="2718" ht="22" customHeight="1">
      <x:c r="A2718" s="2" t="str">
        <x:v>L00306-020</x:v>
      </x:c>
      <x:c r="B2718" s="2" t="str">
        <x:v>L00306</x:v>
      </x:c>
      <x:c r="C2718" s="2" t="str">
        <x:v>SO-26062</x:v>
      </x:c>
      <x:c r="D2718" s="2" t="str">
        <x:v>S-C-SS</x:v>
      </x:c>
      <x:c r="E2718" s="14" t="n">
        <x:v>5</x:v>
      </x:c>
      <x:c r="F2718" s="2" t="str">
        <x:v>Deburr &amp; inspect</x:v>
      </x:c>
      <x:c r="G2718" s="9" t="str">
        <x:v>DB-01</x:v>
      </x:c>
      <x:c r="H2718" s="15" t="n">
        <x:v>255</x:v>
      </x:c>
      <x:c r="I2718" s="9" t="str">
        <x:v>P17</x:v>
      </x:c>
      <x:c r="J2718" s="11" t="n">
        <x:v>46309.794444444444</x:v>
      </x:c>
      <x:c r="K2718" s="15" t="n">
        <x:v>4</x:v>
      </x:c>
      <x:c r="L2718" s="15" t="n">
        <x:v>3</x:v>
      </x:c>
      <x:c r="M2718" s="13" t="n">
        <x:f>J2718+(K2718+L2718)/1440</x:f>
        <x:v>46309.799305555556</x:v>
      </x:c>
      <x:c r="N2718" s="13" t="n">
        <x:f>VLOOKUP(C2718,'MES orders'!$A$8:$H$127,5,FALSE)</x:f>
        <x:v>46309.666666666664</x:v>
      </x:c>
      <x:c r="O2718" s="16" t="n">
        <x:f>MAX(0,(M2718-N2718)*24)</x:f>
        <x:v>3.183333333407063</x:v>
      </x:c>
      <x:c r="P2718" s="9" t="str">
        <x:v>No</x:v>
      </x:c>
      <x:c r="Q2718" s="15" t="n">
        <x:v>7</x:v>
      </x:c>
      <x:c r="R2718" s="13" t="n">
        <x:f>J2718+Q2718/1440</x:f>
        <x:v>46309.799305555556</x:v>
      </x:c>
      <x:c r="S2718" s="2" t="str">
        <x:f>VLOOKUP(C2718,'MES orders'!$A$8:$H$127,6,FALSE)</x:f>
        <x:v>Normal</x:v>
      </x:c>
      <x:c r="T2718" s="9" t="str"/>
    </x:row>
    <x:row r="2719" ht="22" customHeight="1">
      <x:c r="A2719" s="2" t="str">
        <x:v>L00229-060</x:v>
      </x:c>
      <x:c r="B2719" s="2" t="str">
        <x:v>L00229</x:v>
      </x:c>
      <x:c r="C2719" s="2" t="str">
        <x:v>SO-26046</x:v>
      </x:c>
      <x:c r="D2719" s="2" t="str">
        <x:v>R-S-SS</x:v>
      </x:c>
      <x:c r="E2719" s="14" t="n">
        <x:v>25</x:v>
      </x:c>
      <x:c r="F2719" s="2" t="str">
        <x:v>Final leak / function test</x:v>
      </x:c>
      <x:c r="G2719" s="9" t="str">
        <x:v>QA-02</x:v>
      </x:c>
      <x:c r="H2719" s="15" t="n">
        <x:v>199</x:v>
      </x:c>
      <x:c r="I2719" s="9" t="str">
        <x:v>P23</x:v>
      </x:c>
      <x:c r="J2719" s="11" t="n">
        <x:v>46309.794444444444</x:v>
      </x:c>
      <x:c r="K2719" s="15" t="n">
        <x:v>10</x:v>
      </x:c>
      <x:c r="L2719" s="15" t="n">
        <x:v>22</x:v>
      </x:c>
      <x:c r="M2719" s="13" t="n">
        <x:f>J2719+(K2719+L2719)/1440</x:f>
        <x:v>46309.816666666666</x:v>
      </x:c>
      <x:c r="N2719" s="13" t="n">
        <x:f>VLOOKUP(C2719,'MES orders'!$A$8:$H$127,5,FALSE)</x:f>
        <x:v>46309.666666666664</x:v>
      </x:c>
      <x:c r="O2719" s="16" t="n">
        <x:f>MAX(0,(M2719-N2719)*24)</x:f>
        <x:v>3.6000000000349246</x:v>
      </x:c>
      <x:c r="P2719" s="9" t="str">
        <x:v>No</x:v>
      </x:c>
      <x:c r="Q2719" s="15" t="n">
        <x:v>32</x:v>
      </x:c>
      <x:c r="R2719" s="13" t="n">
        <x:f>J2719+Q2719/1440</x:f>
        <x:v>46309.816666666666</x:v>
      </x:c>
      <x:c r="S2719" s="2" t="str">
        <x:f>VLOOKUP(C2719,'MES orders'!$A$8:$H$127,6,FALSE)</x:f>
        <x:v>Normal</x:v>
      </x:c>
      <x:c r="T2719" s="9" t="str"/>
    </x:row>
    <x:row r="2720" ht="22" customHeight="1">
      <x:c r="A2720" s="2" t="str">
        <x:v>L00155-040</x:v>
      </x:c>
      <x:c r="B2720" s="2" t="str">
        <x:v>L00155</x:v>
      </x:c>
      <x:c r="C2720" s="2" t="str">
        <x:v>SO-26031</x:v>
      </x:c>
      <x:c r="D2720" s="2" t="str">
        <x:v>S-C-AL</x:v>
      </x:c>
      <x:c r="E2720" s="14" t="n">
        <x:v>15</x:v>
      </x:c>
      <x:c r="F2720" s="2" t="str">
        <x:v>Mechanical preassembly</x:v>
      </x:c>
      <x:c r="G2720" s="9" t="str">
        <x:v>AS-02</x:v>
      </x:c>
      <x:c r="H2720" s="15" t="n">
        <x:v>176</x:v>
      </x:c>
      <x:c r="I2720" s="9" t="str">
        <x:v>P19</x:v>
      </x:c>
      <x:c r="J2720" s="11" t="n">
        <x:v>46309.79513888889</x:v>
      </x:c>
      <x:c r="K2720" s="15" t="n">
        <x:v>6</x:v>
      </x:c>
      <x:c r="L2720" s="15" t="n">
        <x:v>13</x:v>
      </x:c>
      <x:c r="M2720" s="13" t="n">
        <x:f>J2720+(K2720+L2720)/1440</x:f>
        <x:v>46309.808333333334</x:v>
      </x:c>
      <x:c r="N2720" s="13" t="n">
        <x:f>VLOOKUP(C2720,'MES orders'!$A$8:$H$127,5,FALSE)</x:f>
        <x:v>46310.666666666664</x:v>
      </x:c>
      <x:c r="O2720" s="16" t="n">
        <x:f>MAX(0,(M2720-N2720)*24)</x:f>
        <x:v>0</x:v>
      </x:c>
      <x:c r="P2720" s="9" t="str">
        <x:v>No</x:v>
      </x:c>
      <x:c r="Q2720" s="15" t="n">
        <x:v>19</x:v>
      </x:c>
      <x:c r="R2720" s="13" t="n">
        <x:f>J2720+Q2720/1440</x:f>
        <x:v>46309.808333333334</x:v>
      </x:c>
      <x:c r="S2720" s="2" t="str">
        <x:f>VLOOKUP(C2720,'MES orders'!$A$8:$H$127,6,FALSE)</x:f>
        <x:v>Normal</x:v>
      </x:c>
      <x:c r="T2720" s="9" t="str"/>
    </x:row>
    <x:row r="2721" ht="22" customHeight="1">
      <x:c r="A2721" s="2" t="str">
        <x:v>L00153-050</x:v>
      </x:c>
      <x:c r="B2721" s="2" t="str">
        <x:v>L00153</x:v>
      </x:c>
      <x:c r="C2721" s="2" t="str">
        <x:v>SO-26031</x:v>
      </x:c>
      <x:c r="D2721" s="2" t="str">
        <x:v>S-C-AL</x:v>
      </x:c>
      <x:c r="E2721" s="14" t="n">
        <x:v>15</x:v>
      </x:c>
      <x:c r="F2721" s="2" t="str">
        <x:v>Sensor installation</x:v>
      </x:c>
      <x:c r="G2721" s="9" t="str">
        <x:v>EL-01</x:v>
      </x:c>
      <x:c r="H2721" s="15" t="n">
        <x:v>92</x:v>
      </x:c>
      <x:c r="I2721" s="9" t="str">
        <x:v>P20</x:v>
      </x:c>
      <x:c r="J2721" s="11" t="n">
        <x:v>46309.79513888889</x:v>
      </x:c>
      <x:c r="K2721" s="15" t="n">
        <x:v>8</x:v>
      </x:c>
      <x:c r="L2721" s="15" t="n">
        <x:v>14</x:v>
      </x:c>
      <x:c r="M2721" s="13" t="n">
        <x:f>J2721+(K2721+L2721)/1440</x:f>
        <x:v>46309.81041666667</x:v>
      </x:c>
      <x:c r="N2721" s="13" t="n">
        <x:f>VLOOKUP(C2721,'MES orders'!$A$8:$H$127,5,FALSE)</x:f>
        <x:v>46310.666666666664</x:v>
      </x:c>
      <x:c r="O2721" s="16" t="n">
        <x:f>MAX(0,(M2721-N2721)*24)</x:f>
        <x:v>0</x:v>
      </x:c>
      <x:c r="P2721" s="9" t="str">
        <x:v>No</x:v>
      </x:c>
      <x:c r="Q2721" s="15" t="n">
        <x:v>22</x:v>
      </x:c>
      <x:c r="R2721" s="13" t="n">
        <x:f>J2721+Q2721/1440</x:f>
        <x:v>46309.81041666667</x:v>
      </x:c>
      <x:c r="S2721" s="2" t="str">
        <x:f>VLOOKUP(C2721,'MES orders'!$A$8:$H$127,6,FALSE)</x:f>
        <x:v>Normal</x:v>
      </x:c>
      <x:c r="T2721" s="9" t="str"/>
    </x:row>
    <x:row r="2722" ht="22" customHeight="1">
      <x:c r="A2722" s="2" t="str">
        <x:v>L00154-020</x:v>
      </x:c>
      <x:c r="B2722" s="2" t="str">
        <x:v>L00154</x:v>
      </x:c>
      <x:c r="C2722" s="2" t="str">
        <x:v>SO-26031</x:v>
      </x:c>
      <x:c r="D2722" s="2" t="str">
        <x:v>S-C-AL</x:v>
      </x:c>
      <x:c r="E2722" s="14" t="n">
        <x:v>15</x:v>
      </x:c>
      <x:c r="F2722" s="2" t="str">
        <x:v>Deburr &amp; inspect</x:v>
      </x:c>
      <x:c r="G2722" s="9" t="str">
        <x:v>DB-01</x:v>
      </x:c>
      <x:c r="H2722" s="15" t="n">
        <x:v>256</x:v>
      </x:c>
      <x:c r="I2722" s="9" t="str">
        <x:v>P17</x:v>
      </x:c>
      <x:c r="J2722" s="11" t="n">
        <x:v>46309.799305555556</x:v>
      </x:c>
      <x:c r="K2722" s="15" t="n">
        <x:v>4</x:v>
      </x:c>
      <x:c r="L2722" s="15" t="n">
        <x:v>8</x:v>
      </x:c>
      <x:c r="M2722" s="13" t="n">
        <x:f>J2722+(K2722+L2722)/1440</x:f>
        <x:v>46309.80763888889</x:v>
      </x:c>
      <x:c r="N2722" s="13" t="n">
        <x:f>VLOOKUP(C2722,'MES orders'!$A$8:$H$127,5,FALSE)</x:f>
        <x:v>46310.666666666664</x:v>
      </x:c>
      <x:c r="O2722" s="16" t="n">
        <x:f>MAX(0,(M2722-N2722)*24)</x:f>
        <x:v>0</x:v>
      </x:c>
      <x:c r="P2722" s="9" t="str">
        <x:v>No</x:v>
      </x:c>
      <x:c r="Q2722" s="15" t="n">
        <x:v>12</x:v>
      </x:c>
      <x:c r="R2722" s="13" t="n">
        <x:f>J2722+Q2722/1440</x:f>
        <x:v>46309.80763888889</x:v>
      </x:c>
      <x:c r="S2722" s="2" t="str">
        <x:f>VLOOKUP(C2722,'MES orders'!$A$8:$H$127,6,FALSE)</x:f>
        <x:v>Normal</x:v>
      </x:c>
      <x:c r="T2722" s="9" t="str"/>
    </x:row>
    <x:row r="2723" ht="22" customHeight="1">
      <x:c r="A2723" s="2" t="str">
        <x:v>L00306-030</x:v>
      </x:c>
      <x:c r="B2723" s="2" t="str">
        <x:v>L00306</x:v>
      </x:c>
      <x:c r="C2723" s="2" t="str">
        <x:v>SO-26062</x:v>
      </x:c>
      <x:c r="D2723" s="2" t="str">
        <x:v>S-C-SS</x:v>
      </x:c>
      <x:c r="E2723" s="14" t="n">
        <x:v>5</x:v>
      </x:c>
      <x:c r="F2723" s="2" t="str">
        <x:v>Wash &amp; dry</x:v>
      </x:c>
      <x:c r="G2723" s="9" t="str">
        <x:v>WS-02</x:v>
      </x:c>
      <x:c r="H2723" s="15" t="n">
        <x:v>179</x:v>
      </x:c>
      <x:c r="I2723" s="9" t="str">
        <x:v>P14</x:v>
      </x:c>
      <x:c r="J2723" s="11" t="n">
        <x:v>46309.799305555556</x:v>
      </x:c>
      <x:c r="K2723" s="15" t="n">
        <x:v>12</x:v>
      </x:c>
      <x:c r="L2723" s="15" t="n">
        <x:v>1</x:v>
      </x:c>
      <x:c r="M2723" s="13" t="n">
        <x:f>J2723+(K2723+L2723)/1440</x:f>
        <x:v>46309.808333333334</x:v>
      </x:c>
      <x:c r="N2723" s="13" t="n">
        <x:f>VLOOKUP(C2723,'MES orders'!$A$8:$H$127,5,FALSE)</x:f>
        <x:v>46309.666666666664</x:v>
      </x:c>
      <x:c r="O2723" s="16" t="n">
        <x:f>MAX(0,(M2723-N2723)*24)</x:f>
        <x:v>3.4000000000814907</x:v>
      </x:c>
      <x:c r="P2723" s="9" t="str">
        <x:v>No</x:v>
      </x:c>
      <x:c r="Q2723" s="15" t="n">
        <x:v>13</x:v>
      </x:c>
      <x:c r="R2723" s="13" t="n">
        <x:f>J2723+Q2723/1440</x:f>
        <x:v>46309.808333333334</x:v>
      </x:c>
      <x:c r="S2723" s="2" t="str">
        <x:f>VLOOKUP(C2723,'MES orders'!$A$8:$H$127,6,FALSE)</x:f>
        <x:v>Normal</x:v>
      </x:c>
      <x:c r="T2723" s="9" t="str"/>
    </x:row>
    <x:row r="2724" ht="22" customHeight="1">
      <x:c r="A2724" s="2" t="str">
        <x:v>L00307-020</x:v>
      </x:c>
      <x:c r="B2724" s="2" t="str">
        <x:v>L00307</x:v>
      </x:c>
      <x:c r="C2724" s="2" t="str">
        <x:v>SO-26062</x:v>
      </x:c>
      <x:c r="D2724" s="2" t="str">
        <x:v>S-C-SS</x:v>
      </x:c>
      <x:c r="E2724" s="14" t="n">
        <x:v>5</x:v>
      </x:c>
      <x:c r="F2724" s="2" t="str">
        <x:v>Deburr &amp; inspect</x:v>
      </x:c>
      <x:c r="G2724" s="9" t="str">
        <x:v>DB-02</x:v>
      </x:c>
      <x:c r="H2724" s="15" t="n">
        <x:v>178</x:v>
      </x:c>
      <x:c r="I2724" s="9" t="str">
        <x:v>P15</x:v>
      </x:c>
      <x:c r="J2724" s="11" t="n">
        <x:v>46309.80416666667</x:v>
      </x:c>
      <x:c r="K2724" s="15" t="n">
        <x:v>4</x:v>
      </x:c>
      <x:c r="L2724" s="15" t="n">
        <x:v>3</x:v>
      </x:c>
      <x:c r="M2724" s="13" t="n">
        <x:f>J2724+(K2724+L2724)/1440</x:f>
        <x:v>46309.80902777778</x:v>
      </x:c>
      <x:c r="N2724" s="13" t="n">
        <x:f>VLOOKUP(C2724,'MES orders'!$A$8:$H$127,5,FALSE)</x:f>
        <x:v>46309.666666666664</x:v>
      </x:c>
      <x:c r="O2724" s="16" t="n">
        <x:f>MAX(0,(M2724-N2724)*24)</x:f>
        <x:v>3.4166666668024845</x:v>
      </x:c>
      <x:c r="P2724" s="9" t="str">
        <x:v>No</x:v>
      </x:c>
      <x:c r="Q2724" s="15" t="n">
        <x:v>7</x:v>
      </x:c>
      <x:c r="R2724" s="13" t="n">
        <x:f>J2724+Q2724/1440</x:f>
        <x:v>46309.80902777778</x:v>
      </x:c>
      <x:c r="S2724" s="2" t="str">
        <x:f>VLOOKUP(C2724,'MES orders'!$A$8:$H$127,6,FALSE)</x:f>
        <x:v>Normal</x:v>
      </x:c>
      <x:c r="T2724" s="9" t="str"/>
    </x:row>
    <x:row r="2725" ht="22" customHeight="1">
      <x:c r="A2725" s="2" t="str">
        <x:v>L00269-040</x:v>
      </x:c>
      <x:c r="B2725" s="2" t="str">
        <x:v>L00269</x:v>
      </x:c>
      <x:c r="C2725" s="2" t="str">
        <x:v>SO-26054</x:v>
      </x:c>
      <x:c r="D2725" s="2" t="str">
        <x:v>R-L-SS</x:v>
      </x:c>
      <x:c r="E2725" s="14" t="n">
        <x:v>25</x:v>
      </x:c>
      <x:c r="F2725" s="2" t="str">
        <x:v>Mechanical assembly</x:v>
      </x:c>
      <x:c r="G2725" s="9" t="str">
        <x:v>AS-04</x:v>
      </x:c>
      <x:c r="H2725" s="15" t="n">
        <x:v>100</x:v>
      </x:c>
      <x:c r="I2725" s="9" t="str">
        <x:v>P13</x:v>
      </x:c>
      <x:c r="J2725" s="11" t="n">
        <x:v>46309.80694444444</x:v>
      </x:c>
      <x:c r="K2725" s="15" t="n">
        <x:v>8</x:v>
      </x:c>
      <x:c r="L2725" s="15" t="n">
        <x:v>61</x:v>
      </x:c>
      <x:c r="M2725" s="13" t="n">
        <x:f>J2725+(K2725+L2725)/1440</x:f>
        <x:v>46309.85486111111</x:v>
      </x:c>
      <x:c r="N2725" s="13" t="n">
        <x:f>VLOOKUP(C2725,'MES orders'!$A$8:$H$127,5,FALSE)</x:f>
        <x:v>46309.666666666664</x:v>
      </x:c>
      <x:c r="O2725" s="16" t="n">
        <x:f>MAX(0,(M2725-N2725)*24)</x:f>
        <x:v>4.516666666720994</x:v>
      </x:c>
      <x:c r="P2725" s="9" t="str">
        <x:v>No</x:v>
      </x:c>
      <x:c r="Q2725" s="15" t="n">
        <x:v>69</x:v>
      </x:c>
      <x:c r="R2725" s="13" t="n">
        <x:f>J2725+Q2725/1440</x:f>
        <x:v>46309.85486111111</x:v>
      </x:c>
      <x:c r="S2725" s="2" t="str">
        <x:f>VLOOKUP(C2725,'MES orders'!$A$8:$H$127,6,FALSE)</x:f>
        <x:v>Normal</x:v>
      </x:c>
      <x:c r="T2725" s="9" t="str"/>
    </x:row>
    <x:row r="2726" ht="22" customHeight="1">
      <x:c r="A2726" s="2" t="str">
        <x:v>L00228-050</x:v>
      </x:c>
      <x:c r="B2726" s="2" t="str">
        <x:v>L00228</x:v>
      </x:c>
      <x:c r="C2726" s="2" t="str">
        <x:v>SO-26046</x:v>
      </x:c>
      <x:c r="D2726" s="2" t="str">
        <x:v>R-S-SS</x:v>
      </x:c>
      <x:c r="E2726" s="14" t="n">
        <x:v>25</x:v>
      </x:c>
      <x:c r="F2726" s="2" t="str">
        <x:v>Valve adjustment</x:v>
      </x:c>
      <x:c r="G2726" s="9" t="str">
        <x:v>AS-01</x:v>
      </x:c>
      <x:c r="H2726" s="15" t="n">
        <x:v>219</x:v>
      </x:c>
      <x:c r="I2726" s="9" t="str">
        <x:v>P17</x:v>
      </x:c>
      <x:c r="J2726" s="11" t="n">
        <x:v>46309.80763888889</x:v>
      </x:c>
      <x:c r="K2726" s="15" t="n">
        <x:v>6</x:v>
      </x:c>
      <x:c r="L2726" s="15" t="n">
        <x:v>28</x:v>
      </x:c>
      <x:c r="M2726" s="13" t="n">
        <x:f>J2726+(K2726+L2726)/1440</x:f>
        <x:v>46309.831249999996</x:v>
      </x:c>
      <x:c r="N2726" s="13" t="n">
        <x:f>VLOOKUP(C2726,'MES orders'!$A$8:$H$127,5,FALSE)</x:f>
        <x:v>46309.666666666664</x:v>
      </x:c>
      <x:c r="O2726" s="16" t="n">
        <x:f>MAX(0,(M2726-N2726)*24)</x:f>
        <x:v>3.949999999953434</x:v>
      </x:c>
      <x:c r="P2726" s="9" t="str">
        <x:v>No</x:v>
      </x:c>
      <x:c r="Q2726" s="15" t="n">
        <x:v>34</x:v>
      </x:c>
      <x:c r="R2726" s="13" t="n">
        <x:f>J2726+Q2726/1440</x:f>
        <x:v>46309.831249999996</x:v>
      </x:c>
      <x:c r="S2726" s="2" t="str">
        <x:f>VLOOKUP(C2726,'MES orders'!$A$8:$H$127,6,FALSE)</x:f>
        <x:v>Normal</x:v>
      </x:c>
      <x:c r="T2726" s="9" t="str"/>
    </x:row>
    <x:row r="2727" ht="22" customHeight="1">
      <x:c r="A2727" s="2" t="str">
        <x:v>L00266-020</x:v>
      </x:c>
      <x:c r="B2727" s="2" t="str">
        <x:v>L00266</x:v>
      </x:c>
      <x:c r="C2727" s="2" t="str">
        <x:v>SO-26054</x:v>
      </x:c>
      <x:c r="D2727" s="2" t="str">
        <x:v>R-L-SS</x:v>
      </x:c>
      <x:c r="E2727" s="14" t="n">
        <x:v>25</x:v>
      </x:c>
      <x:c r="F2727" s="2" t="str">
        <x:v>Deburr &amp; inspect</x:v>
      </x:c>
      <x:c r="G2727" s="9" t="str">
        <x:v>DB-01</x:v>
      </x:c>
      <x:c r="H2727" s="15" t="n">
        <x:v>257</x:v>
      </x:c>
      <x:c r="I2727" s="9" t="str">
        <x:v>P16</x:v>
      </x:c>
      <x:c r="J2727" s="11" t="n">
        <x:v>46309.80763888889</x:v>
      </x:c>
      <x:c r="K2727" s="15" t="n">
        <x:v>4</x:v>
      </x:c>
      <x:c r="L2727" s="15" t="n">
        <x:v>24</x:v>
      </x:c>
      <x:c r="M2727" s="13" t="n">
        <x:f>J2727+(K2727+L2727)/1440</x:f>
        <x:v>46309.82708333333</x:v>
      </x:c>
      <x:c r="N2727" s="13" t="n">
        <x:f>VLOOKUP(C2727,'MES orders'!$A$8:$H$127,5,FALSE)</x:f>
        <x:v>46309.666666666664</x:v>
      </x:c>
      <x:c r="O2727" s="16" t="n">
        <x:f>MAX(0,(M2727-N2727)*24)</x:f>
        <x:v>3.849999999976717</x:v>
      </x:c>
      <x:c r="P2727" s="9" t="str">
        <x:v>No</x:v>
      </x:c>
      <x:c r="Q2727" s="15" t="n">
        <x:v>28</x:v>
      </x:c>
      <x:c r="R2727" s="13" t="n">
        <x:f>J2727+Q2727/1440</x:f>
        <x:v>46309.82708333333</x:v>
      </x:c>
      <x:c r="S2727" s="2" t="str">
        <x:f>VLOOKUP(C2727,'MES orders'!$A$8:$H$127,6,FALSE)</x:f>
        <x:v>Normal</x:v>
      </x:c>
      <x:c r="T2727" s="9" t="str"/>
    </x:row>
    <x:row r="2728" ht="22" customHeight="1">
      <x:c r="A2728" s="2" t="str">
        <x:v>L00152-080</x:v>
      </x:c>
      <x:c r="B2728" s="2" t="str">
        <x:v>L00152</x:v>
      </x:c>
      <x:c r="C2728" s="2" t="str">
        <x:v>SO-26031</x:v>
      </x:c>
      <x:c r="D2728" s="2" t="str">
        <x:v>S-C-AL</x:v>
      </x:c>
      <x:c r="E2728" s="14" t="n">
        <x:v>15</x:v>
      </x:c>
      <x:c r="F2728" s="2" t="str">
        <x:v>Final leak / function test</x:v>
      </x:c>
      <x:c r="G2728" s="9" t="str">
        <x:v>QA-03</x:v>
      </x:c>
      <x:c r="H2728" s="15" t="n">
        <x:v>122</x:v>
      </x:c>
      <x:c r="I2728" s="9" t="str">
        <x:v>P24</x:v>
      </x:c>
      <x:c r="J2728" s="11" t="n">
        <x:v>46309.80763888889</x:v>
      </x:c>
      <x:c r="K2728" s="15" t="n">
        <x:v>10</x:v>
      </x:c>
      <x:c r="L2728" s="15" t="n">
        <x:v>11</x:v>
      </x:c>
      <x:c r="M2728" s="13" t="n">
        <x:f>J2728+(K2728+L2728)/1440</x:f>
        <x:v>46309.82222222222</x:v>
      </x:c>
      <x:c r="N2728" s="13" t="n">
        <x:f>VLOOKUP(C2728,'MES orders'!$A$8:$H$127,5,FALSE)</x:f>
        <x:v>46310.666666666664</x:v>
      </x:c>
      <x:c r="O2728" s="16" t="n">
        <x:f>MAX(0,(M2728-N2728)*24)</x:f>
        <x:v>0</x:v>
      </x:c>
      <x:c r="P2728" s="9" t="str">
        <x:v>No</x:v>
      </x:c>
      <x:c r="Q2728" s="15" t="n">
        <x:v>21</x:v>
      </x:c>
      <x:c r="R2728" s="13" t="n">
        <x:f>J2728+Q2728/1440</x:f>
        <x:v>46309.82222222222</x:v>
      </x:c>
      <x:c r="S2728" s="2" t="str">
        <x:f>VLOOKUP(C2728,'MES orders'!$A$8:$H$127,6,FALSE)</x:f>
        <x:v>Normal</x:v>
      </x:c>
      <x:c r="T2728" s="9" t="str"/>
    </x:row>
    <x:row r="2729" ht="22" customHeight="1">
      <x:c r="A2729" s="2" t="str">
        <x:v>L00306-040</x:v>
      </x:c>
      <x:c r="B2729" s="2" t="str">
        <x:v>L00306</x:v>
      </x:c>
      <x:c r="C2729" s="2" t="str">
        <x:v>SO-26062</x:v>
      </x:c>
      <x:c r="D2729" s="2" t="str">
        <x:v>S-C-SS</x:v>
      </x:c>
      <x:c r="E2729" s="14" t="n">
        <x:v>5</x:v>
      </x:c>
      <x:c r="F2729" s="2" t="str">
        <x:v>Mechanical preassembly</x:v>
      </x:c>
      <x:c r="G2729" s="9" t="str">
        <x:v>AS-02</x:v>
      </x:c>
      <x:c r="H2729" s="15" t="n">
        <x:v>177</x:v>
      </x:c>
      <x:c r="I2729" s="9" t="str">
        <x:v>P14</x:v>
      </x:c>
      <x:c r="J2729" s="11" t="n">
        <x:v>46309.808333333334</x:v>
      </x:c>
      <x:c r="K2729" s="15" t="n">
        <x:v>6</x:v>
      </x:c>
      <x:c r="L2729" s="15" t="n">
        <x:v>4</x:v>
      </x:c>
      <x:c r="M2729" s="13" t="n">
        <x:f>J2729+(K2729+L2729)/1440</x:f>
        <x:v>46309.81527777778</x:v>
      </x:c>
      <x:c r="N2729" s="13" t="n">
        <x:f>VLOOKUP(C2729,'MES orders'!$A$8:$H$127,5,FALSE)</x:f>
        <x:v>46309.666666666664</x:v>
      </x:c>
      <x:c r="O2729" s="16" t="n">
        <x:f>MAX(0,(M2729-N2729)*24)</x:f>
        <x:v>3.56666666676756</x:v>
      </x:c>
      <x:c r="P2729" s="9" t="str">
        <x:v>No</x:v>
      </x:c>
      <x:c r="Q2729" s="15" t="n">
        <x:v>10</x:v>
      </x:c>
      <x:c r="R2729" s="13" t="n">
        <x:f>J2729+Q2729/1440</x:f>
        <x:v>46309.81527777778</x:v>
      </x:c>
      <x:c r="S2729" s="2" t="str">
        <x:f>VLOOKUP(C2729,'MES orders'!$A$8:$H$127,6,FALSE)</x:f>
        <x:v>Normal</x:v>
      </x:c>
      <x:c r="T2729" s="9" t="str"/>
    </x:row>
    <x:row r="2730" ht="22" customHeight="1">
      <x:c r="A2730" s="2" t="str">
        <x:v>L00155-050</x:v>
      </x:c>
      <x:c r="B2730" s="2" t="str">
        <x:v>L00155</x:v>
      </x:c>
      <x:c r="C2730" s="2" t="str">
        <x:v>SO-26031</x:v>
      </x:c>
      <x:c r="D2730" s="2" t="str">
        <x:v>S-C-AL</x:v>
      </x:c>
      <x:c r="E2730" s="14" t="n">
        <x:v>15</x:v>
      </x:c>
      <x:c r="F2730" s="2" t="str">
        <x:v>Sensor installation</x:v>
      </x:c>
      <x:c r="G2730" s="9" t="str">
        <x:v>EL-02</x:v>
      </x:c>
      <x:c r="H2730" s="15" t="n">
        <x:v>47</x:v>
      </x:c>
      <x:c r="I2730" s="9" t="str">
        <x:v>P21</x:v>
      </x:c>
      <x:c r="J2730" s="11" t="n">
        <x:v>46309.808333333334</x:v>
      </x:c>
      <x:c r="K2730" s="15" t="n">
        <x:v>8</x:v>
      </x:c>
      <x:c r="L2730" s="15" t="n">
        <x:v>14</x:v>
      </x:c>
      <x:c r="M2730" s="13" t="n">
        <x:f>J2730+(K2730+L2730)/1440</x:f>
        <x:v>46309.82361111111</x:v>
      </x:c>
      <x:c r="N2730" s="13" t="n">
        <x:f>VLOOKUP(C2730,'MES orders'!$A$8:$H$127,5,FALSE)</x:f>
        <x:v>46310.666666666664</x:v>
      </x:c>
      <x:c r="O2730" s="16" t="n">
        <x:f>MAX(0,(M2730-N2730)*24)</x:f>
        <x:v>0</x:v>
      </x:c>
      <x:c r="P2730" s="9" t="str">
        <x:v>No</x:v>
      </x:c>
      <x:c r="Q2730" s="15" t="n">
        <x:v>22</x:v>
      </x:c>
      <x:c r="R2730" s="13" t="n">
        <x:f>J2730+Q2730/1440</x:f>
        <x:v>46309.82361111111</x:v>
      </x:c>
      <x:c r="S2730" s="2" t="str">
        <x:f>VLOOKUP(C2730,'MES orders'!$A$8:$H$127,6,FALSE)</x:f>
        <x:v>Normal</x:v>
      </x:c>
      <x:c r="T2730" s="9" t="str"/>
    </x:row>
    <x:row r="2731" ht="22" customHeight="1">
      <x:c r="A2731" s="2" t="str">
        <x:v>L00308-020</x:v>
      </x:c>
      <x:c r="B2731" s="2" t="str">
        <x:v>L00308</x:v>
      </x:c>
      <x:c r="C2731" s="2" t="str">
        <x:v>SO-26062</x:v>
      </x:c>
      <x:c r="D2731" s="2" t="str">
        <x:v>S-C-SS</x:v>
      </x:c>
      <x:c r="E2731" s="14" t="n">
        <x:v>5</x:v>
      </x:c>
      <x:c r="F2731" s="2" t="str">
        <x:v>Deburr &amp; inspect</x:v>
      </x:c>
      <x:c r="G2731" s="9" t="str">
        <x:v>DB-02</x:v>
      </x:c>
      <x:c r="H2731" s="15" t="n">
        <x:v>179</x:v>
      </x:c>
      <x:c r="I2731" s="9" t="str">
        <x:v>P19</x:v>
      </x:c>
      <x:c r="J2731" s="11" t="n">
        <x:v>46309.80902777778</x:v>
      </x:c>
      <x:c r="K2731" s="15" t="n">
        <x:v>4</x:v>
      </x:c>
      <x:c r="L2731" s="15" t="n">
        <x:v>3</x:v>
      </x:c>
      <x:c r="M2731" s="13" t="n">
        <x:f>J2731+(K2731+L2731)/1440</x:f>
        <x:v>46309.81388888889</x:v>
      </x:c>
      <x:c r="N2731" s="13" t="n">
        <x:f>VLOOKUP(C2731,'MES orders'!$A$8:$H$127,5,FALSE)</x:f>
        <x:v>46309.666666666664</x:v>
      </x:c>
      <x:c r="O2731" s="16" t="n">
        <x:f>MAX(0,(M2731-N2731)*24)</x:f>
        <x:v>3.5333333335001953</x:v>
      </x:c>
      <x:c r="P2731" s="9" t="str">
        <x:v>No</x:v>
      </x:c>
      <x:c r="Q2731" s="15" t="n">
        <x:v>7</x:v>
      </x:c>
      <x:c r="R2731" s="13" t="n">
        <x:f>J2731+Q2731/1440</x:f>
        <x:v>46309.81388888889</x:v>
      </x:c>
      <x:c r="S2731" s="2" t="str">
        <x:f>VLOOKUP(C2731,'MES orders'!$A$8:$H$127,6,FALSE)</x:f>
        <x:v>Normal</x:v>
      </x:c>
      <x:c r="T2731" s="9" t="str"/>
    </x:row>
    <x:row r="2732" ht="22" customHeight="1">
      <x:c r="A2732" s="2" t="str">
        <x:v>L00307-030</x:v>
      </x:c>
      <x:c r="B2732" s="2" t="str">
        <x:v>L00307</x:v>
      </x:c>
      <x:c r="C2732" s="2" t="str">
        <x:v>SO-26062</x:v>
      </x:c>
      <x:c r="D2732" s="2" t="str">
        <x:v>S-C-SS</x:v>
      </x:c>
      <x:c r="E2732" s="14" t="n">
        <x:v>5</x:v>
      </x:c>
      <x:c r="F2732" s="2" t="str">
        <x:v>Wash &amp; dry</x:v>
      </x:c>
      <x:c r="G2732" s="9" t="str">
        <x:v>WS-01</x:v>
      </x:c>
      <x:c r="H2732" s="15" t="n">
        <x:v>253</x:v>
      </x:c>
      <x:c r="I2732" s="9" t="str">
        <x:v>P15</x:v>
      </x:c>
      <x:c r="J2732" s="11" t="n">
        <x:v>46309.80902777778</x:v>
      </x:c>
      <x:c r="K2732" s="15" t="n">
        <x:v>12</x:v>
      </x:c>
      <x:c r="L2732" s="15" t="n">
        <x:v>1</x:v>
      </x:c>
      <x:c r="M2732" s="13" t="n">
        <x:f>J2732+(K2732+L2732)/1440</x:f>
        <x:v>46309.81805555556</x:v>
      </x:c>
      <x:c r="N2732" s="13" t="n">
        <x:f>VLOOKUP(C2732,'MES orders'!$A$8:$H$127,5,FALSE)</x:f>
        <x:v>46309.666666666664</x:v>
      </x:c>
      <x:c r="O2732" s="16" t="n">
        <x:f>MAX(0,(M2732-N2732)*24)</x:f>
        <x:v>3.6333333334769122</x:v>
      </x:c>
      <x:c r="P2732" s="9" t="str">
        <x:v>No</x:v>
      </x:c>
      <x:c r="Q2732" s="15" t="n">
        <x:v>13</x:v>
      </x:c>
      <x:c r="R2732" s="13" t="n">
        <x:f>J2732+Q2732/1440</x:f>
        <x:v>46309.81805555556</x:v>
      </x:c>
      <x:c r="S2732" s="2" t="str">
        <x:f>VLOOKUP(C2732,'MES orders'!$A$8:$H$127,6,FALSE)</x:f>
        <x:v>Normal</x:v>
      </x:c>
      <x:c r="T2732" s="9" t="str"/>
    </x:row>
    <x:row r="2733" ht="22" customHeight="1">
      <x:c r="A2733" s="2" t="str">
        <x:v>L00308-030</x:v>
      </x:c>
      <x:c r="B2733" s="2" t="str">
        <x:v>L00308</x:v>
      </x:c>
      <x:c r="C2733" s="2" t="str">
        <x:v>SO-26062</x:v>
      </x:c>
      <x:c r="D2733" s="2" t="str">
        <x:v>S-C-SS</x:v>
      </x:c>
      <x:c r="E2733" s="14" t="n">
        <x:v>5</x:v>
      </x:c>
      <x:c r="F2733" s="2" t="str">
        <x:v>Wash &amp; dry</x:v>
      </x:c>
      <x:c r="G2733" s="9" t="str">
        <x:v>WS-02</x:v>
      </x:c>
      <x:c r="H2733" s="15" t="n">
        <x:v>180</x:v>
      </x:c>
      <x:c r="I2733" s="9" t="str">
        <x:v>P20</x:v>
      </x:c>
      <x:c r="J2733" s="11" t="n">
        <x:v>46309.813888888886</x:v>
      </x:c>
      <x:c r="K2733" s="15" t="n">
        <x:v>12</x:v>
      </x:c>
      <x:c r="L2733" s="15" t="n">
        <x:v>1</x:v>
      </x:c>
      <x:c r="M2733" s="13" t="n">
        <x:f>J2733+(K2733+L2733)/1440</x:f>
        <x:v>46309.822916666664</x:v>
      </x:c>
      <x:c r="N2733" s="13" t="n">
        <x:f>VLOOKUP(C2733,'MES orders'!$A$8:$H$127,5,FALSE)</x:f>
        <x:v>46309.666666666664</x:v>
      </x:c>
      <x:c r="O2733" s="16" t="n">
        <x:f>MAX(0,(M2733-N2733)*24)</x:f>
        <x:v>3.75</x:v>
      </x:c>
      <x:c r="P2733" s="9" t="str">
        <x:v>No</x:v>
      </x:c>
      <x:c r="Q2733" s="15" t="n">
        <x:v>13</x:v>
      </x:c>
      <x:c r="R2733" s="13" t="n">
        <x:f>J2733+Q2733/1440</x:f>
        <x:v>46309.822916666664</x:v>
      </x:c>
      <x:c r="S2733" s="2" t="str">
        <x:f>VLOOKUP(C2733,'MES orders'!$A$8:$H$127,6,FALSE)</x:f>
        <x:v>Normal</x:v>
      </x:c>
      <x:c r="T2733" s="9" t="str"/>
    </x:row>
    <x:row r="2734" ht="22" customHeight="1">
      <x:c r="A2734" s="2" t="str">
        <x:v>L00306-050</x:v>
      </x:c>
      <x:c r="B2734" s="2" t="str">
        <x:v>L00306</x:v>
      </x:c>
      <x:c r="C2734" s="2" t="str">
        <x:v>SO-26062</x:v>
      </x:c>
      <x:c r="D2734" s="2" t="str">
        <x:v>S-C-SS</x:v>
      </x:c>
      <x:c r="E2734" s="14" t="n">
        <x:v>5</x:v>
      </x:c>
      <x:c r="F2734" s="2" t="str">
        <x:v>Sensor installation</x:v>
      </x:c>
      <x:c r="G2734" s="9" t="str">
        <x:v>EL-01</x:v>
      </x:c>
      <x:c r="H2734" s="15" t="n">
        <x:v>93</x:v>
      </x:c>
      <x:c r="I2734" s="9" t="str">
        <x:v>P19</x:v>
      </x:c>
      <x:c r="J2734" s="11" t="n">
        <x:v>46309.81527777778</x:v>
      </x:c>
      <x:c r="K2734" s="15" t="n">
        <x:v>8</x:v>
      </x:c>
      <x:c r="L2734" s="15" t="n">
        <x:v>5</x:v>
      </x:c>
      <x:c r="M2734" s="13" t="n">
        <x:f>J2734+(K2734+L2734)/1440</x:f>
        <x:v>46309.82430555556</x:v>
      </x:c>
      <x:c r="N2734" s="13" t="n">
        <x:f>VLOOKUP(C2734,'MES orders'!$A$8:$H$127,5,FALSE)</x:f>
        <x:v>46309.666666666664</x:v>
      </x:c>
      <x:c r="O2734" s="16" t="n">
        <x:f>MAX(0,(M2734-N2734)*24)</x:f>
        <x:v>3.7833333334419876</x:v>
      </x:c>
      <x:c r="P2734" s="9" t="str">
        <x:v>No</x:v>
      </x:c>
      <x:c r="Q2734" s="15" t="n">
        <x:v>13</x:v>
      </x:c>
      <x:c r="R2734" s="13" t="n">
        <x:f>J2734+Q2734/1440</x:f>
        <x:v>46309.82430555556</x:v>
      </x:c>
      <x:c r="S2734" s="2" t="str">
        <x:f>VLOOKUP(C2734,'MES orders'!$A$8:$H$127,6,FALSE)</x:f>
        <x:v>Normal</x:v>
      </x:c>
      <x:c r="T2734" s="9" t="str"/>
    </x:row>
    <x:row r="2735" ht="22" customHeight="1">
      <x:c r="A2735" s="2" t="str">
        <x:v>L00307-040</x:v>
      </x:c>
      <x:c r="B2735" s="2" t="str">
        <x:v>L00307</x:v>
      </x:c>
      <x:c r="C2735" s="2" t="str">
        <x:v>SO-26062</x:v>
      </x:c>
      <x:c r="D2735" s="2" t="str">
        <x:v>S-C-SS</x:v>
      </x:c>
      <x:c r="E2735" s="14" t="n">
        <x:v>5</x:v>
      </x:c>
      <x:c r="F2735" s="2" t="str">
        <x:v>Mechanical preassembly</x:v>
      </x:c>
      <x:c r="G2735" s="9" t="str">
        <x:v>AS-05</x:v>
      </x:c>
      <x:c r="H2735" s="15" t="n">
        <x:v>53</x:v>
      </x:c>
      <x:c r="I2735" s="9" t="str">
        <x:v>P14</x:v>
      </x:c>
      <x:c r="J2735" s="11" t="n">
        <x:v>46309.81805555556</x:v>
      </x:c>
      <x:c r="K2735" s="15" t="n">
        <x:v>6</x:v>
      </x:c>
      <x:c r="L2735" s="15" t="n">
        <x:v>4</x:v>
      </x:c>
      <x:c r="M2735" s="13" t="n">
        <x:f>J2735+(K2735+L2735)/1440</x:f>
        <x:v>46309.825000000004</x:v>
      </x:c>
      <x:c r="N2735" s="13" t="n">
        <x:f>VLOOKUP(C2735,'MES orders'!$A$8:$H$127,5,FALSE)</x:f>
        <x:v>46309.666666666664</x:v>
      </x:c>
      <x:c r="O2735" s="16" t="n">
        <x:f>MAX(0,(M2735-N2735)*24)</x:f>
        <x:v>3.8000000001629815</x:v>
      </x:c>
      <x:c r="P2735" s="9" t="str">
        <x:v>No</x:v>
      </x:c>
      <x:c r="Q2735" s="15" t="n">
        <x:v>10</x:v>
      </x:c>
      <x:c r="R2735" s="13" t="n">
        <x:f>J2735+Q2735/1440</x:f>
        <x:v>46309.825000000004</x:v>
      </x:c>
      <x:c r="S2735" s="2" t="str">
        <x:f>VLOOKUP(C2735,'MES orders'!$A$8:$H$127,6,FALSE)</x:f>
        <x:v>Normal</x:v>
      </x:c>
      <x:c r="T2735" s="9" t="str"/>
    </x:row>
    <x:row r="2736" ht="22" customHeight="1">
      <x:c r="A2736" s="2" t="str">
        <x:v>L00230-050</x:v>
      </x:c>
      <x:c r="B2736" s="2" t="str">
        <x:v>L00230</x:v>
      </x:c>
      <x:c r="C2736" s="2" t="str">
        <x:v>SO-26046</x:v>
      </x:c>
      <x:c r="D2736" s="2" t="str">
        <x:v>R-S-SS</x:v>
      </x:c>
      <x:c r="E2736" s="14" t="n">
        <x:v>25</x:v>
      </x:c>
      <x:c r="F2736" s="2" t="str">
        <x:v>Valve adjustment</x:v>
      </x:c>
      <x:c r="G2736" s="9" t="str">
        <x:v>AS-02</x:v>
      </x:c>
      <x:c r="H2736" s="15" t="n">
        <x:v>178</x:v>
      </x:c>
      <x:c r="I2736" s="9" t="str">
        <x:v>P18</x:v>
      </x:c>
      <x:c r="J2736" s="11" t="n">
        <x:v>46309.822222222225</x:v>
      </x:c>
      <x:c r="K2736" s="15" t="n">
        <x:v>6</x:v>
      </x:c>
      <x:c r="L2736" s="15" t="n">
        <x:v>28</x:v>
      </x:c>
      <x:c r="M2736" s="13" t="n">
        <x:f>J2736+(K2736+L2736)/1440</x:f>
        <x:v>46309.84583333333</x:v>
      </x:c>
      <x:c r="N2736" s="13" t="n">
        <x:f>VLOOKUP(C2736,'MES orders'!$A$8:$H$127,5,FALSE)</x:f>
        <x:v>46309.666666666664</x:v>
      </x:c>
      <x:c r="O2736" s="16" t="n">
        <x:f>MAX(0,(M2736-N2736)*24)</x:f>
        <x:v>4.300000000046566</x:v>
      </x:c>
      <x:c r="P2736" s="9" t="str">
        <x:v>No</x:v>
      </x:c>
      <x:c r="Q2736" s="15" t="n">
        <x:v>34</x:v>
      </x:c>
      <x:c r="R2736" s="13" t="n">
        <x:f>J2736+Q2736/1440</x:f>
        <x:v>46309.84583333333</x:v>
      </x:c>
      <x:c r="S2736" s="2" t="str">
        <x:f>VLOOKUP(C2736,'MES orders'!$A$8:$H$127,6,FALSE)</x:f>
        <x:v>Normal</x:v>
      </x:c>
      <x:c r="T2736" s="9" t="str"/>
    </x:row>
    <x:row r="2737" ht="22" customHeight="1">
      <x:c r="A2737" s="2" t="str">
        <x:v>L00308-040</x:v>
      </x:c>
      <x:c r="B2737" s="2" t="str">
        <x:v>L00308</x:v>
      </x:c>
      <x:c r="C2737" s="2" t="str">
        <x:v>SO-26062</x:v>
      </x:c>
      <x:c r="D2737" s="2" t="str">
        <x:v>S-C-SS</x:v>
      </x:c>
      <x:c r="E2737" s="14" t="n">
        <x:v>5</x:v>
      </x:c>
      <x:c r="F2737" s="2" t="str">
        <x:v>Mechanical preassembly</x:v>
      </x:c>
      <x:c r="G2737" s="9" t="str">
        <x:v>AS-03</x:v>
      </x:c>
      <x:c r="H2737" s="15" t="n">
        <x:v>144</x:v>
      </x:c>
      <x:c r="I2737" s="9" t="str">
        <x:v>P15</x:v>
      </x:c>
      <x:c r="J2737" s="11" t="n">
        <x:v>46309.822916666664</x:v>
      </x:c>
      <x:c r="K2737" s="15" t="n">
        <x:v>6</x:v>
      </x:c>
      <x:c r="L2737" s="15" t="n">
        <x:v>4</x:v>
      </x:c>
      <x:c r="M2737" s="13" t="n">
        <x:f>J2737+(K2737+L2737)/1440</x:f>
        <x:v>46309.82986111111</x:v>
      </x:c>
      <x:c r="N2737" s="13" t="n">
        <x:f>VLOOKUP(C2737,'MES orders'!$A$8:$H$127,5,FALSE)</x:f>
        <x:v>46309.666666666664</x:v>
      </x:c>
      <x:c r="O2737" s="16" t="n">
        <x:f>MAX(0,(M2737-N2737)*24)</x:f>
        <x:v>3.916666666686069</x:v>
      </x:c>
      <x:c r="P2737" s="9" t="str">
        <x:v>No</x:v>
      </x:c>
      <x:c r="Q2737" s="15" t="n">
        <x:v>10</x:v>
      </x:c>
      <x:c r="R2737" s="13" t="n">
        <x:f>J2737+Q2737/1440</x:f>
        <x:v>46309.82986111111</x:v>
      </x:c>
      <x:c r="S2737" s="2" t="str">
        <x:f>VLOOKUP(C2737,'MES orders'!$A$8:$H$127,6,FALSE)</x:f>
        <x:v>Normal</x:v>
      </x:c>
      <x:c r="T2737" s="9" t="str"/>
    </x:row>
    <x:row r="2738" ht="22" customHeight="1">
      <x:c r="A2738" s="2" t="str">
        <x:v>L00154-030</x:v>
      </x:c>
      <x:c r="B2738" s="2" t="str">
        <x:v>L00154</x:v>
      </x:c>
      <x:c r="C2738" s="2" t="str">
        <x:v>SO-26031</x:v>
      </x:c>
      <x:c r="D2738" s="2" t="str">
        <x:v>S-C-AL</x:v>
      </x:c>
      <x:c r="E2738" s="14" t="n">
        <x:v>15</x:v>
      </x:c>
      <x:c r="F2738" s="2" t="str">
        <x:v>Wash &amp; dry</x:v>
      </x:c>
      <x:c r="G2738" s="9" t="str">
        <x:v>WS-02</x:v>
      </x:c>
      <x:c r="H2738" s="15" t="n">
        <x:v>181</x:v>
      </x:c>
      <x:c r="I2738" s="9" t="str">
        <x:v>P20</x:v>
      </x:c>
      <x:c r="J2738" s="11" t="n">
        <x:v>46309.822916666664</x:v>
      </x:c>
      <x:c r="K2738" s="15" t="n">
        <x:v>12</x:v>
      </x:c>
      <x:c r="L2738" s="15" t="n">
        <x:v>4</x:v>
      </x:c>
      <x:c r="M2738" s="13" t="n">
        <x:f>J2738+(K2738+L2738)/1440</x:f>
        <x:v>46309.834027777775</x:v>
      </x:c>
      <x:c r="N2738" s="13" t="n">
        <x:f>VLOOKUP(C2738,'MES orders'!$A$8:$H$127,5,FALSE)</x:f>
        <x:v>46310.666666666664</x:v>
      </x:c>
      <x:c r="O2738" s="16" t="n">
        <x:f>MAX(0,(M2738-N2738)*24)</x:f>
        <x:v>0</x:v>
      </x:c>
      <x:c r="P2738" s="9" t="str">
        <x:v>No</x:v>
      </x:c>
      <x:c r="Q2738" s="15" t="n">
        <x:v>16</x:v>
      </x:c>
      <x:c r="R2738" s="13" t="n">
        <x:f>J2738+Q2738/1440</x:f>
        <x:v>46309.834027777775</x:v>
      </x:c>
      <x:c r="S2738" s="2" t="str">
        <x:f>VLOOKUP(C2738,'MES orders'!$A$8:$H$127,6,FALSE)</x:f>
        <x:v>Normal</x:v>
      </x:c>
      <x:c r="T2738" s="9" t="str"/>
    </x:row>
    <x:row r="2739" ht="22" customHeight="1">
      <x:c r="A2739" s="2" t="str">
        <x:v>L00306-060</x:v>
      </x:c>
      <x:c r="B2739" s="2" t="str">
        <x:v>L00306</x:v>
      </x:c>
      <x:c r="C2739" s="2" t="str">
        <x:v>SO-26062</x:v>
      </x:c>
      <x:c r="D2739" s="2" t="str">
        <x:v>S-C-SS</x:v>
      </x:c>
      <x:c r="E2739" s="14" t="n">
        <x:v>5</x:v>
      </x:c>
      <x:c r="F2739" s="2" t="str">
        <x:v>Sensor calibration</x:v>
      </x:c>
      <x:c r="G2739" s="9" t="str">
        <x:v>CAL-01</x:v>
      </x:c>
      <x:c r="H2739" s="15" t="n">
        <x:v>138</x:v>
      </x:c>
      <x:c r="I2739" s="9" t="str">
        <x:v>P21</x:v>
      </x:c>
      <x:c r="J2739" s="11" t="n">
        <x:v>46309.82430555556</x:v>
      </x:c>
      <x:c r="K2739" s="15" t="n">
        <x:v>10</x:v>
      </x:c>
      <x:c r="L2739" s="15" t="n">
        <x:v>5</x:v>
      </x:c>
      <x:c r="M2739" s="13" t="n">
        <x:f>J2739+(K2739+L2739)/1440</x:f>
        <x:v>46309.83472222222</x:v>
      </x:c>
      <x:c r="N2739" s="13" t="n">
        <x:f>VLOOKUP(C2739,'MES orders'!$A$8:$H$127,5,FALSE)</x:f>
        <x:v>46309.666666666664</x:v>
      </x:c>
      <x:c r="O2739" s="16" t="n">
        <x:f>MAX(0,(M2739-N2739)*24)</x:f>
        <x:v>4.03333333338378</x:v>
      </x:c>
      <x:c r="P2739" s="9" t="str">
        <x:v>No</x:v>
      </x:c>
      <x:c r="Q2739" s="15" t="n">
        <x:v>15</x:v>
      </x:c>
      <x:c r="R2739" s="13" t="n">
        <x:f>J2739+Q2739/1440</x:f>
        <x:v>46309.83472222222</x:v>
      </x:c>
      <x:c r="S2739" s="2" t="str">
        <x:f>VLOOKUP(C2739,'MES orders'!$A$8:$H$127,6,FALSE)</x:f>
        <x:v>Normal</x:v>
      </x:c>
      <x:c r="T2739" s="9" t="str"/>
    </x:row>
    <x:row r="2740" ht="22" customHeight="1">
      <x:c r="A2740" s="2" t="str">
        <x:v>L00309-010</x:v>
      </x:c>
      <x:c r="B2740" s="2" t="str">
        <x:v>L00309</x:v>
      </x:c>
      <x:c r="C2740" s="2" t="str">
        <x:v>SO-26062</x:v>
      </x:c>
      <x:c r="D2740" s="2" t="str">
        <x:v>S-C-SS</x:v>
      </x:c>
      <x:c r="E2740" s="14" t="n">
        <x:v>5</x:v>
      </x:c>
      <x:c r="F2740" s="2" t="str">
        <x:v>CNC machining</x:v>
      </x:c>
      <x:c r="G2740" s="9" t="str">
        <x:v>CNC-04</x:v>
      </x:c>
      <x:c r="H2740" s="15" t="n">
        <x:v>83</x:v>
      </x:c>
      <x:c r="I2740" s="9" t="str">
        <x:v>P14</x:v>
      </x:c>
      <x:c r="J2740" s="11" t="n">
        <x:v>46309.825</x:v>
      </x:c>
      <x:c r="K2740" s="15" t="n">
        <x:v>18</x:v>
      </x:c>
      <x:c r="L2740" s="15" t="n">
        <x:v>12</x:v>
      </x:c>
      <x:c r="M2740" s="13" t="n">
        <x:f>J2740+(K2740+L2740)/1440</x:f>
        <x:v>46309.84583333333</x:v>
      </x:c>
      <x:c r="N2740" s="13" t="n">
        <x:f>VLOOKUP(C2740,'MES orders'!$A$8:$H$127,5,FALSE)</x:f>
        <x:v>46309.666666666664</x:v>
      </x:c>
      <x:c r="O2740" s="16" t="n">
        <x:f>MAX(0,(M2740-N2740)*24)</x:f>
        <x:v>4.300000000046566</x:v>
      </x:c>
      <x:c r="P2740" s="9" t="str">
        <x:v>No</x:v>
      </x:c>
      <x:c r="Q2740" s="15" t="n">
        <x:v>18</x:v>
      </x:c>
      <x:c r="R2740" s="13" t="n">
        <x:f>J2740+Q2740/1440</x:f>
        <x:v>46309.837499999994</x:v>
      </x:c>
      <x:c r="S2740" s="2" t="str">
        <x:f>VLOOKUP(C2740,'MES orders'!$A$8:$H$127,6,FALSE)</x:f>
        <x:v>Normal</x:v>
      </x:c>
      <x:c r="T2740" s="9" t="str"/>
    </x:row>
    <x:row r="2741" ht="22" customHeight="1">
      <x:c r="A2741" s="2" t="str">
        <x:v>L00307-050</x:v>
      </x:c>
      <x:c r="B2741" s="2" t="str">
        <x:v>L00307</x:v>
      </x:c>
      <x:c r="C2741" s="2" t="str">
        <x:v>SO-26062</x:v>
      </x:c>
      <x:c r="D2741" s="2" t="str">
        <x:v>S-C-SS</x:v>
      </x:c>
      <x:c r="E2741" s="14" t="n">
        <x:v>5</x:v>
      </x:c>
      <x:c r="F2741" s="2" t="str">
        <x:v>Sensor installation</x:v>
      </x:c>
      <x:c r="G2741" s="9" t="str">
        <x:v>EL-01</x:v>
      </x:c>
      <x:c r="H2741" s="15" t="n">
        <x:v>94</x:v>
      </x:c>
      <x:c r="I2741" s="9" t="str">
        <x:v>P19</x:v>
      </x:c>
      <x:c r="J2741" s="11" t="n">
        <x:v>46309.825</x:v>
      </x:c>
      <x:c r="K2741" s="15" t="n">
        <x:v>8</x:v>
      </x:c>
      <x:c r="L2741" s="15" t="n">
        <x:v>5</x:v>
      </x:c>
      <x:c r="M2741" s="13" t="n">
        <x:f>J2741+(K2741+L2741)/1440</x:f>
        <x:v>46309.834027777775</x:v>
      </x:c>
      <x:c r="N2741" s="13" t="n">
        <x:f>VLOOKUP(C2741,'MES orders'!$A$8:$H$127,5,FALSE)</x:f>
        <x:v>46309.666666666664</x:v>
      </x:c>
      <x:c r="O2741" s="16" t="n">
        <x:f>MAX(0,(M2741-N2741)*24)</x:f>
        <x:v>4.016666666662786</x:v>
      </x:c>
      <x:c r="P2741" s="9" t="str">
        <x:v>No</x:v>
      </x:c>
      <x:c r="Q2741" s="15" t="n">
        <x:v>13</x:v>
      </x:c>
      <x:c r="R2741" s="13" t="n">
        <x:f>J2741+Q2741/1440</x:f>
        <x:v>46309.834027777775</x:v>
      </x:c>
      <x:c r="S2741" s="2" t="str">
        <x:f>VLOOKUP(C2741,'MES orders'!$A$8:$H$127,6,FALSE)</x:f>
        <x:v>Normal</x:v>
      </x:c>
      <x:c r="T2741" s="9" t="str"/>
    </x:row>
    <x:row r="2742" ht="22" customHeight="1">
      <x:c r="A2742" s="2" t="str">
        <x:v>L00266-030</x:v>
      </x:c>
      <x:c r="B2742" s="2" t="str">
        <x:v>L00266</x:v>
      </x:c>
      <x:c r="C2742" s="2" t="str">
        <x:v>SO-26054</x:v>
      </x:c>
      <x:c r="D2742" s="2" t="str">
        <x:v>R-L-SS</x:v>
      </x:c>
      <x:c r="E2742" s="14" t="n">
        <x:v>25</x:v>
      </x:c>
      <x:c r="F2742" s="2" t="str">
        <x:v>Wash &amp; dry</x:v>
      </x:c>
      <x:c r="G2742" s="9" t="str">
        <x:v>WS-01</x:v>
      </x:c>
      <x:c r="H2742" s="15" t="n">
        <x:v>254</x:v>
      </x:c>
      <x:c r="I2742" s="9" t="str">
        <x:v>P16</x:v>
      </x:c>
      <x:c r="J2742" s="11" t="n">
        <x:v>46309.82708333333</x:v>
      </x:c>
      <x:c r="K2742" s="15" t="n">
        <x:v>12</x:v>
      </x:c>
      <x:c r="L2742" s="15" t="n">
        <x:v>12</x:v>
      </x:c>
      <x:c r="M2742" s="13" t="n">
        <x:f>J2742+(K2742+L2742)/1440</x:f>
        <x:v>46309.84375</x:v>
      </x:c>
      <x:c r="N2742" s="13" t="n">
        <x:f>VLOOKUP(C2742,'MES orders'!$A$8:$H$127,5,FALSE)</x:f>
        <x:v>46309.666666666664</x:v>
      </x:c>
      <x:c r="O2742" s="16" t="n">
        <x:f>MAX(0,(M2742-N2742)*24)</x:f>
        <x:v>4.250000000058208</x:v>
      </x:c>
      <x:c r="P2742" s="9" t="str">
        <x:v>No</x:v>
      </x:c>
      <x:c r="Q2742" s="15" t="n">
        <x:v>24</x:v>
      </x:c>
      <x:c r="R2742" s="13" t="n">
        <x:f>J2742+Q2742/1440</x:f>
        <x:v>46309.84375</x:v>
      </x:c>
      <x:c r="S2742" s="2" t="str">
        <x:f>VLOOKUP(C2742,'MES orders'!$A$8:$H$127,6,FALSE)</x:f>
        <x:v>Normal</x:v>
      </x:c>
      <x:c r="T2742" s="9" t="str"/>
    </x:row>
    <x:row r="2743" ht="22" customHeight="1">
      <x:c r="A2743" s="2" t="str">
        <x:v>L00310-010</x:v>
      </x:c>
      <x:c r="B2743" s="2" t="str">
        <x:v>L00310</x:v>
      </x:c>
      <x:c r="C2743" s="2" t="str">
        <x:v>SO-26062</x:v>
      </x:c>
      <x:c r="D2743" s="2" t="str">
        <x:v>S-C-SS</x:v>
      </x:c>
      <x:c r="E2743" s="14" t="n">
        <x:v>5</x:v>
      </x:c>
      <x:c r="F2743" s="2" t="str">
        <x:v>CNC machining</x:v>
      </x:c>
      <x:c r="G2743" s="9" t="str">
        <x:v>CNC-05</x:v>
      </x:c>
      <x:c r="H2743" s="15" t="n">
        <x:v>76</x:v>
      </x:c>
      <x:c r="I2743" s="9" t="str">
        <x:v>P15</x:v>
      </x:c>
      <x:c r="J2743" s="11" t="n">
        <x:v>46309.82986111111</x:v>
      </x:c>
      <x:c r="K2743" s="15" t="n">
        <x:v>18</x:v>
      </x:c>
      <x:c r="L2743" s="15" t="n">
        <x:v>12</x:v>
      </x:c>
      <x:c r="M2743" s="13" t="n">
        <x:f>J2743+(K2743+L2743)/1440</x:f>
        <x:v>46309.850694444445</x:v>
      </x:c>
      <x:c r="N2743" s="13" t="n">
        <x:f>VLOOKUP(C2743,'MES orders'!$A$8:$H$127,5,FALSE)</x:f>
        <x:v>46309.666666666664</x:v>
      </x:c>
      <x:c r="O2743" s="16" t="n">
        <x:f>MAX(0,(M2743-N2743)*24)</x:f>
        <x:v>4.416666666744277</x:v>
      </x:c>
      <x:c r="P2743" s="9" t="str">
        <x:v>No</x:v>
      </x:c>
      <x:c r="Q2743" s="15" t="n">
        <x:v>18</x:v>
      </x:c>
      <x:c r="R2743" s="13" t="n">
        <x:f>J2743+Q2743/1440</x:f>
        <x:v>46309.84236111111</x:v>
      </x:c>
      <x:c r="S2743" s="2" t="str">
        <x:f>VLOOKUP(C2743,'MES orders'!$A$8:$H$127,6,FALSE)</x:f>
        <x:v>Normal</x:v>
      </x:c>
      <x:c r="T2743" s="9" t="str"/>
    </x:row>
    <x:row r="2744" ht="22" customHeight="1">
      <x:c r="A2744" s="2" t="str">
        <x:v>L00267-020</x:v>
      </x:c>
      <x:c r="B2744" s="2" t="str">
        <x:v>L00267</x:v>
      </x:c>
      <x:c r="C2744" s="2" t="str">
        <x:v>SO-26054</x:v>
      </x:c>
      <x:c r="D2744" s="2" t="str">
        <x:v>R-L-SS</x:v>
      </x:c>
      <x:c r="E2744" s="14" t="n">
        <x:v>25</x:v>
      </x:c>
      <x:c r="F2744" s="2" t="str">
        <x:v>Deburr &amp; inspect</x:v>
      </x:c>
      <x:c r="G2744" s="9" t="str">
        <x:v>DB-01</x:v>
      </x:c>
      <x:c r="H2744" s="15" t="n">
        <x:v>258</x:v>
      </x:c>
      <x:c r="I2744" s="9" t="str">
        <x:v>P17</x:v>
      </x:c>
      <x:c r="J2744" s="11" t="n">
        <x:v>46309.83125</x:v>
      </x:c>
      <x:c r="K2744" s="15" t="n">
        <x:v>4</x:v>
      </x:c>
      <x:c r="L2744" s="15" t="n">
        <x:v>24</x:v>
      </x:c>
      <x:c r="M2744" s="13" t="n">
        <x:f>J2744+(K2744+L2744)/1440</x:f>
        <x:v>46309.850694444445</x:v>
      </x:c>
      <x:c r="N2744" s="13" t="n">
        <x:f>VLOOKUP(C2744,'MES orders'!$A$8:$H$127,5,FALSE)</x:f>
        <x:v>46309.666666666664</x:v>
      </x:c>
      <x:c r="O2744" s="16" t="n">
        <x:f>MAX(0,(M2744-N2744)*24)</x:f>
        <x:v>4.416666666744277</x:v>
      </x:c>
      <x:c r="P2744" s="9" t="str">
        <x:v>No</x:v>
      </x:c>
      <x:c r="Q2744" s="15" t="n">
        <x:v>28</x:v>
      </x:c>
      <x:c r="R2744" s="13" t="n">
        <x:f>J2744+Q2744/1440</x:f>
        <x:v>46309.850694444445</x:v>
      </x:c>
      <x:c r="S2744" s="2" t="str">
        <x:f>VLOOKUP(C2744,'MES orders'!$A$8:$H$127,6,FALSE)</x:f>
        <x:v>Normal</x:v>
      </x:c>
      <x:c r="T2744" s="9" t="str"/>
    </x:row>
    <x:row r="2745" ht="22" customHeight="1">
      <x:c r="A2745" s="2" t="str">
        <x:v>L00228-060</x:v>
      </x:c>
      <x:c r="B2745" s="2" t="str">
        <x:v>L00228</x:v>
      </x:c>
      <x:c r="C2745" s="2" t="str">
        <x:v>SO-26046</x:v>
      </x:c>
      <x:c r="D2745" s="2" t="str">
        <x:v>R-S-SS</x:v>
      </x:c>
      <x:c r="E2745" s="14" t="n">
        <x:v>25</x:v>
      </x:c>
      <x:c r="F2745" s="2" t="str">
        <x:v>Final leak / function test</x:v>
      </x:c>
      <x:c r="G2745" s="9" t="str">
        <x:v>QA-02</x:v>
      </x:c>
      <x:c r="H2745" s="15" t="n">
        <x:v>200</x:v>
      </x:c>
      <x:c r="I2745" s="9" t="str">
        <x:v>P23</x:v>
      </x:c>
      <x:c r="J2745" s="11" t="n">
        <x:v>46309.83125</x:v>
      </x:c>
      <x:c r="K2745" s="15" t="n">
        <x:v>10</x:v>
      </x:c>
      <x:c r="L2745" s="15" t="n">
        <x:v>22</x:v>
      </x:c>
      <x:c r="M2745" s="13" t="n">
        <x:f>J2745+(K2745+L2745)/1440</x:f>
        <x:v>46309.853472222225</x:v>
      </x:c>
      <x:c r="N2745" s="13" t="n">
        <x:f>VLOOKUP(C2745,'MES orders'!$A$8:$H$127,5,FALSE)</x:f>
        <x:v>46309.666666666664</x:v>
      </x:c>
      <x:c r="O2745" s="16" t="n">
        <x:f>MAX(0,(M2745-N2745)*24)</x:f>
        <x:v>4.483333333453629</x:v>
      </x:c>
      <x:c r="P2745" s="9" t="str">
        <x:v>No</x:v>
      </x:c>
      <x:c r="Q2745" s="15" t="n">
        <x:v>32</x:v>
      </x:c>
      <x:c r="R2745" s="13" t="n">
        <x:f>J2745+Q2745/1440</x:f>
        <x:v>46309.853472222225</x:v>
      </x:c>
      <x:c r="S2745" s="2" t="str">
        <x:f>VLOOKUP(C2745,'MES orders'!$A$8:$H$127,6,FALSE)</x:f>
        <x:v>Normal</x:v>
      </x:c>
      <x:c r="T2745" s="9" t="str"/>
    </x:row>
    <x:row r="2746" ht="22" customHeight="1">
      <x:c r="A2746" s="2" t="str">
        <x:v>L00308-050</x:v>
      </x:c>
      <x:c r="B2746" s="2" t="str">
        <x:v>L00308</x:v>
      </x:c>
      <x:c r="C2746" s="2" t="str">
        <x:v>SO-26062</x:v>
      </x:c>
      <x:c r="D2746" s="2" t="str">
        <x:v>S-C-SS</x:v>
      </x:c>
      <x:c r="E2746" s="14" t="n">
        <x:v>5</x:v>
      </x:c>
      <x:c r="F2746" s="2" t="str">
        <x:v>Sensor installation</x:v>
      </x:c>
      <x:c r="G2746" s="9" t="str">
        <x:v>EL-01</x:v>
      </x:c>
      <x:c r="H2746" s="15" t="n">
        <x:v>95</x:v>
      </x:c>
      <x:c r="I2746" s="9" t="str">
        <x:v>P19</x:v>
      </x:c>
      <x:c r="J2746" s="11" t="n">
        <x:v>46309.834027777775</x:v>
      </x:c>
      <x:c r="K2746" s="15" t="n">
        <x:v>8</x:v>
      </x:c>
      <x:c r="L2746" s="15" t="n">
        <x:v>5</x:v>
      </x:c>
      <x:c r="M2746" s="13" t="n">
        <x:f>J2746+(K2746+L2746)/1440</x:f>
        <x:v>46309.84305555555</x:v>
      </x:c>
      <x:c r="N2746" s="13" t="n">
        <x:f>VLOOKUP(C2746,'MES orders'!$A$8:$H$127,5,FALSE)</x:f>
        <x:v>46309.666666666664</x:v>
      </x:c>
      <x:c r="O2746" s="16" t="n">
        <x:f>MAX(0,(M2746-N2746)*24)</x:f>
        <x:v>4.233333333337214</x:v>
      </x:c>
      <x:c r="P2746" s="9" t="str">
        <x:v>No</x:v>
      </x:c>
      <x:c r="Q2746" s="15" t="n">
        <x:v>13</x:v>
      </x:c>
      <x:c r="R2746" s="13" t="n">
        <x:f>J2746+Q2746/1440</x:f>
        <x:v>46309.84305555555</x:v>
      </x:c>
      <x:c r="S2746" s="2" t="str">
        <x:f>VLOOKUP(C2746,'MES orders'!$A$8:$H$127,6,FALSE)</x:f>
        <x:v>Normal</x:v>
      </x:c>
      <x:c r="T2746" s="9" t="str"/>
    </x:row>
    <x:row r="2747" ht="22" customHeight="1">
      <x:c r="A2747" s="2" t="str">
        <x:v>L00191-030</x:v>
      </x:c>
      <x:c r="B2747" s="2" t="str">
        <x:v>L00191</x:v>
      </x:c>
      <x:c r="C2747" s="2" t="str">
        <x:v>SO-26039</x:v>
      </x:c>
      <x:c r="D2747" s="2" t="str">
        <x:v>S-S-AL</x:v>
      </x:c>
      <x:c r="E2747" s="14" t="n">
        <x:v>5</x:v>
      </x:c>
      <x:c r="F2747" s="2" t="str">
        <x:v>Wash &amp; dry</x:v>
      </x:c>
      <x:c r="G2747" s="9" t="str">
        <x:v>WS-02</x:v>
      </x:c>
      <x:c r="H2747" s="15" t="n">
        <x:v>182</x:v>
      </x:c>
      <x:c r="I2747" s="9" t="str">
        <x:v>P24</x:v>
      </x:c>
      <x:c r="J2747" s="11" t="n">
        <x:v>46309.834027777775</x:v>
      </x:c>
      <x:c r="K2747" s="15" t="n">
        <x:v>12</x:v>
      </x:c>
      <x:c r="L2747" s="15" t="n">
        <x:v>2</x:v>
      </x:c>
      <x:c r="M2747" s="13" t="n">
        <x:f>J2747+(K2747+L2747)/1440</x:f>
        <x:v>46309.84375</x:v>
      </x:c>
      <x:c r="N2747" s="13" t="n">
        <x:f>VLOOKUP(C2747,'MES orders'!$A$8:$H$127,5,FALSE)</x:f>
        <x:v>46310.666666666664</x:v>
      </x:c>
      <x:c r="O2747" s="16" t="n">
        <x:f>MAX(0,(M2747-N2747)*24)</x:f>
        <x:v>0</x:v>
      </x:c>
      <x:c r="P2747" s="9" t="str">
        <x:v>No</x:v>
      </x:c>
      <x:c r="Q2747" s="15" t="n">
        <x:v>14</x:v>
      </x:c>
      <x:c r="R2747" s="13" t="n">
        <x:f>J2747+Q2747/1440</x:f>
        <x:v>46309.84375</x:v>
      </x:c>
      <x:c r="S2747" s="2" t="str">
        <x:f>VLOOKUP(C2747,'MES orders'!$A$8:$H$127,6,FALSE)</x:f>
        <x:v>Normal</x:v>
      </x:c>
      <x:c r="T2747" s="9" t="str"/>
    </x:row>
    <x:row r="2748" ht="22" customHeight="1">
      <x:c r="A2748" s="2" t="str">
        <x:v>L00306-070</x:v>
      </x:c>
      <x:c r="B2748" s="2" t="str">
        <x:v>L00306</x:v>
      </x:c>
      <x:c r="C2748" s="2" t="str">
        <x:v>SO-26062</x:v>
      </x:c>
      <x:c r="D2748" s="2" t="str">
        <x:v>S-C-SS</x:v>
      </x:c>
      <x:c r="E2748" s="14" t="n">
        <x:v>5</x:v>
      </x:c>
      <x:c r="F2748" s="2" t="str">
        <x:v>Final assembly</x:v>
      </x:c>
      <x:c r="G2748" s="9" t="str">
        <x:v>AS-01</x:v>
      </x:c>
      <x:c r="H2748" s="15" t="n">
        <x:v>220</x:v>
      </x:c>
      <x:c r="I2748" s="9" t="str">
        <x:v>P20</x:v>
      </x:c>
      <x:c r="J2748" s="11" t="n">
        <x:v>46309.83472222222</x:v>
      </x:c>
      <x:c r="K2748" s="15" t="n">
        <x:v>5</x:v>
      </x:c>
      <x:c r="L2748" s="15" t="n">
        <x:v>3</x:v>
      </x:c>
      <x:c r="M2748" s="13" t="n">
        <x:f>J2748+(K2748+L2748)/1440</x:f>
        <x:v>46309.84027777778</x:v>
      </x:c>
      <x:c r="N2748" s="13" t="n">
        <x:f>VLOOKUP(C2748,'MES orders'!$A$8:$H$127,5,FALSE)</x:f>
        <x:v>46309.666666666664</x:v>
      </x:c>
      <x:c r="O2748" s="16" t="n">
        <x:f>MAX(0,(M2748-N2748)*24)</x:f>
        <x:v>4.1666666668024845</x:v>
      </x:c>
      <x:c r="P2748" s="9" t="str">
        <x:v>No</x:v>
      </x:c>
      <x:c r="Q2748" s="15" t="n">
        <x:v>8</x:v>
      </x:c>
      <x:c r="R2748" s="13" t="n">
        <x:f>J2748+Q2748/1440</x:f>
        <x:v>46309.84027777778</x:v>
      </x:c>
      <x:c r="S2748" s="2" t="str">
        <x:f>VLOOKUP(C2748,'MES orders'!$A$8:$H$127,6,FALSE)</x:f>
        <x:v>Normal</x:v>
      </x:c>
      <x:c r="T2748" s="9" t="str"/>
    </x:row>
    <x:row r="2749" ht="22" customHeight="1">
      <x:c r="A2749" s="2" t="str">
        <x:v>L00307-060</x:v>
      </x:c>
      <x:c r="B2749" s="2" t="str">
        <x:v>L00307</x:v>
      </x:c>
      <x:c r="C2749" s="2" t="str">
        <x:v>SO-26062</x:v>
      </x:c>
      <x:c r="D2749" s="2" t="str">
        <x:v>S-C-SS</x:v>
      </x:c>
      <x:c r="E2749" s="14" t="n">
        <x:v>5</x:v>
      </x:c>
      <x:c r="F2749" s="2" t="str">
        <x:v>Sensor calibration</x:v>
      </x:c>
      <x:c r="G2749" s="9" t="str">
        <x:v>CAL-01</x:v>
      </x:c>
      <x:c r="H2749" s="15" t="n">
        <x:v>139</x:v>
      </x:c>
      <x:c r="I2749" s="9" t="str">
        <x:v>P21</x:v>
      </x:c>
      <x:c r="J2749" s="11" t="n">
        <x:v>46309.83472222222</x:v>
      </x:c>
      <x:c r="K2749" s="15" t="n">
        <x:v>10</x:v>
      </x:c>
      <x:c r="L2749" s="15" t="n">
        <x:v>5</x:v>
      </x:c>
      <x:c r="M2749" s="13" t="n">
        <x:f>J2749+(K2749+L2749)/1440</x:f>
        <x:v>46309.845138888886</x:v>
      </x:c>
      <x:c r="N2749" s="13" t="n">
        <x:f>VLOOKUP(C2749,'MES orders'!$A$8:$H$127,5,FALSE)</x:f>
        <x:v>46309.666666666664</x:v>
      </x:c>
      <x:c r="O2749" s="16" t="n">
        <x:f>MAX(0,(M2749-N2749)*24)</x:f>
        <x:v>4.283333333325572</x:v>
      </x:c>
      <x:c r="P2749" s="9" t="str">
        <x:v>No</x:v>
      </x:c>
      <x:c r="Q2749" s="15" t="n">
        <x:v>15</x:v>
      </x:c>
      <x:c r="R2749" s="13" t="n">
        <x:f>J2749+Q2749/1440</x:f>
        <x:v>46309.845138888886</x:v>
      </x:c>
      <x:c r="S2749" s="2" t="str">
        <x:f>VLOOKUP(C2749,'MES orders'!$A$8:$H$127,6,FALSE)</x:f>
        <x:v>Normal</x:v>
      </x:c>
      <x:c r="T2749" s="9" t="str"/>
    </x:row>
    <x:row r="2750" ht="22" customHeight="1">
      <x:c r="A2750" s="2" t="str">
        <x:v>L00426-010</x:v>
      </x:c>
      <x:c r="B2750" s="2" t="str">
        <x:v>L00426</x:v>
      </x:c>
      <x:c r="C2750" s="2" t="str">
        <x:v>SO-26086</x:v>
      </x:c>
      <x:c r="D2750" s="2" t="str">
        <x:v>D-C-SS</x:v>
      </x:c>
      <x:c r="E2750" s="14" t="n">
        <x:v>5</x:v>
      </x:c>
      <x:c r="F2750" s="2" t="str">
        <x:v>CNC machining</x:v>
      </x:c>
      <x:c r="G2750" s="9" t="str">
        <x:v>CNC-06</x:v>
      </x:c>
      <x:c r="H2750" s="15" t="n">
        <x:v>70</x:v>
      </x:c>
      <x:c r="I2750" s="9" t="str">
        <x:v>P14</x:v>
      </x:c>
      <x:c r="J2750" s="11" t="n">
        <x:v>46309.8375</x:v>
      </x:c>
      <x:c r="K2750" s="15" t="n">
        <x:v>18</x:v>
      </x:c>
      <x:c r="L2750" s="15" t="n">
        <x:v>12</x:v>
      </x:c>
      <x:c r="M2750" s="13" t="n">
        <x:f>J2750+(K2750+L2750)/1440</x:f>
        <x:v>46309.85833333334</x:v>
      </x:c>
      <x:c r="N2750" s="13" t="n">
        <x:f>VLOOKUP(C2750,'MES orders'!$A$8:$H$127,5,FALSE)</x:f>
        <x:v>46309.666666666664</x:v>
      </x:c>
      <x:c r="O2750" s="16" t="n">
        <x:f>MAX(0,(M2750-N2750)*24)</x:f>
        <x:v>4.60000000015134</x:v>
      </x:c>
      <x:c r="P2750" s="9" t="str">
        <x:v>No</x:v>
      </x:c>
      <x:c r="Q2750" s="15" t="n">
        <x:v>18</x:v>
      </x:c>
      <x:c r="R2750" s="13" t="n">
        <x:f>J2750+Q2750/1440</x:f>
        <x:v>46309.85</x:v>
      </x:c>
      <x:c r="S2750" s="2" t="str">
        <x:f>VLOOKUP(C2750,'MES orders'!$A$8:$H$127,6,FALSE)</x:f>
        <x:v>Normal</x:v>
      </x:c>
      <x:c r="T2750" s="9" t="str"/>
    </x:row>
    <x:row r="2751" ht="22" customHeight="1">
      <x:c r="A2751" s="2" t="str">
        <x:v>L00154-040</x:v>
      </x:c>
      <x:c r="B2751" s="2" t="str">
        <x:v>L00154</x:v>
      </x:c>
      <x:c r="C2751" s="2" t="str">
        <x:v>SO-26031</x:v>
      </x:c>
      <x:c r="D2751" s="2" t="str">
        <x:v>S-C-AL</x:v>
      </x:c>
      <x:c r="E2751" s="14" t="n">
        <x:v>15</x:v>
      </x:c>
      <x:c r="F2751" s="2" t="str">
        <x:v>Mechanical preassembly</x:v>
      </x:c>
      <x:c r="G2751" s="9" t="str">
        <x:v>AS-05</x:v>
      </x:c>
      <x:c r="H2751" s="15" t="n">
        <x:v>54</x:v>
      </x:c>
      <x:c r="I2751" s="9" t="str">
        <x:v>P19</x:v>
      </x:c>
      <x:c r="J2751" s="11" t="n">
        <x:v>46309.84305555555</x:v>
      </x:c>
      <x:c r="K2751" s="15" t="n">
        <x:v>6</x:v>
      </x:c>
      <x:c r="L2751" s="15" t="n">
        <x:v>13</x:v>
      </x:c>
      <x:c r="M2751" s="13" t="n">
        <x:f>J2751+(K2751+L2751)/1440</x:f>
        <x:v>46309.85625</x:v>
      </x:c>
      <x:c r="N2751" s="13" t="n">
        <x:f>VLOOKUP(C2751,'MES orders'!$A$8:$H$127,5,FALSE)</x:f>
        <x:v>46310.666666666664</x:v>
      </x:c>
      <x:c r="O2751" s="16" t="n">
        <x:f>MAX(0,(M2751-N2751)*24)</x:f>
        <x:v>0</x:v>
      </x:c>
      <x:c r="P2751" s="9" t="str">
        <x:v>No</x:v>
      </x:c>
      <x:c r="Q2751" s="15" t="n">
        <x:v>19</x:v>
      </x:c>
      <x:c r="R2751" s="13" t="n">
        <x:f>J2751+Q2751/1440</x:f>
        <x:v>46309.85625</x:v>
      </x:c>
      <x:c r="S2751" s="2" t="str">
        <x:f>VLOOKUP(C2751,'MES orders'!$A$8:$H$127,6,FALSE)</x:f>
        <x:v>Normal</x:v>
      </x:c>
      <x:c r="T2751" s="9" t="str"/>
    </x:row>
    <x:row r="2752" ht="22" customHeight="1">
      <x:c r="A2752" s="2" t="str">
        <x:v>L00266-040</x:v>
      </x:c>
      <x:c r="B2752" s="2" t="str">
        <x:v>L00266</x:v>
      </x:c>
      <x:c r="C2752" s="2" t="str">
        <x:v>SO-26054</x:v>
      </x:c>
      <x:c r="D2752" s="2" t="str">
        <x:v>R-L-SS</x:v>
      </x:c>
      <x:c r="E2752" s="14" t="n">
        <x:v>25</x:v>
      </x:c>
      <x:c r="F2752" s="2" t="str">
        <x:v>Mechanical assembly</x:v>
      </x:c>
      <x:c r="G2752" s="9" t="str">
        <x:v>AS-01</x:v>
      </x:c>
      <x:c r="H2752" s="15" t="n">
        <x:v>221</x:v>
      </x:c>
      <x:c r="I2752" s="9" t="str">
        <x:v>P16</x:v>
      </x:c>
      <x:c r="J2752" s="11" t="n">
        <x:v>46309.84375</x:v>
      </x:c>
      <x:c r="K2752" s="15" t="n">
        <x:v>8</x:v>
      </x:c>
      <x:c r="L2752" s="15" t="n">
        <x:v>61</x:v>
      </x:c>
      <x:c r="M2752" s="13" t="n">
        <x:f>J2752+(K2752+L2752)/1440</x:f>
        <x:v>46309.89166666667</x:v>
      </x:c>
      <x:c r="N2752" s="13" t="n">
        <x:f>VLOOKUP(C2752,'MES orders'!$A$8:$H$127,5,FALSE)</x:f>
        <x:v>46309.666666666664</x:v>
      </x:c>
      <x:c r="O2752" s="16" t="n">
        <x:f>MAX(0,(M2752-N2752)*24)</x:f>
        <x:v>5.400000000139698</x:v>
      </x:c>
      <x:c r="P2752" s="9" t="str">
        <x:v>No</x:v>
      </x:c>
      <x:c r="Q2752" s="15" t="n">
        <x:v>69</x:v>
      </x:c>
      <x:c r="R2752" s="13" t="n">
        <x:f>J2752+Q2752/1440</x:f>
        <x:v>46309.89166666667</x:v>
      </x:c>
      <x:c r="S2752" s="2" t="str">
        <x:f>VLOOKUP(C2752,'MES orders'!$A$8:$H$127,6,FALSE)</x:f>
        <x:v>Normal</x:v>
      </x:c>
      <x:c r="T2752" s="9" t="str"/>
    </x:row>
    <x:row r="2753" ht="22" customHeight="1">
      <x:c r="A2753" s="2" t="str">
        <x:v>L00307-070</x:v>
      </x:c>
      <x:c r="B2753" s="2" t="str">
        <x:v>L00307</x:v>
      </x:c>
      <x:c r="C2753" s="2" t="str">
        <x:v>SO-26062</x:v>
      </x:c>
      <x:c r="D2753" s="2" t="str">
        <x:v>S-C-SS</x:v>
      </x:c>
      <x:c r="E2753" s="14" t="n">
        <x:v>5</x:v>
      </x:c>
      <x:c r="F2753" s="2" t="str">
        <x:v>Final assembly</x:v>
      </x:c>
      <x:c r="G2753" s="9" t="str">
        <x:v>AS-03</x:v>
      </x:c>
      <x:c r="H2753" s="15" t="n">
        <x:v>145</x:v>
      </x:c>
      <x:c r="I2753" s="9" t="str">
        <x:v>P20</x:v>
      </x:c>
      <x:c r="J2753" s="11" t="n">
        <x:v>46309.845138888886</x:v>
      </x:c>
      <x:c r="K2753" s="15" t="n">
        <x:v>5</x:v>
      </x:c>
      <x:c r="L2753" s="15" t="n">
        <x:v>3</x:v>
      </x:c>
      <x:c r="M2753" s="13" t="n">
        <x:f>J2753+(K2753+L2753)/1440</x:f>
        <x:v>46309.850694444445</x:v>
      </x:c>
      <x:c r="N2753" s="13" t="n">
        <x:f>VLOOKUP(C2753,'MES orders'!$A$8:$H$127,5,FALSE)</x:f>
        <x:v>46309.666666666664</x:v>
      </x:c>
      <x:c r="O2753" s="16" t="n">
        <x:f>MAX(0,(M2753-N2753)*24)</x:f>
        <x:v>4.416666666744277</x:v>
      </x:c>
      <x:c r="P2753" s="9" t="str">
        <x:v>No</x:v>
      </x:c>
      <x:c r="Q2753" s="15" t="n">
        <x:v>8</x:v>
      </x:c>
      <x:c r="R2753" s="13" t="n">
        <x:f>J2753+Q2753/1440</x:f>
        <x:v>46309.850694444445</x:v>
      </x:c>
      <x:c r="S2753" s="2" t="str">
        <x:f>VLOOKUP(C2753,'MES orders'!$A$8:$H$127,6,FALSE)</x:f>
        <x:v>Normal</x:v>
      </x:c>
      <x:c r="T2753" s="9" t="str"/>
    </x:row>
    <x:row r="2754" ht="22" customHeight="1">
      <x:c r="A2754" s="2" t="str">
        <x:v>L00308-060</x:v>
      </x:c>
      <x:c r="B2754" s="2" t="str">
        <x:v>L00308</x:v>
      </x:c>
      <x:c r="C2754" s="2" t="str">
        <x:v>SO-26062</x:v>
      </x:c>
      <x:c r="D2754" s="2" t="str">
        <x:v>S-C-SS</x:v>
      </x:c>
      <x:c r="E2754" s="14" t="n">
        <x:v>5</x:v>
      </x:c>
      <x:c r="F2754" s="2" t="str">
        <x:v>Sensor calibration</x:v>
      </x:c>
      <x:c r="G2754" s="9" t="str">
        <x:v>CAL-01</x:v>
      </x:c>
      <x:c r="H2754" s="15" t="n">
        <x:v>140</x:v>
      </x:c>
      <x:c r="I2754" s="9" t="str">
        <x:v>P21</x:v>
      </x:c>
      <x:c r="J2754" s="11" t="n">
        <x:v>46309.845138888886</x:v>
      </x:c>
      <x:c r="K2754" s="15" t="n">
        <x:v>10</x:v>
      </x:c>
      <x:c r="L2754" s="15" t="n">
        <x:v>5</x:v>
      </x:c>
      <x:c r="M2754" s="13" t="n">
        <x:f>J2754+(K2754+L2754)/1440</x:f>
        <x:v>46309.85555555555</x:v>
      </x:c>
      <x:c r="N2754" s="13" t="n">
        <x:f>VLOOKUP(C2754,'MES orders'!$A$8:$H$127,5,FALSE)</x:f>
        <x:v>46309.666666666664</x:v>
      </x:c>
      <x:c r="O2754" s="16" t="n">
        <x:f>MAX(0,(M2754-N2754)*24)</x:f>
        <x:v>4.533333333267365</x:v>
      </x:c>
      <x:c r="P2754" s="9" t="str">
        <x:v>No</x:v>
      </x:c>
      <x:c r="Q2754" s="15" t="n">
        <x:v>15</x:v>
      </x:c>
      <x:c r="R2754" s="13" t="n">
        <x:f>J2754+Q2754/1440</x:f>
        <x:v>46309.85555555555</x:v>
      </x:c>
      <x:c r="S2754" s="2" t="str">
        <x:f>VLOOKUP(C2754,'MES orders'!$A$8:$H$127,6,FALSE)</x:f>
        <x:v>Normal</x:v>
      </x:c>
      <x:c r="T2754" s="9" t="str"/>
    </x:row>
    <x:row r="2755" ht="22" customHeight="1">
      <x:c r="A2755" s="2" t="str">
        <x:v>L00427-010</x:v>
      </x:c>
      <x:c r="B2755" s="2" t="str">
        <x:v>L00427</x:v>
      </x:c>
      <x:c r="C2755" s="2" t="str">
        <x:v>SO-26086</x:v>
      </x:c>
      <x:c r="D2755" s="2" t="str">
        <x:v>D-C-SS</x:v>
      </x:c>
      <x:c r="E2755" s="14" t="n">
        <x:v>5</x:v>
      </x:c>
      <x:c r="F2755" s="2" t="str">
        <x:v>CNC machining</x:v>
      </x:c>
      <x:c r="G2755" s="9" t="str">
        <x:v>CNC-04</x:v>
      </x:c>
      <x:c r="H2755" s="15" t="n">
        <x:v>84</x:v>
      </x:c>
      <x:c r="I2755" s="9" t="str">
        <x:v>P15</x:v>
      </x:c>
      <x:c r="J2755" s="11" t="n">
        <x:v>46309.84583333333</x:v>
      </x:c>
      <x:c r="K2755" s="15" t="n">
        <x:v>18</x:v>
      </x:c>
      <x:c r="L2755" s="15" t="n">
        <x:v>12</x:v>
      </x:c>
      <x:c r="M2755" s="13" t="n">
        <x:f>J2755+(K2755+L2755)/1440</x:f>
        <x:v>46309.86666666667</x:v>
      </x:c>
      <x:c r="N2755" s="13" t="n">
        <x:f>VLOOKUP(C2755,'MES orders'!$A$8:$H$127,5,FALSE)</x:f>
        <x:v>46309.666666666664</x:v>
      </x:c>
      <x:c r="O2755" s="16" t="n">
        <x:f>MAX(0,(M2755-N2755)*24)</x:f>
        <x:v>4.800000000104774</x:v>
      </x:c>
      <x:c r="P2755" s="9" t="str">
        <x:v>No</x:v>
      </x:c>
      <x:c r="Q2755" s="15" t="n">
        <x:v>18</x:v>
      </x:c>
      <x:c r="R2755" s="13" t="n">
        <x:f>J2755+Q2755/1440</x:f>
        <x:v>46309.85833333333</x:v>
      </x:c>
      <x:c r="S2755" s="2" t="str">
        <x:f>VLOOKUP(C2755,'MES orders'!$A$8:$H$127,6,FALSE)</x:f>
        <x:v>Normal</x:v>
      </x:c>
      <x:c r="T2755" s="9" t="str"/>
    </x:row>
    <x:row r="2756" ht="22" customHeight="1">
      <x:c r="A2756" s="2" t="str">
        <x:v>L00268-020</x:v>
      </x:c>
      <x:c r="B2756" s="2" t="str">
        <x:v>L00268</x:v>
      </x:c>
      <x:c r="C2756" s="2" t="str">
        <x:v>SO-26054</x:v>
      </x:c>
      <x:c r="D2756" s="2" t="str">
        <x:v>R-L-SS</x:v>
      </x:c>
      <x:c r="E2756" s="14" t="n">
        <x:v>25</x:v>
      </x:c>
      <x:c r="F2756" s="2" t="str">
        <x:v>Deburr &amp; inspect</x:v>
      </x:c>
      <x:c r="G2756" s="9" t="str">
        <x:v>DB-02</x:v>
      </x:c>
      <x:c r="H2756" s="15" t="n">
        <x:v>180</x:v>
      </x:c>
      <x:c r="I2756" s="9" t="str">
        <x:v>P18</x:v>
      </x:c>
      <x:c r="J2756" s="11" t="n">
        <x:v>46309.84583333333</x:v>
      </x:c>
      <x:c r="K2756" s="15" t="n">
        <x:v>4</x:v>
      </x:c>
      <x:c r="L2756" s="15" t="n">
        <x:v>24</x:v>
      </x:c>
      <x:c r="M2756" s="13" t="n">
        <x:f>J2756+(K2756+L2756)/1440</x:f>
        <x:v>46309.865277777775</x:v>
      </x:c>
      <x:c r="N2756" s="13" t="n">
        <x:f>VLOOKUP(C2756,'MES orders'!$A$8:$H$127,5,FALSE)</x:f>
        <x:v>46309.666666666664</x:v>
      </x:c>
      <x:c r="O2756" s="16" t="n">
        <x:f>MAX(0,(M2756-N2756)*24)</x:f>
        <x:v>4.766666666662786</x:v>
      </x:c>
      <x:c r="P2756" s="9" t="str">
        <x:v>No</x:v>
      </x:c>
      <x:c r="Q2756" s="15" t="n">
        <x:v>28</x:v>
      </x:c>
      <x:c r="R2756" s="13" t="n">
        <x:f>J2756+Q2756/1440</x:f>
        <x:v>46309.865277777775</x:v>
      </x:c>
      <x:c r="S2756" s="2" t="str">
        <x:f>VLOOKUP(C2756,'MES orders'!$A$8:$H$127,6,FALSE)</x:f>
        <x:v>Normal</x:v>
      </x:c>
      <x:c r="T2756" s="9" t="str"/>
    </x:row>
    <x:row r="2757" ht="22" customHeight="1">
      <x:c r="A2757" s="2" t="str">
        <x:v>L00230-060</x:v>
      </x:c>
      <x:c r="B2757" s="2" t="str">
        <x:v>L00230</x:v>
      </x:c>
      <x:c r="C2757" s="2" t="str">
        <x:v>SO-26046</x:v>
      </x:c>
      <x:c r="D2757" s="2" t="str">
        <x:v>R-S-SS</x:v>
      </x:c>
      <x:c r="E2757" s="14" t="n">
        <x:v>25</x:v>
      </x:c>
      <x:c r="F2757" s="2" t="str">
        <x:v>Final leak / function test</x:v>
      </x:c>
      <x:c r="G2757" s="9" t="str">
        <x:v>QA-03</x:v>
      </x:c>
      <x:c r="H2757" s="15" t="n">
        <x:v>123</x:v>
      </x:c>
      <x:c r="I2757" s="9" t="str">
        <x:v>P24</x:v>
      </x:c>
      <x:c r="J2757" s="11" t="n">
        <x:v>46309.84583333333</x:v>
      </x:c>
      <x:c r="K2757" s="15" t="n">
        <x:v>10</x:v>
      </x:c>
      <x:c r="L2757" s="15" t="n">
        <x:v>22</x:v>
      </x:c>
      <x:c r="M2757" s="13" t="n">
        <x:f>J2757+(K2757+L2757)/1440</x:f>
        <x:v>46309.868055555555</x:v>
      </x:c>
      <x:c r="N2757" s="13" t="n">
        <x:f>VLOOKUP(C2757,'MES orders'!$A$8:$H$127,5,FALSE)</x:f>
        <x:v>46309.666666666664</x:v>
      </x:c>
      <x:c r="O2757" s="16" t="n">
        <x:f>MAX(0,(M2757-N2757)*24)</x:f>
        <x:v>4.833333333372138</x:v>
      </x:c>
      <x:c r="P2757" s="9" t="str">
        <x:v>No</x:v>
      </x:c>
      <x:c r="Q2757" s="15" t="n">
        <x:v>32</x:v>
      </x:c>
      <x:c r="R2757" s="13" t="n">
        <x:f>J2757+Q2757/1440</x:f>
        <x:v>46309.868055555555</x:v>
      </x:c>
      <x:c r="S2757" s="2" t="str">
        <x:f>VLOOKUP(C2757,'MES orders'!$A$8:$H$127,6,FALSE)</x:f>
        <x:v>Normal</x:v>
      </x:c>
      <x:c r="T2757" s="9" t="str"/>
    </x:row>
    <x:row r="2758" ht="22" customHeight="1">
      <x:c r="A2758" s="2" t="str">
        <x:v>L00428-010</x:v>
      </x:c>
      <x:c r="B2758" s="2" t="str">
        <x:v>L00428</x:v>
      </x:c>
      <x:c r="C2758" s="2" t="str">
        <x:v>SO-26086</x:v>
      </x:c>
      <x:c r="D2758" s="2" t="str">
        <x:v>D-C-SS</x:v>
      </x:c>
      <x:c r="E2758" s="14" t="n">
        <x:v>5</x:v>
      </x:c>
      <x:c r="F2758" s="2" t="str">
        <x:v>CNC machining</x:v>
      </x:c>
      <x:c r="G2758" s="9" t="str">
        <x:v>CNC-05</x:v>
      </x:c>
      <x:c r="H2758" s="15" t="n">
        <x:v>77</x:v>
      </x:c>
      <x:c r="I2758" s="9" t="str">
        <x:v>P14</x:v>
      </x:c>
      <x:c r="J2758" s="11" t="n">
        <x:v>46309.850694444445</x:v>
      </x:c>
      <x:c r="K2758" s="15" t="n">
        <x:v>18</x:v>
      </x:c>
      <x:c r="L2758" s="15" t="n">
        <x:v>12</x:v>
      </x:c>
      <x:c r="M2758" s="13" t="n">
        <x:f>J2758+(K2758+L2758)/1440</x:f>
        <x:v>46309.87152777778</x:v>
      </x:c>
      <x:c r="N2758" s="13" t="n">
        <x:f>VLOOKUP(C2758,'MES orders'!$A$8:$H$127,5,FALSE)</x:f>
        <x:v>46309.666666666664</x:v>
      </x:c>
      <x:c r="O2758" s="16" t="n">
        <x:f>MAX(0,(M2758-N2758)*24)</x:f>
        <x:v>4.9166666668024845</x:v>
      </x:c>
      <x:c r="P2758" s="9" t="str">
        <x:v>No</x:v>
      </x:c>
      <x:c r="Q2758" s="15" t="n">
        <x:v>18</x:v>
      </x:c>
      <x:c r="R2758" s="13" t="n">
        <x:f>J2758+Q2758/1440</x:f>
        <x:v>46309.86319444444</x:v>
      </x:c>
      <x:c r="S2758" s="2" t="str">
        <x:f>VLOOKUP(C2758,'MES orders'!$A$8:$H$127,6,FALSE)</x:f>
        <x:v>Normal</x:v>
      </x:c>
      <x:c r="T2758" s="9" t="str"/>
    </x:row>
    <x:row r="2759" ht="22" customHeight="1">
      <x:c r="A2759" s="2" t="str">
        <x:v>L00267-030</x:v>
      </x:c>
      <x:c r="B2759" s="2" t="str">
        <x:v>L00267</x:v>
      </x:c>
      <x:c r="C2759" s="2" t="str">
        <x:v>SO-26054</x:v>
      </x:c>
      <x:c r="D2759" s="2" t="str">
        <x:v>R-L-SS</x:v>
      </x:c>
      <x:c r="E2759" s="14" t="n">
        <x:v>25</x:v>
      </x:c>
      <x:c r="F2759" s="2" t="str">
        <x:v>Wash &amp; dry</x:v>
      </x:c>
      <x:c r="G2759" s="9" t="str">
        <x:v>WS-01</x:v>
      </x:c>
      <x:c r="H2759" s="15" t="n">
        <x:v>255</x:v>
      </x:c>
      <x:c r="I2759" s="9" t="str">
        <x:v>P17</x:v>
      </x:c>
      <x:c r="J2759" s="11" t="n">
        <x:v>46309.850694444445</x:v>
      </x:c>
      <x:c r="K2759" s="15" t="n">
        <x:v>12</x:v>
      </x:c>
      <x:c r="L2759" s="15" t="n">
        <x:v>12</x:v>
      </x:c>
      <x:c r="M2759" s="13" t="n">
        <x:f>J2759+(K2759+L2759)/1440</x:f>
        <x:v>46309.867361111115</x:v>
      </x:c>
      <x:c r="N2759" s="13" t="n">
        <x:f>VLOOKUP(C2759,'MES orders'!$A$8:$H$127,5,FALSE)</x:f>
        <x:v>46309.666666666664</x:v>
      </x:c>
      <x:c r="O2759" s="16" t="n">
        <x:f>MAX(0,(M2759-N2759)*24)</x:f>
        <x:v>4.816666666825768</x:v>
      </x:c>
      <x:c r="P2759" s="9" t="str">
        <x:v>No</x:v>
      </x:c>
      <x:c r="Q2759" s="15" t="n">
        <x:v>24</x:v>
      </x:c>
      <x:c r="R2759" s="13" t="n">
        <x:f>J2759+Q2759/1440</x:f>
        <x:v>46309.867361111115</x:v>
      </x:c>
      <x:c r="S2759" s="2" t="str">
        <x:f>VLOOKUP(C2759,'MES orders'!$A$8:$H$127,6,FALSE)</x:f>
        <x:v>Normal</x:v>
      </x:c>
      <x:c r="T2759" s="9" t="str"/>
    </x:row>
    <x:row r="2760" ht="22" customHeight="1">
      <x:c r="A2760" s="2" t="str">
        <x:v>L00306-080</x:v>
      </x:c>
      <x:c r="B2760" s="2" t="str">
        <x:v>L00306</x:v>
      </x:c>
      <x:c r="C2760" s="2" t="str">
        <x:v>SO-26062</x:v>
      </x:c>
      <x:c r="D2760" s="2" t="str">
        <x:v>S-C-SS</x:v>
      </x:c>
      <x:c r="E2760" s="14" t="n">
        <x:v>5</x:v>
      </x:c>
      <x:c r="F2760" s="2" t="str">
        <x:v>Final leak / function test</x:v>
      </x:c>
      <x:c r="G2760" s="9" t="str">
        <x:v>QA-02</x:v>
      </x:c>
      <x:c r="H2760" s="15" t="n">
        <x:v>201</x:v>
      </x:c>
      <x:c r="I2760" s="9" t="str">
        <x:v>P23</x:v>
      </x:c>
      <x:c r="J2760" s="11" t="n">
        <x:v>46309.853472222225</x:v>
      </x:c>
      <x:c r="K2760" s="15" t="n">
        <x:v>10</x:v>
      </x:c>
      <x:c r="L2760" s="15" t="n">
        <x:v>4</x:v>
      </x:c>
      <x:c r="M2760" s="13" t="n">
        <x:f>J2760+(K2760+L2760)/1440</x:f>
        <x:v>46309.86319444445</x:v>
      </x:c>
      <x:c r="N2760" s="13" t="n">
        <x:f>VLOOKUP(C2760,'MES orders'!$A$8:$H$127,5,FALSE)</x:f>
        <x:v>46309.666666666664</x:v>
      </x:c>
      <x:c r="O2760" s="16" t="n">
        <x:f>MAX(0,(M2760-N2760)*24)</x:f>
        <x:v>4.716666666849051</x:v>
      </x:c>
      <x:c r="P2760" s="9" t="str">
        <x:v>No</x:v>
      </x:c>
      <x:c r="Q2760" s="15" t="n">
        <x:v>14</x:v>
      </x:c>
      <x:c r="R2760" s="13" t="n">
        <x:f>J2760+Q2760/1440</x:f>
        <x:v>46309.86319444445</x:v>
      </x:c>
      <x:c r="S2760" s="2" t="str">
        <x:f>VLOOKUP(C2760,'MES orders'!$A$8:$H$127,6,FALSE)</x:f>
        <x:v>Normal</x:v>
      </x:c>
      <x:c r="T2760" s="9" t="str"/>
    </x:row>
    <x:row r="2761" ht="22" customHeight="1">
      <x:c r="A2761" s="2" t="str">
        <x:v>L00308-070</x:v>
      </x:c>
      <x:c r="B2761" s="2" t="str">
        <x:v>L00308</x:v>
      </x:c>
      <x:c r="C2761" s="2" t="str">
        <x:v>SO-26062</x:v>
      </x:c>
      <x:c r="D2761" s="2" t="str">
        <x:v>S-C-SS</x:v>
      </x:c>
      <x:c r="E2761" s="14" t="n">
        <x:v>5</x:v>
      </x:c>
      <x:c r="F2761" s="2" t="str">
        <x:v>Final assembly</x:v>
      </x:c>
      <x:c r="G2761" s="9" t="str">
        <x:v>AS-02</x:v>
      </x:c>
      <x:c r="H2761" s="15" t="n">
        <x:v>179</x:v>
      </x:c>
      <x:c r="I2761" s="9" t="str">
        <x:v>P20</x:v>
      </x:c>
      <x:c r="J2761" s="11" t="n">
        <x:v>46309.85555555556</x:v>
      </x:c>
      <x:c r="K2761" s="15" t="n">
        <x:v>5</x:v>
      </x:c>
      <x:c r="L2761" s="15" t="n">
        <x:v>3</x:v>
      </x:c>
      <x:c r="M2761" s="13" t="n">
        <x:f>J2761+(K2761+L2761)/1440</x:f>
        <x:v>46309.86111111112</x:v>
      </x:c>
      <x:c r="N2761" s="13" t="n">
        <x:f>VLOOKUP(C2761,'MES orders'!$A$8:$H$127,5,FALSE)</x:f>
        <x:v>46309.666666666664</x:v>
      </x:c>
      <x:c r="O2761" s="16" t="n">
        <x:f>MAX(0,(M2761-N2761)*24)</x:f>
        <x:v>4.666666666860692</x:v>
      </x:c>
      <x:c r="P2761" s="9" t="str">
        <x:v>No</x:v>
      </x:c>
      <x:c r="Q2761" s="15" t="n">
        <x:v>8</x:v>
      </x:c>
      <x:c r="R2761" s="13" t="n">
        <x:f>J2761+Q2761/1440</x:f>
        <x:v>46309.86111111112</x:v>
      </x:c>
      <x:c r="S2761" s="2" t="str">
        <x:f>VLOOKUP(C2761,'MES orders'!$A$8:$H$127,6,FALSE)</x:f>
        <x:v>Normal</x:v>
      </x:c>
      <x:c r="T2761" s="9" t="str"/>
    </x:row>
    <x:row r="2762" ht="22" customHeight="1">
      <x:c r="A2762" s="2" t="str">
        <x:v>L00153-060</x:v>
      </x:c>
      <x:c r="B2762" s="2" t="str">
        <x:v>L00153</x:v>
      </x:c>
      <x:c r="C2762" s="2" t="str">
        <x:v>SO-26031</x:v>
      </x:c>
      <x:c r="D2762" s="2" t="str">
        <x:v>S-C-AL</x:v>
      </x:c>
      <x:c r="E2762" s="14" t="n">
        <x:v>15</x:v>
      </x:c>
      <x:c r="F2762" s="2" t="str">
        <x:v>Sensor calibration</x:v>
      </x:c>
      <x:c r="G2762" s="9" t="str">
        <x:v>CAL-01</x:v>
      </x:c>
      <x:c r="H2762" s="15" t="n">
        <x:v>141</x:v>
      </x:c>
      <x:c r="I2762" s="9" t="str">
        <x:v>P21</x:v>
      </x:c>
      <x:c r="J2762" s="11" t="n">
        <x:v>46309.85555555556</x:v>
      </x:c>
      <x:c r="K2762" s="15" t="n">
        <x:v>10</x:v>
      </x:c>
      <x:c r="L2762" s="15" t="n">
        <x:v>16</x:v>
      </x:c>
      <x:c r="M2762" s="13" t="n">
        <x:f>J2762+(K2762+L2762)/1440</x:f>
        <x:v>46309.873611111114</x:v>
      </x:c>
      <x:c r="N2762" s="13" t="n">
        <x:f>VLOOKUP(C2762,'MES orders'!$A$8:$H$127,5,FALSE)</x:f>
        <x:v>46310.666666666664</x:v>
      </x:c>
      <x:c r="O2762" s="16" t="n">
        <x:f>MAX(0,(M2762-N2762)*24)</x:f>
        <x:v>0</x:v>
      </x:c>
      <x:c r="P2762" s="9" t="str">
        <x:v>No</x:v>
      </x:c>
      <x:c r="Q2762" s="15" t="n">
        <x:v>26</x:v>
      </x:c>
      <x:c r="R2762" s="13" t="n">
        <x:f>J2762+Q2762/1440</x:f>
        <x:v>46309.873611111114</x:v>
      </x:c>
      <x:c r="S2762" s="2" t="str">
        <x:f>VLOOKUP(C2762,'MES orders'!$A$8:$H$127,6,FALSE)</x:f>
        <x:v>Normal</x:v>
      </x:c>
      <x:c r="T2762" s="9" t="str"/>
    </x:row>
    <x:row r="2763" ht="22" customHeight="1">
      <x:c r="A2763" s="2" t="str">
        <x:v>L00154-050</x:v>
      </x:c>
      <x:c r="B2763" s="2" t="str">
        <x:v>L00154</x:v>
      </x:c>
      <x:c r="C2763" s="2" t="str">
        <x:v>SO-26031</x:v>
      </x:c>
      <x:c r="D2763" s="2" t="str">
        <x:v>S-C-AL</x:v>
      </x:c>
      <x:c r="E2763" s="14" t="n">
        <x:v>15</x:v>
      </x:c>
      <x:c r="F2763" s="2" t="str">
        <x:v>Sensor installation</x:v>
      </x:c>
      <x:c r="G2763" s="9" t="str">
        <x:v>EL-01</x:v>
      </x:c>
      <x:c r="H2763" s="15" t="n">
        <x:v>96</x:v>
      </x:c>
      <x:c r="I2763" s="9" t="str">
        <x:v>P19</x:v>
      </x:c>
      <x:c r="J2763" s="11" t="n">
        <x:v>46309.85625</x:v>
      </x:c>
      <x:c r="K2763" s="15" t="n">
        <x:v>8</x:v>
      </x:c>
      <x:c r="L2763" s="15" t="n">
        <x:v>14</x:v>
      </x:c>
      <x:c r="M2763" s="13" t="n">
        <x:f>J2763+(K2763+L2763)/1440</x:f>
        <x:v>46309.871527777774</x:v>
      </x:c>
      <x:c r="N2763" s="13" t="n">
        <x:f>VLOOKUP(C2763,'MES orders'!$A$8:$H$127,5,FALSE)</x:f>
        <x:v>46310.666666666664</x:v>
      </x:c>
      <x:c r="O2763" s="16" t="n">
        <x:f>MAX(0,(M2763-N2763)*24)</x:f>
        <x:v>0</x:v>
      </x:c>
      <x:c r="P2763" s="9" t="str">
        <x:v>No</x:v>
      </x:c>
      <x:c r="Q2763" s="15" t="n">
        <x:v>22</x:v>
      </x:c>
      <x:c r="R2763" s="13" t="n">
        <x:f>J2763+Q2763/1440</x:f>
        <x:v>46309.871527777774</x:v>
      </x:c>
      <x:c r="S2763" s="2" t="str">
        <x:f>VLOOKUP(C2763,'MES orders'!$A$8:$H$127,6,FALSE)</x:f>
        <x:v>Normal</x:v>
      </x:c>
      <x:c r="T2763" s="9" t="str"/>
    </x:row>
    <x:row r="2764" ht="22" customHeight="1">
      <x:c r="A2764" s="2" t="str">
        <x:v>L00429-010</x:v>
      </x:c>
      <x:c r="B2764" s="2" t="str">
        <x:v>L00429</x:v>
      </x:c>
      <x:c r="C2764" s="2" t="str">
        <x:v>SO-26086</x:v>
      </x:c>
      <x:c r="D2764" s="2" t="str">
        <x:v>D-C-SS</x:v>
      </x:c>
      <x:c r="E2764" s="14" t="n">
        <x:v>5</x:v>
      </x:c>
      <x:c r="F2764" s="2" t="str">
        <x:v>CNC machining</x:v>
      </x:c>
      <x:c r="G2764" s="9" t="str">
        <x:v>CNC-03</x:v>
      </x:c>
      <x:c r="H2764" s="15" t="n">
        <x:v>86</x:v>
      </x:c>
      <x:c r="I2764" s="9" t="str">
        <x:v>P15</x:v>
      </x:c>
      <x:c r="J2764" s="11" t="n">
        <x:v>46309.85833333333</x:v>
      </x:c>
      <x:c r="K2764" s="15" t="n">
        <x:v>18</x:v>
      </x:c>
      <x:c r="L2764" s="15" t="n">
        <x:v>12</x:v>
      </x:c>
      <x:c r="M2764" s="13" t="n">
        <x:f>J2764+(K2764+L2764)/1440</x:f>
        <x:v>46309.879166666666</x:v>
      </x:c>
      <x:c r="N2764" s="13" t="n">
        <x:f>VLOOKUP(C2764,'MES orders'!$A$8:$H$127,5,FALSE)</x:f>
        <x:v>46309.666666666664</x:v>
      </x:c>
      <x:c r="O2764" s="16" t="n">
        <x:f>MAX(0,(M2764-N2764)*24)</x:f>
        <x:v>5.100000000034925</x:v>
      </x:c>
      <x:c r="P2764" s="9" t="str">
        <x:v>No</x:v>
      </x:c>
      <x:c r="Q2764" s="15" t="n">
        <x:v>18</x:v>
      </x:c>
      <x:c r="R2764" s="13" t="n">
        <x:f>J2764+Q2764/1440</x:f>
        <x:v>46309.87083333333</x:v>
      </x:c>
      <x:c r="S2764" s="2" t="str">
        <x:f>VLOOKUP(C2764,'MES orders'!$A$8:$H$127,6,FALSE)</x:f>
        <x:v>Normal</x:v>
      </x:c>
      <x:c r="T2764" s="9" t="str"/>
    </x:row>
    <x:row r="2765" ht="22" customHeight="1">
      <x:c r="A2765" s="2" t="str">
        <x:v>L00426-020</x:v>
      </x:c>
      <x:c r="B2765" s="2" t="str">
        <x:v>L00426</x:v>
      </x:c>
      <x:c r="C2765" s="2" t="str">
        <x:v>SO-26086</x:v>
      </x:c>
      <x:c r="D2765" s="2" t="str">
        <x:v>D-C-SS</x:v>
      </x:c>
      <x:c r="E2765" s="14" t="n">
        <x:v>5</x:v>
      </x:c>
      <x:c r="F2765" s="2" t="str">
        <x:v>Deburr &amp; inspect</x:v>
      </x:c>
      <x:c r="G2765" s="9" t="str">
        <x:v>DB-01</x:v>
      </x:c>
      <x:c r="H2765" s="15" t="n">
        <x:v>259</x:v>
      </x:c>
      <x:c r="I2765" s="9" t="str">
        <x:v>P13</x:v>
      </x:c>
      <x:c r="J2765" s="11" t="n">
        <x:v>46309.85833333333</x:v>
      </x:c>
      <x:c r="K2765" s="15" t="n">
        <x:v>4</x:v>
      </x:c>
      <x:c r="L2765" s="15" t="n">
        <x:v>3</x:v>
      </x:c>
      <x:c r="M2765" s="13" t="n">
        <x:f>J2765+(K2765+L2765)/1440</x:f>
        <x:v>46309.86319444444</x:v>
      </x:c>
      <x:c r="N2765" s="13" t="n">
        <x:f>VLOOKUP(C2765,'MES orders'!$A$8:$H$127,5,FALSE)</x:f>
        <x:v>46309.666666666664</x:v>
      </x:c>
      <x:c r="O2765" s="16" t="n">
        <x:f>MAX(0,(M2765-N2765)*24)</x:f>
        <x:v>4.716666666674428</x:v>
      </x:c>
      <x:c r="P2765" s="9" t="str">
        <x:v>No</x:v>
      </x:c>
      <x:c r="Q2765" s="15" t="n">
        <x:v>7</x:v>
      </x:c>
      <x:c r="R2765" s="13" t="n">
        <x:f>J2765+Q2765/1440</x:f>
        <x:v>46309.86319444444</x:v>
      </x:c>
      <x:c r="S2765" s="2" t="str">
        <x:f>VLOOKUP(C2765,'MES orders'!$A$8:$H$127,6,FALSE)</x:f>
        <x:v>Normal</x:v>
      </x:c>
      <x:c r="T2765" s="9" t="str"/>
    </x:row>
    <x:row r="2766" ht="22" customHeight="1">
      <x:c r="A2766" s="2" t="str">
        <x:v>L00191-040</x:v>
      </x:c>
      <x:c r="B2766" s="2" t="str">
        <x:v>L00191</x:v>
      </x:c>
      <x:c r="C2766" s="2" t="str">
        <x:v>SO-26039</x:v>
      </x:c>
      <x:c r="D2766" s="2" t="str">
        <x:v>S-S-AL</x:v>
      </x:c>
      <x:c r="E2766" s="14" t="n">
        <x:v>5</x:v>
      </x:c>
      <x:c r="F2766" s="2" t="str">
        <x:v>Mechanical preassembly</x:v>
      </x:c>
      <x:c r="G2766" s="9" t="str">
        <x:v>AS-03</x:v>
      </x:c>
      <x:c r="H2766" s="15" t="n">
        <x:v>146</x:v>
      </x:c>
      <x:c r="I2766" s="9" t="str">
        <x:v>P20</x:v>
      </x:c>
      <x:c r="J2766" s="11" t="n">
        <x:v>46309.86111111111</x:v>
      </x:c>
      <x:c r="K2766" s="15" t="n">
        <x:v>6</x:v>
      </x:c>
      <x:c r="L2766" s="15" t="n">
        <x:v>6</x:v>
      </x:c>
      <x:c r="M2766" s="13" t="n">
        <x:f>J2766+(K2766+L2766)/1440</x:f>
        <x:v>46309.86944444444</x:v>
      </x:c>
      <x:c r="N2766" s="13" t="n">
        <x:f>VLOOKUP(C2766,'MES orders'!$A$8:$H$127,5,FALSE)</x:f>
        <x:v>46310.666666666664</x:v>
      </x:c>
      <x:c r="O2766" s="16" t="n">
        <x:f>MAX(0,(M2766-N2766)*24)</x:f>
        <x:v>0</x:v>
      </x:c>
      <x:c r="P2766" s="9" t="str">
        <x:v>No</x:v>
      </x:c>
      <x:c r="Q2766" s="15" t="n">
        <x:v>12</x:v>
      </x:c>
      <x:c r="R2766" s="13" t="n">
        <x:f>J2766+Q2766/1440</x:f>
        <x:v>46309.86944444444</x:v>
      </x:c>
      <x:c r="S2766" s="2" t="str">
        <x:f>VLOOKUP(C2766,'MES orders'!$A$8:$H$127,6,FALSE)</x:f>
        <x:v>Normal</x:v>
      </x:c>
      <x:c r="T2766" s="9" t="str"/>
    </x:row>
    <x:row r="2767" ht="22" customHeight="1">
      <x:c r="A2767" s="2" t="str">
        <x:v>L00307-080</x:v>
      </x:c>
      <x:c r="B2767" s="2" t="str">
        <x:v>L00307</x:v>
      </x:c>
      <x:c r="C2767" s="2" t="str">
        <x:v>SO-26062</x:v>
      </x:c>
      <x:c r="D2767" s="2" t="str">
        <x:v>S-C-SS</x:v>
      </x:c>
      <x:c r="E2767" s="14" t="n">
        <x:v>5</x:v>
      </x:c>
      <x:c r="F2767" s="2" t="str">
        <x:v>Final leak / function test</x:v>
      </x:c>
      <x:c r="G2767" s="9" t="str">
        <x:v>QA-02</x:v>
      </x:c>
      <x:c r="H2767" s="15" t="n">
        <x:v>202</x:v>
      </x:c>
      <x:c r="I2767" s="9" t="str">
        <x:v>P23</x:v>
      </x:c>
      <x:c r="J2767" s="11" t="n">
        <x:v>46309.86319444444</x:v>
      </x:c>
      <x:c r="K2767" s="15" t="n">
        <x:v>10</x:v>
      </x:c>
      <x:c r="L2767" s="15" t="n">
        <x:v>4</x:v>
      </x:c>
      <x:c r="M2767" s="13" t="n">
        <x:f>J2767+(K2767+L2767)/1440</x:f>
        <x:v>46309.87291666667</x:v>
      </x:c>
      <x:c r="N2767" s="13" t="n">
        <x:f>VLOOKUP(C2767,'MES orders'!$A$8:$H$127,5,FALSE)</x:f>
        <x:v>46309.666666666664</x:v>
      </x:c>
      <x:c r="O2767" s="16" t="n">
        <x:f>MAX(0,(M2767-N2767)*24)</x:f>
        <x:v>4.950000000069849</x:v>
      </x:c>
      <x:c r="P2767" s="9" t="str">
        <x:v>No</x:v>
      </x:c>
      <x:c r="Q2767" s="15" t="n">
        <x:v>14</x:v>
      </x:c>
      <x:c r="R2767" s="13" t="n">
        <x:f>J2767+Q2767/1440</x:f>
        <x:v>46309.87291666667</x:v>
      </x:c>
      <x:c r="S2767" s="2" t="str">
        <x:f>VLOOKUP(C2767,'MES orders'!$A$8:$H$127,6,FALSE)</x:f>
        <x:v>Normal</x:v>
      </x:c>
      <x:c r="T2767" s="9" t="str"/>
    </x:row>
    <x:row r="2768" ht="22" customHeight="1">
      <x:c r="A2768" s="2" t="str">
        <x:v>L00268-030</x:v>
      </x:c>
      <x:c r="B2768" s="2" t="str">
        <x:v>L00268</x:v>
      </x:c>
      <x:c r="C2768" s="2" t="str">
        <x:v>SO-26054</x:v>
      </x:c>
      <x:c r="D2768" s="2" t="str">
        <x:v>R-L-SS</x:v>
      </x:c>
      <x:c r="E2768" s="14" t="n">
        <x:v>25</x:v>
      </x:c>
      <x:c r="F2768" s="2" t="str">
        <x:v>Wash &amp; dry</x:v>
      </x:c>
      <x:c r="G2768" s="9" t="str">
        <x:v>WS-02</x:v>
      </x:c>
      <x:c r="H2768" s="15" t="n">
        <x:v>183</x:v>
      </x:c>
      <x:c r="I2768" s="9" t="str">
        <x:v>P18</x:v>
      </x:c>
      <x:c r="J2768" s="11" t="n">
        <x:v>46309.865277777775</x:v>
      </x:c>
      <x:c r="K2768" s="15" t="n">
        <x:v>12</x:v>
      </x:c>
      <x:c r="L2768" s="15" t="n">
        <x:v>12</x:v>
      </x:c>
      <x:c r="M2768" s="13" t="n">
        <x:f>J2768+(K2768+L2768)/1440</x:f>
        <x:v>46309.881944444445</x:v>
      </x:c>
      <x:c r="N2768" s="13" t="n">
        <x:f>VLOOKUP(C2768,'MES orders'!$A$8:$H$127,5,FALSE)</x:f>
        <x:v>46309.666666666664</x:v>
      </x:c>
      <x:c r="O2768" s="16" t="n">
        <x:f>MAX(0,(M2768-N2768)*24)</x:f>
        <x:v>5.166666666744277</x:v>
      </x:c>
      <x:c r="P2768" s="9" t="str">
        <x:v>No</x:v>
      </x:c>
      <x:c r="Q2768" s="15" t="n">
        <x:v>24</x:v>
      </x:c>
      <x:c r="R2768" s="13" t="n">
        <x:f>J2768+Q2768/1440</x:f>
        <x:v>46309.881944444445</x:v>
      </x:c>
      <x:c r="S2768" s="2" t="str">
        <x:f>VLOOKUP(C2768,'MES orders'!$A$8:$H$127,6,FALSE)</x:f>
        <x:v>Normal</x:v>
      </x:c>
      <x:c r="T2768" s="9" t="str"/>
    </x:row>
    <x:row r="2769" ht="22" customHeight="1">
      <x:c r="A2769" s="2" t="str">
        <x:v>L00427-020</x:v>
      </x:c>
      <x:c r="B2769" s="2" t="str">
        <x:v>L00427</x:v>
      </x:c>
      <x:c r="C2769" s="2" t="str">
        <x:v>SO-26086</x:v>
      </x:c>
      <x:c r="D2769" s="2" t="str">
        <x:v>D-C-SS</x:v>
      </x:c>
      <x:c r="E2769" s="14" t="n">
        <x:v>5</x:v>
      </x:c>
      <x:c r="F2769" s="2" t="str">
        <x:v>Deburr &amp; inspect</x:v>
      </x:c>
      <x:c r="G2769" s="9" t="str">
        <x:v>DB-01</x:v>
      </x:c>
      <x:c r="H2769" s="15" t="n">
        <x:v>260</x:v>
      </x:c>
      <x:c r="I2769" s="9" t="str">
        <x:v>P14</x:v>
      </x:c>
      <x:c r="J2769" s="11" t="n">
        <x:v>46309.86666666667</x:v>
      </x:c>
      <x:c r="K2769" s="15" t="n">
        <x:v>4</x:v>
      </x:c>
      <x:c r="L2769" s="15" t="n">
        <x:v>3</x:v>
      </x:c>
      <x:c r="M2769" s="13" t="n">
        <x:f>J2769+(K2769+L2769)/1440</x:f>
        <x:v>46309.87152777778</x:v>
      </x:c>
      <x:c r="N2769" s="13" t="n">
        <x:f>VLOOKUP(C2769,'MES orders'!$A$8:$H$127,5,FALSE)</x:f>
        <x:v>46309.666666666664</x:v>
      </x:c>
      <x:c r="O2769" s="16" t="n">
        <x:f>MAX(0,(M2769-N2769)*24)</x:f>
        <x:v>4.9166666668024845</x:v>
      </x:c>
      <x:c r="P2769" s="9" t="str">
        <x:v>No</x:v>
      </x:c>
      <x:c r="Q2769" s="15" t="n">
        <x:v>7</x:v>
      </x:c>
      <x:c r="R2769" s="13" t="n">
        <x:f>J2769+Q2769/1440</x:f>
        <x:v>46309.87152777778</x:v>
      </x:c>
      <x:c r="S2769" s="2" t="str">
        <x:f>VLOOKUP(C2769,'MES orders'!$A$8:$H$127,6,FALSE)</x:f>
        <x:v>Normal</x:v>
      </x:c>
      <x:c r="T2769" s="9" t="str"/>
    </x:row>
    <x:row r="2770" ht="22" customHeight="1">
      <x:c r="A2770" s="2" t="str">
        <x:v>L00267-040</x:v>
      </x:c>
      <x:c r="B2770" s="2" t="str">
        <x:v>L00267</x:v>
      </x:c>
      <x:c r="C2770" s="2" t="str">
        <x:v>SO-26054</x:v>
      </x:c>
      <x:c r="D2770" s="2" t="str">
        <x:v>R-L-SS</x:v>
      </x:c>
      <x:c r="E2770" s="14" t="n">
        <x:v>25</x:v>
      </x:c>
      <x:c r="F2770" s="2" t="str">
        <x:v>Mechanical assembly</x:v>
      </x:c>
      <x:c r="G2770" s="9" t="str">
        <x:v>AS-02</x:v>
      </x:c>
      <x:c r="H2770" s="15" t="n">
        <x:v>180</x:v>
      </x:c>
      <x:c r="I2770" s="9" t="str">
        <x:v>P17</x:v>
      </x:c>
      <x:c r="J2770" s="11" t="n">
        <x:v>46309.86736111111</x:v>
      </x:c>
      <x:c r="K2770" s="15" t="n">
        <x:v>8</x:v>
      </x:c>
      <x:c r="L2770" s="15" t="n">
        <x:v>61</x:v>
      </x:c>
      <x:c r="M2770" s="13" t="n">
        <x:f>J2770+(K2770+L2770)/1440</x:f>
        <x:v>46309.91527777778</x:v>
      </x:c>
      <x:c r="N2770" s="13" t="n">
        <x:f>VLOOKUP(C2770,'MES orders'!$A$8:$H$127,5,FALSE)</x:f>
        <x:v>46309.666666666664</x:v>
      </x:c>
      <x:c r="O2770" s="16" t="n">
        <x:f>MAX(0,(M2770-N2770)*24)</x:f>
        <x:v>5.966666666732635</x:v>
      </x:c>
      <x:c r="P2770" s="9" t="str">
        <x:v>No</x:v>
      </x:c>
      <x:c r="Q2770" s="15" t="n">
        <x:v>69</x:v>
      </x:c>
      <x:c r="R2770" s="13" t="n">
        <x:f>J2770+Q2770/1440</x:f>
        <x:v>46309.91527777778</x:v>
      </x:c>
      <x:c r="S2770" s="2" t="str">
        <x:f>VLOOKUP(C2770,'MES orders'!$A$8:$H$127,6,FALSE)</x:f>
        <x:v>Normal</x:v>
      </x:c>
      <x:c r="T2770" s="9" t="str"/>
    </x:row>
    <x:row r="2771" ht="22" customHeight="1">
      <x:c r="A2771" s="2" t="str">
        <x:v>L00426-030</x:v>
      </x:c>
      <x:c r="B2771" s="2" t="str">
        <x:v>L00426</x:v>
      </x:c>
      <x:c r="C2771" s="2" t="str">
        <x:v>SO-26086</x:v>
      </x:c>
      <x:c r="D2771" s="2" t="str">
        <x:v>D-C-SS</x:v>
      </x:c>
      <x:c r="E2771" s="14" t="n">
        <x:v>5</x:v>
      </x:c>
      <x:c r="F2771" s="2" t="str">
        <x:v>Wash &amp; dry</x:v>
      </x:c>
      <x:c r="G2771" s="9" t="str">
        <x:v>WS-01</x:v>
      </x:c>
      <x:c r="H2771" s="15" t="n">
        <x:v>256</x:v>
      </x:c>
      <x:c r="I2771" s="9" t="str">
        <x:v>P13</x:v>
      </x:c>
      <x:c r="J2771" s="11" t="n">
        <x:v>46309.86736111111</x:v>
      </x:c>
      <x:c r="K2771" s="15" t="n">
        <x:v>12</x:v>
      </x:c>
      <x:c r="L2771" s="15" t="n">
        <x:v>1</x:v>
      </x:c>
      <x:c r="M2771" s="13" t="n">
        <x:f>J2771+(K2771+L2771)/1440</x:f>
        <x:v>46309.876388888886</x:v>
      </x:c>
      <x:c r="N2771" s="13" t="n">
        <x:f>VLOOKUP(C2771,'MES orders'!$A$8:$H$127,5,FALSE)</x:f>
        <x:v>46309.666666666664</x:v>
      </x:c>
      <x:c r="O2771" s="16" t="n">
        <x:f>MAX(0,(M2771-N2771)*24)</x:f>
        <x:v>5.033333333325572</x:v>
      </x:c>
      <x:c r="P2771" s="9" t="str">
        <x:v>No</x:v>
      </x:c>
      <x:c r="Q2771" s="15" t="n">
        <x:v>13</x:v>
      </x:c>
      <x:c r="R2771" s="13" t="n">
        <x:f>J2771+Q2771/1440</x:f>
        <x:v>46309.876388888886</x:v>
      </x:c>
      <x:c r="S2771" s="2" t="str">
        <x:f>VLOOKUP(C2771,'MES orders'!$A$8:$H$127,6,FALSE)</x:f>
        <x:v>Normal</x:v>
      </x:c>
      <x:c r="T2771" s="9" t="str"/>
    </x:row>
    <x:row r="2772" ht="22" customHeight="1">
      <x:c r="A2772" s="2" t="str">
        <x:v>L00308-080</x:v>
      </x:c>
      <x:c r="B2772" s="2" t="str">
        <x:v>L00308</x:v>
      </x:c>
      <x:c r="C2772" s="2" t="str">
        <x:v>SO-26062</x:v>
      </x:c>
      <x:c r="D2772" s="2" t="str">
        <x:v>S-C-SS</x:v>
      </x:c>
      <x:c r="E2772" s="14" t="n">
        <x:v>5</x:v>
      </x:c>
      <x:c r="F2772" s="2" t="str">
        <x:v>Final leak / function test</x:v>
      </x:c>
      <x:c r="G2772" s="9" t="str">
        <x:v>QA-03</x:v>
      </x:c>
      <x:c r="H2772" s="15" t="n">
        <x:v>124</x:v>
      </x:c>
      <x:c r="I2772" s="9" t="str">
        <x:v>P24</x:v>
      </x:c>
      <x:c r="J2772" s="11" t="n">
        <x:v>46309.868055555555</x:v>
      </x:c>
      <x:c r="K2772" s="15" t="n">
        <x:v>10</x:v>
      </x:c>
      <x:c r="L2772" s="15" t="n">
        <x:v>4</x:v>
      </x:c>
      <x:c r="M2772" s="13" t="n">
        <x:f>J2772+(K2772+L2772)/1440</x:f>
        <x:v>46309.87777777778</x:v>
      </x:c>
      <x:c r="N2772" s="13" t="n">
        <x:f>VLOOKUP(C2772,'MES orders'!$A$8:$H$127,5,FALSE)</x:f>
        <x:v>46309.666666666664</x:v>
      </x:c>
      <x:c r="O2772" s="16" t="n">
        <x:f>MAX(0,(M2772-N2772)*24)</x:f>
        <x:v>5.06666666676756</x:v>
      </x:c>
      <x:c r="P2772" s="9" t="str">
        <x:v>No</x:v>
      </x:c>
      <x:c r="Q2772" s="15" t="n">
        <x:v>14</x:v>
      </x:c>
      <x:c r="R2772" s="13" t="n">
        <x:f>J2772+Q2772/1440</x:f>
        <x:v>46309.87777777778</x:v>
      </x:c>
      <x:c r="S2772" s="2" t="str">
        <x:f>VLOOKUP(C2772,'MES orders'!$A$8:$H$127,6,FALSE)</x:f>
        <x:v>Normal</x:v>
      </x:c>
      <x:c r="T2772" s="9" t="str"/>
    </x:row>
    <x:row r="2773" ht="22" customHeight="1">
      <x:c r="A2773" s="2" t="str">
        <x:v>L00428-020</x:v>
      </x:c>
      <x:c r="B2773" s="2" t="str">
        <x:v>L00428</x:v>
      </x:c>
      <x:c r="C2773" s="2" t="str">
        <x:v>SO-26086</x:v>
      </x:c>
      <x:c r="D2773" s="2" t="str">
        <x:v>D-C-SS</x:v>
      </x:c>
      <x:c r="E2773" s="14" t="n">
        <x:v>5</x:v>
      </x:c>
      <x:c r="F2773" s="2" t="str">
        <x:v>Deburr &amp; inspect</x:v>
      </x:c>
      <x:c r="G2773" s="9" t="str">
        <x:v>DB-01</x:v>
      </x:c>
      <x:c r="H2773" s="15" t="n">
        <x:v>261</x:v>
      </x:c>
      <x:c r="I2773" s="9" t="str">
        <x:v>P14</x:v>
      </x:c>
      <x:c r="J2773" s="11" t="n">
        <x:v>46309.87152777778</x:v>
      </x:c>
      <x:c r="K2773" s="15" t="n">
        <x:v>4</x:v>
      </x:c>
      <x:c r="L2773" s="15" t="n">
        <x:v>3</x:v>
      </x:c>
      <x:c r="M2773" s="13" t="n">
        <x:f>J2773+(K2773+L2773)/1440</x:f>
        <x:v>46309.87638888889</x:v>
      </x:c>
      <x:c r="N2773" s="13" t="n">
        <x:f>VLOOKUP(C2773,'MES orders'!$A$8:$H$127,5,FALSE)</x:f>
        <x:v>46309.666666666664</x:v>
      </x:c>
      <x:c r="O2773" s="16" t="n">
        <x:f>MAX(0,(M2773-N2773)*24)</x:f>
        <x:v>5.033333333500195</x:v>
      </x:c>
      <x:c r="P2773" s="9" t="str">
        <x:v>No</x:v>
      </x:c>
      <x:c r="Q2773" s="15" t="n">
        <x:v>7</x:v>
      </x:c>
      <x:c r="R2773" s="13" t="n">
        <x:f>J2773+Q2773/1440</x:f>
        <x:v>46309.87638888889</x:v>
      </x:c>
      <x:c r="S2773" s="2" t="str">
        <x:f>VLOOKUP(C2773,'MES orders'!$A$8:$H$127,6,FALSE)</x:f>
        <x:v>Normal</x:v>
      </x:c>
      <x:c r="T2773" s="9" t="str"/>
    </x:row>
    <x:row r="2774" ht="22" customHeight="1">
      <x:c r="A2774" s="2" t="str">
        <x:v>L00153-070</x:v>
      </x:c>
      <x:c r="B2774" s="2" t="str">
        <x:v>L00153</x:v>
      </x:c>
      <x:c r="C2774" s="2" t="str">
        <x:v>SO-26031</x:v>
      </x:c>
      <x:c r="D2774" s="2" t="str">
        <x:v>S-C-AL</x:v>
      </x:c>
      <x:c r="E2774" s="14" t="n">
        <x:v>15</x:v>
      </x:c>
      <x:c r="F2774" s="2" t="str">
        <x:v>Final assembly</x:v>
      </x:c>
      <x:c r="G2774" s="9" t="str">
        <x:v>AS-05</x:v>
      </x:c>
      <x:c r="H2774" s="15" t="n">
        <x:v>55</x:v>
      </x:c>
      <x:c r="I2774" s="9" t="str">
        <x:v>P20</x:v>
      </x:c>
      <x:c r="J2774" s="11" t="n">
        <x:v>46309.873611111114</x:v>
      </x:c>
      <x:c r="K2774" s="15" t="n">
        <x:v>5</x:v>
      </x:c>
      <x:c r="L2774" s="15" t="n">
        <x:v>10</x:v>
      </x:c>
      <x:c r="M2774" s="13" t="n">
        <x:f>J2774+(K2774+L2774)/1440</x:f>
        <x:v>46309.88402777778</x:v>
      </x:c>
      <x:c r="N2774" s="13" t="n">
        <x:f>VLOOKUP(C2774,'MES orders'!$A$8:$H$127,5,FALSE)</x:f>
        <x:v>46310.666666666664</x:v>
      </x:c>
      <x:c r="O2774" s="16" t="n">
        <x:f>MAX(0,(M2774-N2774)*24)</x:f>
        <x:v>0</x:v>
      </x:c>
      <x:c r="P2774" s="9" t="str">
        <x:v>No</x:v>
      </x:c>
      <x:c r="Q2774" s="15" t="n">
        <x:v>15</x:v>
      </x:c>
      <x:c r="R2774" s="13" t="n">
        <x:f>J2774+Q2774/1440</x:f>
        <x:v>46309.88402777778</x:v>
      </x:c>
      <x:c r="S2774" s="2" t="str">
        <x:f>VLOOKUP(C2774,'MES orders'!$A$8:$H$127,6,FALSE)</x:f>
        <x:v>Normal</x:v>
      </x:c>
      <x:c r="T2774" s="9" t="str"/>
    </x:row>
    <x:row r="2775" ht="22" customHeight="1">
      <x:c r="A2775" s="2" t="str">
        <x:v>L00154-060</x:v>
      </x:c>
      <x:c r="B2775" s="2" t="str">
        <x:v>L00154</x:v>
      </x:c>
      <x:c r="C2775" s="2" t="str">
        <x:v>SO-26031</x:v>
      </x:c>
      <x:c r="D2775" s="2" t="str">
        <x:v>S-C-AL</x:v>
      </x:c>
      <x:c r="E2775" s="14" t="n">
        <x:v>15</x:v>
      </x:c>
      <x:c r="F2775" s="2" t="str">
        <x:v>Sensor calibration</x:v>
      </x:c>
      <x:c r="G2775" s="9" t="str">
        <x:v>CAL-01</x:v>
      </x:c>
      <x:c r="H2775" s="15" t="n">
        <x:v>142</x:v>
      </x:c>
      <x:c r="I2775" s="9" t="str">
        <x:v>P21</x:v>
      </x:c>
      <x:c r="J2775" s="11" t="n">
        <x:v>46309.873611111114</x:v>
      </x:c>
      <x:c r="K2775" s="15" t="n">
        <x:v>10</x:v>
      </x:c>
      <x:c r="L2775" s="15" t="n">
        <x:v>16</x:v>
      </x:c>
      <x:c r="M2775" s="13" t="n">
        <x:f>J2775+(K2775+L2775)/1440</x:f>
        <x:v>46309.89166666667</x:v>
      </x:c>
      <x:c r="N2775" s="13" t="n">
        <x:f>VLOOKUP(C2775,'MES orders'!$A$8:$H$127,5,FALSE)</x:f>
        <x:v>46310.666666666664</x:v>
      </x:c>
      <x:c r="O2775" s="16" t="n">
        <x:f>MAX(0,(M2775-N2775)*24)</x:f>
        <x:v>0</x:v>
      </x:c>
      <x:c r="P2775" s="9" t="str">
        <x:v>No</x:v>
      </x:c>
      <x:c r="Q2775" s="15" t="n">
        <x:v>26</x:v>
      </x:c>
      <x:c r="R2775" s="13" t="n">
        <x:f>J2775+Q2775/1440</x:f>
        <x:v>46309.89166666667</x:v>
      </x:c>
      <x:c r="S2775" s="2" t="str">
        <x:f>VLOOKUP(C2775,'MES orders'!$A$8:$H$127,6,FALSE)</x:f>
        <x:v>Normal</x:v>
      </x:c>
      <x:c r="T2775" s="9" t="str"/>
    </x:row>
    <x:row r="2776" ht="22" customHeight="1">
      <x:c r="A2776" s="2" t="str">
        <x:v>L00426-040</x:v>
      </x:c>
      <x:c r="B2776" s="2" t="str">
        <x:v>L00426</x:v>
      </x:c>
      <x:c r="C2776" s="2" t="str">
        <x:v>SO-26086</x:v>
      </x:c>
      <x:c r="D2776" s="2" t="str">
        <x:v>D-C-SS</x:v>
      </x:c>
      <x:c r="E2776" s="14" t="n">
        <x:v>5</x:v>
      </x:c>
      <x:c r="F2776" s="2" t="str">
        <x:v>Mechanical assembly</x:v>
      </x:c>
      <x:c r="G2776" s="9" t="str">
        <x:v>AS-04</x:v>
      </x:c>
      <x:c r="H2776" s="15" t="n">
        <x:v>101</x:v>
      </x:c>
      <x:c r="I2776" s="9" t="str">
        <x:v>P13</x:v>
      </x:c>
      <x:c r="J2776" s="11" t="n">
        <x:v>46309.876388888886</x:v>
      </x:c>
      <x:c r="K2776" s="15" t="n">
        <x:v>8</x:v>
      </x:c>
      <x:c r="L2776" s="15" t="n">
        <x:v>7</x:v>
      </x:c>
      <x:c r="M2776" s="13" t="n">
        <x:f>J2776+(K2776+L2776)/1440</x:f>
        <x:v>46309.88680555555</x:v>
      </x:c>
      <x:c r="N2776" s="13" t="n">
        <x:f>VLOOKUP(C2776,'MES orders'!$A$8:$H$127,5,FALSE)</x:f>
        <x:v>46309.666666666664</x:v>
      </x:c>
      <x:c r="O2776" s="16" t="n">
        <x:f>MAX(0,(M2776-N2776)*24)</x:f>
        <x:v>5.283333333267365</x:v>
      </x:c>
      <x:c r="P2776" s="9" t="str">
        <x:v>No</x:v>
      </x:c>
      <x:c r="Q2776" s="15" t="n">
        <x:v>15</x:v>
      </x:c>
      <x:c r="R2776" s="13" t="n">
        <x:f>J2776+Q2776/1440</x:f>
        <x:v>46309.88680555555</x:v>
      </x:c>
      <x:c r="S2776" s="2" t="str">
        <x:f>VLOOKUP(C2776,'MES orders'!$A$8:$H$127,6,FALSE)</x:f>
        <x:v>Normal</x:v>
      </x:c>
      <x:c r="T2776" s="9" t="str"/>
    </x:row>
    <x:row r="2777" ht="22" customHeight="1">
      <x:c r="A2777" s="2" t="str">
        <x:v>L00427-030</x:v>
      </x:c>
      <x:c r="B2777" s="2" t="str">
        <x:v>L00427</x:v>
      </x:c>
      <x:c r="C2777" s="2" t="str">
        <x:v>SO-26086</x:v>
      </x:c>
      <x:c r="D2777" s="2" t="str">
        <x:v>D-C-SS</x:v>
      </x:c>
      <x:c r="E2777" s="14" t="n">
        <x:v>5</x:v>
      </x:c>
      <x:c r="F2777" s="2" t="str">
        <x:v>Wash &amp; dry</x:v>
      </x:c>
      <x:c r="G2777" s="9" t="str">
        <x:v>WS-01</x:v>
      </x:c>
      <x:c r="H2777" s="15" t="n">
        <x:v>257</x:v>
      </x:c>
      <x:c r="I2777" s="9" t="str">
        <x:v>P14</x:v>
      </x:c>
      <x:c r="J2777" s="11" t="n">
        <x:v>46309.876388888886</x:v>
      </x:c>
      <x:c r="K2777" s="15" t="n">
        <x:v>12</x:v>
      </x:c>
      <x:c r="L2777" s="15" t="n">
        <x:v>1</x:v>
      </x:c>
      <x:c r="M2777" s="13" t="n">
        <x:f>J2777+(K2777+L2777)/1440</x:f>
        <x:v>46309.885416666664</x:v>
      </x:c>
      <x:c r="N2777" s="13" t="n">
        <x:f>VLOOKUP(C2777,'MES orders'!$A$8:$H$127,5,FALSE)</x:f>
        <x:v>46309.666666666664</x:v>
      </x:c>
      <x:c r="O2777" s="16" t="n">
        <x:f>MAX(0,(M2777-N2777)*24)</x:f>
        <x:v>5.25</x:v>
      </x:c>
      <x:c r="P2777" s="9" t="str">
        <x:v>No</x:v>
      </x:c>
      <x:c r="Q2777" s="15" t="n">
        <x:v>13</x:v>
      </x:c>
      <x:c r="R2777" s="13" t="n">
        <x:f>J2777+Q2777/1440</x:f>
        <x:v>46309.885416666664</x:v>
      </x:c>
      <x:c r="S2777" s="2" t="str">
        <x:f>VLOOKUP(C2777,'MES orders'!$A$8:$H$127,6,FALSE)</x:f>
        <x:v>Normal</x:v>
      </x:c>
      <x:c r="T2777" s="9" t="str"/>
    </x:row>
    <x:row r="2778" ht="22" customHeight="1">
      <x:c r="A2778" s="2" t="str">
        <x:v>L00429-020</x:v>
      </x:c>
      <x:c r="B2778" s="2" t="str">
        <x:v>L00429</x:v>
      </x:c>
      <x:c r="C2778" s="2" t="str">
        <x:v>SO-26086</x:v>
      </x:c>
      <x:c r="D2778" s="2" t="str">
        <x:v>D-C-SS</x:v>
      </x:c>
      <x:c r="E2778" s="14" t="n">
        <x:v>5</x:v>
      </x:c>
      <x:c r="F2778" s="2" t="str">
        <x:v>Deburr &amp; inspect</x:v>
      </x:c>
      <x:c r="G2778" s="9" t="str">
        <x:v>DB-01</x:v>
      </x:c>
      <x:c r="H2778" s="15" t="n">
        <x:v>262</x:v>
      </x:c>
      <x:c r="I2778" s="9" t="str">
        <x:v>P19</x:v>
      </x:c>
      <x:c r="J2778" s="11" t="n">
        <x:v>46309.879166666666</x:v>
      </x:c>
      <x:c r="K2778" s="15" t="n">
        <x:v>4</x:v>
      </x:c>
      <x:c r="L2778" s="15" t="n">
        <x:v>3</x:v>
      </x:c>
      <x:c r="M2778" s="13" t="n">
        <x:f>J2778+(K2778+L2778)/1440</x:f>
        <x:v>46309.88402777778</x:v>
      </x:c>
      <x:c r="N2778" s="13" t="n">
        <x:f>VLOOKUP(C2778,'MES orders'!$A$8:$H$127,5,FALSE)</x:f>
        <x:v>46309.666666666664</x:v>
      </x:c>
      <x:c r="O2778" s="16" t="n">
        <x:f>MAX(0,(M2778-N2778)*24)</x:f>
        <x:v>5.216666666732635</x:v>
      </x:c>
      <x:c r="P2778" s="9" t="str">
        <x:v>No</x:v>
      </x:c>
      <x:c r="Q2778" s="15" t="n">
        <x:v>7</x:v>
      </x:c>
      <x:c r="R2778" s="13" t="n">
        <x:f>J2778+Q2778/1440</x:f>
        <x:v>46309.88402777778</x:v>
      </x:c>
      <x:c r="S2778" s="2" t="str">
        <x:f>VLOOKUP(C2778,'MES orders'!$A$8:$H$127,6,FALSE)</x:f>
        <x:v>Normal</x:v>
      </x:c>
      <x:c r="T2778" s="9" t="str"/>
    </x:row>
    <x:row r="2779" ht="22" customHeight="1">
      <x:c r="A2779" s="2" t="str">
        <x:v>L00269-050</x:v>
      </x:c>
      <x:c r="B2779" s="2" t="str">
        <x:v>L00269</x:v>
      </x:c>
      <x:c r="C2779" s="2" t="str">
        <x:v>SO-26054</x:v>
      </x:c>
      <x:c r="D2779" s="2" t="str">
        <x:v>R-L-SS</x:v>
      </x:c>
      <x:c r="E2779" s="14" t="n">
        <x:v>25</x:v>
      </x:c>
      <x:c r="F2779" s="2" t="str">
        <x:v>Valve adjustment</x:v>
      </x:c>
      <x:c r="G2779" s="9" t="str">
        <x:v>AS-03</x:v>
      </x:c>
      <x:c r="H2779" s="15" t="n">
        <x:v>147</x:v>
      </x:c>
      <x:c r="I2779" s="9" t="str">
        <x:v>P18</x:v>
      </x:c>
      <x:c r="J2779" s="11" t="n">
        <x:v>46309.881944444445</x:v>
      </x:c>
      <x:c r="K2779" s="15" t="n">
        <x:v>6</x:v>
      </x:c>
      <x:c r="L2779" s="15" t="n">
        <x:v>37</x:v>
      </x:c>
      <x:c r="M2779" s="13" t="n">
        <x:f>J2779+(K2779+L2779)/1440</x:f>
        <x:v>46309.91180555556</x:v>
      </x:c>
      <x:c r="N2779" s="13" t="n">
        <x:f>VLOOKUP(C2779,'MES orders'!$A$8:$H$127,5,FALSE)</x:f>
        <x:v>46309.666666666664</x:v>
      </x:c>
      <x:c r="O2779" s="16" t="n">
        <x:f>MAX(0,(M2779-N2779)*24)</x:f>
        <x:v>5.883333333476912</x:v>
      </x:c>
      <x:c r="P2779" s="9" t="str">
        <x:v>No</x:v>
      </x:c>
      <x:c r="Q2779" s="15" t="n">
        <x:v>43</x:v>
      </x:c>
      <x:c r="R2779" s="13" t="n">
        <x:f>J2779+Q2779/1440</x:f>
        <x:v>46309.91180555556</x:v>
      </x:c>
      <x:c r="S2779" s="2" t="str">
        <x:f>VLOOKUP(C2779,'MES orders'!$A$8:$H$127,6,FALSE)</x:f>
        <x:v>Normal</x:v>
      </x:c>
      <x:c r="T2779" s="9" t="str"/>
    </x:row>
    <x:row r="2780" ht="22" customHeight="1">
      <x:c r="A2780" s="2" t="str">
        <x:v>L00428-030</x:v>
      </x:c>
      <x:c r="B2780" s="2" t="str">
        <x:v>L00428</x:v>
      </x:c>
      <x:c r="C2780" s="2" t="str">
        <x:v>SO-26086</x:v>
      </x:c>
      <x:c r="D2780" s="2" t="str">
        <x:v>D-C-SS</x:v>
      </x:c>
      <x:c r="E2780" s="14" t="n">
        <x:v>5</x:v>
      </x:c>
      <x:c r="F2780" s="2" t="str">
        <x:v>Wash &amp; dry</x:v>
      </x:c>
      <x:c r="G2780" s="9" t="str">
        <x:v>WS-02</x:v>
      </x:c>
      <x:c r="H2780" s="15" t="n">
        <x:v>184</x:v>
      </x:c>
      <x:c r="I2780" s="9" t="str">
        <x:v>P15</x:v>
      </x:c>
      <x:c r="J2780" s="11" t="n">
        <x:v>46309.881944444445</x:v>
      </x:c>
      <x:c r="K2780" s="15" t="n">
        <x:v>12</x:v>
      </x:c>
      <x:c r="L2780" s="15" t="n">
        <x:v>1</x:v>
      </x:c>
      <x:c r="M2780" s="13" t="n">
        <x:f>J2780+(K2780+L2780)/1440</x:f>
        <x:v>46309.89097222222</x:v>
      </x:c>
      <x:c r="N2780" s="13" t="n">
        <x:f>VLOOKUP(C2780,'MES orders'!$A$8:$H$127,5,FALSE)</x:f>
        <x:v>46309.666666666664</x:v>
      </x:c>
      <x:c r="O2780" s="16" t="n">
        <x:f>MAX(0,(M2780-N2780)*24)</x:f>
        <x:v>5.383333333418705</x:v>
      </x:c>
      <x:c r="P2780" s="9" t="str">
        <x:v>No</x:v>
      </x:c>
      <x:c r="Q2780" s="15" t="n">
        <x:v>13</x:v>
      </x:c>
      <x:c r="R2780" s="13" t="n">
        <x:f>J2780+Q2780/1440</x:f>
        <x:v>46309.89097222222</x:v>
      </x:c>
      <x:c r="S2780" s="2" t="str">
        <x:f>VLOOKUP(C2780,'MES orders'!$A$8:$H$127,6,FALSE)</x:f>
        <x:v>Normal</x:v>
      </x:c>
      <x:c r="T2780" s="9" t="str"/>
    </x:row>
    <x:row r="2781" ht="22" customHeight="1">
      <x:c r="A2781" s="2" t="str">
        <x:v>L00153-080</x:v>
      </x:c>
      <x:c r="B2781" s="2" t="str">
        <x:v>L00153</x:v>
      </x:c>
      <x:c r="C2781" s="2" t="str">
        <x:v>SO-26031</x:v>
      </x:c>
      <x:c r="D2781" s="2" t="str">
        <x:v>S-C-AL</x:v>
      </x:c>
      <x:c r="E2781" s="14" t="n">
        <x:v>15</x:v>
      </x:c>
      <x:c r="F2781" s="2" t="str">
        <x:v>Final leak / function test</x:v>
      </x:c>
      <x:c r="G2781" s="9" t="str">
        <x:v>QA-03</x:v>
      </x:c>
      <x:c r="H2781" s="15" t="n">
        <x:v>125</x:v>
      </x:c>
      <x:c r="I2781" s="9" t="str">
        <x:v>P22</x:v>
      </x:c>
      <x:c r="J2781" s="11" t="n">
        <x:v>46309.88402777778</x:v>
      </x:c>
      <x:c r="K2781" s="15" t="n">
        <x:v>10</x:v>
      </x:c>
      <x:c r="L2781" s="15" t="n">
        <x:v>11</x:v>
      </x:c>
      <x:c r="M2781" s="13" t="n">
        <x:f>J2781+(K2781+L2781)/1440</x:f>
        <x:v>46309.89861111111</x:v>
      </x:c>
      <x:c r="N2781" s="13" t="n">
        <x:f>VLOOKUP(C2781,'MES orders'!$A$8:$H$127,5,FALSE)</x:f>
        <x:v>46310.666666666664</x:v>
      </x:c>
      <x:c r="O2781" s="16" t="n">
        <x:f>MAX(0,(M2781-N2781)*24)</x:f>
        <x:v>0</x:v>
      </x:c>
      <x:c r="P2781" s="9" t="str">
        <x:v>No</x:v>
      </x:c>
      <x:c r="Q2781" s="15" t="n">
        <x:v>21</x:v>
      </x:c>
      <x:c r="R2781" s="13" t="n">
        <x:f>J2781+Q2781/1440</x:f>
        <x:v>46309.89861111111</x:v>
      </x:c>
      <x:c r="S2781" s="2" t="str">
        <x:f>VLOOKUP(C2781,'MES orders'!$A$8:$H$127,6,FALSE)</x:f>
        <x:v>Normal</x:v>
      </x:c>
      <x:c r="T2781" s="9" t="str"/>
    </x:row>
    <x:row r="2782" ht="22" customHeight="1">
      <x:c r="A2782" s="2" t="str">
        <x:v>L00427-040</x:v>
      </x:c>
      <x:c r="B2782" s="2" t="str">
        <x:v>L00427</x:v>
      </x:c>
      <x:c r="C2782" s="2" t="str">
        <x:v>SO-26086</x:v>
      </x:c>
      <x:c r="D2782" s="2" t="str">
        <x:v>D-C-SS</x:v>
      </x:c>
      <x:c r="E2782" s="14" t="n">
        <x:v>5</x:v>
      </x:c>
      <x:c r="F2782" s="2" t="str">
        <x:v>Mechanical assembly</x:v>
      </x:c>
      <x:c r="G2782" s="9" t="str">
        <x:v>AS-05</x:v>
      </x:c>
      <x:c r="H2782" s="15" t="n">
        <x:v>56</x:v>
      </x:c>
      <x:c r="I2782" s="9" t="str">
        <x:v>P14</x:v>
      </x:c>
      <x:c r="J2782" s="11" t="n">
        <x:v>46309.885416666664</x:v>
      </x:c>
      <x:c r="K2782" s="15" t="n">
        <x:v>8</x:v>
      </x:c>
      <x:c r="L2782" s="15" t="n">
        <x:v>7</x:v>
      </x:c>
      <x:c r="M2782" s="13" t="n">
        <x:f>J2782+(K2782+L2782)/1440</x:f>
        <x:v>46309.89583333333</x:v>
      </x:c>
      <x:c r="N2782" s="13" t="n">
        <x:f>VLOOKUP(C2782,'MES orders'!$A$8:$H$127,5,FALSE)</x:f>
        <x:v>46309.666666666664</x:v>
      </x:c>
      <x:c r="O2782" s="16" t="n">
        <x:f>MAX(0,(M2782-N2782)*24)</x:f>
        <x:v>5.499999999941792</x:v>
      </x:c>
      <x:c r="P2782" s="9" t="str">
        <x:v>No</x:v>
      </x:c>
      <x:c r="Q2782" s="15" t="n">
        <x:v>15</x:v>
      </x:c>
      <x:c r="R2782" s="13" t="n">
        <x:f>J2782+Q2782/1440</x:f>
        <x:v>46309.89583333333</x:v>
      </x:c>
      <x:c r="S2782" s="2" t="str">
        <x:f>VLOOKUP(C2782,'MES orders'!$A$8:$H$127,6,FALSE)</x:f>
        <x:v>Normal</x:v>
      </x:c>
      <x:c r="T2782" s="9" t="str"/>
    </x:row>
    <x:row r="2783" ht="22" customHeight="1">
      <x:c r="A2783" s="2" t="str">
        <x:v>L00429-030</x:v>
      </x:c>
      <x:c r="B2783" s="2" t="str">
        <x:v>L00429</x:v>
      </x:c>
      <x:c r="C2783" s="2" t="str">
        <x:v>SO-26086</x:v>
      </x:c>
      <x:c r="D2783" s="2" t="str">
        <x:v>D-C-SS</x:v>
      </x:c>
      <x:c r="E2783" s="14" t="n">
        <x:v>5</x:v>
      </x:c>
      <x:c r="F2783" s="2" t="str">
        <x:v>Wash &amp; dry</x:v>
      </x:c>
      <x:c r="G2783" s="9" t="str">
        <x:v>WS-01</x:v>
      </x:c>
      <x:c r="H2783" s="15" t="n">
        <x:v>258</x:v>
      </x:c>
      <x:c r="I2783" s="9" t="str">
        <x:v>P19</x:v>
      </x:c>
      <x:c r="J2783" s="11" t="n">
        <x:v>46309.885416666664</x:v>
      </x:c>
      <x:c r="K2783" s="15" t="n">
        <x:v>12</x:v>
      </x:c>
      <x:c r="L2783" s="15" t="n">
        <x:v>1</x:v>
      </x:c>
      <x:c r="M2783" s="13" t="n">
        <x:f>J2783+(K2783+L2783)/1440</x:f>
        <x:v>46309.89444444444</x:v>
      </x:c>
      <x:c r="N2783" s="13" t="n">
        <x:f>VLOOKUP(C2783,'MES orders'!$A$8:$H$127,5,FALSE)</x:f>
        <x:v>46309.666666666664</x:v>
      </x:c>
      <x:c r="O2783" s="16" t="n">
        <x:f>MAX(0,(M2783-N2783)*24)</x:f>
        <x:v>5.466666666674428</x:v>
      </x:c>
      <x:c r="P2783" s="9" t="str">
        <x:v>No</x:v>
      </x:c>
      <x:c r="Q2783" s="15" t="n">
        <x:v>13</x:v>
      </x:c>
      <x:c r="R2783" s="13" t="n">
        <x:f>J2783+Q2783/1440</x:f>
        <x:v>46309.89444444444</x:v>
      </x:c>
      <x:c r="S2783" s="2" t="str">
        <x:f>VLOOKUP(C2783,'MES orders'!$A$8:$H$127,6,FALSE)</x:f>
        <x:v>Normal</x:v>
      </x:c>
      <x:c r="T2783" s="9" t="str"/>
    </x:row>
    <x:row r="2784" ht="22" customHeight="1">
      <x:c r="A2784" s="2" t="str">
        <x:v>L00426-050</x:v>
      </x:c>
      <x:c r="B2784" s="2" t="str">
        <x:v>L00426</x:v>
      </x:c>
      <x:c r="C2784" s="2" t="str">
        <x:v>SO-26086</x:v>
      </x:c>
      <x:c r="D2784" s="2" t="str">
        <x:v>D-C-SS</x:v>
      </x:c>
      <x:c r="E2784" s="14" t="n">
        <x:v>5</x:v>
      </x:c>
      <x:c r="F2784" s="2" t="str">
        <x:v>Final leak / function test</x:v>
      </x:c>
      <x:c r="G2784" s="9" t="str">
        <x:v>QA-01</x:v>
      </x:c>
      <x:c r="H2784" s="15" t="n">
        <x:v>105</x:v>
      </x:c>
      <x:c r="I2784" s="9" t="str">
        <x:v>P23</x:v>
      </x:c>
      <x:c r="J2784" s="11" t="n">
        <x:v>46309.88680555556</x:v>
      </x:c>
      <x:c r="K2784" s="15" t="n">
        <x:v>10</x:v>
      </x:c>
      <x:c r="L2784" s="15" t="n">
        <x:v>4</x:v>
      </x:c>
      <x:c r="M2784" s="13" t="n">
        <x:f>J2784+(K2784+L2784)/1440</x:f>
        <x:v>46309.89652777778</x:v>
      </x:c>
      <x:c r="N2784" s="13" t="n">
        <x:f>VLOOKUP(C2784,'MES orders'!$A$8:$H$127,5,FALSE)</x:f>
        <x:v>46309.666666666664</x:v>
      </x:c>
      <x:c r="O2784" s="16" t="n">
        <x:f>MAX(0,(M2784-N2784)*24)</x:f>
        <x:v>5.516666666837409</x:v>
      </x:c>
      <x:c r="P2784" s="9" t="str">
        <x:v>No</x:v>
      </x:c>
      <x:c r="Q2784" s="15" t="n">
        <x:v>14</x:v>
      </x:c>
      <x:c r="R2784" s="13" t="n">
        <x:f>J2784+Q2784/1440</x:f>
        <x:v>46309.89652777778</x:v>
      </x:c>
      <x:c r="S2784" s="2" t="str">
        <x:f>VLOOKUP(C2784,'MES orders'!$A$8:$H$127,6,FALSE)</x:f>
        <x:v>Normal</x:v>
      </x:c>
      <x:c r="T2784" s="9" t="str"/>
    </x:row>
    <x:row r="2785" ht="22" customHeight="1">
      <x:c r="A2785" s="2" t="str">
        <x:v>L00428-040</x:v>
      </x:c>
      <x:c r="B2785" s="2" t="str">
        <x:v>L00428</x:v>
      </x:c>
      <x:c r="C2785" s="2" t="str">
        <x:v>SO-26086</x:v>
      </x:c>
      <x:c r="D2785" s="2" t="str">
        <x:v>D-C-SS</x:v>
      </x:c>
      <x:c r="E2785" s="14" t="n">
        <x:v>5</x:v>
      </x:c>
      <x:c r="F2785" s="2" t="str">
        <x:v>Mechanical assembly</x:v>
      </x:c>
      <x:c r="G2785" s="9" t="str">
        <x:v>AS-04</x:v>
      </x:c>
      <x:c r="H2785" s="15" t="n">
        <x:v>102</x:v>
      </x:c>
      <x:c r="I2785" s="9" t="str">
        <x:v>P13</x:v>
      </x:c>
      <x:c r="J2785" s="11" t="n">
        <x:v>46309.89097222222</x:v>
      </x:c>
      <x:c r="K2785" s="15" t="n">
        <x:v>8</x:v>
      </x:c>
      <x:c r="L2785" s="15" t="n">
        <x:v>7</x:v>
      </x:c>
      <x:c r="M2785" s="13" t="n">
        <x:f>J2785+(K2785+L2785)/1440</x:f>
        <x:v>46309.90138888889</x:v>
      </x:c>
      <x:c r="N2785" s="13" t="n">
        <x:f>VLOOKUP(C2785,'MES orders'!$A$8:$H$127,5,FALSE)</x:f>
        <x:v>46309.666666666664</x:v>
      </x:c>
      <x:c r="O2785" s="16" t="n">
        <x:f>MAX(0,(M2785-N2785)*24)</x:f>
        <x:v>5.633333333360497</x:v>
      </x:c>
      <x:c r="P2785" s="9" t="str">
        <x:v>No</x:v>
      </x:c>
      <x:c r="Q2785" s="15" t="n">
        <x:v>15</x:v>
      </x:c>
      <x:c r="R2785" s="13" t="n">
        <x:f>J2785+Q2785/1440</x:f>
        <x:v>46309.90138888889</x:v>
      </x:c>
      <x:c r="S2785" s="2" t="str">
        <x:f>VLOOKUP(C2785,'MES orders'!$A$8:$H$127,6,FALSE)</x:f>
        <x:v>Normal</x:v>
      </x:c>
      <x:c r="T2785" s="9" t="str"/>
    </x:row>
    <x:row r="2786" ht="22" customHeight="1">
      <x:c r="A2786" s="2" t="str">
        <x:v>L00154-070</x:v>
      </x:c>
      <x:c r="B2786" s="2" t="str">
        <x:v>L00154</x:v>
      </x:c>
      <x:c r="C2786" s="2" t="str">
        <x:v>SO-26031</x:v>
      </x:c>
      <x:c r="D2786" s="2" t="str">
        <x:v>S-C-AL</x:v>
      </x:c>
      <x:c r="E2786" s="14" t="n">
        <x:v>15</x:v>
      </x:c>
      <x:c r="F2786" s="2" t="str">
        <x:v>Final assembly</x:v>
      </x:c>
      <x:c r="G2786" s="9" t="str">
        <x:v>AS-06</x:v>
      </x:c>
      <x:c r="H2786" s="15" t="n">
        <x:v>22</x:v>
      </x:c>
      <x:c r="I2786" s="9" t="str">
        <x:v>P20</x:v>
      </x:c>
      <x:c r="J2786" s="11" t="n">
        <x:v>46309.89166666667</x:v>
      </x:c>
      <x:c r="K2786" s="15" t="n">
        <x:v>5</x:v>
      </x:c>
      <x:c r="L2786" s="15" t="n">
        <x:v>10</x:v>
      </x:c>
      <x:c r="M2786" s="13" t="n">
        <x:f>J2786+(K2786+L2786)/1440</x:f>
        <x:v>46309.902083333334</x:v>
      </x:c>
      <x:c r="N2786" s="13" t="n">
        <x:f>VLOOKUP(C2786,'MES orders'!$A$8:$H$127,5,FALSE)</x:f>
        <x:v>46310.666666666664</x:v>
      </x:c>
      <x:c r="O2786" s="16" t="n">
        <x:f>MAX(0,(M2786-N2786)*24)</x:f>
        <x:v>0</x:v>
      </x:c>
      <x:c r="P2786" s="9" t="str">
        <x:v>No</x:v>
      </x:c>
      <x:c r="Q2786" s="15" t="n">
        <x:v>15</x:v>
      </x:c>
      <x:c r="R2786" s="13" t="n">
        <x:f>J2786+Q2786/1440</x:f>
        <x:v>46309.902083333334</x:v>
      </x:c>
      <x:c r="S2786" s="2" t="str">
        <x:f>VLOOKUP(C2786,'MES orders'!$A$8:$H$127,6,FALSE)</x:f>
        <x:v>Normal</x:v>
      </x:c>
      <x:c r="T2786" s="9" t="str"/>
    </x:row>
    <x:row r="2787" ht="22" customHeight="1">
      <x:c r="A2787" s="2" t="str">
        <x:v>L00155-060</x:v>
      </x:c>
      <x:c r="B2787" s="2" t="str">
        <x:v>L00155</x:v>
      </x:c>
      <x:c r="C2787" s="2" t="str">
        <x:v>SO-26031</x:v>
      </x:c>
      <x:c r="D2787" s="2" t="str">
        <x:v>S-C-AL</x:v>
      </x:c>
      <x:c r="E2787" s="14" t="n">
        <x:v>15</x:v>
      </x:c>
      <x:c r="F2787" s="2" t="str">
        <x:v>Sensor calibration</x:v>
      </x:c>
      <x:c r="G2787" s="9" t="str">
        <x:v>CAL-01</x:v>
      </x:c>
      <x:c r="H2787" s="15" t="n">
        <x:v>143</x:v>
      </x:c>
      <x:c r="I2787" s="9" t="str">
        <x:v>P21</x:v>
      </x:c>
      <x:c r="J2787" s="11" t="n">
        <x:v>46309.89166666667</x:v>
      </x:c>
      <x:c r="K2787" s="15" t="n">
        <x:v>10</x:v>
      </x:c>
      <x:c r="L2787" s="15" t="n">
        <x:v>16</x:v>
      </x:c>
      <x:c r="M2787" s="13" t="n">
        <x:f>J2787+(K2787+L2787)/1440</x:f>
        <x:v>46309.909722222226</x:v>
      </x:c>
      <x:c r="N2787" s="13" t="n">
        <x:f>VLOOKUP(C2787,'MES orders'!$A$8:$H$127,5,FALSE)</x:f>
        <x:v>46310.666666666664</x:v>
      </x:c>
      <x:c r="O2787" s="16" t="n">
        <x:f>MAX(0,(M2787-N2787)*24)</x:f>
        <x:v>0</x:v>
      </x:c>
      <x:c r="P2787" s="9" t="str">
        <x:v>No</x:v>
      </x:c>
      <x:c r="Q2787" s="15" t="n">
        <x:v>26</x:v>
      </x:c>
      <x:c r="R2787" s="13" t="n">
        <x:f>J2787+Q2787/1440</x:f>
        <x:v>46309.909722222226</x:v>
      </x:c>
      <x:c r="S2787" s="2" t="str">
        <x:f>VLOOKUP(C2787,'MES orders'!$A$8:$H$127,6,FALSE)</x:f>
        <x:v>Normal</x:v>
      </x:c>
      <x:c r="T2787" s="9" t="str"/>
    </x:row>
    <x:row r="2788" ht="22" customHeight="1">
      <x:c r="A2788" s="2" t="str">
        <x:v>L00270-020</x:v>
      </x:c>
      <x:c r="B2788" s="2" t="str">
        <x:v>L00270</x:v>
      </x:c>
      <x:c r="C2788" s="2" t="str">
        <x:v>SO-26054</x:v>
      </x:c>
      <x:c r="D2788" s="2" t="str">
        <x:v>R-L-SS</x:v>
      </x:c>
      <x:c r="E2788" s="14" t="n">
        <x:v>25</x:v>
      </x:c>
      <x:c r="F2788" s="2" t="str">
        <x:v>Deburr &amp; inspect</x:v>
      </x:c>
      <x:c r="G2788" s="9" t="str">
        <x:v>DB-01</x:v>
      </x:c>
      <x:c r="H2788" s="15" t="n">
        <x:v>263</x:v>
      </x:c>
      <x:c r="I2788" s="9" t="str">
        <x:v>P16</x:v>
      </x:c>
      <x:c r="J2788" s="11" t="n">
        <x:v>46309.89166666667</x:v>
      </x:c>
      <x:c r="K2788" s="15" t="n">
        <x:v>4</x:v>
      </x:c>
      <x:c r="L2788" s="15" t="n">
        <x:v>24</x:v>
      </x:c>
      <x:c r="M2788" s="13" t="n">
        <x:f>J2788+(K2788+L2788)/1440</x:f>
        <x:v>46309.91111111111</x:v>
      </x:c>
      <x:c r="N2788" s="13" t="n">
        <x:f>VLOOKUP(C2788,'MES orders'!$A$8:$H$127,5,FALSE)</x:f>
        <x:v>46309.666666666664</x:v>
      </x:c>
      <x:c r="O2788" s="16" t="n">
        <x:f>MAX(0,(M2788-N2788)*24)</x:f>
        <x:v>5.866666666755918</x:v>
      </x:c>
      <x:c r="P2788" s="9" t="str">
        <x:v>No</x:v>
      </x:c>
      <x:c r="Q2788" s="15" t="n">
        <x:v>28</x:v>
      </x:c>
      <x:c r="R2788" s="13" t="n">
        <x:f>J2788+Q2788/1440</x:f>
        <x:v>46309.91111111111</x:v>
      </x:c>
      <x:c r="S2788" s="2" t="str">
        <x:f>VLOOKUP(C2788,'MES orders'!$A$8:$H$127,6,FALSE)</x:f>
        <x:v>Normal</x:v>
      </x:c>
      <x:c r="T2788" s="9" t="str"/>
    </x:row>
    <x:row r="2789" ht="22" customHeight="1">
      <x:c r="A2789" s="2" t="str">
        <x:v>L00429-040</x:v>
      </x:c>
      <x:c r="B2789" s="2" t="str">
        <x:v>L00429</x:v>
      </x:c>
      <x:c r="C2789" s="2" t="str">
        <x:v>SO-26086</x:v>
      </x:c>
      <x:c r="D2789" s="2" t="str">
        <x:v>D-C-SS</x:v>
      </x:c>
      <x:c r="E2789" s="14" t="n">
        <x:v>5</x:v>
      </x:c>
      <x:c r="F2789" s="2" t="str">
        <x:v>Mechanical assembly</x:v>
      </x:c>
      <x:c r="G2789" s="9" t="str">
        <x:v>AS-01</x:v>
      </x:c>
      <x:c r="H2789" s="15" t="n">
        <x:v>222</x:v>
      </x:c>
      <x:c r="I2789" s="9" t="str">
        <x:v>P15</x:v>
      </x:c>
      <x:c r="J2789" s="11" t="n">
        <x:v>46309.89444444444</x:v>
      </x:c>
      <x:c r="K2789" s="15" t="n">
        <x:v>8</x:v>
      </x:c>
      <x:c r="L2789" s="15" t="n">
        <x:v>7</x:v>
      </x:c>
      <x:c r="M2789" s="13" t="n">
        <x:f>J2789+(K2789+L2789)/1440</x:f>
        <x:v>46309.90486111111</x:v>
      </x:c>
      <x:c r="N2789" s="13" t="n">
        <x:f>VLOOKUP(C2789,'MES orders'!$A$8:$H$127,5,FALSE)</x:f>
        <x:v>46309.666666666664</x:v>
      </x:c>
      <x:c r="O2789" s="16" t="n">
        <x:f>MAX(0,(M2789-N2789)*24)</x:f>
        <x:v>5.71666666661622</x:v>
      </x:c>
      <x:c r="P2789" s="9" t="str">
        <x:v>No</x:v>
      </x:c>
      <x:c r="Q2789" s="15" t="n">
        <x:v>15</x:v>
      </x:c>
      <x:c r="R2789" s="13" t="n">
        <x:f>J2789+Q2789/1440</x:f>
        <x:v>46309.90486111111</x:v>
      </x:c>
      <x:c r="S2789" s="2" t="str">
        <x:f>VLOOKUP(C2789,'MES orders'!$A$8:$H$127,6,FALSE)</x:f>
        <x:v>Normal</x:v>
      </x:c>
      <x:c r="T2789" s="9" t="str"/>
    </x:row>
    <x:row r="2790" ht="22" customHeight="1">
      <x:c r="A2790" s="2" t="str">
        <x:v>L00191-050</x:v>
      </x:c>
      <x:c r="B2790" s="2" t="str">
        <x:v>L00191</x:v>
      </x:c>
      <x:c r="C2790" s="2" t="str">
        <x:v>SO-26039</x:v>
      </x:c>
      <x:c r="D2790" s="2" t="str">
        <x:v>S-S-AL</x:v>
      </x:c>
      <x:c r="E2790" s="14" t="n">
        <x:v>5</x:v>
      </x:c>
      <x:c r="F2790" s="2" t="str">
        <x:v>Sensor installation</x:v>
      </x:c>
      <x:c r="G2790" s="9" t="str">
        <x:v>EL-01</x:v>
      </x:c>
      <x:c r="H2790" s="15" t="n">
        <x:v>97</x:v>
      </x:c>
      <x:c r="I2790" s="9" t="str">
        <x:v>P19</x:v>
      </x:c>
      <x:c r="J2790" s="11" t="n">
        <x:v>46309.89444444444</x:v>
      </x:c>
      <x:c r="K2790" s="15" t="n">
        <x:v>8</x:v>
      </x:c>
      <x:c r="L2790" s="15" t="n">
        <x:v>6</x:v>
      </x:c>
      <x:c r="M2790" s="13" t="n">
        <x:f>J2790+(K2790+L2790)/1440</x:f>
        <x:v>46309.90416666667</x:v>
      </x:c>
      <x:c r="N2790" s="13" t="n">
        <x:f>VLOOKUP(C2790,'MES orders'!$A$8:$H$127,5,FALSE)</x:f>
        <x:v>46310.666666666664</x:v>
      </x:c>
      <x:c r="O2790" s="16" t="n">
        <x:f>MAX(0,(M2790-N2790)*24)</x:f>
        <x:v>0</x:v>
      </x:c>
      <x:c r="P2790" s="9" t="str">
        <x:v>No</x:v>
      </x:c>
      <x:c r="Q2790" s="15" t="n">
        <x:v>14</x:v>
      </x:c>
      <x:c r="R2790" s="13" t="n">
        <x:f>J2790+Q2790/1440</x:f>
        <x:v>46309.90416666667</x:v>
      </x:c>
      <x:c r="S2790" s="2" t="str">
        <x:f>VLOOKUP(C2790,'MES orders'!$A$8:$H$127,6,FALSE)</x:f>
        <x:v>Normal</x:v>
      </x:c>
      <x:c r="T2790" s="9" t="str"/>
    </x:row>
    <x:row r="2791" ht="22" customHeight="1">
      <x:c r="A2791" s="2" t="str">
        <x:v>L00430-010</x:v>
      </x:c>
      <x:c r="B2791" s="2" t="str">
        <x:v>L00430</x:v>
      </x:c>
      <x:c r="C2791" s="2" t="str">
        <x:v>SO-26086</x:v>
      </x:c>
      <x:c r="D2791" s="2" t="str">
        <x:v>D-C-SS</x:v>
      </x:c>
      <x:c r="E2791" s="14" t="n">
        <x:v>5</x:v>
      </x:c>
      <x:c r="F2791" s="2" t="str">
        <x:v>CNC machining</x:v>
      </x:c>
      <x:c r="G2791" s="9" t="str">
        <x:v>CNC-03</x:v>
      </x:c>
      <x:c r="H2791" s="15" t="n">
        <x:v>87</x:v>
      </x:c>
      <x:c r="I2791" s="9" t="str">
        <x:v>P14</x:v>
      </x:c>
      <x:c r="J2791" s="11" t="n">
        <x:v>46309.895833333336</x:v>
      </x:c>
      <x:c r="K2791" s="15" t="n">
        <x:v>18</x:v>
      </x:c>
      <x:c r="L2791" s="15" t="n">
        <x:v>12</x:v>
      </x:c>
      <x:c r="M2791" s="13" t="n">
        <x:f>J2791+(K2791+L2791)/1440</x:f>
        <x:v>46309.91666666667</x:v>
      </x:c>
      <x:c r="N2791" s="13" t="n">
        <x:f>VLOOKUP(C2791,'MES orders'!$A$8:$H$127,5,FALSE)</x:f>
        <x:v>46309.666666666664</x:v>
      </x:c>
      <x:c r="O2791" s="16" t="n">
        <x:f>MAX(0,(M2791-N2791)*24)</x:f>
        <x:v>6.000000000174623</x:v>
      </x:c>
      <x:c r="P2791" s="9" t="str">
        <x:v>No</x:v>
      </x:c>
      <x:c r="Q2791" s="15" t="n">
        <x:v>18</x:v>
      </x:c>
      <x:c r="R2791" s="13" t="n">
        <x:f>J2791+Q2791/1440</x:f>
        <x:v>46309.90833333333</x:v>
      </x:c>
      <x:c r="S2791" s="2" t="str">
        <x:f>VLOOKUP(C2791,'MES orders'!$A$8:$H$127,6,FALSE)</x:f>
        <x:v>Normal</x:v>
      </x:c>
      <x:c r="T2791" s="9" t="str"/>
    </x:row>
    <x:row r="2792" ht="22" customHeight="1">
      <x:c r="A2792" s="2" t="str">
        <x:v>L00427-050</x:v>
      </x:c>
      <x:c r="B2792" s="2" t="str">
        <x:v>L00427</x:v>
      </x:c>
      <x:c r="C2792" s="2" t="str">
        <x:v>SO-26086</x:v>
      </x:c>
      <x:c r="D2792" s="2" t="str">
        <x:v>D-C-SS</x:v>
      </x:c>
      <x:c r="E2792" s="14" t="n">
        <x:v>5</x:v>
      </x:c>
      <x:c r="F2792" s="2" t="str">
        <x:v>Final leak / function test</x:v>
      </x:c>
      <x:c r="G2792" s="9" t="str">
        <x:v>QA-02</x:v>
      </x:c>
      <x:c r="H2792" s="15" t="n">
        <x:v>203</x:v>
      </x:c>
      <x:c r="I2792" s="9" t="str">
        <x:v>P24</x:v>
      </x:c>
      <x:c r="J2792" s="11" t="n">
        <x:v>46309.895833333336</x:v>
      </x:c>
      <x:c r="K2792" s="15" t="n">
        <x:v>10</x:v>
      </x:c>
      <x:c r="L2792" s="15" t="n">
        <x:v>4</x:v>
      </x:c>
      <x:c r="M2792" s="13" t="n">
        <x:f>J2792+(K2792+L2792)/1440</x:f>
        <x:v>46309.90555555556</x:v>
      </x:c>
      <x:c r="N2792" s="13" t="n">
        <x:f>VLOOKUP(C2792,'MES orders'!$A$8:$H$127,5,FALSE)</x:f>
        <x:v>46309.666666666664</x:v>
      </x:c>
      <x:c r="O2792" s="16" t="n">
        <x:f>MAX(0,(M2792-N2792)*24)</x:f>
        <x:v>5.733333333511837</x:v>
      </x:c>
      <x:c r="P2792" s="9" t="str">
        <x:v>No</x:v>
      </x:c>
      <x:c r="Q2792" s="15" t="n">
        <x:v>14</x:v>
      </x:c>
      <x:c r="R2792" s="13" t="n">
        <x:f>J2792+Q2792/1440</x:f>
        <x:v>46309.90555555556</x:v>
      </x:c>
      <x:c r="S2792" s="2" t="str">
        <x:f>VLOOKUP(C2792,'MES orders'!$A$8:$H$127,6,FALSE)</x:f>
        <x:v>Normal</x:v>
      </x:c>
      <x:c r="T2792" s="9" t="str"/>
    </x:row>
    <x:row r="2793" ht="22" customHeight="1">
      <x:c r="A2793" s="2" t="str">
        <x:v>L00428-050</x:v>
      </x:c>
      <x:c r="B2793" s="2" t="str">
        <x:v>L00428</x:v>
      </x:c>
      <x:c r="C2793" s="2" t="str">
        <x:v>SO-26086</x:v>
      </x:c>
      <x:c r="D2793" s="2" t="str">
        <x:v>D-C-SS</x:v>
      </x:c>
      <x:c r="E2793" s="14" t="n">
        <x:v>5</x:v>
      </x:c>
      <x:c r="F2793" s="2" t="str">
        <x:v>Final leak / function test</x:v>
      </x:c>
      <x:c r="G2793" s="9" t="str">
        <x:v>QA-01</x:v>
      </x:c>
      <x:c r="H2793" s="15" t="n">
        <x:v>106</x:v>
      </x:c>
      <x:c r="I2793" s="9" t="str">
        <x:v>P23</x:v>
      </x:c>
      <x:c r="J2793" s="11" t="n">
        <x:v>46309.90138888889</x:v>
      </x:c>
      <x:c r="K2793" s="15" t="n">
        <x:v>10</x:v>
      </x:c>
      <x:c r="L2793" s="15" t="n">
        <x:v>4</x:v>
      </x:c>
      <x:c r="M2793" s="13" t="n">
        <x:f>J2793+(K2793+L2793)/1440</x:f>
        <x:v>46309.91111111111</x:v>
      </x:c>
      <x:c r="N2793" s="13" t="n">
        <x:f>VLOOKUP(C2793,'MES orders'!$A$8:$H$127,5,FALSE)</x:f>
        <x:v>46309.666666666664</x:v>
      </x:c>
      <x:c r="O2793" s="16" t="n">
        <x:f>MAX(0,(M2793-N2793)*24)</x:f>
        <x:v>5.866666666755918</x:v>
      </x:c>
      <x:c r="P2793" s="9" t="str">
        <x:v>No</x:v>
      </x:c>
      <x:c r="Q2793" s="15" t="n">
        <x:v>14</x:v>
      </x:c>
      <x:c r="R2793" s="13" t="n">
        <x:f>J2793+Q2793/1440</x:f>
        <x:v>46309.91111111111</x:v>
      </x:c>
      <x:c r="S2793" s="2" t="str">
        <x:f>VLOOKUP(C2793,'MES orders'!$A$8:$H$127,6,FALSE)</x:f>
        <x:v>Normal</x:v>
      </x:c>
      <x:c r="T2793" s="9" t="str"/>
    </x:row>
    <x:row r="2794" ht="22" customHeight="1">
      <x:c r="A2794" s="2" t="str">
        <x:v>L00154-080</x:v>
      </x:c>
      <x:c r="B2794" s="2" t="str">
        <x:v>L00154</x:v>
      </x:c>
      <x:c r="C2794" s="2" t="str">
        <x:v>SO-26031</x:v>
      </x:c>
      <x:c r="D2794" s="2" t="str">
        <x:v>S-C-AL</x:v>
      </x:c>
      <x:c r="E2794" s="14" t="n">
        <x:v>15</x:v>
      </x:c>
      <x:c r="F2794" s="2" t="str">
        <x:v>Final leak / function test</x:v>
      </x:c>
      <x:c r="G2794" s="9" t="str">
        <x:v>QA-03</x:v>
      </x:c>
      <x:c r="H2794" s="15" t="n">
        <x:v>126</x:v>
      </x:c>
      <x:c r="I2794" s="9" t="str">
        <x:v>P22</x:v>
      </x:c>
      <x:c r="J2794" s="11" t="n">
        <x:v>46309.902083333334</x:v>
      </x:c>
      <x:c r="K2794" s="15" t="n">
        <x:v>10</x:v>
      </x:c>
      <x:c r="L2794" s="15" t="n">
        <x:v>11</x:v>
      </x:c>
      <x:c r="M2794" s="13" t="n">
        <x:f>J2794+(K2794+L2794)/1440</x:f>
        <x:v>46309.916666666664</x:v>
      </x:c>
      <x:c r="N2794" s="13" t="n">
        <x:f>VLOOKUP(C2794,'MES orders'!$A$8:$H$127,5,FALSE)</x:f>
        <x:v>46310.666666666664</x:v>
      </x:c>
      <x:c r="O2794" s="16" t="n">
        <x:f>MAX(0,(M2794-N2794)*24)</x:f>
        <x:v>0</x:v>
      </x:c>
      <x:c r="P2794" s="9" t="str">
        <x:v>No</x:v>
      </x:c>
      <x:c r="Q2794" s="15" t="n">
        <x:v>21</x:v>
      </x:c>
      <x:c r="R2794" s="13" t="n">
        <x:f>J2794+Q2794/1440</x:f>
        <x:v>46309.916666666664</x:v>
      </x:c>
      <x:c r="S2794" s="2" t="str">
        <x:f>VLOOKUP(C2794,'MES orders'!$A$8:$H$127,6,FALSE)</x:f>
        <x:v>Normal</x:v>
      </x:c>
      <x:c r="T2794" s="9" t="str"/>
    </x:row>
    <x:row r="2795" ht="22" customHeight="1">
      <x:c r="A2795" s="2" t="str">
        <x:v>L00429-050</x:v>
      </x:c>
      <x:c r="B2795" s="2" t="str">
        <x:v>L00429</x:v>
      </x:c>
      <x:c r="C2795" s="2" t="str">
        <x:v>SO-26086</x:v>
      </x:c>
      <x:c r="D2795" s="2" t="str">
        <x:v>D-C-SS</x:v>
      </x:c>
      <x:c r="E2795" s="14" t="n">
        <x:v>5</x:v>
      </x:c>
      <x:c r="F2795" s="2" t="str">
        <x:v>Final leak / function test</x:v>
      </x:c>
      <x:c r="G2795" s="9" t="str">
        <x:v>QA-02</x:v>
      </x:c>
      <x:c r="H2795" s="15" t="n">
        <x:v>204</x:v>
      </x:c>
      <x:c r="I2795" s="9" t="str">
        <x:v>P24</x:v>
      </x:c>
      <x:c r="J2795" s="11" t="n">
        <x:v>46309.90555555555</x:v>
      </x:c>
      <x:c r="K2795" s="15" t="n">
        <x:v>10</x:v>
      </x:c>
      <x:c r="L2795" s="15" t="n">
        <x:v>4</x:v>
      </x:c>
      <x:c r="M2795" s="13" t="n">
        <x:f>J2795+(K2795+L2795)/1440</x:f>
        <x:v>46309.91527777778</x:v>
      </x:c>
      <x:c r="N2795" s="13" t="n">
        <x:f>VLOOKUP(C2795,'MES orders'!$A$8:$H$127,5,FALSE)</x:f>
        <x:v>46309.666666666664</x:v>
      </x:c>
      <x:c r="O2795" s="16" t="n">
        <x:f>MAX(0,(M2795-N2795)*24)</x:f>
        <x:v>5.966666666732635</x:v>
      </x:c>
      <x:c r="P2795" s="9" t="str">
        <x:v>No</x:v>
      </x:c>
      <x:c r="Q2795" s="15" t="n">
        <x:v>14</x:v>
      </x:c>
      <x:c r="R2795" s="13" t="n">
        <x:f>J2795+Q2795/1440</x:f>
        <x:v>46309.91527777778</x:v>
      </x:c>
      <x:c r="S2795" s="2" t="str">
        <x:f>VLOOKUP(C2795,'MES orders'!$A$8:$H$127,6,FALSE)</x:f>
        <x:v>Normal</x:v>
      </x:c>
      <x:c r="T2795" s="9" t="str"/>
    </x:row>
    <x:row r="2796" ht="22" customHeight="1">
      <x:c r="A2796" s="2" t="str">
        <x:v>L00309-020</x:v>
      </x:c>
      <x:c r="B2796" s="2" t="str">
        <x:v>L00309</x:v>
      </x:c>
      <x:c r="C2796" s="2" t="str">
        <x:v>SO-26062</x:v>
      </x:c>
      <x:c r="D2796" s="2" t="str">
        <x:v>S-C-SS</x:v>
      </x:c>
      <x:c r="E2796" s="14" t="n">
        <x:v>5</x:v>
      </x:c>
      <x:c r="F2796" s="2" t="str">
        <x:v>Deburr &amp; inspect</x:v>
      </x:c>
      <x:c r="G2796" s="9" t="str">
        <x:v>DB-01</x:v>
      </x:c>
      <x:c r="H2796" s="15" t="n">
        <x:v>264</x:v>
      </x:c>
      <x:c r="I2796" s="9" t="str">
        <x:v>P16</x:v>
      </x:c>
      <x:c r="J2796" s="11" t="n">
        <x:v>46309.91111111111</x:v>
      </x:c>
      <x:c r="K2796" s="15" t="n">
        <x:v>4</x:v>
      </x:c>
      <x:c r="L2796" s="15" t="n">
        <x:v>3</x:v>
      </x:c>
      <x:c r="M2796" s="13" t="n">
        <x:f>J2796+(K2796+L2796)/1440</x:f>
        <x:v>46309.915972222225</x:v>
      </x:c>
      <x:c r="N2796" s="13" t="n">
        <x:f>VLOOKUP(C2796,'MES orders'!$A$8:$H$127,5,FALSE)</x:f>
        <x:v>46309.666666666664</x:v>
      </x:c>
      <x:c r="O2796" s="16" t="n">
        <x:f>MAX(0,(M2796-N2796)*24)</x:f>
        <x:v>5.983333333453629</x:v>
      </x:c>
      <x:c r="P2796" s="9" t="str">
        <x:v>No</x:v>
      </x:c>
      <x:c r="Q2796" s="15" t="n">
        <x:v>7</x:v>
      </x:c>
      <x:c r="R2796" s="13" t="n">
        <x:f>J2796+Q2796/1440</x:f>
        <x:v>46309.915972222225</x:v>
      </x:c>
      <x:c r="S2796" s="2" t="str">
        <x:f>VLOOKUP(C2796,'MES orders'!$A$8:$H$127,6,FALSE)</x:f>
        <x:v>Normal</x:v>
      </x:c>
      <x:c r="T2796" s="9" t="str"/>
    </x:row>
    <x:row r="2797" ht="22" customHeight="1">
      <x:c r="A2797" s="2" t="str">
        <x:v>L00310-020</x:v>
      </x:c>
      <x:c r="B2797" s="2" t="str">
        <x:v>L00310</x:v>
      </x:c>
      <x:c r="C2797" s="2" t="str">
        <x:v>SO-26062</x:v>
      </x:c>
      <x:c r="D2797" s="2" t="str">
        <x:v>S-C-SS</x:v>
      </x:c>
      <x:c r="E2797" s="14" t="n">
        <x:v>5</x:v>
      </x:c>
      <x:c r="F2797" s="2" t="str">
        <x:v>Deburr &amp; inspect</x:v>
      </x:c>
      <x:c r="G2797" s="9" t="str">
        <x:v>DB-02</x:v>
      </x:c>
      <x:c r="H2797" s="15" t="n">
        <x:v>181</x:v>
      </x:c>
      <x:c r="I2797" s="9" t="str">
        <x:v>P18</x:v>
      </x:c>
      <x:c r="J2797" s="11" t="n">
        <x:v>46309.91180555556</x:v>
      </x:c>
      <x:c r="K2797" s="15" t="n">
        <x:v>4</x:v>
      </x:c>
      <x:c r="L2797" s="15" t="n">
        <x:v>3</x:v>
      </x:c>
      <x:c r="M2797" s="13" t="n">
        <x:f>J2797+(K2797+L2797)/1440</x:f>
        <x:v>46309.91666666667</x:v>
      </x:c>
      <x:c r="N2797" s="13" t="n">
        <x:f>VLOOKUP(C2797,'MES orders'!$A$8:$H$127,5,FALSE)</x:f>
        <x:v>46309.666666666664</x:v>
      </x:c>
      <x:c r="O2797" s="16" t="n">
        <x:f>MAX(0,(M2797-N2797)*24)</x:f>
        <x:v>6.000000000174623</x:v>
      </x:c>
      <x:c r="P2797" s="9" t="str">
        <x:v>No</x:v>
      </x:c>
      <x:c r="Q2797" s="15" t="n">
        <x:v>7</x:v>
      </x:c>
      <x:c r="R2797" s="13" t="n">
        <x:f>J2797+Q2797/1440</x:f>
        <x:v>46309.91666666667</x:v>
      </x:c>
      <x:c r="S2797" s="2" t="str">
        <x:f>VLOOKUP(C2797,'MES orders'!$A$8:$H$127,6,FALSE)</x:f>
        <x:v>Normal</x:v>
      </x:c>
      <x:c r="T2797" s="9" t="str"/>
    </x:row>
    <x:row r="2798" ht="22" customHeight="1">
      <x:c r="A2798" s="2" t="str">
        <x:v>L00266-050</x:v>
      </x:c>
      <x:c r="B2798" s="2" t="str">
        <x:v>L00266</x:v>
      </x:c>
      <x:c r="C2798" s="2" t="str">
        <x:v>SO-26054</x:v>
      </x:c>
      <x:c r="D2798" s="2" t="str">
        <x:v>R-L-SS</x:v>
      </x:c>
      <x:c r="E2798" s="14" t="n">
        <x:v>25</x:v>
      </x:c>
      <x:c r="F2798" s="2" t="str">
        <x:v>Valve adjustment</x:v>
      </x:c>
      <x:c r="G2798" s="9" t="str">
        <x:v>AS-01</x:v>
      </x:c>
      <x:c r="H2798" s="15" t="n">
        <x:v>223</x:v>
      </x:c>
      <x:c r="I2798" s="9" t="str">
        <x:v>P05</x:v>
      </x:c>
      <x:c r="J2798" s="11" t="n">
        <x:v>46310.25</x:v>
      </x:c>
      <x:c r="K2798" s="15" t="n">
        <x:v>6</x:v>
      </x:c>
      <x:c r="L2798" s="15" t="n">
        <x:v>37</x:v>
      </x:c>
      <x:c r="M2798" s="13" t="n">
        <x:f>J2798+(K2798+L2798)/1440</x:f>
        <x:v>46310.279861111114</x:v>
      </x:c>
      <x:c r="N2798" s="13" t="n">
        <x:f>VLOOKUP(C2798,'MES orders'!$A$8:$H$127,5,FALSE)</x:f>
        <x:v>46309.666666666664</x:v>
      </x:c>
      <x:c r="O2798" s="16" t="n">
        <x:f>MAX(0,(M2798-N2798)*24)</x:f>
        <x:v>14.716666666790843</x:v>
      </x:c>
      <x:c r="P2798" s="9" t="str">
        <x:v>No</x:v>
      </x:c>
      <x:c r="Q2798" s="15" t="n">
        <x:v>43</x:v>
      </x:c>
      <x:c r="R2798" s="13" t="n">
        <x:f>J2798+Q2798/1440</x:f>
        <x:v>46310.279861111114</x:v>
      </x:c>
      <x:c r="S2798" s="2" t="str">
        <x:f>VLOOKUP(C2798,'MES orders'!$A$8:$H$127,6,FALSE)</x:f>
        <x:v>Normal</x:v>
      </x:c>
      <x:c r="T2798" s="9" t="str"/>
    </x:row>
    <x:row r="2799" ht="22" customHeight="1">
      <x:c r="A2799" s="2" t="str">
        <x:v>L00267-050</x:v>
      </x:c>
      <x:c r="B2799" s="2" t="str">
        <x:v>L00267</x:v>
      </x:c>
      <x:c r="C2799" s="2" t="str">
        <x:v>SO-26054</x:v>
      </x:c>
      <x:c r="D2799" s="2" t="str">
        <x:v>R-L-SS</x:v>
      </x:c>
      <x:c r="E2799" s="14" t="n">
        <x:v>25</x:v>
      </x:c>
      <x:c r="F2799" s="2" t="str">
        <x:v>Valve adjustment</x:v>
      </x:c>
      <x:c r="G2799" s="9" t="str">
        <x:v>AS-02</x:v>
      </x:c>
      <x:c r="H2799" s="15" t="n">
        <x:v>181</x:v>
      </x:c>
      <x:c r="I2799" s="9" t="str">
        <x:v>P06</x:v>
      </x:c>
      <x:c r="J2799" s="11" t="n">
        <x:v>46310.25</x:v>
      </x:c>
      <x:c r="K2799" s="15" t="n">
        <x:v>6</x:v>
      </x:c>
      <x:c r="L2799" s="15" t="n">
        <x:v>37</x:v>
      </x:c>
      <x:c r="M2799" s="13" t="n">
        <x:f>J2799+(K2799+L2799)/1440</x:f>
        <x:v>46310.279861111114</x:v>
      </x:c>
      <x:c r="N2799" s="13" t="n">
        <x:f>VLOOKUP(C2799,'MES orders'!$A$8:$H$127,5,FALSE)</x:f>
        <x:v>46309.666666666664</x:v>
      </x:c>
      <x:c r="O2799" s="16" t="n">
        <x:f>MAX(0,(M2799-N2799)*24)</x:f>
        <x:v>14.716666666790843</x:v>
      </x:c>
      <x:c r="P2799" s="9" t="str">
        <x:v>No</x:v>
      </x:c>
      <x:c r="Q2799" s="15" t="n">
        <x:v>43</x:v>
      </x:c>
      <x:c r="R2799" s="13" t="n">
        <x:f>J2799+Q2799/1440</x:f>
        <x:v>46310.279861111114</x:v>
      </x:c>
      <x:c r="S2799" s="2" t="str">
        <x:f>VLOOKUP(C2799,'MES orders'!$A$8:$H$127,6,FALSE)</x:f>
        <x:v>Normal</x:v>
      </x:c>
      <x:c r="T2799" s="9" t="str"/>
    </x:row>
    <x:row r="2800" ht="22" customHeight="1">
      <x:c r="A2800" s="2" t="str">
        <x:v>L00268-040</x:v>
      </x:c>
      <x:c r="B2800" s="2" t="str">
        <x:v>L00268</x:v>
      </x:c>
      <x:c r="C2800" s="2" t="str">
        <x:v>SO-26054</x:v>
      </x:c>
      <x:c r="D2800" s="2" t="str">
        <x:v>R-L-SS</x:v>
      </x:c>
      <x:c r="E2800" s="14" t="n">
        <x:v>25</x:v>
      </x:c>
      <x:c r="F2800" s="2" t="str">
        <x:v>Mechanical assembly</x:v>
      </x:c>
      <x:c r="G2800" s="9" t="str">
        <x:v>AS-03</x:v>
      </x:c>
      <x:c r="H2800" s="15" t="n">
        <x:v>148</x:v>
      </x:c>
      <x:c r="I2800" s="9" t="str">
        <x:v>P04</x:v>
      </x:c>
      <x:c r="J2800" s="11" t="n">
        <x:v>46310.25</x:v>
      </x:c>
      <x:c r="K2800" s="15" t="n">
        <x:v>8</x:v>
      </x:c>
      <x:c r="L2800" s="15" t="n">
        <x:v>61</x:v>
      </x:c>
      <x:c r="M2800" s="13" t="n">
        <x:f>J2800+(K2800+L2800)/1440</x:f>
        <x:v>46310.29791666667</x:v>
      </x:c>
      <x:c r="N2800" s="13" t="n">
        <x:f>VLOOKUP(C2800,'MES orders'!$A$8:$H$127,5,FALSE)</x:f>
        <x:v>46309.666666666664</x:v>
      </x:c>
      <x:c r="O2800" s="16" t="n">
        <x:f>MAX(0,(M2800-N2800)*24)</x:f>
        <x:v>15.150000000139698</x:v>
      </x:c>
      <x:c r="P2800" s="9" t="str">
        <x:v>No</x:v>
      </x:c>
      <x:c r="Q2800" s="15" t="n">
        <x:v>69</x:v>
      </x:c>
      <x:c r="R2800" s="13" t="n">
        <x:f>J2800+Q2800/1440</x:f>
        <x:v>46310.29791666667</x:v>
      </x:c>
      <x:c r="S2800" s="2" t="str">
        <x:f>VLOOKUP(C2800,'MES orders'!$A$8:$H$127,6,FALSE)</x:f>
        <x:v>Normal</x:v>
      </x:c>
      <x:c r="T2800" s="9" t="str"/>
    </x:row>
    <x:row r="2801" ht="22" customHeight="1">
      <x:c r="A2801" s="2" t="str">
        <x:v>L00155-070</x:v>
      </x:c>
      <x:c r="B2801" s="2" t="str">
        <x:v>L00155</x:v>
      </x:c>
      <x:c r="C2801" s="2" t="str">
        <x:v>SO-26031</x:v>
      </x:c>
      <x:c r="D2801" s="2" t="str">
        <x:v>S-C-AL</x:v>
      </x:c>
      <x:c r="E2801" s="14" t="n">
        <x:v>15</x:v>
      </x:c>
      <x:c r="F2801" s="2" t="str">
        <x:v>Final assembly</x:v>
      </x:c>
      <x:c r="G2801" s="9" t="str">
        <x:v>AS-04</x:v>
      </x:c>
      <x:c r="H2801" s="15" t="n">
        <x:v>103</x:v>
      </x:c>
      <x:c r="I2801" s="9" t="str">
        <x:v>P08</x:v>
      </x:c>
      <x:c r="J2801" s="11" t="n">
        <x:v>46310.25</x:v>
      </x:c>
      <x:c r="K2801" s="15" t="n">
        <x:v>5</x:v>
      </x:c>
      <x:c r="L2801" s="15" t="n">
        <x:v>10</x:v>
      </x:c>
      <x:c r="M2801" s="13" t="n">
        <x:f>J2801+(K2801+L2801)/1440</x:f>
        <x:v>46310.260416666664</x:v>
      </x:c>
      <x:c r="N2801" s="13" t="n">
        <x:f>VLOOKUP(C2801,'MES orders'!$A$8:$H$127,5,FALSE)</x:f>
        <x:v>46310.666666666664</x:v>
      </x:c>
      <x:c r="O2801" s="16" t="n">
        <x:f>MAX(0,(M2801-N2801)*24)</x:f>
        <x:v>0</x:v>
      </x:c>
      <x:c r="P2801" s="9" t="str">
        <x:v>No</x:v>
      </x:c>
      <x:c r="Q2801" s="15" t="n">
        <x:v>15</x:v>
      </x:c>
      <x:c r="R2801" s="13" t="n">
        <x:f>J2801+Q2801/1440</x:f>
        <x:v>46310.260416666664</x:v>
      </x:c>
      <x:c r="S2801" s="2" t="str">
        <x:f>VLOOKUP(C2801,'MES orders'!$A$8:$H$127,6,FALSE)</x:f>
        <x:v>Normal</x:v>
      </x:c>
      <x:c r="T2801" s="9" t="str"/>
    </x:row>
    <x:row r="2802" ht="22" customHeight="1">
      <x:c r="A2802" s="2" t="str">
        <x:v>L00191-060</x:v>
      </x:c>
      <x:c r="B2802" s="2" t="str">
        <x:v>L00191</x:v>
      </x:c>
      <x:c r="C2802" s="2" t="str">
        <x:v>SO-26039</x:v>
      </x:c>
      <x:c r="D2802" s="2" t="str">
        <x:v>S-S-AL</x:v>
      </x:c>
      <x:c r="E2802" s="14" t="n">
        <x:v>5</x:v>
      </x:c>
      <x:c r="F2802" s="2" t="str">
        <x:v>Sensor calibration</x:v>
      </x:c>
      <x:c r="G2802" s="9" t="str">
        <x:v>CAL-01</x:v>
      </x:c>
      <x:c r="H2802" s="15" t="n">
        <x:v>144</x:v>
      </x:c>
      <x:c r="I2802" s="9" t="str">
        <x:v>P09</x:v>
      </x:c>
      <x:c r="J2802" s="11" t="n">
        <x:v>46310.25</x:v>
      </x:c>
      <x:c r="K2802" s="15" t="n">
        <x:v>10</x:v>
      </x:c>
      <x:c r="L2802" s="15" t="n">
        <x:v>6</x:v>
      </x:c>
      <x:c r="M2802" s="13" t="n">
        <x:f>J2802+(K2802+L2802)/1440</x:f>
        <x:v>46310.26111111111</x:v>
      </x:c>
      <x:c r="N2802" s="13" t="n">
        <x:f>VLOOKUP(C2802,'MES orders'!$A$8:$H$127,5,FALSE)</x:f>
        <x:v>46310.666666666664</x:v>
      </x:c>
      <x:c r="O2802" s="16" t="n">
        <x:f>MAX(0,(M2802-N2802)*24)</x:f>
        <x:v>0</x:v>
      </x:c>
      <x:c r="P2802" s="9" t="str">
        <x:v>No</x:v>
      </x:c>
      <x:c r="Q2802" s="15" t="n">
        <x:v>16</x:v>
      </x:c>
      <x:c r="R2802" s="13" t="n">
        <x:f>J2802+Q2802/1440</x:f>
        <x:v>46310.26111111111</x:v>
      </x:c>
      <x:c r="S2802" s="2" t="str">
        <x:f>VLOOKUP(C2802,'MES orders'!$A$8:$H$127,6,FALSE)</x:f>
        <x:v>Normal</x:v>
      </x:c>
      <x:c r="T2802" s="9" t="str"/>
    </x:row>
    <x:row r="2803" ht="22" customHeight="1">
      <x:c r="A2803" s="2" t="str">
        <x:v>L00466-010</x:v>
      </x:c>
      <x:c r="B2803" s="2" t="str">
        <x:v>L00466</x:v>
      </x:c>
      <x:c r="C2803" s="2" t="str">
        <x:v>SO-26094</x:v>
      </x:c>
      <x:c r="D2803" s="2" t="str">
        <x:v>D-S-SS</x:v>
      </x:c>
      <x:c r="E2803" s="14" t="n">
        <x:v>10</x:v>
      </x:c>
      <x:c r="F2803" s="2" t="str">
        <x:v>CNC machining</x:v>
      </x:c>
      <x:c r="G2803" s="9" t="str">
        <x:v>CNC-03</x:v>
      </x:c>
      <x:c r="H2803" s="15" t="n">
        <x:v>88</x:v>
      </x:c>
      <x:c r="I2803" s="9" t="str">
        <x:v>P01</x:v>
      </x:c>
      <x:c r="J2803" s="11" t="n">
        <x:v>46310.25</x:v>
      </x:c>
      <x:c r="K2803" s="15" t="n">
        <x:v>18</x:v>
      </x:c>
      <x:c r="L2803" s="15" t="n">
        <x:v>30</x:v>
      </x:c>
      <x:c r="M2803" s="13" t="n">
        <x:f>J2803+(K2803+L2803)/1440</x:f>
        <x:v>46310.28333333333</x:v>
      </x:c>
      <x:c r="N2803" s="13" t="n">
        <x:f>VLOOKUP(C2803,'MES orders'!$A$8:$H$127,5,FALSE)</x:f>
        <x:v>46309.666666666664</x:v>
      </x:c>
      <x:c r="O2803" s="16" t="n">
        <x:f>MAX(0,(M2803-N2803)*24)</x:f>
        <x:v>14.800000000046566</x:v>
      </x:c>
      <x:c r="P2803" s="9" t="str">
        <x:v>No</x:v>
      </x:c>
      <x:c r="Q2803" s="15" t="n">
        <x:v>18</x:v>
      </x:c>
      <x:c r="R2803" s="13" t="n">
        <x:f>J2803+Q2803/1440</x:f>
        <x:v>46310.2625</x:v>
      </x:c>
      <x:c r="S2803" s="2" t="str">
        <x:f>VLOOKUP(C2803,'MES orders'!$A$8:$H$127,6,FALSE)</x:f>
        <x:v>Normal</x:v>
      </x:c>
      <x:c r="T2803" s="9" t="str"/>
    </x:row>
    <x:row r="2804" ht="22" customHeight="1">
      <x:c r="A2804" s="2" t="str">
        <x:v>L00467-010</x:v>
      </x:c>
      <x:c r="B2804" s="2" t="str">
        <x:v>L00467</x:v>
      </x:c>
      <x:c r="C2804" s="2" t="str">
        <x:v>SO-26094</x:v>
      </x:c>
      <x:c r="D2804" s="2" t="str">
        <x:v>D-S-SS</x:v>
      </x:c>
      <x:c r="E2804" s="14" t="n">
        <x:v>10</x:v>
      </x:c>
      <x:c r="F2804" s="2" t="str">
        <x:v>CNC machining</x:v>
      </x:c>
      <x:c r="G2804" s="9" t="str">
        <x:v>CNC-04</x:v>
      </x:c>
      <x:c r="H2804" s="15" t="n">
        <x:v>85</x:v>
      </x:c>
      <x:c r="I2804" s="9" t="str">
        <x:v>P02</x:v>
      </x:c>
      <x:c r="J2804" s="11" t="n">
        <x:v>46310.25</x:v>
      </x:c>
      <x:c r="K2804" s="15" t="n">
        <x:v>18</x:v>
      </x:c>
      <x:c r="L2804" s="15" t="n">
        <x:v>30</x:v>
      </x:c>
      <x:c r="M2804" s="13" t="n">
        <x:f>J2804+(K2804+L2804)/1440</x:f>
        <x:v>46310.28333333333</x:v>
      </x:c>
      <x:c r="N2804" s="13" t="n">
        <x:f>VLOOKUP(C2804,'MES orders'!$A$8:$H$127,5,FALSE)</x:f>
        <x:v>46309.666666666664</x:v>
      </x:c>
      <x:c r="O2804" s="16" t="n">
        <x:f>MAX(0,(M2804-N2804)*24)</x:f>
        <x:v>14.800000000046566</x:v>
      </x:c>
      <x:c r="P2804" s="9" t="str">
        <x:v>No</x:v>
      </x:c>
      <x:c r="Q2804" s="15" t="n">
        <x:v>18</x:v>
      </x:c>
      <x:c r="R2804" s="13" t="n">
        <x:f>J2804+Q2804/1440</x:f>
        <x:v>46310.2625</x:v>
      </x:c>
      <x:c r="S2804" s="2" t="str">
        <x:f>VLOOKUP(C2804,'MES orders'!$A$8:$H$127,6,FALSE)</x:f>
        <x:v>Normal</x:v>
      </x:c>
      <x:c r="T2804" s="9" t="str"/>
    </x:row>
    <x:row r="2805" ht="22" customHeight="1">
      <x:c r="A2805" s="2" t="str">
        <x:v>L00468-010</x:v>
      </x:c>
      <x:c r="B2805" s="2" t="str">
        <x:v>L00468</x:v>
      </x:c>
      <x:c r="C2805" s="2" t="str">
        <x:v>SO-26094</x:v>
      </x:c>
      <x:c r="D2805" s="2" t="str">
        <x:v>D-S-SS</x:v>
      </x:c>
      <x:c r="E2805" s="14" t="n">
        <x:v>10</x:v>
      </x:c>
      <x:c r="F2805" s="2" t="str">
        <x:v>CNC machining</x:v>
      </x:c>
      <x:c r="G2805" s="9" t="str">
        <x:v>CNC-05</x:v>
      </x:c>
      <x:c r="H2805" s="15" t="n">
        <x:v>78</x:v>
      </x:c>
      <x:c r="I2805" s="9" t="str">
        <x:v>P03</x:v>
      </x:c>
      <x:c r="J2805" s="11" t="n">
        <x:v>46310.25</x:v>
      </x:c>
      <x:c r="K2805" s="15" t="n">
        <x:v>18</x:v>
      </x:c>
      <x:c r="L2805" s="15" t="n">
        <x:v>30</x:v>
      </x:c>
      <x:c r="M2805" s="13" t="n">
        <x:f>J2805+(K2805+L2805)/1440</x:f>
        <x:v>46310.28333333333</x:v>
      </x:c>
      <x:c r="N2805" s="13" t="n">
        <x:f>VLOOKUP(C2805,'MES orders'!$A$8:$H$127,5,FALSE)</x:f>
        <x:v>46309.666666666664</x:v>
      </x:c>
      <x:c r="O2805" s="16" t="n">
        <x:f>MAX(0,(M2805-N2805)*24)</x:f>
        <x:v>14.800000000046566</x:v>
      </x:c>
      <x:c r="P2805" s="9" t="str">
        <x:v>No</x:v>
      </x:c>
      <x:c r="Q2805" s="15" t="n">
        <x:v>18</x:v>
      </x:c>
      <x:c r="R2805" s="13" t="n">
        <x:f>J2805+Q2805/1440</x:f>
        <x:v>46310.2625</x:v>
      </x:c>
      <x:c r="S2805" s="2" t="str">
        <x:f>VLOOKUP(C2805,'MES orders'!$A$8:$H$127,6,FALSE)</x:f>
        <x:v>Normal</x:v>
      </x:c>
      <x:c r="T2805" s="9" t="str"/>
    </x:row>
    <x:row r="2806" ht="22" customHeight="1">
      <x:c r="A2806" s="2" t="str">
        <x:v>L00269-060</x:v>
      </x:c>
      <x:c r="B2806" s="2" t="str">
        <x:v>L00269</x:v>
      </x:c>
      <x:c r="C2806" s="2" t="str">
        <x:v>SO-26054</x:v>
      </x:c>
      <x:c r="D2806" s="2" t="str">
        <x:v>R-L-SS</x:v>
      </x:c>
      <x:c r="E2806" s="14" t="n">
        <x:v>25</x:v>
      </x:c>
      <x:c r="F2806" s="2" t="str">
        <x:v>Final leak / function test</x:v>
      </x:c>
      <x:c r="G2806" s="9" t="str">
        <x:v>QA-02</x:v>
      </x:c>
      <x:c r="H2806" s="15" t="n">
        <x:v>205</x:v>
      </x:c>
      <x:c r="I2806" s="9" t="str">
        <x:v>P11</x:v>
      </x:c>
      <x:c r="J2806" s="11" t="n">
        <x:v>46310.25</x:v>
      </x:c>
      <x:c r="K2806" s="15" t="n">
        <x:v>10</x:v>
      </x:c>
      <x:c r="L2806" s="15" t="n">
        <x:v>30</x:v>
      </x:c>
      <x:c r="M2806" s="13" t="n">
        <x:f>J2806+(K2806+L2806)/1440</x:f>
        <x:v>46310.27777777778</x:v>
      </x:c>
      <x:c r="N2806" s="13" t="n">
        <x:f>VLOOKUP(C2806,'MES orders'!$A$8:$H$127,5,FALSE)</x:f>
        <x:v>46309.666666666664</x:v>
      </x:c>
      <x:c r="O2806" s="16" t="n">
        <x:f>MAX(0,(M2806-N2806)*24)</x:f>
        <x:v>14.666666666802485</x:v>
      </x:c>
      <x:c r="P2806" s="9" t="str">
        <x:v>No</x:v>
      </x:c>
      <x:c r="Q2806" s="15" t="n">
        <x:v>40</x:v>
      </x:c>
      <x:c r="R2806" s="13" t="n">
        <x:f>J2806+Q2806/1440</x:f>
        <x:v>46310.27777777778</x:v>
      </x:c>
      <x:c r="S2806" s="2" t="str">
        <x:f>VLOOKUP(C2806,'MES orders'!$A$8:$H$127,6,FALSE)</x:f>
        <x:v>Normal</x:v>
      </x:c>
      <x:c r="T2806" s="9" t="str"/>
    </x:row>
    <x:row r="2807" ht="22" customHeight="1">
      <x:c r="A2807" s="2" t="str">
        <x:v>L00155-080</x:v>
      </x:c>
      <x:c r="B2807" s="2" t="str">
        <x:v>L00155</x:v>
      </x:c>
      <x:c r="C2807" s="2" t="str">
        <x:v>SO-26031</x:v>
      </x:c>
      <x:c r="D2807" s="2" t="str">
        <x:v>S-C-AL</x:v>
      </x:c>
      <x:c r="E2807" s="14" t="n">
        <x:v>15</x:v>
      </x:c>
      <x:c r="F2807" s="2" t="str">
        <x:v>Final leak / function test</x:v>
      </x:c>
      <x:c r="G2807" s="9" t="str">
        <x:v>QA-03</x:v>
      </x:c>
      <x:c r="H2807" s="15" t="n">
        <x:v>127</x:v>
      </x:c>
      <x:c r="I2807" s="9" t="str">
        <x:v>P12</x:v>
      </x:c>
      <x:c r="J2807" s="11" t="n">
        <x:v>46310.260416666664</x:v>
      </x:c>
      <x:c r="K2807" s="15" t="n">
        <x:v>10</x:v>
      </x:c>
      <x:c r="L2807" s="15" t="n">
        <x:v>11</x:v>
      </x:c>
      <x:c r="M2807" s="13" t="n">
        <x:f>J2807+(K2807+L2807)/1440</x:f>
        <x:v>46310.274999999994</x:v>
      </x:c>
      <x:c r="N2807" s="13" t="n">
        <x:f>VLOOKUP(C2807,'MES orders'!$A$8:$H$127,5,FALSE)</x:f>
        <x:v>46310.666666666664</x:v>
      </x:c>
      <x:c r="O2807" s="16" t="n">
        <x:f>MAX(0,(M2807-N2807)*24)</x:f>
        <x:v>0</x:v>
      </x:c>
      <x:c r="P2807" s="9" t="str">
        <x:v>No</x:v>
      </x:c>
      <x:c r="Q2807" s="15" t="n">
        <x:v>21</x:v>
      </x:c>
      <x:c r="R2807" s="13" t="n">
        <x:f>J2807+Q2807/1440</x:f>
        <x:v>46310.274999999994</x:v>
      </x:c>
      <x:c r="S2807" s="2" t="str">
        <x:f>VLOOKUP(C2807,'MES orders'!$A$8:$H$127,6,FALSE)</x:f>
        <x:v>Normal</x:v>
      </x:c>
      <x:c r="T2807" s="9" t="str"/>
    </x:row>
    <x:row r="2808" ht="22" customHeight="1">
      <x:c r="A2808" s="2" t="str">
        <x:v>L00191-070</x:v>
      </x:c>
      <x:c r="B2808" s="2" t="str">
        <x:v>L00191</x:v>
      </x:c>
      <x:c r="C2808" s="2" t="str">
        <x:v>SO-26039</x:v>
      </x:c>
      <x:c r="D2808" s="2" t="str">
        <x:v>S-S-AL</x:v>
      </x:c>
      <x:c r="E2808" s="14" t="n">
        <x:v>5</x:v>
      </x:c>
      <x:c r="F2808" s="2" t="str">
        <x:v>Final assembly</x:v>
      </x:c>
      <x:c r="G2808" s="9" t="str">
        <x:v>AS-04</x:v>
      </x:c>
      <x:c r="H2808" s="15" t="n">
        <x:v>104</x:v>
      </x:c>
      <x:c r="I2808" s="9" t="str">
        <x:v>P08</x:v>
      </x:c>
      <x:c r="J2808" s="11" t="n">
        <x:v>46310.26111111111</x:v>
      </x:c>
      <x:c r="K2808" s="15" t="n">
        <x:v>5</x:v>
      </x:c>
      <x:c r="L2808" s="15" t="n">
        <x:v>4</x:v>
      </x:c>
      <x:c r="M2808" s="13" t="n">
        <x:f>J2808+(K2808+L2808)/1440</x:f>
        <x:v>46310.26736111111</x:v>
      </x:c>
      <x:c r="N2808" s="13" t="n">
        <x:f>VLOOKUP(C2808,'MES orders'!$A$8:$H$127,5,FALSE)</x:f>
        <x:v>46310.666666666664</x:v>
      </x:c>
      <x:c r="O2808" s="16" t="n">
        <x:f>MAX(0,(M2808-N2808)*24)</x:f>
        <x:v>0</x:v>
      </x:c>
      <x:c r="P2808" s="9" t="str">
        <x:v>No</x:v>
      </x:c>
      <x:c r="Q2808" s="15" t="n">
        <x:v>9</x:v>
      </x:c>
      <x:c r="R2808" s="13" t="n">
        <x:f>J2808+Q2808/1440</x:f>
        <x:v>46310.26736111111</x:v>
      </x:c>
      <x:c r="S2808" s="2" t="str">
        <x:f>VLOOKUP(C2808,'MES orders'!$A$8:$H$127,6,FALSE)</x:f>
        <x:v>Normal</x:v>
      </x:c>
      <x:c r="T2808" s="9" t="str"/>
    </x:row>
    <x:row r="2809" ht="22" customHeight="1">
      <x:c r="A2809" s="2" t="str">
        <x:v>L00192-010</x:v>
      </x:c>
      <x:c r="B2809" s="2" t="str">
        <x:v>L00192</x:v>
      </x:c>
      <x:c r="C2809" s="2" t="str">
        <x:v>SO-26039</x:v>
      </x:c>
      <x:c r="D2809" s="2" t="str">
        <x:v>S-S-AL</x:v>
      </x:c>
      <x:c r="E2809" s="14" t="n">
        <x:v>5</x:v>
      </x:c>
      <x:c r="F2809" s="2" t="str">
        <x:v>CNC machining</x:v>
      </x:c>
      <x:c r="G2809" s="9" t="str">
        <x:v>CNC-01</x:v>
      </x:c>
      <x:c r="H2809" s="15" t="n">
        <x:v>76</x:v>
      </x:c>
      <x:c r="I2809" s="9" t="str">
        <x:v>P02</x:v>
      </x:c>
      <x:c r="J2809" s="11" t="n">
        <x:v>46310.2625</x:v>
      </x:c>
      <x:c r="K2809" s="15" t="n">
        <x:v>18</x:v>
      </x:c>
      <x:c r="L2809" s="15" t="n">
        <x:v>12</x:v>
      </x:c>
      <x:c r="M2809" s="13" t="n">
        <x:f>J2809+(K2809+L2809)/1440</x:f>
        <x:v>46310.28333333333</x:v>
      </x:c>
      <x:c r="N2809" s="13" t="n">
        <x:f>VLOOKUP(C2809,'MES orders'!$A$8:$H$127,5,FALSE)</x:f>
        <x:v>46310.666666666664</x:v>
      </x:c>
      <x:c r="O2809" s="16" t="n">
        <x:f>MAX(0,(M2809-N2809)*24)</x:f>
        <x:v>0</x:v>
      </x:c>
      <x:c r="P2809" s="9" t="str">
        <x:v>No</x:v>
      </x:c>
      <x:c r="Q2809" s="15" t="n">
        <x:v>18</x:v>
      </x:c>
      <x:c r="R2809" s="13" t="n">
        <x:f>J2809+Q2809/1440</x:f>
        <x:v>46310.274999999994</x:v>
      </x:c>
      <x:c r="S2809" s="2" t="str">
        <x:f>VLOOKUP(C2809,'MES orders'!$A$8:$H$127,6,FALSE)</x:f>
        <x:v>Normal</x:v>
      </x:c>
      <x:c r="T2809" s="9" t="str"/>
    </x:row>
    <x:row r="2810" ht="22" customHeight="1">
      <x:c r="A2810" s="2" t="str">
        <x:v>L00193-010</x:v>
      </x:c>
      <x:c r="B2810" s="2" t="str">
        <x:v>L00193</x:v>
      </x:c>
      <x:c r="C2810" s="2" t="str">
        <x:v>SO-26039</x:v>
      </x:c>
      <x:c r="D2810" s="2" t="str">
        <x:v>S-S-AL</x:v>
      </x:c>
      <x:c r="E2810" s="14" t="n">
        <x:v>5</x:v>
      </x:c>
      <x:c r="F2810" s="2" t="str">
        <x:v>CNC machining</x:v>
      </x:c>
      <x:c r="G2810" s="9" t="str">
        <x:v>CNC-02</x:v>
      </x:c>
      <x:c r="H2810" s="15" t="n">
        <x:v>54</x:v>
      </x:c>
      <x:c r="I2810" s="9" t="str">
        <x:v>P03</x:v>
      </x:c>
      <x:c r="J2810" s="11" t="n">
        <x:v>46310.2625</x:v>
      </x:c>
      <x:c r="K2810" s="15" t="n">
        <x:v>18</x:v>
      </x:c>
      <x:c r="L2810" s="15" t="n">
        <x:v>12</x:v>
      </x:c>
      <x:c r="M2810" s="13" t="n">
        <x:f>J2810+(K2810+L2810)/1440</x:f>
        <x:v>46310.28333333333</x:v>
      </x:c>
      <x:c r="N2810" s="13" t="n">
        <x:f>VLOOKUP(C2810,'MES orders'!$A$8:$H$127,5,FALSE)</x:f>
        <x:v>46310.666666666664</x:v>
      </x:c>
      <x:c r="O2810" s="16" t="n">
        <x:f>MAX(0,(M2810-N2810)*24)</x:f>
        <x:v>0</x:v>
      </x:c>
      <x:c r="P2810" s="9" t="str">
        <x:v>No</x:v>
      </x:c>
      <x:c r="Q2810" s="15" t="n">
        <x:v>18</x:v>
      </x:c>
      <x:c r="R2810" s="13" t="n">
        <x:f>J2810+Q2810/1440</x:f>
        <x:v>46310.274999999994</x:v>
      </x:c>
      <x:c r="S2810" s="2" t="str">
        <x:f>VLOOKUP(C2810,'MES orders'!$A$8:$H$127,6,FALSE)</x:f>
        <x:v>Normal</x:v>
      </x:c>
      <x:c r="T2810" s="9" t="str"/>
    </x:row>
    <x:row r="2811" ht="22" customHeight="1">
      <x:c r="A2811" s="2" t="str">
        <x:v>L00469-010</x:v>
      </x:c>
      <x:c r="B2811" s="2" t="str">
        <x:v>L00469</x:v>
      </x:c>
      <x:c r="C2811" s="2" t="str">
        <x:v>SO-26094</x:v>
      </x:c>
      <x:c r="D2811" s="2" t="str">
        <x:v>D-S-SS</x:v>
      </x:c>
      <x:c r="E2811" s="14" t="n">
        <x:v>10</x:v>
      </x:c>
      <x:c r="F2811" s="2" t="str">
        <x:v>CNC machining</x:v>
      </x:c>
      <x:c r="G2811" s="9" t="str">
        <x:v>CNC-06</x:v>
      </x:c>
      <x:c r="H2811" s="15" t="n">
        <x:v>71</x:v>
      </x:c>
      <x:c r="I2811" s="9" t="str">
        <x:v>P01</x:v>
      </x:c>
      <x:c r="J2811" s="11" t="n">
        <x:v>46310.2625</x:v>
      </x:c>
      <x:c r="K2811" s="15" t="n">
        <x:v>18</x:v>
      </x:c>
      <x:c r="L2811" s="15" t="n">
        <x:v>30</x:v>
      </x:c>
      <x:c r="M2811" s="13" t="n">
        <x:f>J2811+(K2811+L2811)/1440</x:f>
        <x:v>46310.29583333333</x:v>
      </x:c>
      <x:c r="N2811" s="13" t="n">
        <x:f>VLOOKUP(C2811,'MES orders'!$A$8:$H$127,5,FALSE)</x:f>
        <x:v>46309.666666666664</x:v>
      </x:c>
      <x:c r="O2811" s="16" t="n">
        <x:f>MAX(0,(M2811-N2811)*24)</x:f>
        <x:v>15.099999999976717</x:v>
      </x:c>
      <x:c r="P2811" s="9" t="str">
        <x:v>No</x:v>
      </x:c>
      <x:c r="Q2811" s="15" t="n">
        <x:v>18</x:v>
      </x:c>
      <x:c r="R2811" s="13" t="n">
        <x:f>J2811+Q2811/1440</x:f>
        <x:v>46310.274999999994</x:v>
      </x:c>
      <x:c r="S2811" s="2" t="str">
        <x:f>VLOOKUP(C2811,'MES orders'!$A$8:$H$127,6,FALSE)</x:f>
        <x:v>Normal</x:v>
      </x:c>
      <x:c r="T2811" s="9" t="str"/>
    </x:row>
    <x:row r="2812" ht="22" customHeight="1">
      <x:c r="A2812" s="2" t="str">
        <x:v>L00266-060</x:v>
      </x:c>
      <x:c r="B2812" s="2" t="str">
        <x:v>L00266</x:v>
      </x:c>
      <x:c r="C2812" s="2" t="str">
        <x:v>SO-26054</x:v>
      </x:c>
      <x:c r="D2812" s="2" t="str">
        <x:v>R-L-SS</x:v>
      </x:c>
      <x:c r="E2812" s="14" t="n">
        <x:v>25</x:v>
      </x:c>
      <x:c r="F2812" s="2" t="str">
        <x:v>Final leak / function test</x:v>
      </x:c>
      <x:c r="G2812" s="9" t="str">
        <x:v>QA-02</x:v>
      </x:c>
      <x:c r="H2812" s="15" t="n">
        <x:v>206</x:v>
      </x:c>
      <x:c r="I2812" s="9" t="str">
        <x:v>P11</x:v>
      </x:c>
      <x:c r="J2812" s="11" t="n">
        <x:v>46310.279861111114</x:v>
      </x:c>
      <x:c r="K2812" s="15" t="n">
        <x:v>10</x:v>
      </x:c>
      <x:c r="L2812" s="15" t="n">
        <x:v>30</x:v>
      </x:c>
      <x:c r="M2812" s="13" t="n">
        <x:f>J2812+(K2812+L2812)/1440</x:f>
        <x:v>46310.307638888895</x:v>
      </x:c>
      <x:c r="N2812" s="13" t="n">
        <x:f>VLOOKUP(C2812,'MES orders'!$A$8:$H$127,5,FALSE)</x:f>
        <x:v>46309.666666666664</x:v>
      </x:c>
      <x:c r="O2812" s="16" t="n">
        <x:f>MAX(0,(M2812-N2812)*24)</x:f>
        <x:v>15.38333333353512</x:v>
      </x:c>
      <x:c r="P2812" s="9" t="str">
        <x:v>No</x:v>
      </x:c>
      <x:c r="Q2812" s="15" t="n">
        <x:v>40</x:v>
      </x:c>
      <x:c r="R2812" s="13" t="n">
        <x:f>J2812+Q2812/1440</x:f>
        <x:v>46310.307638888895</x:v>
      </x:c>
      <x:c r="S2812" s="2" t="str">
        <x:f>VLOOKUP(C2812,'MES orders'!$A$8:$H$127,6,FALSE)</x:f>
        <x:v>Normal</x:v>
      </x:c>
      <x:c r="T2812" s="9" t="str"/>
    </x:row>
    <x:row r="2813" ht="22" customHeight="1">
      <x:c r="A2813" s="2" t="str">
        <x:v>L00267-060</x:v>
      </x:c>
      <x:c r="B2813" s="2" t="str">
        <x:v>L00267</x:v>
      </x:c>
      <x:c r="C2813" s="2" t="str">
        <x:v>SO-26054</x:v>
      </x:c>
      <x:c r="D2813" s="2" t="str">
        <x:v>R-L-SS</x:v>
      </x:c>
      <x:c r="E2813" s="14" t="n">
        <x:v>25</x:v>
      </x:c>
      <x:c r="F2813" s="2" t="str">
        <x:v>Final leak / function test</x:v>
      </x:c>
      <x:c r="G2813" s="9" t="str">
        <x:v>QA-03</x:v>
      </x:c>
      <x:c r="H2813" s="15" t="n">
        <x:v>128</x:v>
      </x:c>
      <x:c r="I2813" s="9" t="str">
        <x:v>P12</x:v>
      </x:c>
      <x:c r="J2813" s="11" t="n">
        <x:v>46310.279861111114</x:v>
      </x:c>
      <x:c r="K2813" s="15" t="n">
        <x:v>10</x:v>
      </x:c>
      <x:c r="L2813" s="15" t="n">
        <x:v>30</x:v>
      </x:c>
      <x:c r="M2813" s="13" t="n">
        <x:f>J2813+(K2813+L2813)/1440</x:f>
        <x:v>46310.307638888895</x:v>
      </x:c>
      <x:c r="N2813" s="13" t="n">
        <x:f>VLOOKUP(C2813,'MES orders'!$A$8:$H$127,5,FALSE)</x:f>
        <x:v>46309.666666666664</x:v>
      </x:c>
      <x:c r="O2813" s="16" t="n">
        <x:f>MAX(0,(M2813-N2813)*24)</x:f>
        <x:v>15.38333333353512</x:v>
      </x:c>
      <x:c r="P2813" s="9" t="str">
        <x:v>No</x:v>
      </x:c>
      <x:c r="Q2813" s="15" t="n">
        <x:v>40</x:v>
      </x:c>
      <x:c r="R2813" s="13" t="n">
        <x:f>J2813+Q2813/1440</x:f>
        <x:v>46310.307638888895</x:v>
      </x:c>
      <x:c r="S2813" s="2" t="str">
        <x:f>VLOOKUP(C2813,'MES orders'!$A$8:$H$127,6,FALSE)</x:f>
        <x:v>Normal</x:v>
      </x:c>
      <x:c r="T2813" s="9" t="str"/>
    </x:row>
    <x:row r="2814" ht="22" customHeight="1">
      <x:c r="A2814" s="2" t="str">
        <x:v>L00270-030</x:v>
      </x:c>
      <x:c r="B2814" s="2" t="str">
        <x:v>L00270</x:v>
      </x:c>
      <x:c r="C2814" s="2" t="str">
        <x:v>SO-26054</x:v>
      </x:c>
      <x:c r="D2814" s="2" t="str">
        <x:v>R-L-SS</x:v>
      </x:c>
      <x:c r="E2814" s="14" t="n">
        <x:v>25</x:v>
      </x:c>
      <x:c r="F2814" s="2" t="str">
        <x:v>Wash &amp; dry</x:v>
      </x:c>
      <x:c r="G2814" s="9" t="str">
        <x:v>WS-01</x:v>
      </x:c>
      <x:c r="H2814" s="15" t="n">
        <x:v>259</x:v>
      </x:c>
      <x:c r="I2814" s="9" t="str">
        <x:v>P05</x:v>
      </x:c>
      <x:c r="J2814" s="11" t="n">
        <x:v>46310.279861111114</x:v>
      </x:c>
      <x:c r="K2814" s="15" t="n">
        <x:v>12</x:v>
      </x:c>
      <x:c r="L2814" s="15" t="n">
        <x:v>12</x:v>
      </x:c>
      <x:c r="M2814" s="13" t="n">
        <x:f>J2814+(K2814+L2814)/1440</x:f>
        <x:v>46310.296527777784</x:v>
      </x:c>
      <x:c r="N2814" s="13" t="n">
        <x:f>VLOOKUP(C2814,'MES orders'!$A$8:$H$127,5,FALSE)</x:f>
        <x:v>46309.666666666664</x:v>
      </x:c>
      <x:c r="O2814" s="16" t="n">
        <x:f>MAX(0,(M2814-N2814)*24)</x:f>
        <x:v>15.116666666872334</x:v>
      </x:c>
      <x:c r="P2814" s="9" t="str">
        <x:v>No</x:v>
      </x:c>
      <x:c r="Q2814" s="15" t="n">
        <x:v>24</x:v>
      </x:c>
      <x:c r="R2814" s="13" t="n">
        <x:f>J2814+Q2814/1440</x:f>
        <x:v>46310.296527777784</x:v>
      </x:c>
      <x:c r="S2814" s="2" t="str">
        <x:f>VLOOKUP(C2814,'MES orders'!$A$8:$H$127,6,FALSE)</x:f>
        <x:v>Normal</x:v>
      </x:c>
      <x:c r="T2814" s="9" t="str"/>
    </x:row>
    <x:row r="2815" ht="22" customHeight="1">
      <x:c r="A2815" s="2" t="str">
        <x:v>L00309-030</x:v>
      </x:c>
      <x:c r="B2815" s="2" t="str">
        <x:v>L00309</x:v>
      </x:c>
      <x:c r="C2815" s="2" t="str">
        <x:v>SO-26062</x:v>
      </x:c>
      <x:c r="D2815" s="2" t="str">
        <x:v>S-C-SS</x:v>
      </x:c>
      <x:c r="E2815" s="14" t="n">
        <x:v>5</x:v>
      </x:c>
      <x:c r="F2815" s="2" t="str">
        <x:v>Wash &amp; dry</x:v>
      </x:c>
      <x:c r="G2815" s="9" t="str">
        <x:v>WS-02</x:v>
      </x:c>
      <x:c r="H2815" s="15" t="n">
        <x:v>185</x:v>
      </x:c>
      <x:c r="I2815" s="9" t="str">
        <x:v>P06</x:v>
      </x:c>
      <x:c r="J2815" s="11" t="n">
        <x:v>46310.279861111114</x:v>
      </x:c>
      <x:c r="K2815" s="15" t="n">
        <x:v>12</x:v>
      </x:c>
      <x:c r="L2815" s="15" t="n">
        <x:v>1</x:v>
      </x:c>
      <x:c r="M2815" s="13" t="n">
        <x:f>J2815+(K2815+L2815)/1440</x:f>
        <x:v>46310.28888888889</x:v>
      </x:c>
      <x:c r="N2815" s="13" t="n">
        <x:f>VLOOKUP(C2815,'MES orders'!$A$8:$H$127,5,FALSE)</x:f>
        <x:v>46309.666666666664</x:v>
      </x:c>
      <x:c r="O2815" s="16" t="n">
        <x:f>MAX(0,(M2815-N2815)*24)</x:f>
        <x:v>14.93333333346527</x:v>
      </x:c>
      <x:c r="P2815" s="9" t="str">
        <x:v>No</x:v>
      </x:c>
      <x:c r="Q2815" s="15" t="n">
        <x:v>13</x:v>
      </x:c>
      <x:c r="R2815" s="13" t="n">
        <x:f>J2815+Q2815/1440</x:f>
        <x:v>46310.28888888889</x:v>
      </x:c>
      <x:c r="S2815" s="2" t="str">
        <x:f>VLOOKUP(C2815,'MES orders'!$A$8:$H$127,6,FALSE)</x:f>
        <x:v>Normal</x:v>
      </x:c>
      <x:c r="T2815" s="9" t="str"/>
    </x:row>
    <x:row r="2816" ht="22" customHeight="1">
      <x:c r="A2816" s="2" t="str">
        <x:v>L00470-010</x:v>
      </x:c>
      <x:c r="B2816" s="2" t="str">
        <x:v>L00470</x:v>
      </x:c>
      <x:c r="C2816" s="2" t="str">
        <x:v>SO-26094</x:v>
      </x:c>
      <x:c r="D2816" s="2" t="str">
        <x:v>D-S-SS</x:v>
      </x:c>
      <x:c r="E2816" s="14" t="n">
        <x:v>10</x:v>
      </x:c>
      <x:c r="F2816" s="2" t="str">
        <x:v>CNC machining</x:v>
      </x:c>
      <x:c r="G2816" s="9" t="str">
        <x:v>CNC-03</x:v>
      </x:c>
      <x:c r="H2816" s="15" t="n">
        <x:v>89</x:v>
      </x:c>
      <x:c r="I2816" s="9" t="str">
        <x:v>P02</x:v>
      </x:c>
      <x:c r="J2816" s="11" t="n">
        <x:v>46310.28333333333</x:v>
      </x:c>
      <x:c r="K2816" s="15" t="n">
        <x:v>18</x:v>
      </x:c>
      <x:c r="L2816" s="15" t="n">
        <x:v>30</x:v>
      </x:c>
      <x:c r="M2816" s="13" t="n">
        <x:f>J2816+(K2816+L2816)/1440</x:f>
        <x:v>46310.316666666666</x:v>
      </x:c>
      <x:c r="N2816" s="13" t="n">
        <x:f>VLOOKUP(C2816,'MES orders'!$A$8:$H$127,5,FALSE)</x:f>
        <x:v>46309.666666666664</x:v>
      </x:c>
      <x:c r="O2816" s="16" t="n">
        <x:f>MAX(0,(M2816-N2816)*24)</x:f>
        <x:v>15.600000000034925</x:v>
      </x:c>
      <x:c r="P2816" s="9" t="str">
        <x:v>No</x:v>
      </x:c>
      <x:c r="Q2816" s="15" t="n">
        <x:v>18</x:v>
      </x:c>
      <x:c r="R2816" s="13" t="n">
        <x:f>J2816+Q2816/1440</x:f>
        <x:v>46310.29583333333</x:v>
      </x:c>
      <x:c r="S2816" s="2" t="str">
        <x:f>VLOOKUP(C2816,'MES orders'!$A$8:$H$127,6,FALSE)</x:f>
        <x:v>Normal</x:v>
      </x:c>
      <x:c r="T2816" s="9" t="str"/>
    </x:row>
    <x:row r="2817" ht="22" customHeight="1">
      <x:c r="A2817" s="2" t="str">
        <x:v>L00506-010</x:v>
      </x:c>
      <x:c r="B2817" s="2" t="str">
        <x:v>L00506</x:v>
      </x:c>
      <x:c r="C2817" s="2" t="str">
        <x:v>SO-26102</x:v>
      </x:c>
      <x:c r="D2817" s="2" t="str">
        <x:v>D-L-SS</x:v>
      </x:c>
      <x:c r="E2817" s="14" t="n">
        <x:v>25</x:v>
      </x:c>
      <x:c r="F2817" s="2" t="str">
        <x:v>CNC machining</x:v>
      </x:c>
      <x:c r="G2817" s="9" t="str">
        <x:v>CNC-04</x:v>
      </x:c>
      <x:c r="H2817" s="15" t="n">
        <x:v>86</x:v>
      </x:c>
      <x:c r="I2817" s="9" t="str">
        <x:v>P03</x:v>
      </x:c>
      <x:c r="J2817" s="11" t="n">
        <x:v>46310.28333333333</x:v>
      </x:c>
      <x:c r="K2817" s="15" t="n">
        <x:v>18</x:v>
      </x:c>
      <x:c r="L2817" s="15" t="n">
        <x:v>101</x:v>
      </x:c>
      <x:c r="M2817" s="13" t="n">
        <x:f>J2817+(K2817+L2817)/1440</x:f>
        <x:v>46310.36597222222</x:v>
      </x:c>
      <x:c r="N2817" s="13" t="n">
        <x:f>VLOOKUP(C2817,'MES orders'!$A$8:$H$127,5,FALSE)</x:f>
        <x:v>46309.666666666664</x:v>
      </x:c>
      <x:c r="O2817" s="16" t="n">
        <x:f>MAX(0,(M2817-N2817)*24)</x:f>
        <x:v>16.78333333338378</x:v>
      </x:c>
      <x:c r="P2817" s="9" t="str">
        <x:v>No</x:v>
      </x:c>
      <x:c r="Q2817" s="15" t="n">
        <x:v>18</x:v>
      </x:c>
      <x:c r="R2817" s="13" t="n">
        <x:f>J2817+Q2817/1440</x:f>
        <x:v>46310.29583333333</x:v>
      </x:c>
      <x:c r="S2817" s="2" t="str">
        <x:f>VLOOKUP(C2817,'MES orders'!$A$8:$H$127,6,FALSE)</x:f>
        <x:v>Normal</x:v>
      </x:c>
      <x:c r="T2817" s="9" t="str"/>
    </x:row>
    <x:row r="2818" ht="22" customHeight="1">
      <x:c r="A2818" s="2" t="str">
        <x:v>L00468-020</x:v>
      </x:c>
      <x:c r="B2818" s="2" t="str">
        <x:v>L00468</x:v>
      </x:c>
      <x:c r="C2818" s="2" t="str">
        <x:v>SO-26094</x:v>
      </x:c>
      <x:c r="D2818" s="2" t="str">
        <x:v>D-S-SS</x:v>
      </x:c>
      <x:c r="E2818" s="14" t="n">
        <x:v>10</x:v>
      </x:c>
      <x:c r="F2818" s="2" t="str">
        <x:v>Deburr &amp; inspect</x:v>
      </x:c>
      <x:c r="G2818" s="9" t="str">
        <x:v>DB-01</x:v>
      </x:c>
      <x:c r="H2818" s="15" t="n">
        <x:v>265</x:v>
      </x:c>
      <x:c r="I2818" s="9" t="str">
        <x:v>P01</x:v>
      </x:c>
      <x:c r="J2818" s="11" t="n">
        <x:v>46310.28333333333</x:v>
      </x:c>
      <x:c r="K2818" s="15" t="n">
        <x:v>4</x:v>
      </x:c>
      <x:c r="L2818" s="15" t="n">
        <x:v>7</x:v>
      </x:c>
      <x:c r="M2818" s="13" t="n">
        <x:f>J2818+(K2818+L2818)/1440</x:f>
        <x:v>46310.290972222225</x:v>
      </x:c>
      <x:c r="N2818" s="13" t="n">
        <x:f>VLOOKUP(C2818,'MES orders'!$A$8:$H$127,5,FALSE)</x:f>
        <x:v>46309.666666666664</x:v>
      </x:c>
      <x:c r="O2818" s="16" t="n">
        <x:f>MAX(0,(M2818-N2818)*24)</x:f>
        <x:v>14.98333333345363</x:v>
      </x:c>
      <x:c r="P2818" s="9" t="str">
        <x:v>No</x:v>
      </x:c>
      <x:c r="Q2818" s="15" t="n">
        <x:v>11</x:v>
      </x:c>
      <x:c r="R2818" s="13" t="n">
        <x:f>J2818+Q2818/1440</x:f>
        <x:v>46310.290972222225</x:v>
      </x:c>
      <x:c r="S2818" s="2" t="str">
        <x:f>VLOOKUP(C2818,'MES orders'!$A$8:$H$127,6,FALSE)</x:f>
        <x:v>Normal</x:v>
      </x:c>
      <x:c r="T2818" s="9" t="str"/>
    </x:row>
    <x:row r="2819" ht="22" customHeight="1">
      <x:c r="A2819" s="2" t="str">
        <x:v>L00193-020</x:v>
      </x:c>
      <x:c r="B2819" s="2" t="str">
        <x:v>L00193</x:v>
      </x:c>
      <x:c r="C2819" s="2" t="str">
        <x:v>SO-26039</x:v>
      </x:c>
      <x:c r="D2819" s="2" t="str">
        <x:v>S-S-AL</x:v>
      </x:c>
      <x:c r="E2819" s="14" t="n">
        <x:v>5</x:v>
      </x:c>
      <x:c r="F2819" s="2" t="str">
        <x:v>Deburr &amp; inspect</x:v>
      </x:c>
      <x:c r="G2819" s="9" t="str">
        <x:v>DB-02</x:v>
      </x:c>
      <x:c r="H2819" s="15" t="n">
        <x:v>182</x:v>
      </x:c>
      <x:c r="I2819" s="9" t="str">
        <x:v>P07</x:v>
      </x:c>
      <x:c r="J2819" s="11" t="n">
        <x:v>46310.28333333333</x:v>
      </x:c>
      <x:c r="K2819" s="15" t="n">
        <x:v>4</x:v>
      </x:c>
      <x:c r="L2819" s="15" t="n">
        <x:v>4</x:v>
      </x:c>
      <x:c r="M2819" s="13" t="n">
        <x:f>J2819+(K2819+L2819)/1440</x:f>
        <x:v>46310.28888888889</x:v>
      </x:c>
      <x:c r="N2819" s="13" t="n">
        <x:f>VLOOKUP(C2819,'MES orders'!$A$8:$H$127,5,FALSE)</x:f>
        <x:v>46310.666666666664</x:v>
      </x:c>
      <x:c r="O2819" s="16" t="n">
        <x:f>MAX(0,(M2819-N2819)*24)</x:f>
        <x:v>0</x:v>
      </x:c>
      <x:c r="P2819" s="9" t="str">
        <x:v>No</x:v>
      </x:c>
      <x:c r="Q2819" s="15" t="n">
        <x:v>8</x:v>
      </x:c>
      <x:c r="R2819" s="13" t="n">
        <x:f>J2819+Q2819/1440</x:f>
        <x:v>46310.28888888889</x:v>
      </x:c>
      <x:c r="S2819" s="2" t="str">
        <x:f>VLOOKUP(C2819,'MES orders'!$A$8:$H$127,6,FALSE)</x:f>
        <x:v>Normal</x:v>
      </x:c>
      <x:c r="T2819" s="9" t="str"/>
    </x:row>
    <x:row r="2820" ht="22" customHeight="1">
      <x:c r="A2820" s="2" t="str">
        <x:v>L00309-040</x:v>
      </x:c>
      <x:c r="B2820" s="2" t="str">
        <x:v>L00309</x:v>
      </x:c>
      <x:c r="C2820" s="2" t="str">
        <x:v>SO-26062</x:v>
      </x:c>
      <x:c r="D2820" s="2" t="str">
        <x:v>S-C-SS</x:v>
      </x:c>
      <x:c r="E2820" s="14" t="n">
        <x:v>5</x:v>
      </x:c>
      <x:c r="F2820" s="2" t="str">
        <x:v>Mechanical preassembly</x:v>
      </x:c>
      <x:c r="G2820" s="9" t="str">
        <x:v>AS-01</x:v>
      </x:c>
      <x:c r="H2820" s="15" t="n">
        <x:v>224</x:v>
      </x:c>
      <x:c r="I2820" s="9" t="str">
        <x:v>P06</x:v>
      </x:c>
      <x:c r="J2820" s="11" t="n">
        <x:v>46310.28888888889</x:v>
      </x:c>
      <x:c r="K2820" s="15" t="n">
        <x:v>6</x:v>
      </x:c>
      <x:c r="L2820" s="15" t="n">
        <x:v>4</x:v>
      </x:c>
      <x:c r="M2820" s="13" t="n">
        <x:f>J2820+(K2820+L2820)/1440</x:f>
        <x:v>46310.29583333334</x:v>
      </x:c>
      <x:c r="N2820" s="13" t="n">
        <x:f>VLOOKUP(C2820,'MES orders'!$A$8:$H$127,5,FALSE)</x:f>
        <x:v>46309.666666666664</x:v>
      </x:c>
      <x:c r="O2820" s="16" t="n">
        <x:f>MAX(0,(M2820-N2820)*24)</x:f>
        <x:v>15.10000000015134</x:v>
      </x:c>
      <x:c r="P2820" s="9" t="str">
        <x:v>No</x:v>
      </x:c>
      <x:c r="Q2820" s="15" t="n">
        <x:v>10</x:v>
      </x:c>
      <x:c r="R2820" s="13" t="n">
        <x:f>J2820+Q2820/1440</x:f>
        <x:v>46310.29583333334</x:v>
      </x:c>
      <x:c r="S2820" s="2" t="str">
        <x:f>VLOOKUP(C2820,'MES orders'!$A$8:$H$127,6,FALSE)</x:f>
        <x:v>Normal</x:v>
      </x:c>
      <x:c r="T2820" s="9" t="str"/>
    </x:row>
    <x:row r="2821" ht="22" customHeight="1">
      <x:c r="A2821" s="2" t="str">
        <x:v>L00468-030</x:v>
      </x:c>
      <x:c r="B2821" s="2" t="str">
        <x:v>L00468</x:v>
      </x:c>
      <x:c r="C2821" s="2" t="str">
        <x:v>SO-26094</x:v>
      </x:c>
      <x:c r="D2821" s="2" t="str">
        <x:v>D-S-SS</x:v>
      </x:c>
      <x:c r="E2821" s="14" t="n">
        <x:v>10</x:v>
      </x:c>
      <x:c r="F2821" s="2" t="str">
        <x:v>Wash &amp; dry</x:v>
      </x:c>
      <x:c r="G2821" s="9" t="str">
        <x:v>WS-02</x:v>
      </x:c>
      <x:c r="H2821" s="15" t="n">
        <x:v>186</x:v>
      </x:c>
      <x:c r="I2821" s="9" t="str">
        <x:v>P01</x:v>
      </x:c>
      <x:c r="J2821" s="11" t="n">
        <x:v>46310.290972222225</x:v>
      </x:c>
      <x:c r="K2821" s="15" t="n">
        <x:v>12</x:v>
      </x:c>
      <x:c r="L2821" s="15" t="n">
        <x:v>4</x:v>
      </x:c>
      <x:c r="M2821" s="13" t="n">
        <x:f>J2821+(K2821+L2821)/1440</x:f>
        <x:v>46310.302083333336</x:v>
      </x:c>
      <x:c r="N2821" s="13" t="n">
        <x:f>VLOOKUP(C2821,'MES orders'!$A$8:$H$127,5,FALSE)</x:f>
        <x:v>46309.666666666664</x:v>
      </x:c>
      <x:c r="O2821" s="16" t="n">
        <x:f>MAX(0,(M2821-N2821)*24)</x:f>
        <x:v>15.250000000116415</x:v>
      </x:c>
      <x:c r="P2821" s="9" t="str">
        <x:v>No</x:v>
      </x:c>
      <x:c r="Q2821" s="15" t="n">
        <x:v>16</x:v>
      </x:c>
      <x:c r="R2821" s="13" t="n">
        <x:f>J2821+Q2821/1440</x:f>
        <x:v>46310.302083333336</x:v>
      </x:c>
      <x:c r="S2821" s="2" t="str">
        <x:f>VLOOKUP(C2821,'MES orders'!$A$8:$H$127,6,FALSE)</x:f>
        <x:v>Normal</x:v>
      </x:c>
      <x:c r="T2821" s="9" t="str"/>
    </x:row>
    <x:row r="2822" ht="22" customHeight="1">
      <x:c r="A2822" s="2" t="str">
        <x:v>L00507-010</x:v>
      </x:c>
      <x:c r="B2822" s="2" t="str">
        <x:v>L00507</x:v>
      </x:c>
      <x:c r="C2822" s="2" t="str">
        <x:v>SO-26102</x:v>
      </x:c>
      <x:c r="D2822" s="2" t="str">
        <x:v>D-L-SS</x:v>
      </x:c>
      <x:c r="E2822" s="14" t="n">
        <x:v>25</x:v>
      </x:c>
      <x:c r="F2822" s="2" t="str">
        <x:v>CNC machining</x:v>
      </x:c>
      <x:c r="G2822" s="9" t="str">
        <x:v>CNC-05</x:v>
      </x:c>
      <x:c r="H2822" s="15" t="n">
        <x:v>79</x:v>
      </x:c>
      <x:c r="I2822" s="9" t="str">
        <x:v>P02</x:v>
      </x:c>
      <x:c r="J2822" s="11" t="n">
        <x:v>46310.29583333333</x:v>
      </x:c>
      <x:c r="K2822" s="15" t="n">
        <x:v>18</x:v>
      </x:c>
      <x:c r="L2822" s="15" t="n">
        <x:v>101</x:v>
      </x:c>
      <x:c r="M2822" s="13" t="n">
        <x:f>J2822+(K2822+L2822)/1440</x:f>
        <x:v>46310.37847222222</x:v>
      </x:c>
      <x:c r="N2822" s="13" t="n">
        <x:f>VLOOKUP(C2822,'MES orders'!$A$8:$H$127,5,FALSE)</x:f>
        <x:v>46309.666666666664</x:v>
      </x:c>
      <x:c r="O2822" s="16" t="n">
        <x:f>MAX(0,(M2822-N2822)*24)</x:f>
        <x:v>17.08333333331393</x:v>
      </x:c>
      <x:c r="P2822" s="9" t="str">
        <x:v>No</x:v>
      </x:c>
      <x:c r="Q2822" s="15" t="n">
        <x:v>18</x:v>
      </x:c>
      <x:c r="R2822" s="13" t="n">
        <x:f>J2822+Q2822/1440</x:f>
        <x:v>46310.30833333333</x:v>
      </x:c>
      <x:c r="S2822" s="2" t="str">
        <x:f>VLOOKUP(C2822,'MES orders'!$A$8:$H$127,6,FALSE)</x:f>
        <x:v>Normal</x:v>
      </x:c>
      <x:c r="T2822" s="9" t="str"/>
    </x:row>
    <x:row r="2823" ht="22" customHeight="1">
      <x:c r="A2823" s="2" t="str">
        <x:v>L00508-010</x:v>
      </x:c>
      <x:c r="B2823" s="2" t="str">
        <x:v>L00508</x:v>
      </x:c>
      <x:c r="C2823" s="2" t="str">
        <x:v>SO-26102</x:v>
      </x:c>
      <x:c r="D2823" s="2" t="str">
        <x:v>D-L-SS</x:v>
      </x:c>
      <x:c r="E2823" s="14" t="n">
        <x:v>25</x:v>
      </x:c>
      <x:c r="F2823" s="2" t="str">
        <x:v>CNC machining</x:v>
      </x:c>
      <x:c r="G2823" s="9" t="str">
        <x:v>CNC-06</x:v>
      </x:c>
      <x:c r="H2823" s="15" t="n">
        <x:v>72</x:v>
      </x:c>
      <x:c r="I2823" s="9" t="str">
        <x:v>P03</x:v>
      </x:c>
      <x:c r="J2823" s="11" t="n">
        <x:v>46310.29583333333</x:v>
      </x:c>
      <x:c r="K2823" s="15" t="n">
        <x:v>18</x:v>
      </x:c>
      <x:c r="L2823" s="15" t="n">
        <x:v>101</x:v>
      </x:c>
      <x:c r="M2823" s="13" t="n">
        <x:f>J2823+(K2823+L2823)/1440</x:f>
        <x:v>46310.37847222222</x:v>
      </x:c>
      <x:c r="N2823" s="13" t="n">
        <x:f>VLOOKUP(C2823,'MES orders'!$A$8:$H$127,5,FALSE)</x:f>
        <x:v>46309.666666666664</x:v>
      </x:c>
      <x:c r="O2823" s="16" t="n">
        <x:f>MAX(0,(M2823-N2823)*24)</x:f>
        <x:v>17.08333333331393</x:v>
      </x:c>
      <x:c r="P2823" s="9" t="str">
        <x:v>No</x:v>
      </x:c>
      <x:c r="Q2823" s="15" t="n">
        <x:v>18</x:v>
      </x:c>
      <x:c r="R2823" s="13" t="n">
        <x:f>J2823+Q2823/1440</x:f>
        <x:v>46310.30833333333</x:v>
      </x:c>
      <x:c r="S2823" s="2" t="str">
        <x:f>VLOOKUP(C2823,'MES orders'!$A$8:$H$127,6,FALSE)</x:f>
        <x:v>Normal</x:v>
      </x:c>
      <x:c r="T2823" s="9" t="str"/>
    </x:row>
    <x:row r="2824" ht="22" customHeight="1">
      <x:c r="A2824" s="2" t="str">
        <x:v>L00309-050</x:v>
      </x:c>
      <x:c r="B2824" s="2" t="str">
        <x:v>L00309</x:v>
      </x:c>
      <x:c r="C2824" s="2" t="str">
        <x:v>SO-26062</x:v>
      </x:c>
      <x:c r="D2824" s="2" t="str">
        <x:v>S-C-SS</x:v>
      </x:c>
      <x:c r="E2824" s="14" t="n">
        <x:v>5</x:v>
      </x:c>
      <x:c r="F2824" s="2" t="str">
        <x:v>Sensor installation</x:v>
      </x:c>
      <x:c r="G2824" s="9" t="str">
        <x:v>EL-01</x:v>
      </x:c>
      <x:c r="H2824" s="15" t="n">
        <x:v>98</x:v>
      </x:c>
      <x:c r="I2824" s="9" t="str">
        <x:v>P07</x:v>
      </x:c>
      <x:c r="J2824" s="11" t="n">
        <x:v>46310.29583333333</x:v>
      </x:c>
      <x:c r="K2824" s="15" t="n">
        <x:v>8</x:v>
      </x:c>
      <x:c r="L2824" s="15" t="n">
        <x:v>5</x:v>
      </x:c>
      <x:c r="M2824" s="13" t="n">
        <x:f>J2824+(K2824+L2824)/1440</x:f>
        <x:v>46310.30486111111</x:v>
      </x:c>
      <x:c r="N2824" s="13" t="n">
        <x:f>VLOOKUP(C2824,'MES orders'!$A$8:$H$127,5,FALSE)</x:f>
        <x:v>46309.666666666664</x:v>
      </x:c>
      <x:c r="O2824" s="16" t="n">
        <x:f>MAX(0,(M2824-N2824)*24)</x:f>
        <x:v>15.316666666651145</x:v>
      </x:c>
      <x:c r="P2824" s="9" t="str">
        <x:v>No</x:v>
      </x:c>
      <x:c r="Q2824" s="15" t="n">
        <x:v>13</x:v>
      </x:c>
      <x:c r="R2824" s="13" t="n">
        <x:f>J2824+Q2824/1440</x:f>
        <x:v>46310.30486111111</x:v>
      </x:c>
      <x:c r="S2824" s="2" t="str">
        <x:f>VLOOKUP(C2824,'MES orders'!$A$8:$H$127,6,FALSE)</x:f>
        <x:v>Normal</x:v>
      </x:c>
      <x:c r="T2824" s="9" t="str"/>
    </x:row>
    <x:row r="2825" ht="22" customHeight="1">
      <x:c r="A2825" s="2" t="str">
        <x:v>L00270-040</x:v>
      </x:c>
      <x:c r="B2825" s="2" t="str">
        <x:v>L00270</x:v>
      </x:c>
      <x:c r="C2825" s="2" t="str">
        <x:v>SO-26054</x:v>
      </x:c>
      <x:c r="D2825" s="2" t="str">
        <x:v>R-L-SS</x:v>
      </x:c>
      <x:c r="E2825" s="14" t="n">
        <x:v>25</x:v>
      </x:c>
      <x:c r="F2825" s="2" t="str">
        <x:v>Mechanical assembly</x:v>
      </x:c>
      <x:c r="G2825" s="9" t="str">
        <x:v>AS-02</x:v>
      </x:c>
      <x:c r="H2825" s="15" t="n">
        <x:v>182</x:v>
      </x:c>
      <x:c r="I2825" s="9" t="str">
        <x:v>P06</x:v>
      </x:c>
      <x:c r="J2825" s="11" t="n">
        <x:v>46310.29652777778</x:v>
      </x:c>
      <x:c r="K2825" s="15" t="n">
        <x:v>8</x:v>
      </x:c>
      <x:c r="L2825" s="15" t="n">
        <x:v>61</x:v>
      </x:c>
      <x:c r="M2825" s="13" t="n">
        <x:f>J2825+(K2825+L2825)/1440</x:f>
        <x:v>46310.34444444445</x:v>
      </x:c>
      <x:c r="N2825" s="13" t="n">
        <x:f>VLOOKUP(C2825,'MES orders'!$A$8:$H$127,5,FALSE)</x:f>
        <x:v>46309.666666666664</x:v>
      </x:c>
      <x:c r="O2825" s="16" t="n">
        <x:f>MAX(0,(M2825-N2825)*24)</x:f>
        <x:v>16.2666666667792</x:v>
      </x:c>
      <x:c r="P2825" s="9" t="str">
        <x:v>No</x:v>
      </x:c>
      <x:c r="Q2825" s="15" t="n">
        <x:v>69</x:v>
      </x:c>
      <x:c r="R2825" s="13" t="n">
        <x:f>J2825+Q2825/1440</x:f>
        <x:v>46310.34444444445</x:v>
      </x:c>
      <x:c r="S2825" s="2" t="str">
        <x:f>VLOOKUP(C2825,'MES orders'!$A$8:$H$127,6,FALSE)</x:f>
        <x:v>Normal</x:v>
      </x:c>
      <x:c r="T2825" s="9" t="str"/>
    </x:row>
    <x:row r="2826" ht="22" customHeight="1">
      <x:c r="A2826" s="2" t="str">
        <x:v>L00268-050</x:v>
      </x:c>
      <x:c r="B2826" s="2" t="str">
        <x:v>L00268</x:v>
      </x:c>
      <x:c r="C2826" s="2" t="str">
        <x:v>SO-26054</x:v>
      </x:c>
      <x:c r="D2826" s="2" t="str">
        <x:v>R-L-SS</x:v>
      </x:c>
      <x:c r="E2826" s="14" t="n">
        <x:v>25</x:v>
      </x:c>
      <x:c r="F2826" s="2" t="str">
        <x:v>Valve adjustment</x:v>
      </x:c>
      <x:c r="G2826" s="9" t="str">
        <x:v>AS-01</x:v>
      </x:c>
      <x:c r="H2826" s="15" t="n">
        <x:v>225</x:v>
      </x:c>
      <x:c r="I2826" s="9" t="str">
        <x:v>P05</x:v>
      </x:c>
      <x:c r="J2826" s="11" t="n">
        <x:v>46310.29791666667</x:v>
      </x:c>
      <x:c r="K2826" s="15" t="n">
        <x:v>6</x:v>
      </x:c>
      <x:c r="L2826" s="15" t="n">
        <x:v>37</x:v>
      </x:c>
      <x:c r="M2826" s="13" t="n">
        <x:f>J2826+(K2826+L2826)/1440</x:f>
        <x:v>46310.327777777784</x:v>
      </x:c>
      <x:c r="N2826" s="13" t="n">
        <x:f>VLOOKUP(C2826,'MES orders'!$A$8:$H$127,5,FALSE)</x:f>
        <x:v>46309.666666666664</x:v>
      </x:c>
      <x:c r="O2826" s="16" t="n">
        <x:f>MAX(0,(M2826-N2826)*24)</x:f>
        <x:v>15.866666666872334</x:v>
      </x:c>
      <x:c r="P2826" s="9" t="str">
        <x:v>No</x:v>
      </x:c>
      <x:c r="Q2826" s="15" t="n">
        <x:v>43</x:v>
      </x:c>
      <x:c r="R2826" s="13" t="n">
        <x:f>J2826+Q2826/1440</x:f>
        <x:v>46310.327777777784</x:v>
      </x:c>
      <x:c r="S2826" s="2" t="str">
        <x:f>VLOOKUP(C2826,'MES orders'!$A$8:$H$127,6,FALSE)</x:f>
        <x:v>Normal</x:v>
      </x:c>
      <x:c r="T2826" s="9" t="str"/>
    </x:row>
    <x:row r="2827" ht="22" customHeight="1">
      <x:c r="A2827" s="2" t="str">
        <x:v>L00310-030</x:v>
      </x:c>
      <x:c r="B2827" s="2" t="str">
        <x:v>L00310</x:v>
      </x:c>
      <x:c r="C2827" s="2" t="str">
        <x:v>SO-26062</x:v>
      </x:c>
      <x:c r="D2827" s="2" t="str">
        <x:v>S-C-SS</x:v>
      </x:c>
      <x:c r="E2827" s="14" t="n">
        <x:v>5</x:v>
      </x:c>
      <x:c r="F2827" s="2" t="str">
        <x:v>Wash &amp; dry</x:v>
      </x:c>
      <x:c r="G2827" s="9" t="str">
        <x:v>WS-01</x:v>
      </x:c>
      <x:c r="H2827" s="15" t="n">
        <x:v>260</x:v>
      </x:c>
      <x:c r="I2827" s="9" t="str">
        <x:v>P04</x:v>
      </x:c>
      <x:c r="J2827" s="11" t="n">
        <x:v>46310.29791666667</x:v>
      </x:c>
      <x:c r="K2827" s="15" t="n">
        <x:v>12</x:v>
      </x:c>
      <x:c r="L2827" s="15" t="n">
        <x:v>1</x:v>
      </x:c>
      <x:c r="M2827" s="13" t="n">
        <x:f>J2827+(K2827+L2827)/1440</x:f>
        <x:v>46310.30694444445</x:v>
      </x:c>
      <x:c r="N2827" s="13" t="n">
        <x:f>VLOOKUP(C2827,'MES orders'!$A$8:$H$127,5,FALSE)</x:f>
        <x:v>46309.666666666664</x:v>
      </x:c>
      <x:c r="O2827" s="16" t="n">
        <x:f>MAX(0,(M2827-N2827)*24)</x:f>
        <x:v>15.366666666814126</x:v>
      </x:c>
      <x:c r="P2827" s="9" t="str">
        <x:v>No</x:v>
      </x:c>
      <x:c r="Q2827" s="15" t="n">
        <x:v>13</x:v>
      </x:c>
      <x:c r="R2827" s="13" t="n">
        <x:f>J2827+Q2827/1440</x:f>
        <x:v>46310.30694444445</x:v>
      </x:c>
      <x:c r="S2827" s="2" t="str">
        <x:f>VLOOKUP(C2827,'MES orders'!$A$8:$H$127,6,FALSE)</x:f>
        <x:v>Normal</x:v>
      </x:c>
      <x:c r="T2827" s="9" t="str"/>
    </x:row>
    <x:row r="2828" ht="22" customHeight="1">
      <x:c r="A2828" s="2" t="str">
        <x:v>L00193-030</x:v>
      </x:c>
      <x:c r="B2828" s="2" t="str">
        <x:v>L00193</x:v>
      </x:c>
      <x:c r="C2828" s="2" t="str">
        <x:v>SO-26039</x:v>
      </x:c>
      <x:c r="D2828" s="2" t="str">
        <x:v>S-S-AL</x:v>
      </x:c>
      <x:c r="E2828" s="14" t="n">
        <x:v>5</x:v>
      </x:c>
      <x:c r="F2828" s="2" t="str">
        <x:v>Wash &amp; dry</x:v>
      </x:c>
      <x:c r="G2828" s="9" t="str">
        <x:v>WS-02</x:v>
      </x:c>
      <x:c r="H2828" s="15" t="n">
        <x:v>187</x:v>
      </x:c>
      <x:c r="I2828" s="9" t="str">
        <x:v>P01</x:v>
      </x:c>
      <x:c r="J2828" s="11" t="n">
        <x:v>46310.302083333336</x:v>
      </x:c>
      <x:c r="K2828" s="15" t="n">
        <x:v>12</x:v>
      </x:c>
      <x:c r="L2828" s="15" t="n">
        <x:v>2</x:v>
      </x:c>
      <x:c r="M2828" s="13" t="n">
        <x:f>J2828+(K2828+L2828)/1440</x:f>
        <x:v>46310.31180555556</x:v>
      </x:c>
      <x:c r="N2828" s="13" t="n">
        <x:f>VLOOKUP(C2828,'MES orders'!$A$8:$H$127,5,FALSE)</x:f>
        <x:v>46310.666666666664</x:v>
      </x:c>
      <x:c r="O2828" s="16" t="n">
        <x:f>MAX(0,(M2828-N2828)*24)</x:f>
        <x:v>0</x:v>
      </x:c>
      <x:c r="P2828" s="9" t="str">
        <x:v>No</x:v>
      </x:c>
      <x:c r="Q2828" s="15" t="n">
        <x:v>14</x:v>
      </x:c>
      <x:c r="R2828" s="13" t="n">
        <x:f>J2828+Q2828/1440</x:f>
        <x:v>46310.31180555556</x:v>
      </x:c>
      <x:c r="S2828" s="2" t="str">
        <x:f>VLOOKUP(C2828,'MES orders'!$A$8:$H$127,6,FALSE)</x:f>
        <x:v>Normal</x:v>
      </x:c>
      <x:c r="T2828" s="9" t="str"/>
    </x:row>
    <x:row r="2829" ht="22" customHeight="1">
      <x:c r="A2829" s="2" t="str">
        <x:v>L00309-060</x:v>
      </x:c>
      <x:c r="B2829" s="2" t="str">
        <x:v>L00309</x:v>
      </x:c>
      <x:c r="C2829" s="2" t="str">
        <x:v>SO-26062</x:v>
      </x:c>
      <x:c r="D2829" s="2" t="str">
        <x:v>S-C-SS</x:v>
      </x:c>
      <x:c r="E2829" s="14" t="n">
        <x:v>5</x:v>
      </x:c>
      <x:c r="F2829" s="2" t="str">
        <x:v>Sensor calibration</x:v>
      </x:c>
      <x:c r="G2829" s="9" t="str">
        <x:v>CAL-01</x:v>
      </x:c>
      <x:c r="H2829" s="15" t="n">
        <x:v>145</x:v>
      </x:c>
      <x:c r="I2829" s="9" t="str">
        <x:v>P09</x:v>
      </x:c>
      <x:c r="J2829" s="11" t="n">
        <x:v>46310.30486111111</x:v>
      </x:c>
      <x:c r="K2829" s="15" t="n">
        <x:v>10</x:v>
      </x:c>
      <x:c r="L2829" s="15" t="n">
        <x:v>5</x:v>
      </x:c>
      <x:c r="M2829" s="13" t="n">
        <x:f>J2829+(K2829+L2829)/1440</x:f>
        <x:v>46310.31527777777</x:v>
      </x:c>
      <x:c r="N2829" s="13" t="n">
        <x:f>VLOOKUP(C2829,'MES orders'!$A$8:$H$127,5,FALSE)</x:f>
        <x:v>46309.666666666664</x:v>
      </x:c>
      <x:c r="O2829" s="16" t="n">
        <x:f>MAX(0,(M2829-N2829)*24)</x:f>
        <x:v>15.566666666592937</x:v>
      </x:c>
      <x:c r="P2829" s="9" t="str">
        <x:v>No</x:v>
      </x:c>
      <x:c r="Q2829" s="15" t="n">
        <x:v>15</x:v>
      </x:c>
      <x:c r="R2829" s="13" t="n">
        <x:f>J2829+Q2829/1440</x:f>
        <x:v>46310.31527777777</x:v>
      </x:c>
      <x:c r="S2829" s="2" t="str">
        <x:f>VLOOKUP(C2829,'MES orders'!$A$8:$H$127,6,FALSE)</x:f>
        <x:v>Normal</x:v>
      </x:c>
      <x:c r="T2829" s="9" t="str"/>
    </x:row>
    <x:row r="2830" ht="22" customHeight="1">
      <x:c r="A2830" s="2" t="str">
        <x:v>L00310-040</x:v>
      </x:c>
      <x:c r="B2830" s="2" t="str">
        <x:v>L00310</x:v>
      </x:c>
      <x:c r="C2830" s="2" t="str">
        <x:v>SO-26062</x:v>
      </x:c>
      <x:c r="D2830" s="2" t="str">
        <x:v>S-C-SS</x:v>
      </x:c>
      <x:c r="E2830" s="14" t="n">
        <x:v>5</x:v>
      </x:c>
      <x:c r="F2830" s="2" t="str">
        <x:v>Mechanical preassembly</x:v>
      </x:c>
      <x:c r="G2830" s="9" t="str">
        <x:v>AS-03</x:v>
      </x:c>
      <x:c r="H2830" s="15" t="n">
        <x:v>149</x:v>
      </x:c>
      <x:c r="I2830" s="9" t="str">
        <x:v>P04</x:v>
      </x:c>
      <x:c r="J2830" s="11" t="n">
        <x:v>46310.30694444444</x:v>
      </x:c>
      <x:c r="K2830" s="15" t="n">
        <x:v>6</x:v>
      </x:c>
      <x:c r="L2830" s="15" t="n">
        <x:v>4</x:v>
      </x:c>
      <x:c r="M2830" s="13" t="n">
        <x:f>J2830+(K2830+L2830)/1440</x:f>
        <x:v>46310.313888888886</x:v>
      </x:c>
      <x:c r="N2830" s="13" t="n">
        <x:f>VLOOKUP(C2830,'MES orders'!$A$8:$H$127,5,FALSE)</x:f>
        <x:v>46309.666666666664</x:v>
      </x:c>
      <x:c r="O2830" s="16" t="n">
        <x:f>MAX(0,(M2830-N2830)*24)</x:f>
        <x:v>15.533333333325572</x:v>
      </x:c>
      <x:c r="P2830" s="9" t="str">
        <x:v>No</x:v>
      </x:c>
      <x:c r="Q2830" s="15" t="n">
        <x:v>10</x:v>
      </x:c>
      <x:c r="R2830" s="13" t="n">
        <x:f>J2830+Q2830/1440</x:f>
        <x:v>46310.313888888886</x:v>
      </x:c>
      <x:c r="S2830" s="2" t="str">
        <x:f>VLOOKUP(C2830,'MES orders'!$A$8:$H$127,6,FALSE)</x:f>
        <x:v>Normal</x:v>
      </x:c>
      <x:c r="T2830" s="9" t="str"/>
    </x:row>
    <x:row r="2831" ht="22" customHeight="1">
      <x:c r="A2831" s="2" t="str">
        <x:v>L00191-080</x:v>
      </x:c>
      <x:c r="B2831" s="2" t="str">
        <x:v>L00191</x:v>
      </x:c>
      <x:c r="C2831" s="2" t="str">
        <x:v>SO-26039</x:v>
      </x:c>
      <x:c r="D2831" s="2" t="str">
        <x:v>S-S-AL</x:v>
      </x:c>
      <x:c r="E2831" s="14" t="n">
        <x:v>5</x:v>
      </x:c>
      <x:c r="F2831" s="2" t="str">
        <x:v>Final leak / function test</x:v>
      </x:c>
      <x:c r="G2831" s="9" t="str">
        <x:v>QA-02</x:v>
      </x:c>
      <x:c r="H2831" s="15" t="n">
        <x:v>207</x:v>
      </x:c>
      <x:c r="I2831" s="9" t="str">
        <x:v>P11</x:v>
      </x:c>
      <x:c r="J2831" s="11" t="n">
        <x:v>46310.30763888889</x:v>
      </x:c>
      <x:c r="K2831" s="15" t="n">
        <x:v>10</x:v>
      </x:c>
      <x:c r="L2831" s="15" t="n">
        <x:v>4</x:v>
      </x:c>
      <x:c r="M2831" s="13" t="n">
        <x:f>J2831+(K2831+L2831)/1440</x:f>
        <x:v>46310.31736111111</x:v>
      </x:c>
      <x:c r="N2831" s="13" t="n">
        <x:f>VLOOKUP(C2831,'MES orders'!$A$8:$H$127,5,FALSE)</x:f>
        <x:v>46310.666666666664</x:v>
      </x:c>
      <x:c r="O2831" s="16" t="n">
        <x:f>MAX(0,(M2831-N2831)*24)</x:f>
        <x:v>0</x:v>
      </x:c>
      <x:c r="P2831" s="9" t="str">
        <x:v>No</x:v>
      </x:c>
      <x:c r="Q2831" s="15" t="n">
        <x:v>14</x:v>
      </x:c>
      <x:c r="R2831" s="13" t="n">
        <x:f>J2831+Q2831/1440</x:f>
        <x:v>46310.31736111111</x:v>
      </x:c>
      <x:c r="S2831" s="2" t="str">
        <x:f>VLOOKUP(C2831,'MES orders'!$A$8:$H$127,6,FALSE)</x:f>
        <x:v>Normal</x:v>
      </x:c>
      <x:c r="T2831" s="9" t="str"/>
    </x:row>
    <x:row r="2832" ht="22" customHeight="1">
      <x:c r="A2832" s="2" t="str">
        <x:v>L00194-010</x:v>
      </x:c>
      <x:c r="B2832" s="2" t="str">
        <x:v>L00194</x:v>
      </x:c>
      <x:c r="C2832" s="2" t="str">
        <x:v>SO-26039</x:v>
      </x:c>
      <x:c r="D2832" s="2" t="str">
        <x:v>S-S-AL</x:v>
      </x:c>
      <x:c r="E2832" s="14" t="n">
        <x:v>5</x:v>
      </x:c>
      <x:c r="F2832" s="2" t="str">
        <x:v>CNC machining</x:v>
      </x:c>
      <x:c r="G2832" s="9" t="str">
        <x:v>CNC-01</x:v>
      </x:c>
      <x:c r="H2832" s="15" t="n">
        <x:v>77</x:v>
      </x:c>
      <x:c r="I2832" s="9" t="str">
        <x:v>P03</x:v>
      </x:c>
      <x:c r="J2832" s="11" t="n">
        <x:v>46310.308333333334</x:v>
      </x:c>
      <x:c r="K2832" s="15" t="n">
        <x:v>18</x:v>
      </x:c>
      <x:c r="L2832" s="15" t="n">
        <x:v>12</x:v>
      </x:c>
      <x:c r="M2832" s="13" t="n">
        <x:f>J2832+(K2832+L2832)/1440</x:f>
        <x:v>46310.32916666667</x:v>
      </x:c>
      <x:c r="N2832" s="13" t="n">
        <x:f>VLOOKUP(C2832,'MES orders'!$A$8:$H$127,5,FALSE)</x:f>
        <x:v>46310.666666666664</x:v>
      </x:c>
      <x:c r="O2832" s="16" t="n">
        <x:f>MAX(0,(M2832-N2832)*24)</x:f>
        <x:v>0</x:v>
      </x:c>
      <x:c r="P2832" s="9" t="str">
        <x:v>No</x:v>
      </x:c>
      <x:c r="Q2832" s="15" t="n">
        <x:v>18</x:v>
      </x:c>
      <x:c r="R2832" s="13" t="n">
        <x:f>J2832+Q2832/1440</x:f>
        <x:v>46310.32083333333</x:v>
      </x:c>
      <x:c r="S2832" s="2" t="str">
        <x:f>VLOOKUP(C2832,'MES orders'!$A$8:$H$127,6,FALSE)</x:f>
        <x:v>Normal</x:v>
      </x:c>
      <x:c r="T2832" s="9" t="str"/>
    </x:row>
    <x:row r="2833" ht="22" customHeight="1">
      <x:c r="A2833" s="2" t="str">
        <x:v>L00193-040</x:v>
      </x:c>
      <x:c r="B2833" s="2" t="str">
        <x:v>L00193</x:v>
      </x:c>
      <x:c r="C2833" s="2" t="str">
        <x:v>SO-26039</x:v>
      </x:c>
      <x:c r="D2833" s="2" t="str">
        <x:v>S-S-AL</x:v>
      </x:c>
      <x:c r="E2833" s="14" t="n">
        <x:v>5</x:v>
      </x:c>
      <x:c r="F2833" s="2" t="str">
        <x:v>Mechanical preassembly</x:v>
      </x:c>
      <x:c r="G2833" s="9" t="str">
        <x:v>AS-04</x:v>
      </x:c>
      <x:c r="H2833" s="15" t="n">
        <x:v>105</x:v>
      </x:c>
      <x:c r="I2833" s="9" t="str">
        <x:v>P02</x:v>
      </x:c>
      <x:c r="J2833" s="11" t="n">
        <x:v>46310.31180555555</x:v>
      </x:c>
      <x:c r="K2833" s="15" t="n">
        <x:v>6</x:v>
      </x:c>
      <x:c r="L2833" s="15" t="n">
        <x:v>6</x:v>
      </x:c>
      <x:c r="M2833" s="13" t="n">
        <x:f>J2833+(K2833+L2833)/1440</x:f>
        <x:v>46310.320138888885</x:v>
      </x:c>
      <x:c r="N2833" s="13" t="n">
        <x:f>VLOOKUP(C2833,'MES orders'!$A$8:$H$127,5,FALSE)</x:f>
        <x:v>46310.666666666664</x:v>
      </x:c>
      <x:c r="O2833" s="16" t="n">
        <x:f>MAX(0,(M2833-N2833)*24)</x:f>
        <x:v>0</x:v>
      </x:c>
      <x:c r="P2833" s="9" t="str">
        <x:v>No</x:v>
      </x:c>
      <x:c r="Q2833" s="15" t="n">
        <x:v>12</x:v>
      </x:c>
      <x:c r="R2833" s="13" t="n">
        <x:f>J2833+Q2833/1440</x:f>
        <x:v>46310.320138888885</x:v>
      </x:c>
      <x:c r="S2833" s="2" t="str">
        <x:f>VLOOKUP(C2833,'MES orders'!$A$8:$H$127,6,FALSE)</x:f>
        <x:v>Normal</x:v>
      </x:c>
      <x:c r="T2833" s="9" t="str"/>
    </x:row>
    <x:row r="2834" ht="22" customHeight="1">
      <x:c r="A2834" s="2" t="str">
        <x:v>L00430-020</x:v>
      </x:c>
      <x:c r="B2834" s="2" t="str">
        <x:v>L00430</x:v>
      </x:c>
      <x:c r="C2834" s="2" t="str">
        <x:v>SO-26086</x:v>
      </x:c>
      <x:c r="D2834" s="2" t="str">
        <x:v>D-C-SS</x:v>
      </x:c>
      <x:c r="E2834" s="14" t="n">
        <x:v>5</x:v>
      </x:c>
      <x:c r="F2834" s="2" t="str">
        <x:v>Deburr &amp; inspect</x:v>
      </x:c>
      <x:c r="G2834" s="9" t="str">
        <x:v>DB-01</x:v>
      </x:c>
      <x:c r="H2834" s="15" t="n">
        <x:v>266</x:v>
      </x:c>
      <x:c r="I2834" s="9" t="str">
        <x:v>P04</x:v>
      </x:c>
      <x:c r="J2834" s="11" t="n">
        <x:v>46310.313888888886</x:v>
      </x:c>
      <x:c r="K2834" s="15" t="n">
        <x:v>4</x:v>
      </x:c>
      <x:c r="L2834" s="15" t="n">
        <x:v>3</x:v>
      </x:c>
      <x:c r="M2834" s="13" t="n">
        <x:f>J2834+(K2834+L2834)/1440</x:f>
        <x:v>46310.31875</x:v>
      </x:c>
      <x:c r="N2834" s="13" t="n">
        <x:f>VLOOKUP(C2834,'MES orders'!$A$8:$H$127,5,FALSE)</x:f>
        <x:v>46309.666666666664</x:v>
      </x:c>
      <x:c r="O2834" s="16" t="n">
        <x:f>MAX(0,(M2834-N2834)*24)</x:f>
        <x:v>15.650000000023283</x:v>
      </x:c>
      <x:c r="P2834" s="9" t="str">
        <x:v>No</x:v>
      </x:c>
      <x:c r="Q2834" s="15" t="n">
        <x:v>7</x:v>
      </x:c>
      <x:c r="R2834" s="13" t="n">
        <x:f>J2834+Q2834/1440</x:f>
        <x:v>46310.31875</x:v>
      </x:c>
      <x:c r="S2834" s="2" t="str">
        <x:f>VLOOKUP(C2834,'MES orders'!$A$8:$H$127,6,FALSE)</x:f>
        <x:v>Normal</x:v>
      </x:c>
      <x:c r="T2834" s="9" t="str"/>
    </x:row>
    <x:row r="2835" ht="22" customHeight="1">
      <x:c r="A2835" s="2" t="str">
        <x:v>L00310-050</x:v>
      </x:c>
      <x:c r="B2835" s="2" t="str">
        <x:v>L00310</x:v>
      </x:c>
      <x:c r="C2835" s="2" t="str">
        <x:v>SO-26062</x:v>
      </x:c>
      <x:c r="D2835" s="2" t="str">
        <x:v>S-C-SS</x:v>
      </x:c>
      <x:c r="E2835" s="14" t="n">
        <x:v>5</x:v>
      </x:c>
      <x:c r="F2835" s="2" t="str">
        <x:v>Sensor installation</x:v>
      </x:c>
      <x:c r="G2835" s="9" t="str">
        <x:v>EL-01</x:v>
      </x:c>
      <x:c r="H2835" s="15" t="n">
        <x:v>99</x:v>
      </x:c>
      <x:c r="I2835" s="9" t="str">
        <x:v>P07</x:v>
      </x:c>
      <x:c r="J2835" s="11" t="n">
        <x:v>46310.313888888886</x:v>
      </x:c>
      <x:c r="K2835" s="15" t="n">
        <x:v>8</x:v>
      </x:c>
      <x:c r="L2835" s="15" t="n">
        <x:v>5</x:v>
      </x:c>
      <x:c r="M2835" s="13" t="n">
        <x:f>J2835+(K2835+L2835)/1440</x:f>
        <x:v>46310.322916666664</x:v>
      </x:c>
      <x:c r="N2835" s="13" t="n">
        <x:f>VLOOKUP(C2835,'MES orders'!$A$8:$H$127,5,FALSE)</x:f>
        <x:v>46309.666666666664</x:v>
      </x:c>
      <x:c r="O2835" s="16" t="n">
        <x:f>MAX(0,(M2835-N2835)*24)</x:f>
        <x:v>15.75</x:v>
      </x:c>
      <x:c r="P2835" s="9" t="str">
        <x:v>No</x:v>
      </x:c>
      <x:c r="Q2835" s="15" t="n">
        <x:v>13</x:v>
      </x:c>
      <x:c r="R2835" s="13" t="n">
        <x:f>J2835+Q2835/1440</x:f>
        <x:v>46310.322916666664</x:v>
      </x:c>
      <x:c r="S2835" s="2" t="str">
        <x:f>VLOOKUP(C2835,'MES orders'!$A$8:$H$127,6,FALSE)</x:f>
        <x:v>Normal</x:v>
      </x:c>
      <x:c r="T2835" s="9" t="str"/>
    </x:row>
    <x:row r="2836" ht="22" customHeight="1">
      <x:c r="A2836" s="2" t="str">
        <x:v>L00509-010</x:v>
      </x:c>
      <x:c r="B2836" s="2" t="str">
        <x:v>L00509</x:v>
      </x:c>
      <x:c r="C2836" s="2" t="str">
        <x:v>SO-26102</x:v>
      </x:c>
      <x:c r="D2836" s="2" t="str">
        <x:v>D-L-SS</x:v>
      </x:c>
      <x:c r="E2836" s="14" t="n">
        <x:v>25</x:v>
      </x:c>
      <x:c r="F2836" s="2" t="str">
        <x:v>CNC machining</x:v>
      </x:c>
      <x:c r="G2836" s="9" t="str">
        <x:v>CNC-03</x:v>
      </x:c>
      <x:c r="H2836" s="15" t="n">
        <x:v>90</x:v>
      </x:c>
      <x:c r="I2836" s="9" t="str">
        <x:v>P01</x:v>
      </x:c>
      <x:c r="J2836" s="11" t="n">
        <x:v>46310.316666666666</x:v>
      </x:c>
      <x:c r="K2836" s="15" t="n">
        <x:v>18</x:v>
      </x:c>
      <x:c r="L2836" s="15" t="n">
        <x:v>101</x:v>
      </x:c>
      <x:c r="M2836" s="13" t="n">
        <x:f>J2836+(K2836+L2836)/1440</x:f>
        <x:v>46310.399305555555</x:v>
      </x:c>
      <x:c r="N2836" s="13" t="n">
        <x:f>VLOOKUP(C2836,'MES orders'!$A$8:$H$127,5,FALSE)</x:f>
        <x:v>46309.666666666664</x:v>
      </x:c>
      <x:c r="O2836" s="16" t="n">
        <x:f>MAX(0,(M2836-N2836)*24)</x:f>
        <x:v>17.58333333337214</x:v>
      </x:c>
      <x:c r="P2836" s="9" t="str">
        <x:v>No</x:v>
      </x:c>
      <x:c r="Q2836" s="15" t="n">
        <x:v>18</x:v>
      </x:c>
      <x:c r="R2836" s="13" t="n">
        <x:f>J2836+Q2836/1440</x:f>
        <x:v>46310.32916666666</x:v>
      </x:c>
      <x:c r="S2836" s="2" t="str">
        <x:f>VLOOKUP(C2836,'MES orders'!$A$8:$H$127,6,FALSE)</x:f>
        <x:v>Normal</x:v>
      </x:c>
      <x:c r="T2836" s="9" t="str"/>
    </x:row>
    <x:row r="2837" ht="22" customHeight="1">
      <x:c r="A2837" s="2" t="str">
        <x:v>L00430-030</x:v>
      </x:c>
      <x:c r="B2837" s="2" t="str">
        <x:v>L00430</x:v>
      </x:c>
      <x:c r="C2837" s="2" t="str">
        <x:v>SO-26086</x:v>
      </x:c>
      <x:c r="D2837" s="2" t="str">
        <x:v>D-C-SS</x:v>
      </x:c>
      <x:c r="E2837" s="14" t="n">
        <x:v>5</x:v>
      </x:c>
      <x:c r="F2837" s="2" t="str">
        <x:v>Wash &amp; dry</x:v>
      </x:c>
      <x:c r="G2837" s="9" t="str">
        <x:v>WS-01</x:v>
      </x:c>
      <x:c r="H2837" s="15" t="n">
        <x:v>261</x:v>
      </x:c>
      <x:c r="I2837" s="9" t="str">
        <x:v>P04</x:v>
      </x:c>
      <x:c r="J2837" s="11" t="n">
        <x:v>46310.31875</x:v>
      </x:c>
      <x:c r="K2837" s="15" t="n">
        <x:v>12</x:v>
      </x:c>
      <x:c r="L2837" s="15" t="n">
        <x:v>1</x:v>
      </x:c>
      <x:c r="M2837" s="13" t="n">
        <x:f>J2837+(K2837+L2837)/1440</x:f>
        <x:v>46310.32777777778</x:v>
      </x:c>
      <x:c r="N2837" s="13" t="n">
        <x:f>VLOOKUP(C2837,'MES orders'!$A$8:$H$127,5,FALSE)</x:f>
        <x:v>46309.666666666664</x:v>
      </x:c>
      <x:c r="O2837" s="16" t="n">
        <x:f>MAX(0,(M2837-N2837)*24)</x:f>
        <x:v>15.86666666669771</x:v>
      </x:c>
      <x:c r="P2837" s="9" t="str">
        <x:v>No</x:v>
      </x:c>
      <x:c r="Q2837" s="15" t="n">
        <x:v>13</x:v>
      </x:c>
      <x:c r="R2837" s="13" t="n">
        <x:f>J2837+Q2837/1440</x:f>
        <x:v>46310.32777777778</x:v>
      </x:c>
      <x:c r="S2837" s="2" t="str">
        <x:f>VLOOKUP(C2837,'MES orders'!$A$8:$H$127,6,FALSE)</x:f>
        <x:v>Normal</x:v>
      </x:c>
      <x:c r="T2837" s="9" t="str"/>
    </x:row>
    <x:row r="2838" ht="22" customHeight="1">
      <x:c r="A2838" s="2" t="str">
        <x:v>L00195-010</x:v>
      </x:c>
      <x:c r="B2838" s="2" t="str">
        <x:v>L00195</x:v>
      </x:c>
      <x:c r="C2838" s="2" t="str">
        <x:v>SO-26039</x:v>
      </x:c>
      <x:c r="D2838" s="2" t="str">
        <x:v>S-S-AL</x:v>
      </x:c>
      <x:c r="E2838" s="14" t="n">
        <x:v>5</x:v>
      </x:c>
      <x:c r="F2838" s="2" t="str">
        <x:v>CNC machining</x:v>
      </x:c>
      <x:c r="G2838" s="9" t="str">
        <x:v>CNC-02</x:v>
      </x:c>
      <x:c r="H2838" s="15" t="n">
        <x:v>55</x:v>
      </x:c>
      <x:c r="I2838" s="9" t="str">
        <x:v>P02</x:v>
      </x:c>
      <x:c r="J2838" s="11" t="n">
        <x:v>46310.32013888889</x:v>
      </x:c>
      <x:c r="K2838" s="15" t="n">
        <x:v>18</x:v>
      </x:c>
      <x:c r="L2838" s="15" t="n">
        <x:v>12</x:v>
      </x:c>
      <x:c r="M2838" s="13" t="n">
        <x:f>J2838+(K2838+L2838)/1440</x:f>
        <x:v>46310.34097222223</x:v>
      </x:c>
      <x:c r="N2838" s="13" t="n">
        <x:f>VLOOKUP(C2838,'MES orders'!$A$8:$H$127,5,FALSE)</x:f>
        <x:v>46310.666666666664</x:v>
      </x:c>
      <x:c r="O2838" s="16" t="n">
        <x:f>MAX(0,(M2838-N2838)*24)</x:f>
        <x:v>0</x:v>
      </x:c>
      <x:c r="P2838" s="9" t="str">
        <x:v>No</x:v>
      </x:c>
      <x:c r="Q2838" s="15" t="n">
        <x:v>18</x:v>
      </x:c>
      <x:c r="R2838" s="13" t="n">
        <x:f>J2838+Q2838/1440</x:f>
        <x:v>46310.33263888889</x:v>
      </x:c>
      <x:c r="S2838" s="2" t="str">
        <x:f>VLOOKUP(C2838,'MES orders'!$A$8:$H$127,6,FALSE)</x:f>
        <x:v>Normal</x:v>
      </x:c>
      <x:c r="T2838" s="9" t="str"/>
    </x:row>
    <x:row r="2839" ht="22" customHeight="1">
      <x:c r="A2839" s="2" t="str">
        <x:v>L00193-050</x:v>
      </x:c>
      <x:c r="B2839" s="2" t="str">
        <x:v>L00193</x:v>
      </x:c>
      <x:c r="C2839" s="2" t="str">
        <x:v>SO-26039</x:v>
      </x:c>
      <x:c r="D2839" s="2" t="str">
        <x:v>S-S-AL</x:v>
      </x:c>
      <x:c r="E2839" s="14" t="n">
        <x:v>5</x:v>
      </x:c>
      <x:c r="F2839" s="2" t="str">
        <x:v>Sensor installation</x:v>
      </x:c>
      <x:c r="G2839" s="9" t="str">
        <x:v>EL-02</x:v>
      </x:c>
      <x:c r="H2839" s="15" t="n">
        <x:v>48</x:v>
      </x:c>
      <x:c r="I2839" s="9" t="str">
        <x:v>P08</x:v>
      </x:c>
      <x:c r="J2839" s="11" t="n">
        <x:v>46310.32013888889</x:v>
      </x:c>
      <x:c r="K2839" s="15" t="n">
        <x:v>8</x:v>
      </x:c>
      <x:c r="L2839" s="15" t="n">
        <x:v>6</x:v>
      </x:c>
      <x:c r="M2839" s="13" t="n">
        <x:f>J2839+(K2839+L2839)/1440</x:f>
        <x:v>46310.32986111112</x:v>
      </x:c>
      <x:c r="N2839" s="13" t="n">
        <x:f>VLOOKUP(C2839,'MES orders'!$A$8:$H$127,5,FALSE)</x:f>
        <x:v>46310.666666666664</x:v>
      </x:c>
      <x:c r="O2839" s="16" t="n">
        <x:f>MAX(0,(M2839-N2839)*24)</x:f>
        <x:v>0</x:v>
      </x:c>
      <x:c r="P2839" s="9" t="str">
        <x:v>No</x:v>
      </x:c>
      <x:c r="Q2839" s="15" t="n">
        <x:v>14</x:v>
      </x:c>
      <x:c r="R2839" s="13" t="n">
        <x:f>J2839+Q2839/1440</x:f>
        <x:v>46310.32986111112</x:v>
      </x:c>
      <x:c r="S2839" s="2" t="str">
        <x:f>VLOOKUP(C2839,'MES orders'!$A$8:$H$127,6,FALSE)</x:f>
        <x:v>Normal</x:v>
      </x:c>
      <x:c r="T2839" s="9" t="str"/>
    </x:row>
    <x:row r="2840" ht="22" customHeight="1">
      <x:c r="A2840" s="2" t="str">
        <x:v>L00310-060</x:v>
      </x:c>
      <x:c r="B2840" s="2" t="str">
        <x:v>L00310</x:v>
      </x:c>
      <x:c r="C2840" s="2" t="str">
        <x:v>SO-26062</x:v>
      </x:c>
      <x:c r="D2840" s="2" t="str">
        <x:v>S-C-SS</x:v>
      </x:c>
      <x:c r="E2840" s="14" t="n">
        <x:v>5</x:v>
      </x:c>
      <x:c r="F2840" s="2" t="str">
        <x:v>Sensor calibration</x:v>
      </x:c>
      <x:c r="G2840" s="9" t="str">
        <x:v>CAL-01</x:v>
      </x:c>
      <x:c r="H2840" s="15" t="n">
        <x:v>146</x:v>
      </x:c>
      <x:c r="I2840" s="9" t="str">
        <x:v>P09</x:v>
      </x:c>
      <x:c r="J2840" s="11" t="n">
        <x:v>46310.322916666664</x:v>
      </x:c>
      <x:c r="K2840" s="15" t="n">
        <x:v>10</x:v>
      </x:c>
      <x:c r="L2840" s="15" t="n">
        <x:v>5</x:v>
      </x:c>
      <x:c r="M2840" s="13" t="n">
        <x:f>J2840+(K2840+L2840)/1440</x:f>
        <x:v>46310.33333333333</x:v>
      </x:c>
      <x:c r="N2840" s="13" t="n">
        <x:f>VLOOKUP(C2840,'MES orders'!$A$8:$H$127,5,FALSE)</x:f>
        <x:v>46309.666666666664</x:v>
      </x:c>
      <x:c r="O2840" s="16" t="n">
        <x:f>MAX(0,(M2840-N2840)*24)</x:f>
        <x:v>15.999999999941792</x:v>
      </x:c>
      <x:c r="P2840" s="9" t="str">
        <x:v>No</x:v>
      </x:c>
      <x:c r="Q2840" s="15" t="n">
        <x:v>15</x:v>
      </x:c>
      <x:c r="R2840" s="13" t="n">
        <x:f>J2840+Q2840/1440</x:f>
        <x:v>46310.33333333333</x:v>
      </x:c>
      <x:c r="S2840" s="2" t="str">
        <x:f>VLOOKUP(C2840,'MES orders'!$A$8:$H$127,6,FALSE)</x:f>
        <x:v>Normal</x:v>
      </x:c>
      <x:c r="T2840" s="9" t="str"/>
    </x:row>
    <x:row r="2841" ht="22" customHeight="1">
      <x:c r="A2841" s="2" t="str">
        <x:v>L00309-070</x:v>
      </x:c>
      <x:c r="B2841" s="2" t="str">
        <x:v>L00309</x:v>
      </x:c>
      <x:c r="C2841" s="2" t="str">
        <x:v>SO-26062</x:v>
      </x:c>
      <x:c r="D2841" s="2" t="str">
        <x:v>S-C-SS</x:v>
      </x:c>
      <x:c r="E2841" s="14" t="n">
        <x:v>5</x:v>
      </x:c>
      <x:c r="F2841" s="2" t="str">
        <x:v>Final assembly</x:v>
      </x:c>
      <x:c r="G2841" s="9" t="str">
        <x:v>AS-01</x:v>
      </x:c>
      <x:c r="H2841" s="15" t="n">
        <x:v>226</x:v>
      </x:c>
      <x:c r="I2841" s="9" t="str">
        <x:v>P05</x:v>
      </x:c>
      <x:c r="J2841" s="11" t="n">
        <x:v>46310.32777777778</x:v>
      </x:c>
      <x:c r="K2841" s="15" t="n">
        <x:v>5</x:v>
      </x:c>
      <x:c r="L2841" s="15" t="n">
        <x:v>3</x:v>
      </x:c>
      <x:c r="M2841" s="13" t="n">
        <x:f>J2841+(K2841+L2841)/1440</x:f>
        <x:v>46310.333333333336</x:v>
      </x:c>
      <x:c r="N2841" s="13" t="n">
        <x:f>VLOOKUP(C2841,'MES orders'!$A$8:$H$127,5,FALSE)</x:f>
        <x:v>46309.666666666664</x:v>
      </x:c>
      <x:c r="O2841" s="16" t="n">
        <x:f>MAX(0,(M2841-N2841)*24)</x:f>
        <x:v>16.000000000116415</x:v>
      </x:c>
      <x:c r="P2841" s="9" t="str">
        <x:v>No</x:v>
      </x:c>
      <x:c r="Q2841" s="15" t="n">
        <x:v>8</x:v>
      </x:c>
      <x:c r="R2841" s="13" t="n">
        <x:f>J2841+Q2841/1440</x:f>
        <x:v>46310.333333333336</x:v>
      </x:c>
      <x:c r="S2841" s="2" t="str">
        <x:f>VLOOKUP(C2841,'MES orders'!$A$8:$H$127,6,FALSE)</x:f>
        <x:v>Normal</x:v>
      </x:c>
      <x:c r="T2841" s="9" t="str"/>
    </x:row>
    <x:row r="2842" ht="22" customHeight="1">
      <x:c r="A2842" s="2" t="str">
        <x:v>L00430-040</x:v>
      </x:c>
      <x:c r="B2842" s="2" t="str">
        <x:v>L00430</x:v>
      </x:c>
      <x:c r="C2842" s="2" t="str">
        <x:v>SO-26086</x:v>
      </x:c>
      <x:c r="D2842" s="2" t="str">
        <x:v>D-C-SS</x:v>
      </x:c>
      <x:c r="E2842" s="14" t="n">
        <x:v>5</x:v>
      </x:c>
      <x:c r="F2842" s="2" t="str">
        <x:v>Mechanical assembly</x:v>
      </x:c>
      <x:c r="G2842" s="9" t="str">
        <x:v>AS-03</x:v>
      </x:c>
      <x:c r="H2842" s="15" t="n">
        <x:v>150</x:v>
      </x:c>
      <x:c r="I2842" s="9" t="str">
        <x:v>P04</x:v>
      </x:c>
      <x:c r="J2842" s="11" t="n">
        <x:v>46310.32777777778</x:v>
      </x:c>
      <x:c r="K2842" s="15" t="n">
        <x:v>8</x:v>
      </x:c>
      <x:c r="L2842" s="15" t="n">
        <x:v>7</x:v>
      </x:c>
      <x:c r="M2842" s="13" t="n">
        <x:f>J2842+(K2842+L2842)/1440</x:f>
        <x:v>46310.33819444444</x:v>
      </x:c>
      <x:c r="N2842" s="13" t="n">
        <x:f>VLOOKUP(C2842,'MES orders'!$A$8:$H$127,5,FALSE)</x:f>
        <x:v>46309.666666666664</x:v>
      </x:c>
      <x:c r="O2842" s="16" t="n">
        <x:f>MAX(0,(M2842-N2842)*24)</x:f>
        <x:v>16.116666666639503</x:v>
      </x:c>
      <x:c r="P2842" s="9" t="str">
        <x:v>No</x:v>
      </x:c>
      <x:c r="Q2842" s="15" t="n">
        <x:v>15</x:v>
      </x:c>
      <x:c r="R2842" s="13" t="n">
        <x:f>J2842+Q2842/1440</x:f>
        <x:v>46310.33819444444</x:v>
      </x:c>
      <x:c r="S2842" s="2" t="str">
        <x:f>VLOOKUP(C2842,'MES orders'!$A$8:$H$127,6,FALSE)</x:f>
        <x:v>Normal</x:v>
      </x:c>
      <x:c r="T2842" s="9" t="str"/>
    </x:row>
    <x:row r="2843" ht="22" customHeight="1">
      <x:c r="A2843" s="2" t="str">
        <x:v>L00268-060</x:v>
      </x:c>
      <x:c r="B2843" s="2" t="str">
        <x:v>L00268</x:v>
      </x:c>
      <x:c r="C2843" s="2" t="str">
        <x:v>SO-26054</x:v>
      </x:c>
      <x:c r="D2843" s="2" t="str">
        <x:v>R-L-SS</x:v>
      </x:c>
      <x:c r="E2843" s="14" t="n">
        <x:v>25</x:v>
      </x:c>
      <x:c r="F2843" s="2" t="str">
        <x:v>Final leak / function test</x:v>
      </x:c>
      <x:c r="G2843" s="9" t="str">
        <x:v>QA-02</x:v>
      </x:c>
      <x:c r="H2843" s="15" t="n">
        <x:v>208</x:v>
      </x:c>
      <x:c r="I2843" s="9" t="str">
        <x:v>P11</x:v>
      </x:c>
      <x:c r="J2843" s="11" t="n">
        <x:v>46310.32777777778</x:v>
      </x:c>
      <x:c r="K2843" s="15" t="n">
        <x:v>10</x:v>
      </x:c>
      <x:c r="L2843" s="15" t="n">
        <x:v>30</x:v>
      </x:c>
      <x:c r="M2843" s="13" t="n">
        <x:f>J2843+(K2843+L2843)/1440</x:f>
        <x:v>46310.35555555556</x:v>
      </x:c>
      <x:c r="N2843" s="13" t="n">
        <x:f>VLOOKUP(C2843,'MES orders'!$A$8:$H$127,5,FALSE)</x:f>
        <x:v>46309.666666666664</x:v>
      </x:c>
      <x:c r="O2843" s="16" t="n">
        <x:f>MAX(0,(M2843-N2843)*24)</x:f>
        <x:v>16.533333333441988</x:v>
      </x:c>
      <x:c r="P2843" s="9" t="str">
        <x:v>No</x:v>
      </x:c>
      <x:c r="Q2843" s="15" t="n">
        <x:v>40</x:v>
      </x:c>
      <x:c r="R2843" s="13" t="n">
        <x:f>J2843+Q2843/1440</x:f>
        <x:v>46310.35555555556</x:v>
      </x:c>
      <x:c r="S2843" s="2" t="str">
        <x:f>VLOOKUP(C2843,'MES orders'!$A$8:$H$127,6,FALSE)</x:f>
        <x:v>Normal</x:v>
      </x:c>
      <x:c r="T2843" s="9" t="str"/>
    </x:row>
    <x:row r="2844" ht="22" customHeight="1">
      <x:c r="A2844" s="2" t="str">
        <x:v>L00271-010</x:v>
      </x:c>
      <x:c r="B2844" s="2" t="str">
        <x:v>L00271</x:v>
      </x:c>
      <x:c r="C2844" s="2" t="str">
        <x:v>SO-26055</x:v>
      </x:c>
      <x:c r="D2844" s="2" t="str">
        <x:v>D-C-AL</x:v>
      </x:c>
      <x:c r="E2844" s="14" t="n">
        <x:v>10</x:v>
      </x:c>
      <x:c r="F2844" s="2" t="str">
        <x:v>CNC machining</x:v>
      </x:c>
      <x:c r="G2844" s="9" t="str">
        <x:v>CNC-01</x:v>
      </x:c>
      <x:c r="H2844" s="15" t="n">
        <x:v>78</x:v>
      </x:c>
      <x:c r="I2844" s="9" t="str">
        <x:v>P03</x:v>
      </x:c>
      <x:c r="J2844" s="11" t="n">
        <x:v>46310.32916666667</x:v>
      </x:c>
      <x:c r="K2844" s="15" t="n">
        <x:v>18</x:v>
      </x:c>
      <x:c r="L2844" s="15" t="n">
        <x:v>19</x:v>
      </x:c>
      <x:c r="M2844" s="13" t="n">
        <x:f>J2844+(K2844+L2844)/1440</x:f>
        <x:v>46310.35486111111</x:v>
      </x:c>
      <x:c r="N2844" s="13" t="n">
        <x:f>VLOOKUP(C2844,'MES orders'!$A$8:$H$127,5,FALSE)</x:f>
        <x:v>46310.666666666664</x:v>
      </x:c>
      <x:c r="O2844" s="16" t="n">
        <x:f>MAX(0,(M2844-N2844)*24)</x:f>
        <x:v>0</x:v>
      </x:c>
      <x:c r="P2844" s="9" t="str">
        <x:v>No</x:v>
      </x:c>
      <x:c r="Q2844" s="15" t="n">
        <x:v>18</x:v>
      </x:c>
      <x:c r="R2844" s="13" t="n">
        <x:f>J2844+Q2844/1440</x:f>
        <x:v>46310.34166666667</x:v>
      </x:c>
      <x:c r="S2844" s="2" t="str">
        <x:f>VLOOKUP(C2844,'MES orders'!$A$8:$H$127,6,FALSE)</x:f>
        <x:v>Normal</x:v>
      </x:c>
      <x:c r="T2844" s="9" t="str"/>
    </x:row>
    <x:row r="2845" ht="22" customHeight="1">
      <x:c r="A2845" s="2" t="str">
        <x:v>L00194-020</x:v>
      </x:c>
      <x:c r="B2845" s="2" t="str">
        <x:v>L00194</x:v>
      </x:c>
      <x:c r="C2845" s="2" t="str">
        <x:v>SO-26039</x:v>
      </x:c>
      <x:c r="D2845" s="2" t="str">
        <x:v>S-S-AL</x:v>
      </x:c>
      <x:c r="E2845" s="14" t="n">
        <x:v>5</x:v>
      </x:c>
      <x:c r="F2845" s="2" t="str">
        <x:v>Deburr &amp; inspect</x:v>
      </x:c>
      <x:c r="G2845" s="9" t="str">
        <x:v>DB-01</x:v>
      </x:c>
      <x:c r="H2845" s="15" t="n">
        <x:v>267</x:v>
      </x:c>
      <x:c r="I2845" s="9" t="str">
        <x:v>P01</x:v>
      </x:c>
      <x:c r="J2845" s="11" t="n">
        <x:v>46310.32916666667</x:v>
      </x:c>
      <x:c r="K2845" s="15" t="n">
        <x:v>4</x:v>
      </x:c>
      <x:c r="L2845" s="15" t="n">
        <x:v>4</x:v>
      </x:c>
      <x:c r="M2845" s="13" t="n">
        <x:f>J2845+(K2845+L2845)/1440</x:f>
        <x:v>46310.33472222223</x:v>
      </x:c>
      <x:c r="N2845" s="13" t="n">
        <x:f>VLOOKUP(C2845,'MES orders'!$A$8:$H$127,5,FALSE)</x:f>
        <x:v>46310.666666666664</x:v>
      </x:c>
      <x:c r="O2845" s="16" t="n">
        <x:f>MAX(0,(M2845-N2845)*24)</x:f>
        <x:v>0</x:v>
      </x:c>
      <x:c r="P2845" s="9" t="str">
        <x:v>No</x:v>
      </x:c>
      <x:c r="Q2845" s="15" t="n">
        <x:v>8</x:v>
      </x:c>
      <x:c r="R2845" s="13" t="n">
        <x:f>J2845+Q2845/1440</x:f>
        <x:v>46310.33472222223</x:v>
      </x:c>
      <x:c r="S2845" s="2" t="str">
        <x:f>VLOOKUP(C2845,'MES orders'!$A$8:$H$127,6,FALSE)</x:f>
        <x:v>Normal</x:v>
      </x:c>
      <x:c r="T2845" s="9" t="str"/>
    </x:row>
    <x:row r="2846" ht="22" customHeight="1">
      <x:c r="A2846" s="2" t="str">
        <x:v>L00310-070</x:v>
      </x:c>
      <x:c r="B2846" s="2" t="str">
        <x:v>L00310</x:v>
      </x:c>
      <x:c r="C2846" s="2" t="str">
        <x:v>SO-26062</x:v>
      </x:c>
      <x:c r="D2846" s="2" t="str">
        <x:v>S-C-SS</x:v>
      </x:c>
      <x:c r="E2846" s="14" t="n">
        <x:v>5</x:v>
      </x:c>
      <x:c r="F2846" s="2" t="str">
        <x:v>Final assembly</x:v>
      </x:c>
      <x:c r="G2846" s="9" t="str">
        <x:v>AS-01</x:v>
      </x:c>
      <x:c r="H2846" s="15" t="n">
        <x:v>227</x:v>
      </x:c>
      <x:c r="I2846" s="9" t="str">
        <x:v>P05</x:v>
      </x:c>
      <x:c r="J2846" s="11" t="n">
        <x:v>46310.333333333336</x:v>
      </x:c>
      <x:c r="K2846" s="15" t="n">
        <x:v>5</x:v>
      </x:c>
      <x:c r="L2846" s="15" t="n">
        <x:v>3</x:v>
      </x:c>
      <x:c r="M2846" s="13" t="n">
        <x:f>J2846+(K2846+L2846)/1440</x:f>
        <x:v>46310.338888888895</x:v>
      </x:c>
      <x:c r="N2846" s="13" t="n">
        <x:f>VLOOKUP(C2846,'MES orders'!$A$8:$H$127,5,FALSE)</x:f>
        <x:v>46309.666666666664</x:v>
      </x:c>
      <x:c r="O2846" s="16" t="n">
        <x:f>MAX(0,(M2846-N2846)*24)</x:f>
        <x:v>16.13333333353512</x:v>
      </x:c>
      <x:c r="P2846" s="9" t="str">
        <x:v>No</x:v>
      </x:c>
      <x:c r="Q2846" s="15" t="n">
        <x:v>8</x:v>
      </x:c>
      <x:c r="R2846" s="13" t="n">
        <x:f>J2846+Q2846/1440</x:f>
        <x:v>46310.338888888895</x:v>
      </x:c>
      <x:c r="S2846" s="2" t="str">
        <x:f>VLOOKUP(C2846,'MES orders'!$A$8:$H$127,6,FALSE)</x:f>
        <x:v>Normal</x:v>
      </x:c>
      <x:c r="T2846" s="9" t="str"/>
    </x:row>
    <x:row r="2847" ht="22" customHeight="1">
      <x:c r="A2847" s="2" t="str">
        <x:v>L00193-060</x:v>
      </x:c>
      <x:c r="B2847" s="2" t="str">
        <x:v>L00193</x:v>
      </x:c>
      <x:c r="C2847" s="2" t="str">
        <x:v>SO-26039</x:v>
      </x:c>
      <x:c r="D2847" s="2" t="str">
        <x:v>S-S-AL</x:v>
      </x:c>
      <x:c r="E2847" s="14" t="n">
        <x:v>5</x:v>
      </x:c>
      <x:c r="F2847" s="2" t="str">
        <x:v>Sensor calibration</x:v>
      </x:c>
      <x:c r="G2847" s="9" t="str">
        <x:v>CAL-01</x:v>
      </x:c>
      <x:c r="H2847" s="15" t="n">
        <x:v>147</x:v>
      </x:c>
      <x:c r="I2847" s="9" t="str">
        <x:v>P09</x:v>
      </x:c>
      <x:c r="J2847" s="11" t="n">
        <x:v>46310.333333333336</x:v>
      </x:c>
      <x:c r="K2847" s="15" t="n">
        <x:v>10</x:v>
      </x:c>
      <x:c r="L2847" s="15" t="n">
        <x:v>6</x:v>
      </x:c>
      <x:c r="M2847" s="13" t="n">
        <x:f>J2847+(K2847+L2847)/1440</x:f>
        <x:v>46310.34444444445</x:v>
      </x:c>
      <x:c r="N2847" s="13" t="n">
        <x:f>VLOOKUP(C2847,'MES orders'!$A$8:$H$127,5,FALSE)</x:f>
        <x:v>46310.666666666664</x:v>
      </x:c>
      <x:c r="O2847" s="16" t="n">
        <x:f>MAX(0,(M2847-N2847)*24)</x:f>
        <x:v>0</x:v>
      </x:c>
      <x:c r="P2847" s="9" t="str">
        <x:v>No</x:v>
      </x:c>
      <x:c r="Q2847" s="15" t="n">
        <x:v>16</x:v>
      </x:c>
      <x:c r="R2847" s="13" t="n">
        <x:f>J2847+Q2847/1440</x:f>
        <x:v>46310.34444444445</x:v>
      </x:c>
      <x:c r="S2847" s="2" t="str">
        <x:f>VLOOKUP(C2847,'MES orders'!$A$8:$H$127,6,FALSE)</x:f>
        <x:v>Normal</x:v>
      </x:c>
      <x:c r="T2847" s="9" t="str"/>
    </x:row>
    <x:row r="2848" ht="22" customHeight="1">
      <x:c r="A2848" s="2" t="str">
        <x:v>L00309-080</x:v>
      </x:c>
      <x:c r="B2848" s="2" t="str">
        <x:v>L00309</x:v>
      </x:c>
      <x:c r="C2848" s="2" t="str">
        <x:v>SO-26062</x:v>
      </x:c>
      <x:c r="D2848" s="2" t="str">
        <x:v>S-C-SS</x:v>
      </x:c>
      <x:c r="E2848" s="14" t="n">
        <x:v>5</x:v>
      </x:c>
      <x:c r="F2848" s="2" t="str">
        <x:v>Final leak / function test</x:v>
      </x:c>
      <x:c r="G2848" s="9" t="str">
        <x:v>QA-03</x:v>
      </x:c>
      <x:c r="H2848" s="15" t="n">
        <x:v>129</x:v>
      </x:c>
      <x:c r="I2848" s="9" t="str">
        <x:v>P12</x:v>
      </x:c>
      <x:c r="J2848" s="11" t="n">
        <x:v>46310.333333333336</x:v>
      </x:c>
      <x:c r="K2848" s="15" t="n">
        <x:v>10</x:v>
      </x:c>
      <x:c r="L2848" s="15" t="n">
        <x:v>4</x:v>
      </x:c>
      <x:c r="M2848" s="13" t="n">
        <x:f>J2848+(K2848+L2848)/1440</x:f>
        <x:v>46310.34305555556</x:v>
      </x:c>
      <x:c r="N2848" s="13" t="n">
        <x:f>VLOOKUP(C2848,'MES orders'!$A$8:$H$127,5,FALSE)</x:f>
        <x:v>46309.666666666664</x:v>
      </x:c>
      <x:c r="O2848" s="16" t="n">
        <x:f>MAX(0,(M2848-N2848)*24)</x:f>
        <x:v>16.233333333511837</x:v>
      </x:c>
      <x:c r="P2848" s="9" t="str">
        <x:v>No</x:v>
      </x:c>
      <x:c r="Q2848" s="15" t="n">
        <x:v>14</x:v>
      </x:c>
      <x:c r="R2848" s="13" t="n">
        <x:f>J2848+Q2848/1440</x:f>
        <x:v>46310.34305555556</x:v>
      </x:c>
      <x:c r="S2848" s="2" t="str">
        <x:f>VLOOKUP(C2848,'MES orders'!$A$8:$H$127,6,FALSE)</x:f>
        <x:v>Normal</x:v>
      </x:c>
      <x:c r="T2848" s="9" t="str"/>
    </x:row>
    <x:row r="2849" ht="22" customHeight="1">
      <x:c r="A2849" s="2" t="str">
        <x:v>L00194-030</x:v>
      </x:c>
      <x:c r="B2849" s="2" t="str">
        <x:v>L00194</x:v>
      </x:c>
      <x:c r="C2849" s="2" t="str">
        <x:v>SO-26039</x:v>
      </x:c>
      <x:c r="D2849" s="2" t="str">
        <x:v>S-S-AL</x:v>
      </x:c>
      <x:c r="E2849" s="14" t="n">
        <x:v>5</x:v>
      </x:c>
      <x:c r="F2849" s="2" t="str">
        <x:v>Wash &amp; dry</x:v>
      </x:c>
      <x:c r="G2849" s="9" t="str">
        <x:v>WS-01</x:v>
      </x:c>
      <x:c r="H2849" s="15" t="n">
        <x:v>262</x:v>
      </x:c>
      <x:c r="I2849" s="9" t="str">
        <x:v>P01</x:v>
      </x:c>
      <x:c r="J2849" s="11" t="n">
        <x:v>46310.33472222222</x:v>
      </x:c>
      <x:c r="K2849" s="15" t="n">
        <x:v>12</x:v>
      </x:c>
      <x:c r="L2849" s="15" t="n">
        <x:v>2</x:v>
      </x:c>
      <x:c r="M2849" s="13" t="n">
        <x:f>J2849+(K2849+L2849)/1440</x:f>
        <x:v>46310.34444444445</x:v>
      </x:c>
      <x:c r="N2849" s="13" t="n">
        <x:f>VLOOKUP(C2849,'MES orders'!$A$8:$H$127,5,FALSE)</x:f>
        <x:v>46310.666666666664</x:v>
      </x:c>
      <x:c r="O2849" s="16" t="n">
        <x:f>MAX(0,(M2849-N2849)*24)</x:f>
        <x:v>0</x:v>
      </x:c>
      <x:c r="P2849" s="9" t="str">
        <x:v>No</x:v>
      </x:c>
      <x:c r="Q2849" s="15" t="n">
        <x:v>14</x:v>
      </x:c>
      <x:c r="R2849" s="13" t="n">
        <x:f>J2849+Q2849/1440</x:f>
        <x:v>46310.34444444445</x:v>
      </x:c>
      <x:c r="S2849" s="2" t="str">
        <x:f>VLOOKUP(C2849,'MES orders'!$A$8:$H$127,6,FALSE)</x:f>
        <x:v>Normal</x:v>
      </x:c>
      <x:c r="T2849" s="9" t="str"/>
    </x:row>
    <x:row r="2850" ht="22" customHeight="1">
      <x:c r="A2850" s="2" t="str">
        <x:v>L00466-020</x:v>
      </x:c>
      <x:c r="B2850" s="2" t="str">
        <x:v>L00466</x:v>
      </x:c>
      <x:c r="C2850" s="2" t="str">
        <x:v>SO-26094</x:v>
      </x:c>
      <x:c r="D2850" s="2" t="str">
        <x:v>D-S-SS</x:v>
      </x:c>
      <x:c r="E2850" s="14" t="n">
        <x:v>10</x:v>
      </x:c>
      <x:c r="F2850" s="2" t="str">
        <x:v>Deburr &amp; inspect</x:v>
      </x:c>
      <x:c r="G2850" s="9" t="str">
        <x:v>DB-01</x:v>
      </x:c>
      <x:c r="H2850" s="15" t="n">
        <x:v>268</x:v>
      </x:c>
      <x:c r="I2850" s="9" t="str">
        <x:v>P04</x:v>
      </x:c>
      <x:c r="J2850" s="11" t="n">
        <x:v>46310.33819444444</x:v>
      </x:c>
      <x:c r="K2850" s="15" t="n">
        <x:v>4</x:v>
      </x:c>
      <x:c r="L2850" s="15" t="n">
        <x:v>7</x:v>
      </x:c>
      <x:c r="M2850" s="13" t="n">
        <x:f>J2850+(K2850+L2850)/1440</x:f>
        <x:v>46310.34583333333</x:v>
      </x:c>
      <x:c r="N2850" s="13" t="n">
        <x:f>VLOOKUP(C2850,'MES orders'!$A$8:$H$127,5,FALSE)</x:f>
        <x:v>46309.666666666664</x:v>
      </x:c>
      <x:c r="O2850" s="16" t="n">
        <x:f>MAX(0,(M2850-N2850)*24)</x:f>
        <x:v>16.300000000046566</x:v>
      </x:c>
      <x:c r="P2850" s="9" t="str">
        <x:v>No</x:v>
      </x:c>
      <x:c r="Q2850" s="15" t="n">
        <x:v>11</x:v>
      </x:c>
      <x:c r="R2850" s="13" t="n">
        <x:f>J2850+Q2850/1440</x:f>
        <x:v>46310.34583333333</x:v>
      </x:c>
      <x:c r="S2850" s="2" t="str">
        <x:f>VLOOKUP(C2850,'MES orders'!$A$8:$H$127,6,FALSE)</x:f>
        <x:v>Normal</x:v>
      </x:c>
      <x:c r="T2850" s="9" t="str"/>
    </x:row>
    <x:row r="2851" ht="22" customHeight="1">
      <x:c r="A2851" s="2" t="str">
        <x:v>L00192-020</x:v>
      </x:c>
      <x:c r="B2851" s="2" t="str">
        <x:v>L00192</x:v>
      </x:c>
      <x:c r="C2851" s="2" t="str">
        <x:v>SO-26039</x:v>
      </x:c>
      <x:c r="D2851" s="2" t="str">
        <x:v>S-S-AL</x:v>
      </x:c>
      <x:c r="E2851" s="14" t="n">
        <x:v>5</x:v>
      </x:c>
      <x:c r="F2851" s="2" t="str">
        <x:v>Deburr &amp; inspect</x:v>
      </x:c>
      <x:c r="G2851" s="9" t="str">
        <x:v>DB-02</x:v>
      </x:c>
      <x:c r="H2851" s="15" t="n">
        <x:v>183</x:v>
      </x:c>
      <x:c r="I2851" s="9" t="str">
        <x:v>P05</x:v>
      </x:c>
      <x:c r="J2851" s="11" t="n">
        <x:v>46310.33888888889</x:v>
      </x:c>
      <x:c r="K2851" s="15" t="n">
        <x:v>4</x:v>
      </x:c>
      <x:c r="L2851" s="15" t="n">
        <x:v>4</x:v>
      </x:c>
      <x:c r="M2851" s="13" t="n">
        <x:f>J2851+(K2851+L2851)/1440</x:f>
        <x:v>46310.34444444445</x:v>
      </x:c>
      <x:c r="N2851" s="13" t="n">
        <x:f>VLOOKUP(C2851,'MES orders'!$A$8:$H$127,5,FALSE)</x:f>
        <x:v>46310.666666666664</x:v>
      </x:c>
      <x:c r="O2851" s="16" t="n">
        <x:f>MAX(0,(M2851-N2851)*24)</x:f>
        <x:v>0</x:v>
      </x:c>
      <x:c r="P2851" s="9" t="str">
        <x:v>No</x:v>
      </x:c>
      <x:c r="Q2851" s="15" t="n">
        <x:v>8</x:v>
      </x:c>
      <x:c r="R2851" s="13" t="n">
        <x:f>J2851+Q2851/1440</x:f>
        <x:v>46310.34444444445</x:v>
      </x:c>
      <x:c r="S2851" s="2" t="str">
        <x:f>VLOOKUP(C2851,'MES orders'!$A$8:$H$127,6,FALSE)</x:f>
        <x:v>Normal</x:v>
      </x:c>
      <x:c r="T2851" s="9" t="str"/>
    </x:row>
    <x:row r="2852" ht="22" customHeight="1">
      <x:c r="A2852" s="2" t="str">
        <x:v>L00272-010</x:v>
      </x:c>
      <x:c r="B2852" s="2" t="str">
        <x:v>L00272</x:v>
      </x:c>
      <x:c r="C2852" s="2" t="str">
        <x:v>SO-26055</x:v>
      </x:c>
      <x:c r="D2852" s="2" t="str">
        <x:v>D-C-AL</x:v>
      </x:c>
      <x:c r="E2852" s="14" t="n">
        <x:v>10</x:v>
      </x:c>
      <x:c r="F2852" s="2" t="str">
        <x:v>CNC machining</x:v>
      </x:c>
      <x:c r="G2852" s="9" t="str">
        <x:v>CNC-02</x:v>
      </x:c>
      <x:c r="H2852" s="15" t="n">
        <x:v>56</x:v>
      </x:c>
      <x:c r="I2852" s="9" t="str">
        <x:v>P03</x:v>
      </x:c>
      <x:c r="J2852" s="11" t="n">
        <x:v>46310.34166666667</x:v>
      </x:c>
      <x:c r="K2852" s="15" t="n">
        <x:v>18</x:v>
      </x:c>
      <x:c r="L2852" s="15" t="n">
        <x:v>19</x:v>
      </x:c>
      <x:c r="M2852" s="13" t="n">
        <x:f>J2852+(K2852+L2852)/1440</x:f>
        <x:v>46310.36736111111</x:v>
      </x:c>
      <x:c r="N2852" s="13" t="n">
        <x:f>VLOOKUP(C2852,'MES orders'!$A$8:$H$127,5,FALSE)</x:f>
        <x:v>46310.666666666664</x:v>
      </x:c>
      <x:c r="O2852" s="16" t="n">
        <x:f>MAX(0,(M2852-N2852)*24)</x:f>
        <x:v>0</x:v>
      </x:c>
      <x:c r="P2852" s="9" t="str">
        <x:v>No</x:v>
      </x:c>
      <x:c r="Q2852" s="15" t="n">
        <x:v>18</x:v>
      </x:c>
      <x:c r="R2852" s="13" t="n">
        <x:f>J2852+Q2852/1440</x:f>
        <x:v>46310.354166666664</x:v>
      </x:c>
      <x:c r="S2852" s="2" t="str">
        <x:f>VLOOKUP(C2852,'MES orders'!$A$8:$H$127,6,FALSE)</x:f>
        <x:v>Normal</x:v>
      </x:c>
      <x:c r="T2852" s="9" t="str"/>
    </x:row>
    <x:row r="2853" ht="22" customHeight="1">
      <x:c r="A2853" s="2" t="str">
        <x:v>L00310-080</x:v>
      </x:c>
      <x:c r="B2853" s="2" t="str">
        <x:v>L00310</x:v>
      </x:c>
      <x:c r="C2853" s="2" t="str">
        <x:v>SO-26062</x:v>
      </x:c>
      <x:c r="D2853" s="2" t="str">
        <x:v>S-C-SS</x:v>
      </x:c>
      <x:c r="E2853" s="14" t="n">
        <x:v>5</x:v>
      </x:c>
      <x:c r="F2853" s="2" t="str">
        <x:v>Final leak / function test</x:v>
      </x:c>
      <x:c r="G2853" s="9" t="str">
        <x:v>QA-03</x:v>
      </x:c>
      <x:c r="H2853" s="15" t="n">
        <x:v>130</x:v>
      </x:c>
      <x:c r="I2853" s="9" t="str">
        <x:v>P12</x:v>
      </x:c>
      <x:c r="J2853" s="11" t="n">
        <x:v>46310.34305555555</x:v>
      </x:c>
      <x:c r="K2853" s="15" t="n">
        <x:v>10</x:v>
      </x:c>
      <x:c r="L2853" s="15" t="n">
        <x:v>4</x:v>
      </x:c>
      <x:c r="M2853" s="13" t="n">
        <x:f>J2853+(K2853+L2853)/1440</x:f>
        <x:v>46310.35277777778</x:v>
      </x:c>
      <x:c r="N2853" s="13" t="n">
        <x:f>VLOOKUP(C2853,'MES orders'!$A$8:$H$127,5,FALSE)</x:f>
        <x:v>46309.666666666664</x:v>
      </x:c>
      <x:c r="O2853" s="16" t="n">
        <x:f>MAX(0,(M2853-N2853)*24)</x:f>
        <x:v>16.466666666732635</x:v>
      </x:c>
      <x:c r="P2853" s="9" t="str">
        <x:v>No</x:v>
      </x:c>
      <x:c r="Q2853" s="15" t="n">
        <x:v>14</x:v>
      </x:c>
      <x:c r="R2853" s="13" t="n">
        <x:f>J2853+Q2853/1440</x:f>
        <x:v>46310.35277777778</x:v>
      </x:c>
      <x:c r="S2853" s="2" t="str">
        <x:f>VLOOKUP(C2853,'MES orders'!$A$8:$H$127,6,FALSE)</x:f>
        <x:v>Normal</x:v>
      </x:c>
      <x:c r="T2853" s="9" t="str"/>
    </x:row>
    <x:row r="2854" ht="22" customHeight="1">
      <x:c r="A2854" s="2" t="str">
        <x:v>L00270-050</x:v>
      </x:c>
      <x:c r="B2854" s="2" t="str">
        <x:v>L00270</x:v>
      </x:c>
      <x:c r="C2854" s="2" t="str">
        <x:v>SO-26054</x:v>
      </x:c>
      <x:c r="D2854" s="2" t="str">
        <x:v>R-L-SS</x:v>
      </x:c>
      <x:c r="E2854" s="14" t="n">
        <x:v>25</x:v>
      </x:c>
      <x:c r="F2854" s="2" t="str">
        <x:v>Valve adjustment</x:v>
      </x:c>
      <x:c r="G2854" s="9" t="str">
        <x:v>AS-01</x:v>
      </x:c>
      <x:c r="H2854" s="15" t="n">
        <x:v>228</x:v>
      </x:c>
      <x:c r="I2854" s="9" t="str">
        <x:v>P05</x:v>
      </x:c>
      <x:c r="J2854" s="11" t="n">
        <x:v>46310.34444444445</x:v>
      </x:c>
      <x:c r="K2854" s="15" t="n">
        <x:v>6</x:v>
      </x:c>
      <x:c r="L2854" s="15" t="n">
        <x:v>37</x:v>
      </x:c>
      <x:c r="M2854" s="13" t="n">
        <x:f>J2854+(K2854+L2854)/1440</x:f>
        <x:v>46310.37430555556</x:v>
      </x:c>
      <x:c r="N2854" s="13" t="n">
        <x:f>VLOOKUP(C2854,'MES orders'!$A$8:$H$127,5,FALSE)</x:f>
        <x:v>46309.666666666664</x:v>
      </x:c>
      <x:c r="O2854" s="16" t="n">
        <x:f>MAX(0,(M2854-N2854)*24)</x:f>
        <x:v>16.983333333511837</x:v>
      </x:c>
      <x:c r="P2854" s="9" t="str">
        <x:v>No</x:v>
      </x:c>
      <x:c r="Q2854" s="15" t="n">
        <x:v>43</x:v>
      </x:c>
      <x:c r="R2854" s="13" t="n">
        <x:f>J2854+Q2854/1440</x:f>
        <x:v>46310.37430555556</x:v>
      </x:c>
      <x:c r="S2854" s="2" t="str">
        <x:f>VLOOKUP(C2854,'MES orders'!$A$8:$H$127,6,FALSE)</x:f>
        <x:v>Normal</x:v>
      </x:c>
      <x:c r="T2854" s="9" t="str"/>
    </x:row>
    <x:row r="2855" ht="22" customHeight="1">
      <x:c r="A2855" s="2" t="str">
        <x:v>L00193-070</x:v>
      </x:c>
      <x:c r="B2855" s="2" t="str">
        <x:v>L00193</x:v>
      </x:c>
      <x:c r="C2855" s="2" t="str">
        <x:v>SO-26039</x:v>
      </x:c>
      <x:c r="D2855" s="2" t="str">
        <x:v>S-S-AL</x:v>
      </x:c>
      <x:c r="E2855" s="14" t="n">
        <x:v>5</x:v>
      </x:c>
      <x:c r="F2855" s="2" t="str">
        <x:v>Final assembly</x:v>
      </x:c>
      <x:c r="G2855" s="9" t="str">
        <x:v>AS-02</x:v>
      </x:c>
      <x:c r="H2855" s="15" t="n">
        <x:v>183</x:v>
      </x:c>
      <x:c r="I2855" s="9" t="str">
        <x:v>P08</x:v>
      </x:c>
      <x:c r="J2855" s="11" t="n">
        <x:v>46310.34444444445</x:v>
      </x:c>
      <x:c r="K2855" s="15" t="n">
        <x:v>5</x:v>
      </x:c>
      <x:c r="L2855" s="15" t="n">
        <x:v>4</x:v>
      </x:c>
      <x:c r="M2855" s="13" t="n">
        <x:f>J2855+(K2855+L2855)/1440</x:f>
        <x:v>46310.350694444445</x:v>
      </x:c>
      <x:c r="N2855" s="13" t="n">
        <x:f>VLOOKUP(C2855,'MES orders'!$A$8:$H$127,5,FALSE)</x:f>
        <x:v>46310.666666666664</x:v>
      </x:c>
      <x:c r="O2855" s="16" t="n">
        <x:f>MAX(0,(M2855-N2855)*24)</x:f>
        <x:v>0</x:v>
      </x:c>
      <x:c r="P2855" s="9" t="str">
        <x:v>No</x:v>
      </x:c>
      <x:c r="Q2855" s="15" t="n">
        <x:v>9</x:v>
      </x:c>
      <x:c r="R2855" s="13" t="n">
        <x:f>J2855+Q2855/1440</x:f>
        <x:v>46310.350694444445</x:v>
      </x:c>
      <x:c r="S2855" s="2" t="str">
        <x:f>VLOOKUP(C2855,'MES orders'!$A$8:$H$127,6,FALSE)</x:f>
        <x:v>Normal</x:v>
      </x:c>
      <x:c r="T2855" s="9" t="str"/>
    </x:row>
    <x:row r="2856" ht="22" customHeight="1">
      <x:c r="A2856" s="2" t="str">
        <x:v>L00194-040</x:v>
      </x:c>
      <x:c r="B2856" s="2" t="str">
        <x:v>L00194</x:v>
      </x:c>
      <x:c r="C2856" s="2" t="str">
        <x:v>SO-26039</x:v>
      </x:c>
      <x:c r="D2856" s="2" t="str">
        <x:v>S-S-AL</x:v>
      </x:c>
      <x:c r="E2856" s="14" t="n">
        <x:v>5</x:v>
      </x:c>
      <x:c r="F2856" s="2" t="str">
        <x:v>Mechanical preassembly</x:v>
      </x:c>
      <x:c r="G2856" s="9" t="str">
        <x:v>AS-03</x:v>
      </x:c>
      <x:c r="H2856" s="15" t="n">
        <x:v>151</x:v>
      </x:c>
      <x:c r="I2856" s="9" t="str">
        <x:v>P01</x:v>
      </x:c>
      <x:c r="J2856" s="11" t="n">
        <x:v>46310.34444444445</x:v>
      </x:c>
      <x:c r="K2856" s="15" t="n">
        <x:v>6</x:v>
      </x:c>
      <x:c r="L2856" s="15" t="n">
        <x:v>6</x:v>
      </x:c>
      <x:c r="M2856" s="13" t="n">
        <x:f>J2856+(K2856+L2856)/1440</x:f>
        <x:v>46310.35277777778</x:v>
      </x:c>
      <x:c r="N2856" s="13" t="n">
        <x:f>VLOOKUP(C2856,'MES orders'!$A$8:$H$127,5,FALSE)</x:f>
        <x:v>46310.666666666664</x:v>
      </x:c>
      <x:c r="O2856" s="16" t="n">
        <x:f>MAX(0,(M2856-N2856)*24)</x:f>
        <x:v>0</x:v>
      </x:c>
      <x:c r="P2856" s="9" t="str">
        <x:v>No</x:v>
      </x:c>
      <x:c r="Q2856" s="15" t="n">
        <x:v>12</x:v>
      </x:c>
      <x:c r="R2856" s="13" t="n">
        <x:f>J2856+Q2856/1440</x:f>
        <x:v>46310.35277777778</x:v>
      </x:c>
      <x:c r="S2856" s="2" t="str">
        <x:f>VLOOKUP(C2856,'MES orders'!$A$8:$H$127,6,FALSE)</x:f>
        <x:v>Normal</x:v>
      </x:c>
      <x:c r="T2856" s="9" t="str"/>
    </x:row>
    <x:row r="2857" ht="22" customHeight="1">
      <x:c r="A2857" s="2" t="str">
        <x:v>L00467-020</x:v>
      </x:c>
      <x:c r="B2857" s="2" t="str">
        <x:v>L00467</x:v>
      </x:c>
      <x:c r="C2857" s="2" t="str">
        <x:v>SO-26094</x:v>
      </x:c>
      <x:c r="D2857" s="2" t="str">
        <x:v>D-S-SS</x:v>
      </x:c>
      <x:c r="E2857" s="14" t="n">
        <x:v>10</x:v>
      </x:c>
      <x:c r="F2857" s="2" t="str">
        <x:v>Deburr &amp; inspect</x:v>
      </x:c>
      <x:c r="G2857" s="9" t="str">
        <x:v>DB-02</x:v>
      </x:c>
      <x:c r="H2857" s="15" t="n">
        <x:v>184</x:v>
      </x:c>
      <x:c r="I2857" s="9" t="str">
        <x:v>P06</x:v>
      </x:c>
      <x:c r="J2857" s="11" t="n">
        <x:v>46310.34444444445</x:v>
      </x:c>
      <x:c r="K2857" s="15" t="n">
        <x:v>4</x:v>
      </x:c>
      <x:c r="L2857" s="15" t="n">
        <x:v>7</x:v>
      </x:c>
      <x:c r="M2857" s="13" t="n">
        <x:f>J2857+(K2857+L2857)/1440</x:f>
        <x:v>46310.35208333334</x:v>
      </x:c>
      <x:c r="N2857" s="13" t="n">
        <x:f>VLOOKUP(C2857,'MES orders'!$A$8:$H$127,5,FALSE)</x:f>
        <x:v>46309.666666666664</x:v>
      </x:c>
      <x:c r="O2857" s="16" t="n">
        <x:f>MAX(0,(M2857-N2857)*24)</x:f>
        <x:v>16.450000000186265</x:v>
      </x:c>
      <x:c r="P2857" s="9" t="str">
        <x:v>No</x:v>
      </x:c>
      <x:c r="Q2857" s="15" t="n">
        <x:v>11</x:v>
      </x:c>
      <x:c r="R2857" s="13" t="n">
        <x:f>J2857+Q2857/1440</x:f>
        <x:v>46310.35208333334</x:v>
      </x:c>
      <x:c r="S2857" s="2" t="str">
        <x:f>VLOOKUP(C2857,'MES orders'!$A$8:$H$127,6,FALSE)</x:f>
        <x:v>Normal</x:v>
      </x:c>
      <x:c r="T2857" s="9" t="str"/>
    </x:row>
    <x:row r="2858" ht="22" customHeight="1">
      <x:c r="A2858" s="2" t="str">
        <x:v>L00195-020</x:v>
      </x:c>
      <x:c r="B2858" s="2" t="str">
        <x:v>L00195</x:v>
      </x:c>
      <x:c r="C2858" s="2" t="str">
        <x:v>SO-26039</x:v>
      </x:c>
      <x:c r="D2858" s="2" t="str">
        <x:v>S-S-AL</x:v>
      </x:c>
      <x:c r="E2858" s="14" t="n">
        <x:v>5</x:v>
      </x:c>
      <x:c r="F2858" s="2" t="str">
        <x:v>Deburr &amp; inspect</x:v>
      </x:c>
      <x:c r="G2858" s="9" t="str">
        <x:v>DB-01</x:v>
      </x:c>
      <x:c r="H2858" s="15" t="n">
        <x:v>269</x:v>
      </x:c>
      <x:c r="I2858" s="9" t="str">
        <x:v>P02</x:v>
      </x:c>
      <x:c r="J2858" s="11" t="n">
        <x:v>46310.34583333333</x:v>
      </x:c>
      <x:c r="K2858" s="15" t="n">
        <x:v>4</x:v>
      </x:c>
      <x:c r="L2858" s="15" t="n">
        <x:v>4</x:v>
      </x:c>
      <x:c r="M2858" s="13" t="n">
        <x:f>J2858+(K2858+L2858)/1440</x:f>
        <x:v>46310.35138888889</x:v>
      </x:c>
      <x:c r="N2858" s="13" t="n">
        <x:f>VLOOKUP(C2858,'MES orders'!$A$8:$H$127,5,FALSE)</x:f>
        <x:v>46310.666666666664</x:v>
      </x:c>
      <x:c r="O2858" s="16" t="n">
        <x:f>MAX(0,(M2858-N2858)*24)</x:f>
        <x:v>0</x:v>
      </x:c>
      <x:c r="P2858" s="9" t="str">
        <x:v>No</x:v>
      </x:c>
      <x:c r="Q2858" s="15" t="n">
        <x:v>8</x:v>
      </x:c>
      <x:c r="R2858" s="13" t="n">
        <x:f>J2858+Q2858/1440</x:f>
        <x:v>46310.35138888889</x:v>
      </x:c>
      <x:c r="S2858" s="2" t="str">
        <x:f>VLOOKUP(C2858,'MES orders'!$A$8:$H$127,6,FALSE)</x:f>
        <x:v>Normal</x:v>
      </x:c>
      <x:c r="T2858" s="9" t="str"/>
    </x:row>
    <x:row r="2859" ht="22" customHeight="1">
      <x:c r="A2859" s="2" t="str">
        <x:v>L00466-030</x:v>
      </x:c>
      <x:c r="B2859" s="2" t="str">
        <x:v>L00466</x:v>
      </x:c>
      <x:c r="C2859" s="2" t="str">
        <x:v>SO-26094</x:v>
      </x:c>
      <x:c r="D2859" s="2" t="str">
        <x:v>D-S-SS</x:v>
      </x:c>
      <x:c r="E2859" s="14" t="n">
        <x:v>10</x:v>
      </x:c>
      <x:c r="F2859" s="2" t="str">
        <x:v>Wash &amp; dry</x:v>
      </x:c>
      <x:c r="G2859" s="9" t="str">
        <x:v>WS-01</x:v>
      </x:c>
      <x:c r="H2859" s="15" t="n">
        <x:v>263</x:v>
      </x:c>
      <x:c r="I2859" s="9" t="str">
        <x:v>P04</x:v>
      </x:c>
      <x:c r="J2859" s="11" t="n">
        <x:v>46310.34583333333</x:v>
      </x:c>
      <x:c r="K2859" s="15" t="n">
        <x:v>12</x:v>
      </x:c>
      <x:c r="L2859" s="15" t="n">
        <x:v>4</x:v>
      </x:c>
      <x:c r="M2859" s="13" t="n">
        <x:f>J2859+(K2859+L2859)/1440</x:f>
        <x:v>46310.356944444444</x:v>
      </x:c>
      <x:c r="N2859" s="13" t="n">
        <x:f>VLOOKUP(C2859,'MES orders'!$A$8:$H$127,5,FALSE)</x:f>
        <x:v>46309.666666666664</x:v>
      </x:c>
      <x:c r="O2859" s="16" t="n">
        <x:f>MAX(0,(M2859-N2859)*24)</x:f>
        <x:v>16.566666666709352</x:v>
      </x:c>
      <x:c r="P2859" s="9" t="str">
        <x:v>No</x:v>
      </x:c>
      <x:c r="Q2859" s="15" t="n">
        <x:v>16</x:v>
      </x:c>
      <x:c r="R2859" s="13" t="n">
        <x:f>J2859+Q2859/1440</x:f>
        <x:v>46310.356944444444</x:v>
      </x:c>
      <x:c r="S2859" s="2" t="str">
        <x:f>VLOOKUP(C2859,'MES orders'!$A$8:$H$127,6,FALSE)</x:f>
        <x:v>Normal</x:v>
      </x:c>
      <x:c r="T2859" s="9" t="str"/>
    </x:row>
    <x:row r="2860" ht="22" customHeight="1">
      <x:c r="A2860" s="2" t="str">
        <x:v>L00467-030</x:v>
      </x:c>
      <x:c r="B2860" s="2" t="str">
        <x:v>L00467</x:v>
      </x:c>
      <x:c r="C2860" s="2" t="str">
        <x:v>SO-26094</x:v>
      </x:c>
      <x:c r="D2860" s="2" t="str">
        <x:v>D-S-SS</x:v>
      </x:c>
      <x:c r="E2860" s="14" t="n">
        <x:v>10</x:v>
      </x:c>
      <x:c r="F2860" s="2" t="str">
        <x:v>Wash &amp; dry</x:v>
      </x:c>
      <x:c r="G2860" s="9" t="str">
        <x:v>WS-02</x:v>
      </x:c>
      <x:c r="H2860" s="15" t="n">
        <x:v>188</x:v>
      </x:c>
      <x:c r="I2860" s="9" t="str">
        <x:v>P06</x:v>
      </x:c>
      <x:c r="J2860" s="11" t="n">
        <x:v>46310.35208333333</x:v>
      </x:c>
      <x:c r="K2860" s="15" t="n">
        <x:v>12</x:v>
      </x:c>
      <x:c r="L2860" s="15" t="n">
        <x:v>4</x:v>
      </x:c>
      <x:c r="M2860" s="13" t="n">
        <x:f>J2860+(K2860+L2860)/1440</x:f>
        <x:v>46310.36319444444</x:v>
      </x:c>
      <x:c r="N2860" s="13" t="n">
        <x:f>VLOOKUP(C2860,'MES orders'!$A$8:$H$127,5,FALSE)</x:f>
        <x:v>46309.666666666664</x:v>
      </x:c>
      <x:c r="O2860" s="16" t="n">
        <x:f>MAX(0,(M2860-N2860)*24)</x:f>
        <x:v>16.716666666674428</x:v>
      </x:c>
      <x:c r="P2860" s="9" t="str">
        <x:v>No</x:v>
      </x:c>
      <x:c r="Q2860" s="15" t="n">
        <x:v>16</x:v>
      </x:c>
      <x:c r="R2860" s="13" t="n">
        <x:f>J2860+Q2860/1440</x:f>
        <x:v>46310.36319444444</x:v>
      </x:c>
      <x:c r="S2860" s="2" t="str">
        <x:f>VLOOKUP(C2860,'MES orders'!$A$8:$H$127,6,FALSE)</x:f>
        <x:v>Normal</x:v>
      </x:c>
      <x:c r="T2860" s="9" t="str"/>
    </x:row>
    <x:row r="2861" ht="22" customHeight="1">
      <x:c r="A2861" s="2" t="str">
        <x:v>L00194-050</x:v>
      </x:c>
      <x:c r="B2861" s="2" t="str">
        <x:v>L00194</x:v>
      </x:c>
      <x:c r="C2861" s="2" t="str">
        <x:v>SO-26039</x:v>
      </x:c>
      <x:c r="D2861" s="2" t="str">
        <x:v>S-S-AL</x:v>
      </x:c>
      <x:c r="E2861" s="14" t="n">
        <x:v>5</x:v>
      </x:c>
      <x:c r="F2861" s="2" t="str">
        <x:v>Sensor installation</x:v>
      </x:c>
      <x:c r="G2861" s="9" t="str">
        <x:v>EL-01</x:v>
      </x:c>
      <x:c r="H2861" s="15" t="n">
        <x:v>100</x:v>
      </x:c>
      <x:c r="I2861" s="9" t="str">
        <x:v>P07</x:v>
      </x:c>
      <x:c r="J2861" s="11" t="n">
        <x:v>46310.35277777778</x:v>
      </x:c>
      <x:c r="K2861" s="15" t="n">
        <x:v>8</x:v>
      </x:c>
      <x:c r="L2861" s="15" t="n">
        <x:v>6</x:v>
      </x:c>
      <x:c r="M2861" s="13" t="n">
        <x:f>J2861+(K2861+L2861)/1440</x:f>
        <x:v>46310.3625</x:v>
      </x:c>
      <x:c r="N2861" s="13" t="n">
        <x:f>VLOOKUP(C2861,'MES orders'!$A$8:$H$127,5,FALSE)</x:f>
        <x:v>46310.666666666664</x:v>
      </x:c>
      <x:c r="O2861" s="16" t="n">
        <x:f>MAX(0,(M2861-N2861)*24)</x:f>
        <x:v>0</x:v>
      </x:c>
      <x:c r="P2861" s="9" t="str">
        <x:v>No</x:v>
      </x:c>
      <x:c r="Q2861" s="15" t="n">
        <x:v>14</x:v>
      </x:c>
      <x:c r="R2861" s="13" t="n">
        <x:f>J2861+Q2861/1440</x:f>
        <x:v>46310.3625</x:v>
      </x:c>
      <x:c r="S2861" s="2" t="str">
        <x:f>VLOOKUP(C2861,'MES orders'!$A$8:$H$127,6,FALSE)</x:f>
        <x:v>Normal</x:v>
      </x:c>
      <x:c r="T2861" s="9" t="str"/>
    </x:row>
    <x:row r="2862" ht="22" customHeight="1">
      <x:c r="A2862" s="2" t="str">
        <x:v>L00430-050</x:v>
      </x:c>
      <x:c r="B2862" s="2" t="str">
        <x:v>L00430</x:v>
      </x:c>
      <x:c r="C2862" s="2" t="str">
        <x:v>SO-26086</x:v>
      </x:c>
      <x:c r="D2862" s="2" t="str">
        <x:v>D-C-SS</x:v>
      </x:c>
      <x:c r="E2862" s="14" t="n">
        <x:v>5</x:v>
      </x:c>
      <x:c r="F2862" s="2" t="str">
        <x:v>Final leak / function test</x:v>
      </x:c>
      <x:c r="G2862" s="9" t="str">
        <x:v>QA-01</x:v>
      </x:c>
      <x:c r="H2862" s="15" t="n">
        <x:v>107</x:v>
      </x:c>
      <x:c r="I2862" s="9" t="str">
        <x:v>P12</x:v>
      </x:c>
      <x:c r="J2862" s="11" t="n">
        <x:v>46310.35277777778</x:v>
      </x:c>
      <x:c r="K2862" s="15" t="n">
        <x:v>10</x:v>
      </x:c>
      <x:c r="L2862" s="15" t="n">
        <x:v>4</x:v>
      </x:c>
      <x:c r="M2862" s="13" t="n">
        <x:f>J2862+(K2862+L2862)/1440</x:f>
        <x:v>46310.3625</x:v>
      </x:c>
      <x:c r="N2862" s="13" t="n">
        <x:f>VLOOKUP(C2862,'MES orders'!$A$8:$H$127,5,FALSE)</x:f>
        <x:v>46309.666666666664</x:v>
      </x:c>
      <x:c r="O2862" s="16" t="n">
        <x:f>MAX(0,(M2862-N2862)*24)</x:f>
        <x:v>16.700000000128057</x:v>
      </x:c>
      <x:c r="P2862" s="9" t="str">
        <x:v>No</x:v>
      </x:c>
      <x:c r="Q2862" s="15" t="n">
        <x:v>14</x:v>
      </x:c>
      <x:c r="R2862" s="13" t="n">
        <x:f>J2862+Q2862/1440</x:f>
        <x:v>46310.3625</x:v>
      </x:c>
      <x:c r="S2862" s="2" t="str">
        <x:f>VLOOKUP(C2862,'MES orders'!$A$8:$H$127,6,FALSE)</x:f>
        <x:v>Normal</x:v>
      </x:c>
      <x:c r="T2862" s="9" t="str"/>
    </x:row>
    <x:row r="2863" ht="22" customHeight="1">
      <x:c r="A2863" s="2" t="str">
        <x:v>L00271-020</x:v>
      </x:c>
      <x:c r="B2863" s="2" t="str">
        <x:v>L00271</x:v>
      </x:c>
      <x:c r="C2863" s="2" t="str">
        <x:v>SO-26055</x:v>
      </x:c>
      <x:c r="D2863" s="2" t="str">
        <x:v>D-C-AL</x:v>
      </x:c>
      <x:c r="E2863" s="14" t="n">
        <x:v>10</x:v>
      </x:c>
      <x:c r="F2863" s="2" t="str">
        <x:v>Deburr &amp; inspect</x:v>
      </x:c>
      <x:c r="G2863" s="9" t="str">
        <x:v>DB-01</x:v>
      </x:c>
      <x:c r="H2863" s="15" t="n">
        <x:v>270</x:v>
      </x:c>
      <x:c r="I2863" s="9" t="str">
        <x:v>P01</x:v>
      </x:c>
      <x:c r="J2863" s="11" t="n">
        <x:v>46310.35486111111</x:v>
      </x:c>
      <x:c r="K2863" s="15" t="n">
        <x:v>4</x:v>
      </x:c>
      <x:c r="L2863" s="15" t="n">
        <x:v>6</x:v>
      </x:c>
      <x:c r="M2863" s="13" t="n">
        <x:f>J2863+(K2863+L2863)/1440</x:f>
        <x:v>46310.361805555556</x:v>
      </x:c>
      <x:c r="N2863" s="13" t="n">
        <x:f>VLOOKUP(C2863,'MES orders'!$A$8:$H$127,5,FALSE)</x:f>
        <x:v>46310.666666666664</x:v>
      </x:c>
      <x:c r="O2863" s="16" t="n">
        <x:f>MAX(0,(M2863-N2863)*24)</x:f>
        <x:v>0</x:v>
      </x:c>
      <x:c r="P2863" s="9" t="str">
        <x:v>No</x:v>
      </x:c>
      <x:c r="Q2863" s="15" t="n">
        <x:v>10</x:v>
      </x:c>
      <x:c r="R2863" s="13" t="n">
        <x:f>J2863+Q2863/1440</x:f>
        <x:v>46310.361805555556</x:v>
      </x:c>
      <x:c r="S2863" s="2" t="str">
        <x:f>VLOOKUP(C2863,'MES orders'!$A$8:$H$127,6,FALSE)</x:f>
        <x:v>Normal</x:v>
      </x:c>
      <x:c r="T2863" s="9" t="str"/>
    </x:row>
    <x:row r="2864" ht="22" customHeight="1">
      <x:c r="A2864" s="2" t="str">
        <x:v>L00193-080</x:v>
      </x:c>
      <x:c r="B2864" s="2" t="str">
        <x:v>L00193</x:v>
      </x:c>
      <x:c r="C2864" s="2" t="str">
        <x:v>SO-26039</x:v>
      </x:c>
      <x:c r="D2864" s="2" t="str">
        <x:v>S-S-AL</x:v>
      </x:c>
      <x:c r="E2864" s="14" t="n">
        <x:v>5</x:v>
      </x:c>
      <x:c r="F2864" s="2" t="str">
        <x:v>Final leak / function test</x:v>
      </x:c>
      <x:c r="G2864" s="9" t="str">
        <x:v>QA-02</x:v>
      </x:c>
      <x:c r="H2864" s="15" t="n">
        <x:v>209</x:v>
      </x:c>
      <x:c r="I2864" s="9" t="str">
        <x:v>P11</x:v>
      </x:c>
      <x:c r="J2864" s="11" t="n">
        <x:v>46310.35555555556</x:v>
      </x:c>
      <x:c r="K2864" s="15" t="n">
        <x:v>10</x:v>
      </x:c>
      <x:c r="L2864" s="15" t="n">
        <x:v>4</x:v>
      </x:c>
      <x:c r="M2864" s="13" t="n">
        <x:f>J2864+(K2864+L2864)/1440</x:f>
        <x:v>46310.36527777778</x:v>
      </x:c>
      <x:c r="N2864" s="13" t="n">
        <x:f>VLOOKUP(C2864,'MES orders'!$A$8:$H$127,5,FALSE)</x:f>
        <x:v>46310.666666666664</x:v>
      </x:c>
      <x:c r="O2864" s="16" t="n">
        <x:f>MAX(0,(M2864-N2864)*24)</x:f>
        <x:v>0</x:v>
      </x:c>
      <x:c r="P2864" s="9" t="str">
        <x:v>No</x:v>
      </x:c>
      <x:c r="Q2864" s="15" t="n">
        <x:v>14</x:v>
      </x:c>
      <x:c r="R2864" s="13" t="n">
        <x:f>J2864+Q2864/1440</x:f>
        <x:v>46310.36527777778</x:v>
      </x:c>
      <x:c r="S2864" s="2" t="str">
        <x:f>VLOOKUP(C2864,'MES orders'!$A$8:$H$127,6,FALSE)</x:f>
        <x:v>Normal</x:v>
      </x:c>
      <x:c r="T2864" s="9" t="str"/>
    </x:row>
    <x:row r="2865" ht="22" customHeight="1">
      <x:c r="A2865" s="2" t="str">
        <x:v>L00466-040</x:v>
      </x:c>
      <x:c r="B2865" s="2" t="str">
        <x:v>L00466</x:v>
      </x:c>
      <x:c r="C2865" s="2" t="str">
        <x:v>SO-26094</x:v>
      </x:c>
      <x:c r="D2865" s="2" t="str">
        <x:v>D-S-SS</x:v>
      </x:c>
      <x:c r="E2865" s="14" t="n">
        <x:v>10</x:v>
      </x:c>
      <x:c r="F2865" s="2" t="str">
        <x:v>Mechanical assembly</x:v>
      </x:c>
      <x:c r="G2865" s="9" t="str">
        <x:v>AS-02</x:v>
      </x:c>
      <x:c r="H2865" s="15" t="n">
        <x:v>184</x:v>
      </x:c>
      <x:c r="I2865" s="9" t="str">
        <x:v>P04</x:v>
      </x:c>
      <x:c r="J2865" s="11" t="n">
        <x:v>46310.356944444444</x:v>
      </x:c>
      <x:c r="K2865" s="15" t="n">
        <x:v>8</x:v>
      </x:c>
      <x:c r="L2865" s="15" t="n">
        <x:v>18</x:v>
      </x:c>
      <x:c r="M2865" s="13" t="n">
        <x:f>J2865+(K2865+L2865)/1440</x:f>
        <x:v>46310.375</x:v>
      </x:c>
      <x:c r="N2865" s="13" t="n">
        <x:f>VLOOKUP(C2865,'MES orders'!$A$8:$H$127,5,FALSE)</x:f>
        <x:v>46309.666666666664</x:v>
      </x:c>
      <x:c r="O2865" s="16" t="n">
        <x:f>MAX(0,(M2865-N2865)*24)</x:f>
        <x:v>17.000000000058208</x:v>
      </x:c>
      <x:c r="P2865" s="9" t="str">
        <x:v>No</x:v>
      </x:c>
      <x:c r="Q2865" s="15" t="n">
        <x:v>26</x:v>
      </x:c>
      <x:c r="R2865" s="13" t="n">
        <x:f>J2865+Q2865/1440</x:f>
        <x:v>46310.375</x:v>
      </x:c>
      <x:c r="S2865" s="2" t="str">
        <x:f>VLOOKUP(C2865,'MES orders'!$A$8:$H$127,6,FALSE)</x:f>
        <x:v>Normal</x:v>
      </x:c>
      <x:c r="T2865" s="9" t="str"/>
    </x:row>
    <x:row r="2866" ht="22" customHeight="1">
      <x:c r="A2866" s="2" t="str">
        <x:v>L00192-030</x:v>
      </x:c>
      <x:c r="B2866" s="2" t="str">
        <x:v>L00192</x:v>
      </x:c>
      <x:c r="C2866" s="2" t="str">
        <x:v>SO-26039</x:v>
      </x:c>
      <x:c r="D2866" s="2" t="str">
        <x:v>S-S-AL</x:v>
      </x:c>
      <x:c r="E2866" s="14" t="n">
        <x:v>5</x:v>
      </x:c>
      <x:c r="F2866" s="2" t="str">
        <x:v>Wash &amp; dry</x:v>
      </x:c>
      <x:c r="G2866" s="9" t="str">
        <x:v>WS-01</x:v>
      </x:c>
      <x:c r="H2866" s="15" t="n">
        <x:v>264</x:v>
      </x:c>
      <x:c r="I2866" s="9" t="str">
        <x:v>P02</x:v>
      </x:c>
      <x:c r="J2866" s="11" t="n">
        <x:v>46310.356944444444</x:v>
      </x:c>
      <x:c r="K2866" s="15" t="n">
        <x:v>12</x:v>
      </x:c>
      <x:c r="L2866" s="15" t="n">
        <x:v>2</x:v>
      </x:c>
      <x:c r="M2866" s="13" t="n">
        <x:f>J2866+(K2866+L2866)/1440</x:f>
        <x:v>46310.36666666667</x:v>
      </x:c>
      <x:c r="N2866" s="13" t="n">
        <x:f>VLOOKUP(C2866,'MES orders'!$A$8:$H$127,5,FALSE)</x:f>
        <x:v>46310.666666666664</x:v>
      </x:c>
      <x:c r="O2866" s="16" t="n">
        <x:f>MAX(0,(M2866-N2866)*24)</x:f>
        <x:v>0</x:v>
      </x:c>
      <x:c r="P2866" s="9" t="str">
        <x:v>No</x:v>
      </x:c>
      <x:c r="Q2866" s="15" t="n">
        <x:v>14</x:v>
      </x:c>
      <x:c r="R2866" s="13" t="n">
        <x:f>J2866+Q2866/1440</x:f>
        <x:v>46310.36666666667</x:v>
      </x:c>
      <x:c r="S2866" s="2" t="str">
        <x:f>VLOOKUP(C2866,'MES orders'!$A$8:$H$127,6,FALSE)</x:f>
        <x:v>Normal</x:v>
      </x:c>
      <x:c r="T2866" s="9" t="str"/>
    </x:row>
    <x:row r="2867" ht="22" customHeight="1">
      <x:c r="A2867" s="2" t="str">
        <x:v>L00194-060</x:v>
      </x:c>
      <x:c r="B2867" s="2" t="str">
        <x:v>L00194</x:v>
      </x:c>
      <x:c r="C2867" s="2" t="str">
        <x:v>SO-26039</x:v>
      </x:c>
      <x:c r="D2867" s="2" t="str">
        <x:v>S-S-AL</x:v>
      </x:c>
      <x:c r="E2867" s="14" t="n">
        <x:v>5</x:v>
      </x:c>
      <x:c r="F2867" s="2" t="str">
        <x:v>Sensor calibration</x:v>
      </x:c>
      <x:c r="G2867" s="9" t="str">
        <x:v>CAL-01</x:v>
      </x:c>
      <x:c r="H2867" s="15" t="n">
        <x:v>148</x:v>
      </x:c>
      <x:c r="I2867" s="9" t="str">
        <x:v>P09</x:v>
      </x:c>
      <x:c r="J2867" s="11" t="n">
        <x:v>46310.3625</x:v>
      </x:c>
      <x:c r="K2867" s="15" t="n">
        <x:v>10</x:v>
      </x:c>
      <x:c r="L2867" s="15" t="n">
        <x:v>6</x:v>
      </x:c>
      <x:c r="M2867" s="13" t="n">
        <x:f>J2867+(K2867+L2867)/1440</x:f>
        <x:v>46310.373611111114</x:v>
      </x:c>
      <x:c r="N2867" s="13" t="n">
        <x:f>VLOOKUP(C2867,'MES orders'!$A$8:$H$127,5,FALSE)</x:f>
        <x:v>46310.666666666664</x:v>
      </x:c>
      <x:c r="O2867" s="16" t="n">
        <x:f>MAX(0,(M2867-N2867)*24)</x:f>
        <x:v>0</x:v>
      </x:c>
      <x:c r="P2867" s="9" t="str">
        <x:v>No</x:v>
      </x:c>
      <x:c r="Q2867" s="15" t="n">
        <x:v>16</x:v>
      </x:c>
      <x:c r="R2867" s="13" t="n">
        <x:f>J2867+Q2867/1440</x:f>
        <x:v>46310.373611111114</x:v>
      </x:c>
      <x:c r="S2867" s="2" t="str">
        <x:f>VLOOKUP(C2867,'MES orders'!$A$8:$H$127,6,FALSE)</x:f>
        <x:v>Normal</x:v>
      </x:c>
      <x:c r="T2867" s="9" t="str"/>
    </x:row>
    <x:row r="2868" ht="22" customHeight="1">
      <x:c r="A2868" s="2" t="str">
        <x:v>L00467-040</x:v>
      </x:c>
      <x:c r="B2868" s="2" t="str">
        <x:v>L00467</x:v>
      </x:c>
      <x:c r="C2868" s="2" t="str">
        <x:v>SO-26094</x:v>
      </x:c>
      <x:c r="D2868" s="2" t="str">
        <x:v>D-S-SS</x:v>
      </x:c>
      <x:c r="E2868" s="14" t="n">
        <x:v>10</x:v>
      </x:c>
      <x:c r="F2868" s="2" t="str">
        <x:v>Mechanical assembly</x:v>
      </x:c>
      <x:c r="G2868" s="9" t="str">
        <x:v>AS-03</x:v>
      </x:c>
      <x:c r="H2868" s="15" t="n">
        <x:v>152</x:v>
      </x:c>
      <x:c r="I2868" s="9" t="str">
        <x:v>P06</x:v>
      </x:c>
      <x:c r="J2868" s="11" t="n">
        <x:v>46310.36319444444</x:v>
      </x:c>
      <x:c r="K2868" s="15" t="n">
        <x:v>8</x:v>
      </x:c>
      <x:c r="L2868" s="15" t="n">
        <x:v>18</x:v>
      </x:c>
      <x:c r="M2868" s="13" t="n">
        <x:f>J2868+(K2868+L2868)/1440</x:f>
        <x:v>46310.38125</x:v>
      </x:c>
      <x:c r="N2868" s="13" t="n">
        <x:f>VLOOKUP(C2868,'MES orders'!$A$8:$H$127,5,FALSE)</x:f>
        <x:v>46309.666666666664</x:v>
      </x:c>
      <x:c r="O2868" s="16" t="n">
        <x:f>MAX(0,(M2868-N2868)*24)</x:f>
        <x:v>17.150000000023283</x:v>
      </x:c>
      <x:c r="P2868" s="9" t="str">
        <x:v>No</x:v>
      </x:c>
      <x:c r="Q2868" s="15" t="n">
        <x:v>26</x:v>
      </x:c>
      <x:c r="R2868" s="13" t="n">
        <x:f>J2868+Q2868/1440</x:f>
        <x:v>46310.38125</x:v>
      </x:c>
      <x:c r="S2868" s="2" t="str">
        <x:f>VLOOKUP(C2868,'MES orders'!$A$8:$H$127,6,FALSE)</x:f>
        <x:v>Normal</x:v>
      </x:c>
      <x:c r="T2868" s="9" t="str"/>
    </x:row>
    <x:row r="2869" ht="22" customHeight="1">
      <x:c r="A2869" s="2" t="str">
        <x:v>L00195-030</x:v>
      </x:c>
      <x:c r="B2869" s="2" t="str">
        <x:v>L00195</x:v>
      </x:c>
      <x:c r="C2869" s="2" t="str">
        <x:v>SO-26039</x:v>
      </x:c>
      <x:c r="D2869" s="2" t="str">
        <x:v>S-S-AL</x:v>
      </x:c>
      <x:c r="E2869" s="14" t="n">
        <x:v>5</x:v>
      </x:c>
      <x:c r="F2869" s="2" t="str">
        <x:v>Wash &amp; dry</x:v>
      </x:c>
      <x:c r="G2869" s="9" t="str">
        <x:v>WS-02</x:v>
      </x:c>
      <x:c r="H2869" s="15" t="n">
        <x:v>189</x:v>
      </x:c>
      <x:c r="I2869" s="9" t="str">
        <x:v>P03</x:v>
      </x:c>
      <x:c r="J2869" s="11" t="n">
        <x:v>46310.36319444444</x:v>
      </x:c>
      <x:c r="K2869" s="15" t="n">
        <x:v>12</x:v>
      </x:c>
      <x:c r="L2869" s="15" t="n">
        <x:v>2</x:v>
      </x:c>
      <x:c r="M2869" s="13" t="n">
        <x:f>J2869+(K2869+L2869)/1440</x:f>
        <x:v>46310.37291666667</x:v>
      </x:c>
      <x:c r="N2869" s="13" t="n">
        <x:f>VLOOKUP(C2869,'MES orders'!$A$8:$H$127,5,FALSE)</x:f>
        <x:v>46310.666666666664</x:v>
      </x:c>
      <x:c r="O2869" s="16" t="n">
        <x:f>MAX(0,(M2869-N2869)*24)</x:f>
        <x:v>0</x:v>
      </x:c>
      <x:c r="P2869" s="9" t="str">
        <x:v>No</x:v>
      </x:c>
      <x:c r="Q2869" s="15" t="n">
        <x:v>14</x:v>
      </x:c>
      <x:c r="R2869" s="13" t="n">
        <x:f>J2869+Q2869/1440</x:f>
        <x:v>46310.37291666667</x:v>
      </x:c>
      <x:c r="S2869" s="2" t="str">
        <x:f>VLOOKUP(C2869,'MES orders'!$A$8:$H$127,6,FALSE)</x:f>
        <x:v>Normal</x:v>
      </x:c>
      <x:c r="T2869" s="9" t="str"/>
    </x:row>
    <x:row r="2870" ht="22" customHeight="1">
      <x:c r="A2870" s="2" t="str">
        <x:v>L00510-010</x:v>
      </x:c>
      <x:c r="B2870" s="2" t="str">
        <x:v>L00510</x:v>
      </x:c>
      <x:c r="C2870" s="2" t="str">
        <x:v>SO-26102</x:v>
      </x:c>
      <x:c r="D2870" s="2" t="str">
        <x:v>D-L-SS</x:v>
      </x:c>
      <x:c r="E2870" s="14" t="n">
        <x:v>25</x:v>
      </x:c>
      <x:c r="F2870" s="2" t="str">
        <x:v>CNC machining</x:v>
      </x:c>
      <x:c r="G2870" s="9" t="str">
        <x:v>CNC-04</x:v>
      </x:c>
      <x:c r="H2870" s="15" t="n">
        <x:v>87</x:v>
      </x:c>
      <x:c r="I2870" s="9" t="str">
        <x:v>P01</x:v>
      </x:c>
      <x:c r="J2870" s="11" t="n">
        <x:v>46310.36597222222</x:v>
      </x:c>
      <x:c r="K2870" s="15" t="n">
        <x:v>18</x:v>
      </x:c>
      <x:c r="L2870" s="15" t="n">
        <x:v>101</x:v>
      </x:c>
      <x:c r="M2870" s="13" t="n">
        <x:f>J2870+(K2870+L2870)/1440</x:f>
        <x:v>46310.44861111111</x:v>
      </x:c>
      <x:c r="N2870" s="13" t="n">
        <x:f>VLOOKUP(C2870,'MES orders'!$A$8:$H$127,5,FALSE)</x:f>
        <x:v>46309.666666666664</x:v>
      </x:c>
      <x:c r="O2870" s="16" t="n">
        <x:f>MAX(0,(M2870-N2870)*24)</x:f>
        <x:v>18.766666666720994</x:v>
      </x:c>
      <x:c r="P2870" s="9" t="str">
        <x:v>No</x:v>
      </x:c>
      <x:c r="Q2870" s="15" t="n">
        <x:v>18</x:v>
      </x:c>
      <x:c r="R2870" s="13" t="n">
        <x:f>J2870+Q2870/1440</x:f>
        <x:v>46310.37847222222</x:v>
      </x:c>
      <x:c r="S2870" s="2" t="str">
        <x:f>VLOOKUP(C2870,'MES orders'!$A$8:$H$127,6,FALSE)</x:f>
        <x:v>Normal</x:v>
      </x:c>
      <x:c r="T2870" s="9" t="str"/>
    </x:row>
    <x:row r="2871" ht="22" customHeight="1">
      <x:c r="A2871" s="2" t="str">
        <x:v>L00192-040</x:v>
      </x:c>
      <x:c r="B2871" s="2" t="str">
        <x:v>L00192</x:v>
      </x:c>
      <x:c r="C2871" s="2" t="str">
        <x:v>SO-26039</x:v>
      </x:c>
      <x:c r="D2871" s="2" t="str">
        <x:v>S-S-AL</x:v>
      </x:c>
      <x:c r="E2871" s="14" t="n">
        <x:v>5</x:v>
      </x:c>
      <x:c r="F2871" s="2" t="str">
        <x:v>Mechanical preassembly</x:v>
      </x:c>
      <x:c r="G2871" s="9" t="str">
        <x:v>AS-04</x:v>
      </x:c>
      <x:c r="H2871" s="15" t="n">
        <x:v>106</x:v>
      </x:c>
      <x:c r="I2871" s="9" t="str">
        <x:v>P02</x:v>
      </x:c>
      <x:c r="J2871" s="11" t="n">
        <x:v>46310.36666666667</x:v>
      </x:c>
      <x:c r="K2871" s="15" t="n">
        <x:v>6</x:v>
      </x:c>
      <x:c r="L2871" s="15" t="n">
        <x:v>6</x:v>
      </x:c>
      <x:c r="M2871" s="13" t="n">
        <x:f>J2871+(K2871+L2871)/1440</x:f>
        <x:v>46310.375</x:v>
      </x:c>
      <x:c r="N2871" s="13" t="n">
        <x:f>VLOOKUP(C2871,'MES orders'!$A$8:$H$127,5,FALSE)</x:f>
        <x:v>46310.666666666664</x:v>
      </x:c>
      <x:c r="O2871" s="16" t="n">
        <x:f>MAX(0,(M2871-N2871)*24)</x:f>
        <x:v>0</x:v>
      </x:c>
      <x:c r="P2871" s="9" t="str">
        <x:v>No</x:v>
      </x:c>
      <x:c r="Q2871" s="15" t="n">
        <x:v>12</x:v>
      </x:c>
      <x:c r="R2871" s="13" t="n">
        <x:f>J2871+Q2871/1440</x:f>
        <x:v>46310.375</x:v>
      </x:c>
      <x:c r="S2871" s="2" t="str">
        <x:f>VLOOKUP(C2871,'MES orders'!$A$8:$H$127,6,FALSE)</x:f>
        <x:v>Normal</x:v>
      </x:c>
      <x:c r="T2871" s="9" t="str"/>
    </x:row>
    <x:row r="2872" ht="22" customHeight="1">
      <x:c r="A2872" s="2" t="str">
        <x:v>L00272-020</x:v>
      </x:c>
      <x:c r="B2872" s="2" t="str">
        <x:v>L00272</x:v>
      </x:c>
      <x:c r="C2872" s="2" t="str">
        <x:v>SO-26055</x:v>
      </x:c>
      <x:c r="D2872" s="2" t="str">
        <x:v>D-C-AL</x:v>
      </x:c>
      <x:c r="E2872" s="14" t="n">
        <x:v>10</x:v>
      </x:c>
      <x:c r="F2872" s="2" t="str">
        <x:v>Deburr &amp; inspect</x:v>
      </x:c>
      <x:c r="G2872" s="9" t="str">
        <x:v>DB-01</x:v>
      </x:c>
      <x:c r="H2872" s="15" t="n">
        <x:v>271</x:v>
      </x:c>
      <x:c r="I2872" s="9" t="str">
        <x:v>P07</x:v>
      </x:c>
      <x:c r="J2872" s="11" t="n">
        <x:v>46310.36736111111</x:v>
      </x:c>
      <x:c r="K2872" s="15" t="n">
        <x:v>4</x:v>
      </x:c>
      <x:c r="L2872" s="15" t="n">
        <x:v>6</x:v>
      </x:c>
      <x:c r="M2872" s="13" t="n">
        <x:f>J2872+(K2872+L2872)/1440</x:f>
        <x:v>46310.37430555555</x:v>
      </x:c>
      <x:c r="N2872" s="13" t="n">
        <x:f>VLOOKUP(C2872,'MES orders'!$A$8:$H$127,5,FALSE)</x:f>
        <x:v>46310.666666666664</x:v>
      </x:c>
      <x:c r="O2872" s="16" t="n">
        <x:f>MAX(0,(M2872-N2872)*24)</x:f>
        <x:v>0</x:v>
      </x:c>
      <x:c r="P2872" s="9" t="str">
        <x:v>No</x:v>
      </x:c>
      <x:c r="Q2872" s="15" t="n">
        <x:v>10</x:v>
      </x:c>
      <x:c r="R2872" s="13" t="n">
        <x:f>J2872+Q2872/1440</x:f>
        <x:v>46310.37430555555</x:v>
      </x:c>
      <x:c r="S2872" s="2" t="str">
        <x:f>VLOOKUP(C2872,'MES orders'!$A$8:$H$127,6,FALSE)</x:f>
        <x:v>Normal</x:v>
      </x:c>
      <x:c r="T2872" s="9" t="str"/>
    </x:row>
    <x:row r="2873" ht="22" customHeight="1">
      <x:c r="A2873" s="2" t="str">
        <x:v>L00195-040</x:v>
      </x:c>
      <x:c r="B2873" s="2" t="str">
        <x:v>L00195</x:v>
      </x:c>
      <x:c r="C2873" s="2" t="str">
        <x:v>SO-26039</x:v>
      </x:c>
      <x:c r="D2873" s="2" t="str">
        <x:v>S-S-AL</x:v>
      </x:c>
      <x:c r="E2873" s="14" t="n">
        <x:v>5</x:v>
      </x:c>
      <x:c r="F2873" s="2" t="str">
        <x:v>Mechanical preassembly</x:v>
      </x:c>
      <x:c r="G2873" s="9" t="str">
        <x:v>AS-06</x:v>
      </x:c>
      <x:c r="H2873" s="15" t="n">
        <x:v>23</x:v>
      </x:c>
      <x:c r="I2873" s="9" t="str">
        <x:v>P03</x:v>
      </x:c>
      <x:c r="J2873" s="11" t="n">
        <x:v>46310.37291666667</x:v>
      </x:c>
      <x:c r="K2873" s="15" t="n">
        <x:v>6</x:v>
      </x:c>
      <x:c r="L2873" s="15" t="n">
        <x:v>6</x:v>
      </x:c>
      <x:c r="M2873" s="13" t="n">
        <x:f>J2873+(K2873+L2873)/1440</x:f>
        <x:v>46310.38125</x:v>
      </x:c>
      <x:c r="N2873" s="13" t="n">
        <x:f>VLOOKUP(C2873,'MES orders'!$A$8:$H$127,5,FALSE)</x:f>
        <x:v>46310.666666666664</x:v>
      </x:c>
      <x:c r="O2873" s="16" t="n">
        <x:f>MAX(0,(M2873-N2873)*24)</x:f>
        <x:v>0</x:v>
      </x:c>
      <x:c r="P2873" s="9" t="str">
        <x:v>No</x:v>
      </x:c>
      <x:c r="Q2873" s="15" t="n">
        <x:v>12</x:v>
      </x:c>
      <x:c r="R2873" s="13" t="n">
        <x:f>J2873+Q2873/1440</x:f>
        <x:v>46310.38125</x:v>
      </x:c>
      <x:c r="S2873" s="2" t="str">
        <x:f>VLOOKUP(C2873,'MES orders'!$A$8:$H$127,6,FALSE)</x:f>
        <x:v>Normal</x:v>
      </x:c>
      <x:c r="T2873" s="9" t="str"/>
    </x:row>
    <x:row r="2874" ht="22" customHeight="1">
      <x:c r="A2874" s="2" t="str">
        <x:v>L00194-070</x:v>
      </x:c>
      <x:c r="B2874" s="2" t="str">
        <x:v>L00194</x:v>
      </x:c>
      <x:c r="C2874" s="2" t="str">
        <x:v>SO-26039</x:v>
      </x:c>
      <x:c r="D2874" s="2" t="str">
        <x:v>S-S-AL</x:v>
      </x:c>
      <x:c r="E2874" s="14" t="n">
        <x:v>5</x:v>
      </x:c>
      <x:c r="F2874" s="2" t="str">
        <x:v>Final assembly</x:v>
      </x:c>
      <x:c r="G2874" s="9" t="str">
        <x:v>AS-05</x:v>
      </x:c>
      <x:c r="H2874" s="15" t="n">
        <x:v>57</x:v>
      </x:c>
      <x:c r="I2874" s="9" t="str">
        <x:v>P08</x:v>
      </x:c>
      <x:c r="J2874" s="11" t="n">
        <x:v>46310.373611111114</x:v>
      </x:c>
      <x:c r="K2874" s="15" t="n">
        <x:v>5</x:v>
      </x:c>
      <x:c r="L2874" s="15" t="n">
        <x:v>4</x:v>
      </x:c>
      <x:c r="M2874" s="13" t="n">
        <x:f>J2874+(K2874+L2874)/1440</x:f>
        <x:v>46310.37986111111</x:v>
      </x:c>
      <x:c r="N2874" s="13" t="n">
        <x:f>VLOOKUP(C2874,'MES orders'!$A$8:$H$127,5,FALSE)</x:f>
        <x:v>46310.666666666664</x:v>
      </x:c>
      <x:c r="O2874" s="16" t="n">
        <x:f>MAX(0,(M2874-N2874)*24)</x:f>
        <x:v>0</x:v>
      </x:c>
      <x:c r="P2874" s="9" t="str">
        <x:v>No</x:v>
      </x:c>
      <x:c r="Q2874" s="15" t="n">
        <x:v>9</x:v>
      </x:c>
      <x:c r="R2874" s="13" t="n">
        <x:f>J2874+Q2874/1440</x:f>
        <x:v>46310.37986111111</x:v>
      </x:c>
      <x:c r="S2874" s="2" t="str">
        <x:f>VLOOKUP(C2874,'MES orders'!$A$8:$H$127,6,FALSE)</x:f>
        <x:v>Normal</x:v>
      </x:c>
      <x:c r="T2874" s="9" t="str"/>
    </x:row>
    <x:row r="2875" ht="22" customHeight="1">
      <x:c r="A2875" s="2" t="str">
        <x:v>L00468-040</x:v>
      </x:c>
      <x:c r="B2875" s="2" t="str">
        <x:v>L00468</x:v>
      </x:c>
      <x:c r="C2875" s="2" t="str">
        <x:v>SO-26094</x:v>
      </x:c>
      <x:c r="D2875" s="2" t="str">
        <x:v>D-S-SS</x:v>
      </x:c>
      <x:c r="E2875" s="14" t="n">
        <x:v>10</x:v>
      </x:c>
      <x:c r="F2875" s="2" t="str">
        <x:v>Mechanical assembly</x:v>
      </x:c>
      <x:c r="G2875" s="9" t="str">
        <x:v>AS-01</x:v>
      </x:c>
      <x:c r="H2875" s="15" t="n">
        <x:v>229</x:v>
      </x:c>
      <x:c r="I2875" s="9" t="str">
        <x:v>P05</x:v>
      </x:c>
      <x:c r="J2875" s="11" t="n">
        <x:v>46310.37430555555</x:v>
      </x:c>
      <x:c r="K2875" s="15" t="n">
        <x:v>8</x:v>
      </x:c>
      <x:c r="L2875" s="15" t="n">
        <x:v>18</x:v>
      </x:c>
      <x:c r="M2875" s="13" t="n">
        <x:f>J2875+(K2875+L2875)/1440</x:f>
        <x:v>46310.39236111111</x:v>
      </x:c>
      <x:c r="N2875" s="13" t="n">
        <x:f>VLOOKUP(C2875,'MES orders'!$A$8:$H$127,5,FALSE)</x:f>
        <x:v>46309.666666666664</x:v>
      </x:c>
      <x:c r="O2875" s="16" t="n">
        <x:f>MAX(0,(M2875-N2875)*24)</x:f>
        <x:v>17.41666666668607</x:v>
      </x:c>
      <x:c r="P2875" s="9" t="str">
        <x:v>No</x:v>
      </x:c>
      <x:c r="Q2875" s="15" t="n">
        <x:v>26</x:v>
      </x:c>
      <x:c r="R2875" s="13" t="n">
        <x:f>J2875+Q2875/1440</x:f>
        <x:v>46310.39236111111</x:v>
      </x:c>
      <x:c r="S2875" s="2" t="str">
        <x:f>VLOOKUP(C2875,'MES orders'!$A$8:$H$127,6,FALSE)</x:f>
        <x:v>Normal</x:v>
      </x:c>
      <x:c r="T2875" s="9" t="str"/>
    </x:row>
    <x:row r="2876" ht="22" customHeight="1">
      <x:c r="A2876" s="2" t="str">
        <x:v>L00270-060</x:v>
      </x:c>
      <x:c r="B2876" s="2" t="str">
        <x:v>L00270</x:v>
      </x:c>
      <x:c r="C2876" s="2" t="str">
        <x:v>SO-26054</x:v>
      </x:c>
      <x:c r="D2876" s="2" t="str">
        <x:v>R-L-SS</x:v>
      </x:c>
      <x:c r="E2876" s="14" t="n">
        <x:v>25</x:v>
      </x:c>
      <x:c r="F2876" s="2" t="str">
        <x:v>Final leak / function test</x:v>
      </x:c>
      <x:c r="G2876" s="9" t="str">
        <x:v>QA-02</x:v>
      </x:c>
      <x:c r="H2876" s="15" t="n">
        <x:v>210</x:v>
      </x:c>
      <x:c r="I2876" s="9" t="str">
        <x:v>P11</x:v>
      </x:c>
      <x:c r="J2876" s="11" t="n">
        <x:v>46310.37430555555</x:v>
      </x:c>
      <x:c r="K2876" s="15" t="n">
        <x:v>10</x:v>
      </x:c>
      <x:c r="L2876" s="15" t="n">
        <x:v>30</x:v>
      </x:c>
      <x:c r="M2876" s="13" t="n">
        <x:f>J2876+(K2876+L2876)/1440</x:f>
        <x:v>46310.402083333334</x:v>
      </x:c>
      <x:c r="N2876" s="13" t="n">
        <x:f>VLOOKUP(C2876,'MES orders'!$A$8:$H$127,5,FALSE)</x:f>
        <x:v>46309.666666666664</x:v>
      </x:c>
      <x:c r="O2876" s="16" t="n">
        <x:f>MAX(0,(M2876-N2876)*24)</x:f>
        <x:v>17.65000000008149</x:v>
      </x:c>
      <x:c r="P2876" s="9" t="str">
        <x:v>No</x:v>
      </x:c>
      <x:c r="Q2876" s="15" t="n">
        <x:v>40</x:v>
      </x:c>
      <x:c r="R2876" s="13" t="n">
        <x:f>J2876+Q2876/1440</x:f>
        <x:v>46310.402083333334</x:v>
      </x:c>
      <x:c r="S2876" s="2" t="str">
        <x:f>VLOOKUP(C2876,'MES orders'!$A$8:$H$127,6,FALSE)</x:f>
        <x:v>Normal</x:v>
      </x:c>
      <x:c r="T2876" s="9" t="str"/>
    </x:row>
    <x:row r="2877" ht="22" customHeight="1">
      <x:c r="A2877" s="2" t="str">
        <x:v>L00469-020</x:v>
      </x:c>
      <x:c r="B2877" s="2" t="str">
        <x:v>L00469</x:v>
      </x:c>
      <x:c r="C2877" s="2" t="str">
        <x:v>SO-26094</x:v>
      </x:c>
      <x:c r="D2877" s="2" t="str">
        <x:v>D-S-SS</x:v>
      </x:c>
      <x:c r="E2877" s="14" t="n">
        <x:v>10</x:v>
      </x:c>
      <x:c r="F2877" s="2" t="str">
        <x:v>Deburr &amp; inspect</x:v>
      </x:c>
      <x:c r="G2877" s="9" t="str">
        <x:v>DB-01</x:v>
      </x:c>
      <x:c r="H2877" s="15" t="n">
        <x:v>272</x:v>
      </x:c>
      <x:c r="I2877" s="9" t="str">
        <x:v>P04</x:v>
      </x:c>
      <x:c r="J2877" s="11" t="n">
        <x:v>46310.375</x:v>
      </x:c>
      <x:c r="K2877" s="15" t="n">
        <x:v>4</x:v>
      </x:c>
      <x:c r="L2877" s="15" t="n">
        <x:v>7</x:v>
      </x:c>
      <x:c r="M2877" s="13" t="n">
        <x:f>J2877+(K2877+L2877)/1440</x:f>
        <x:v>46310.38263888889</x:v>
      </x:c>
      <x:c r="N2877" s="13" t="n">
        <x:f>VLOOKUP(C2877,'MES orders'!$A$8:$H$127,5,FALSE)</x:f>
        <x:v>46309.666666666664</x:v>
      </x:c>
      <x:c r="O2877" s="16" t="n">
        <x:f>MAX(0,(M2877-N2877)*24)</x:f>
        <x:v>17.18333333346527</x:v>
      </x:c>
      <x:c r="P2877" s="9" t="str">
        <x:v>No</x:v>
      </x:c>
      <x:c r="Q2877" s="15" t="n">
        <x:v>11</x:v>
      </x:c>
      <x:c r="R2877" s="13" t="n">
        <x:f>J2877+Q2877/1440</x:f>
        <x:v>46310.38263888889</x:v>
      </x:c>
      <x:c r="S2877" s="2" t="str">
        <x:f>VLOOKUP(C2877,'MES orders'!$A$8:$H$127,6,FALSE)</x:f>
        <x:v>Normal</x:v>
      </x:c>
      <x:c r="T2877" s="9" t="str"/>
    </x:row>
    <x:row r="2878" ht="22" customHeight="1">
      <x:c r="A2878" s="2" t="str">
        <x:v>L00192-050</x:v>
      </x:c>
      <x:c r="B2878" s="2" t="str">
        <x:v>L00192</x:v>
      </x:c>
      <x:c r="C2878" s="2" t="str">
        <x:v>SO-26039</x:v>
      </x:c>
      <x:c r="D2878" s="2" t="str">
        <x:v>S-S-AL</x:v>
      </x:c>
      <x:c r="E2878" s="14" t="n">
        <x:v>5</x:v>
      </x:c>
      <x:c r="F2878" s="2" t="str">
        <x:v>Sensor installation</x:v>
      </x:c>
      <x:c r="G2878" s="9" t="str">
        <x:v>EL-01</x:v>
      </x:c>
      <x:c r="H2878" s="15" t="n">
        <x:v>101</x:v>
      </x:c>
      <x:c r="I2878" s="9" t="str">
        <x:v>P07</x:v>
      </x:c>
      <x:c r="J2878" s="11" t="n">
        <x:v>46310.375</x:v>
      </x:c>
      <x:c r="K2878" s="15" t="n">
        <x:v>8</x:v>
      </x:c>
      <x:c r="L2878" s="15" t="n">
        <x:v>6</x:v>
      </x:c>
      <x:c r="M2878" s="13" t="n">
        <x:f>J2878+(K2878+L2878)/1440</x:f>
        <x:v>46310.384722222225</x:v>
      </x:c>
      <x:c r="N2878" s="13" t="n">
        <x:f>VLOOKUP(C2878,'MES orders'!$A$8:$H$127,5,FALSE)</x:f>
        <x:v>46310.666666666664</x:v>
      </x:c>
      <x:c r="O2878" s="16" t="n">
        <x:f>MAX(0,(M2878-N2878)*24)</x:f>
        <x:v>0</x:v>
      </x:c>
      <x:c r="P2878" s="9" t="str">
        <x:v>No</x:v>
      </x:c>
      <x:c r="Q2878" s="15" t="n">
        <x:v>14</x:v>
      </x:c>
      <x:c r="R2878" s="13" t="n">
        <x:f>J2878+Q2878/1440</x:f>
        <x:v>46310.384722222225</x:v>
      </x:c>
      <x:c r="S2878" s="2" t="str">
        <x:f>VLOOKUP(C2878,'MES orders'!$A$8:$H$127,6,FALSE)</x:f>
        <x:v>Normal</x:v>
      </x:c>
      <x:c r="T2878" s="9" t="str"/>
    </x:row>
    <x:row r="2879" ht="22" customHeight="1">
      <x:c r="A2879" s="2" t="str">
        <x:v>L00466-050</x:v>
      </x:c>
      <x:c r="B2879" s="2" t="str">
        <x:v>L00466</x:v>
      </x:c>
      <x:c r="C2879" s="2" t="str">
        <x:v>SO-26094</x:v>
      </x:c>
      <x:c r="D2879" s="2" t="str">
        <x:v>D-S-SS</x:v>
      </x:c>
      <x:c r="E2879" s="14" t="n">
        <x:v>10</x:v>
      </x:c>
      <x:c r="F2879" s="2" t="str">
        <x:v>Final leak / function test</x:v>
      </x:c>
      <x:c r="G2879" s="9" t="str">
        <x:v>QA-01</x:v>
      </x:c>
      <x:c r="H2879" s="15" t="n">
        <x:v>108</x:v>
      </x:c>
      <x:c r="I2879" s="9" t="str">
        <x:v>P12</x:v>
      </x:c>
      <x:c r="J2879" s="11" t="n">
        <x:v>46310.375</x:v>
      </x:c>
      <x:c r="K2879" s="15" t="n">
        <x:v>10</x:v>
      </x:c>
      <x:c r="L2879" s="15" t="n">
        <x:v>9</x:v>
      </x:c>
      <x:c r="M2879" s="13" t="n">
        <x:f>J2879+(K2879+L2879)/1440</x:f>
        <x:v>46310.388194444444</x:v>
      </x:c>
      <x:c r="N2879" s="13" t="n">
        <x:f>VLOOKUP(C2879,'MES orders'!$A$8:$H$127,5,FALSE)</x:f>
        <x:v>46309.666666666664</x:v>
      </x:c>
      <x:c r="O2879" s="16" t="n">
        <x:f>MAX(0,(M2879-N2879)*24)</x:f>
        <x:v>17.316666666709352</x:v>
      </x:c>
      <x:c r="P2879" s="9" t="str">
        <x:v>No</x:v>
      </x:c>
      <x:c r="Q2879" s="15" t="n">
        <x:v>19</x:v>
      </x:c>
      <x:c r="R2879" s="13" t="n">
        <x:f>J2879+Q2879/1440</x:f>
        <x:v>46310.388194444444</x:v>
      </x:c>
      <x:c r="S2879" s="2" t="str">
        <x:f>VLOOKUP(C2879,'MES orders'!$A$8:$H$127,6,FALSE)</x:f>
        <x:v>Normal</x:v>
      </x:c>
      <x:c r="T2879" s="9" t="str"/>
    </x:row>
    <x:row r="2880" ht="22" customHeight="1">
      <x:c r="A2880" s="2" t="str">
        <x:v>L00546-010</x:v>
      </x:c>
      <x:c r="B2880" s="2" t="str">
        <x:v>L00546</x:v>
      </x:c>
      <x:c r="C2880" s="2" t="str">
        <x:v>SO-26110</x:v>
      </x:c>
      <x:c r="D2880" s="2" t="str">
        <x:v>R-C-SS</x:v>
      </x:c>
      <x:c r="E2880" s="14" t="n">
        <x:v>10</x:v>
      </x:c>
      <x:c r="F2880" s="2" t="str">
        <x:v>CNC machining</x:v>
      </x:c>
      <x:c r="G2880" s="9" t="str">
        <x:v>CNC-05</x:v>
      </x:c>
      <x:c r="H2880" s="15" t="n">
        <x:v>80</x:v>
      </x:c>
      <x:c r="I2880" s="9" t="str">
        <x:v>P01</x:v>
      </x:c>
      <x:c r="J2880" s="11" t="n">
        <x:v>46310.37847222222</x:v>
      </x:c>
      <x:c r="K2880" s="15" t="n">
        <x:v>18</x:v>
      </x:c>
      <x:c r="L2880" s="15" t="n">
        <x:v>24</x:v>
      </x:c>
      <x:c r="M2880" s="13" t="n">
        <x:f>J2880+(K2880+L2880)/1440</x:f>
        <x:v>46310.407638888886</x:v>
      </x:c>
      <x:c r="N2880" s="13" t="n">
        <x:f>VLOOKUP(C2880,'MES orders'!$A$8:$H$127,5,FALSE)</x:f>
        <x:v>46309.666666666664</x:v>
      </x:c>
      <x:c r="O2880" s="16" t="n">
        <x:f>MAX(0,(M2880-N2880)*24)</x:f>
        <x:v>17.783333333325572</x:v>
      </x:c>
      <x:c r="P2880" s="9" t="str">
        <x:v>No</x:v>
      </x:c>
      <x:c r="Q2880" s="15" t="n">
        <x:v>18</x:v>
      </x:c>
      <x:c r="R2880" s="13" t="n">
        <x:f>J2880+Q2880/1440</x:f>
        <x:v>46310.390972222216</x:v>
      </x:c>
      <x:c r="S2880" s="2" t="str">
        <x:f>VLOOKUP(C2880,'MES orders'!$A$8:$H$127,6,FALSE)</x:f>
        <x:v>Normal</x:v>
      </x:c>
      <x:c r="T2880" s="9" t="str"/>
    </x:row>
    <x:row r="2881" ht="22" customHeight="1">
      <x:c r="A2881" s="2" t="str">
        <x:v>L00547-010</x:v>
      </x:c>
      <x:c r="B2881" s="2" t="str">
        <x:v>L00547</x:v>
      </x:c>
      <x:c r="C2881" s="2" t="str">
        <x:v>SO-26110</x:v>
      </x:c>
      <x:c r="D2881" s="2" t="str">
        <x:v>R-C-SS</x:v>
      </x:c>
      <x:c r="E2881" s="14" t="n">
        <x:v>10</x:v>
      </x:c>
      <x:c r="F2881" s="2" t="str">
        <x:v>CNC machining</x:v>
      </x:c>
      <x:c r="G2881" s="9" t="str">
        <x:v>CNC-06</x:v>
      </x:c>
      <x:c r="H2881" s="15" t="n">
        <x:v>73</x:v>
      </x:c>
      <x:c r="I2881" s="9" t="str">
        <x:v>P02</x:v>
      </x:c>
      <x:c r="J2881" s="11" t="n">
        <x:v>46310.37847222222</x:v>
      </x:c>
      <x:c r="K2881" s="15" t="n">
        <x:v>18</x:v>
      </x:c>
      <x:c r="L2881" s="15" t="n">
        <x:v>24</x:v>
      </x:c>
      <x:c r="M2881" s="13" t="n">
        <x:f>J2881+(K2881+L2881)/1440</x:f>
        <x:v>46310.407638888886</x:v>
      </x:c>
      <x:c r="N2881" s="13" t="n">
        <x:f>VLOOKUP(C2881,'MES orders'!$A$8:$H$127,5,FALSE)</x:f>
        <x:v>46309.666666666664</x:v>
      </x:c>
      <x:c r="O2881" s="16" t="n">
        <x:f>MAX(0,(M2881-N2881)*24)</x:f>
        <x:v>17.783333333325572</x:v>
      </x:c>
      <x:c r="P2881" s="9" t="str">
        <x:v>No</x:v>
      </x:c>
      <x:c r="Q2881" s="15" t="n">
        <x:v>18</x:v>
      </x:c>
      <x:c r="R2881" s="13" t="n">
        <x:f>J2881+Q2881/1440</x:f>
        <x:v>46310.390972222216</x:v>
      </x:c>
      <x:c r="S2881" s="2" t="str">
        <x:f>VLOOKUP(C2881,'MES orders'!$A$8:$H$127,6,FALSE)</x:f>
        <x:v>Normal</x:v>
      </x:c>
      <x:c r="T2881" s="9" t="str"/>
    </x:row>
    <x:row r="2882" ht="22" customHeight="1">
      <x:c r="A2882" s="2" t="str">
        <x:v>L00273-010</x:v>
      </x:c>
      <x:c r="B2882" s="2" t="str">
        <x:v>L00273</x:v>
      </x:c>
      <x:c r="C2882" s="2" t="str">
        <x:v>SO-26055</x:v>
      </x:c>
      <x:c r="D2882" s="2" t="str">
        <x:v>D-C-AL</x:v>
      </x:c>
      <x:c r="E2882" s="14" t="n">
        <x:v>10</x:v>
      </x:c>
      <x:c r="F2882" s="2" t="str">
        <x:v>CNC machining</x:v>
      </x:c>
      <x:c r="G2882" s="9" t="str">
        <x:v>CNC-01</x:v>
      </x:c>
      <x:c r="H2882" s="15" t="n">
        <x:v>79</x:v>
      </x:c>
      <x:c r="I2882" s="9" t="str">
        <x:v>P03</x:v>
      </x:c>
      <x:c r="J2882" s="11" t="n">
        <x:v>46310.38125</x:v>
      </x:c>
      <x:c r="K2882" s="15" t="n">
        <x:v>18</x:v>
      </x:c>
      <x:c r="L2882" s="15" t="n">
        <x:v>19</x:v>
      </x:c>
      <x:c r="M2882" s="13" t="n">
        <x:f>J2882+(K2882+L2882)/1440</x:f>
        <x:v>46310.40694444444</x:v>
      </x:c>
      <x:c r="N2882" s="13" t="n">
        <x:f>VLOOKUP(C2882,'MES orders'!$A$8:$H$127,5,FALSE)</x:f>
        <x:v>46310.666666666664</x:v>
      </x:c>
      <x:c r="O2882" s="16" t="n">
        <x:f>MAX(0,(M2882-N2882)*24)</x:f>
        <x:v>0</x:v>
      </x:c>
      <x:c r="P2882" s="9" t="str">
        <x:v>No</x:v>
      </x:c>
      <x:c r="Q2882" s="15" t="n">
        <x:v>18</x:v>
      </x:c>
      <x:c r="R2882" s="13" t="n">
        <x:f>J2882+Q2882/1440</x:f>
        <x:v>46310.393749999996</x:v>
      </x:c>
      <x:c r="S2882" s="2" t="str">
        <x:f>VLOOKUP(C2882,'MES orders'!$A$8:$H$127,6,FALSE)</x:f>
        <x:v>Normal</x:v>
      </x:c>
      <x:c r="T2882" s="9" t="str"/>
    </x:row>
    <x:row r="2883" ht="22" customHeight="1">
      <x:c r="A2883" s="2" t="str">
        <x:v>L00470-020</x:v>
      </x:c>
      <x:c r="B2883" s="2" t="str">
        <x:v>L00470</x:v>
      </x:c>
      <x:c r="C2883" s="2" t="str">
        <x:v>SO-26094</x:v>
      </x:c>
      <x:c r="D2883" s="2" t="str">
        <x:v>D-S-SS</x:v>
      </x:c>
      <x:c r="E2883" s="14" t="n">
        <x:v>10</x:v>
      </x:c>
      <x:c r="F2883" s="2" t="str">
        <x:v>Deburr &amp; inspect</x:v>
      </x:c>
      <x:c r="G2883" s="9" t="str">
        <x:v>DB-02</x:v>
      </x:c>
      <x:c r="H2883" s="15" t="n">
        <x:v>185</x:v>
      </x:c>
      <x:c r="I2883" s="9" t="str">
        <x:v>P06</x:v>
      </x:c>
      <x:c r="J2883" s="11" t="n">
        <x:v>46310.38125</x:v>
      </x:c>
      <x:c r="K2883" s="15" t="n">
        <x:v>4</x:v>
      </x:c>
      <x:c r="L2883" s="15" t="n">
        <x:v>7</x:v>
      </x:c>
      <x:c r="M2883" s="13" t="n">
        <x:f>J2883+(K2883+L2883)/1440</x:f>
        <x:v>46310.38888888889</x:v>
      </x:c>
      <x:c r="N2883" s="13" t="n">
        <x:f>VLOOKUP(C2883,'MES orders'!$A$8:$H$127,5,FALSE)</x:f>
        <x:v>46309.666666666664</x:v>
      </x:c>
      <x:c r="O2883" s="16" t="n">
        <x:f>MAX(0,(M2883-N2883)*24)</x:f>
        <x:v>17.333333333430346</x:v>
      </x:c>
      <x:c r="P2883" s="9" t="str">
        <x:v>No</x:v>
      </x:c>
      <x:c r="Q2883" s="15" t="n">
        <x:v>11</x:v>
      </x:c>
      <x:c r="R2883" s="13" t="n">
        <x:f>J2883+Q2883/1440</x:f>
        <x:v>46310.38888888889</x:v>
      </x:c>
      <x:c r="S2883" s="2" t="str">
        <x:f>VLOOKUP(C2883,'MES orders'!$A$8:$H$127,6,FALSE)</x:f>
        <x:v>Normal</x:v>
      </x:c>
      <x:c r="T2883" s="9" t="str"/>
    </x:row>
    <x:row r="2884" ht="22" customHeight="1">
      <x:c r="A2884" s="2" t="str">
        <x:v>L00195-050</x:v>
      </x:c>
      <x:c r="B2884" s="2" t="str">
        <x:v>L00195</x:v>
      </x:c>
      <x:c r="C2884" s="2" t="str">
        <x:v>SO-26039</x:v>
      </x:c>
      <x:c r="D2884" s="2" t="str">
        <x:v>S-S-AL</x:v>
      </x:c>
      <x:c r="E2884" s="14" t="n">
        <x:v>5</x:v>
      </x:c>
      <x:c r="F2884" s="2" t="str">
        <x:v>Sensor installation</x:v>
      </x:c>
      <x:c r="G2884" s="9" t="str">
        <x:v>EL-02</x:v>
      </x:c>
      <x:c r="H2884" s="15" t="n">
        <x:v>49</x:v>
      </x:c>
      <x:c r="I2884" s="9" t="str">
        <x:v>P08</x:v>
      </x:c>
      <x:c r="J2884" s="11" t="n">
        <x:v>46310.38125</x:v>
      </x:c>
      <x:c r="K2884" s="15" t="n">
        <x:v>8</x:v>
      </x:c>
      <x:c r="L2884" s="15" t="n">
        <x:v>6</x:v>
      </x:c>
      <x:c r="M2884" s="13" t="n">
        <x:f>J2884+(K2884+L2884)/1440</x:f>
        <x:v>46310.39097222222</x:v>
      </x:c>
      <x:c r="N2884" s="13" t="n">
        <x:f>VLOOKUP(C2884,'MES orders'!$A$8:$H$127,5,FALSE)</x:f>
        <x:v>46310.666666666664</x:v>
      </x:c>
      <x:c r="O2884" s="16" t="n">
        <x:f>MAX(0,(M2884-N2884)*24)</x:f>
        <x:v>0</x:v>
      </x:c>
      <x:c r="P2884" s="9" t="str">
        <x:v>No</x:v>
      </x:c>
      <x:c r="Q2884" s="15" t="n">
        <x:v>14</x:v>
      </x:c>
      <x:c r="R2884" s="13" t="n">
        <x:f>J2884+Q2884/1440</x:f>
        <x:v>46310.39097222222</x:v>
      </x:c>
      <x:c r="S2884" s="2" t="str">
        <x:f>VLOOKUP(C2884,'MES orders'!$A$8:$H$127,6,FALSE)</x:f>
        <x:v>Normal</x:v>
      </x:c>
      <x:c r="T2884" s="9" t="str"/>
    </x:row>
    <x:row r="2885" ht="22" customHeight="1">
      <x:c r="A2885" s="2" t="str">
        <x:v>L00469-030</x:v>
      </x:c>
      <x:c r="B2885" s="2" t="str">
        <x:v>L00469</x:v>
      </x:c>
      <x:c r="C2885" s="2" t="str">
        <x:v>SO-26094</x:v>
      </x:c>
      <x:c r="D2885" s="2" t="str">
        <x:v>D-S-SS</x:v>
      </x:c>
      <x:c r="E2885" s="14" t="n">
        <x:v>10</x:v>
      </x:c>
      <x:c r="F2885" s="2" t="str">
        <x:v>Wash &amp; dry</x:v>
      </x:c>
      <x:c r="G2885" s="9" t="str">
        <x:v>WS-01</x:v>
      </x:c>
      <x:c r="H2885" s="15" t="n">
        <x:v>265</x:v>
      </x:c>
      <x:c r="I2885" s="9" t="str">
        <x:v>P04</x:v>
      </x:c>
      <x:c r="J2885" s="11" t="n">
        <x:v>46310.38263888889</x:v>
      </x:c>
      <x:c r="K2885" s="15" t="n">
        <x:v>12</x:v>
      </x:c>
      <x:c r="L2885" s="15" t="n">
        <x:v>4</x:v>
      </x:c>
      <x:c r="M2885" s="13" t="n">
        <x:f>J2885+(K2885+L2885)/1440</x:f>
        <x:v>46310.39375</x:v>
      </x:c>
      <x:c r="N2885" s="13" t="n">
        <x:f>VLOOKUP(C2885,'MES orders'!$A$8:$H$127,5,FALSE)</x:f>
        <x:v>46309.666666666664</x:v>
      </x:c>
      <x:c r="O2885" s="16" t="n">
        <x:f>MAX(0,(M2885-N2885)*24)</x:f>
        <x:v>17.450000000128057</x:v>
      </x:c>
      <x:c r="P2885" s="9" t="str">
        <x:v>No</x:v>
      </x:c>
      <x:c r="Q2885" s="15" t="n">
        <x:v>16</x:v>
      </x:c>
      <x:c r="R2885" s="13" t="n">
        <x:f>J2885+Q2885/1440</x:f>
        <x:v>46310.39375</x:v>
      </x:c>
      <x:c r="S2885" s="2" t="str">
        <x:f>VLOOKUP(C2885,'MES orders'!$A$8:$H$127,6,FALSE)</x:f>
        <x:v>Normal</x:v>
      </x:c>
      <x:c r="T2885" s="9" t="str"/>
    </x:row>
    <x:row r="2886" ht="22" customHeight="1">
      <x:c r="A2886" s="2" t="str">
        <x:v>L00192-060</x:v>
      </x:c>
      <x:c r="B2886" s="2" t="str">
        <x:v>L00192</x:v>
      </x:c>
      <x:c r="C2886" s="2" t="str">
        <x:v>SO-26039</x:v>
      </x:c>
      <x:c r="D2886" s="2" t="str">
        <x:v>S-S-AL</x:v>
      </x:c>
      <x:c r="E2886" s="14" t="n">
        <x:v>5</x:v>
      </x:c>
      <x:c r="F2886" s="2" t="str">
        <x:v>Sensor calibration</x:v>
      </x:c>
      <x:c r="G2886" s="9" t="str">
        <x:v>CAL-01</x:v>
      </x:c>
      <x:c r="H2886" s="15" t="n">
        <x:v>149</x:v>
      </x:c>
      <x:c r="I2886" s="9" t="str">
        <x:v>P09</x:v>
      </x:c>
      <x:c r="J2886" s="11" t="n">
        <x:v>46310.384722222225</x:v>
      </x:c>
      <x:c r="K2886" s="15" t="n">
        <x:v>10</x:v>
      </x:c>
      <x:c r="L2886" s="15" t="n">
        <x:v>6</x:v>
      </x:c>
      <x:c r="M2886" s="13" t="n">
        <x:f>J2886+(K2886+L2886)/1440</x:f>
        <x:v>46310.395833333336</x:v>
      </x:c>
      <x:c r="N2886" s="13" t="n">
        <x:f>VLOOKUP(C2886,'MES orders'!$A$8:$H$127,5,FALSE)</x:f>
        <x:v>46310.666666666664</x:v>
      </x:c>
      <x:c r="O2886" s="16" t="n">
        <x:f>MAX(0,(M2886-N2886)*24)</x:f>
        <x:v>0</x:v>
      </x:c>
      <x:c r="P2886" s="9" t="str">
        <x:v>No</x:v>
      </x:c>
      <x:c r="Q2886" s="15" t="n">
        <x:v>16</x:v>
      </x:c>
      <x:c r="R2886" s="13" t="n">
        <x:f>J2886+Q2886/1440</x:f>
        <x:v>46310.395833333336</x:v>
      </x:c>
      <x:c r="S2886" s="2" t="str">
        <x:f>VLOOKUP(C2886,'MES orders'!$A$8:$H$127,6,FALSE)</x:f>
        <x:v>Normal</x:v>
      </x:c>
      <x:c r="T2886" s="9" t="str"/>
    </x:row>
    <x:row r="2887" ht="22" customHeight="1">
      <x:c r="A2887" s="2" t="str">
        <x:v>L00467-050</x:v>
      </x:c>
      <x:c r="B2887" s="2" t="str">
        <x:v>L00467</x:v>
      </x:c>
      <x:c r="C2887" s="2" t="str">
        <x:v>SO-26094</x:v>
      </x:c>
      <x:c r="D2887" s="2" t="str">
        <x:v>D-S-SS</x:v>
      </x:c>
      <x:c r="E2887" s="14" t="n">
        <x:v>10</x:v>
      </x:c>
      <x:c r="F2887" s="2" t="str">
        <x:v>Final leak / function test</x:v>
      </x:c>
      <x:c r="G2887" s="9" t="str">
        <x:v>QA-01</x:v>
      </x:c>
      <x:c r="H2887" s="15" t="n">
        <x:v>109</x:v>
      </x:c>
      <x:c r="I2887" s="9" t="str">
        <x:v>P12</x:v>
      </x:c>
      <x:c r="J2887" s="11" t="n">
        <x:v>46310.388194444444</x:v>
      </x:c>
      <x:c r="K2887" s="15" t="n">
        <x:v>10</x:v>
      </x:c>
      <x:c r="L2887" s="15" t="n">
        <x:v>9</x:v>
      </x:c>
      <x:c r="M2887" s="13" t="n">
        <x:f>J2887+(K2887+L2887)/1440</x:f>
        <x:v>46310.40138888889</x:v>
      </x:c>
      <x:c r="N2887" s="13" t="n">
        <x:f>VLOOKUP(C2887,'MES orders'!$A$8:$H$127,5,FALSE)</x:f>
        <x:v>46309.666666666664</x:v>
      </x:c>
      <x:c r="O2887" s="16" t="n">
        <x:f>MAX(0,(M2887-N2887)*24)</x:f>
        <x:v>17.633333333360497</x:v>
      </x:c>
      <x:c r="P2887" s="9" t="str">
        <x:v>No</x:v>
      </x:c>
      <x:c r="Q2887" s="15" t="n">
        <x:v>19</x:v>
      </x:c>
      <x:c r="R2887" s="13" t="n">
        <x:f>J2887+Q2887/1440</x:f>
        <x:v>46310.40138888889</x:v>
      </x:c>
      <x:c r="S2887" s="2" t="str">
        <x:f>VLOOKUP(C2887,'MES orders'!$A$8:$H$127,6,FALSE)</x:f>
        <x:v>Normal</x:v>
      </x:c>
      <x:c r="T2887" s="9" t="str"/>
    </x:row>
    <x:row r="2888" ht="22" customHeight="1">
      <x:c r="A2888" s="2" t="str">
        <x:v>L00470-030</x:v>
      </x:c>
      <x:c r="B2888" s="2" t="str">
        <x:v>L00470</x:v>
      </x:c>
      <x:c r="C2888" s="2" t="str">
        <x:v>SO-26094</x:v>
      </x:c>
      <x:c r="D2888" s="2" t="str">
        <x:v>D-S-SS</x:v>
      </x:c>
      <x:c r="E2888" s="14" t="n">
        <x:v>10</x:v>
      </x:c>
      <x:c r="F2888" s="2" t="str">
        <x:v>Wash &amp; dry</x:v>
      </x:c>
      <x:c r="G2888" s="9" t="str">
        <x:v>WS-02</x:v>
      </x:c>
      <x:c r="H2888" s="15" t="n">
        <x:v>190</x:v>
      </x:c>
      <x:c r="I2888" s="9" t="str">
        <x:v>P06</x:v>
      </x:c>
      <x:c r="J2888" s="11" t="n">
        <x:v>46310.38888888889</x:v>
      </x:c>
      <x:c r="K2888" s="15" t="n">
        <x:v>12</x:v>
      </x:c>
      <x:c r="L2888" s="15" t="n">
        <x:v>4</x:v>
      </x:c>
      <x:c r="M2888" s="13" t="n">
        <x:f>J2888+(K2888+L2888)/1440</x:f>
        <x:v>46310.4</x:v>
      </x:c>
      <x:c r="N2888" s="13" t="n">
        <x:f>VLOOKUP(C2888,'MES orders'!$A$8:$H$127,5,FALSE)</x:f>
        <x:v>46309.666666666664</x:v>
      </x:c>
      <x:c r="O2888" s="16" t="n">
        <x:f>MAX(0,(M2888-N2888)*24)</x:f>
        <x:v>17.600000000093132</x:v>
      </x:c>
      <x:c r="P2888" s="9" t="str">
        <x:v>No</x:v>
      </x:c>
      <x:c r="Q2888" s="15" t="n">
        <x:v>16</x:v>
      </x:c>
      <x:c r="R2888" s="13" t="n">
        <x:f>J2888+Q2888/1440</x:f>
        <x:v>46310.4</x:v>
      </x:c>
      <x:c r="S2888" s="2" t="str">
        <x:f>VLOOKUP(C2888,'MES orders'!$A$8:$H$127,6,FALSE)</x:f>
        <x:v>Normal</x:v>
      </x:c>
      <x:c r="T2888" s="9" t="str"/>
    </x:row>
    <x:row r="2889" ht="22" customHeight="1">
      <x:c r="A2889" s="2" t="str">
        <x:v>L00506-020</x:v>
      </x:c>
      <x:c r="B2889" s="2" t="str">
        <x:v>L00506</x:v>
      </x:c>
      <x:c r="C2889" s="2" t="str">
        <x:v>SO-26102</x:v>
      </x:c>
      <x:c r="D2889" s="2" t="str">
        <x:v>D-L-SS</x:v>
      </x:c>
      <x:c r="E2889" s="14" t="n">
        <x:v>25</x:v>
      </x:c>
      <x:c r="F2889" s="2" t="str">
        <x:v>Deburr &amp; inspect</x:v>
      </x:c>
      <x:c r="G2889" s="9" t="str">
        <x:v>DB-01</x:v>
      </x:c>
      <x:c r="H2889" s="15" t="n">
        <x:v>273</x:v>
      </x:c>
      <x:c r="I2889" s="9" t="str">
        <x:v>P05</x:v>
      </x:c>
      <x:c r="J2889" s="11" t="n">
        <x:v>46310.39236111111</x:v>
      </x:c>
      <x:c r="K2889" s="15" t="n">
        <x:v>4</x:v>
      </x:c>
      <x:c r="L2889" s="15" t="n">
        <x:v>24</x:v>
      </x:c>
      <x:c r="M2889" s="13" t="n">
        <x:f>J2889+(K2889+L2889)/1440</x:f>
        <x:v>46310.41180555555</x:v>
      </x:c>
      <x:c r="N2889" s="13" t="n">
        <x:f>VLOOKUP(C2889,'MES orders'!$A$8:$H$127,5,FALSE)</x:f>
        <x:v>46309.666666666664</x:v>
      </x:c>
      <x:c r="O2889" s="16" t="n">
        <x:f>MAX(0,(M2889-N2889)*24)</x:f>
        <x:v>17.88333333330229</x:v>
      </x:c>
      <x:c r="P2889" s="9" t="str">
        <x:v>No</x:v>
      </x:c>
      <x:c r="Q2889" s="15" t="n">
        <x:v>28</x:v>
      </x:c>
      <x:c r="R2889" s="13" t="n">
        <x:f>J2889+Q2889/1440</x:f>
        <x:v>46310.41180555555</x:v>
      </x:c>
      <x:c r="S2889" s="2" t="str">
        <x:f>VLOOKUP(C2889,'MES orders'!$A$8:$H$127,6,FALSE)</x:f>
        <x:v>Normal</x:v>
      </x:c>
      <x:c r="T2889" s="9" t="str"/>
    </x:row>
    <x:row r="2890" ht="22" customHeight="1">
      <x:c r="A2890" s="2" t="str">
        <x:v>L00469-040</x:v>
      </x:c>
      <x:c r="B2890" s="2" t="str">
        <x:v>L00469</x:v>
      </x:c>
      <x:c r="C2890" s="2" t="str">
        <x:v>SO-26094</x:v>
      </x:c>
      <x:c r="D2890" s="2" t="str">
        <x:v>D-S-SS</x:v>
      </x:c>
      <x:c r="E2890" s="14" t="n">
        <x:v>10</x:v>
      </x:c>
      <x:c r="F2890" s="2" t="str">
        <x:v>Mechanical assembly</x:v>
      </x:c>
      <x:c r="G2890" s="9" t="str">
        <x:v>AS-01</x:v>
      </x:c>
      <x:c r="H2890" s="15" t="n">
        <x:v>230</x:v>
      </x:c>
      <x:c r="I2890" s="9" t="str">
        <x:v>P04</x:v>
      </x:c>
      <x:c r="J2890" s="11" t="n">
        <x:v>46310.39375</x:v>
      </x:c>
      <x:c r="K2890" s="15" t="n">
        <x:v>8</x:v>
      </x:c>
      <x:c r="L2890" s="15" t="n">
        <x:v>18</x:v>
      </x:c>
      <x:c r="M2890" s="13" t="n">
        <x:f>J2890+(K2890+L2890)/1440</x:f>
        <x:v>46310.41180555556</x:v>
      </x:c>
      <x:c r="N2890" s="13" t="n">
        <x:f>VLOOKUP(C2890,'MES orders'!$A$8:$H$127,5,FALSE)</x:f>
        <x:v>46309.666666666664</x:v>
      </x:c>
      <x:c r="O2890" s="16" t="n">
        <x:f>MAX(0,(M2890-N2890)*24)</x:f>
        <x:v>17.883333333476912</x:v>
      </x:c>
      <x:c r="P2890" s="9" t="str">
        <x:v>No</x:v>
      </x:c>
      <x:c r="Q2890" s="15" t="n">
        <x:v>26</x:v>
      </x:c>
      <x:c r="R2890" s="13" t="n">
        <x:f>J2890+Q2890/1440</x:f>
        <x:v>46310.41180555556</x:v>
      </x:c>
      <x:c r="S2890" s="2" t="str">
        <x:f>VLOOKUP(C2890,'MES orders'!$A$8:$H$127,6,FALSE)</x:f>
        <x:v>Normal</x:v>
      </x:c>
      <x:c r="T2890" s="9" t="str"/>
    </x:row>
    <x:row r="2891" ht="22" customHeight="1">
      <x:c r="A2891" s="2" t="str">
        <x:v>L00271-030</x:v>
      </x:c>
      <x:c r="B2891" s="2" t="str">
        <x:v>L00271</x:v>
      </x:c>
      <x:c r="C2891" s="2" t="str">
        <x:v>SO-26055</x:v>
      </x:c>
      <x:c r="D2891" s="2" t="str">
        <x:v>D-C-AL</x:v>
      </x:c>
      <x:c r="E2891" s="14" t="n">
        <x:v>10</x:v>
      </x:c>
      <x:c r="F2891" s="2" t="str">
        <x:v>Wash &amp; dry</x:v>
      </x:c>
      <x:c r="G2891" s="9" t="str">
        <x:v>WS-01</x:v>
      </x:c>
      <x:c r="H2891" s="15" t="n">
        <x:v>266</x:v>
      </x:c>
      <x:c r="I2891" s="9" t="str">
        <x:v>P02</x:v>
      </x:c>
      <x:c r="J2891" s="11" t="n">
        <x:v>46310.39375</x:v>
      </x:c>
      <x:c r="K2891" s="15" t="n">
        <x:v>12</x:v>
      </x:c>
      <x:c r="L2891" s="15" t="n">
        <x:v>3</x:v>
      </x:c>
      <x:c r="M2891" s="13" t="n">
        <x:f>J2891+(K2891+L2891)/1440</x:f>
        <x:v>46310.40416666667</x:v>
      </x:c>
      <x:c r="N2891" s="13" t="n">
        <x:f>VLOOKUP(C2891,'MES orders'!$A$8:$H$127,5,FALSE)</x:f>
        <x:v>46310.666666666664</x:v>
      </x:c>
      <x:c r="O2891" s="16" t="n">
        <x:f>MAX(0,(M2891-N2891)*24)</x:f>
        <x:v>0</x:v>
      </x:c>
      <x:c r="P2891" s="9" t="str">
        <x:v>No</x:v>
      </x:c>
      <x:c r="Q2891" s="15" t="n">
        <x:v>15</x:v>
      </x:c>
      <x:c r="R2891" s="13" t="n">
        <x:f>J2891+Q2891/1440</x:f>
        <x:v>46310.40416666667</x:v>
      </x:c>
      <x:c r="S2891" s="2" t="str">
        <x:f>VLOOKUP(C2891,'MES orders'!$A$8:$H$127,6,FALSE)</x:f>
        <x:v>Normal</x:v>
      </x:c>
      <x:c r="T2891" s="9" t="str"/>
    </x:row>
    <x:row r="2892" ht="22" customHeight="1">
      <x:c r="A2892" s="2" t="str">
        <x:v>L00195-060</x:v>
      </x:c>
      <x:c r="B2892" s="2" t="str">
        <x:v>L00195</x:v>
      </x:c>
      <x:c r="C2892" s="2" t="str">
        <x:v>SO-26039</x:v>
      </x:c>
      <x:c r="D2892" s="2" t="str">
        <x:v>S-S-AL</x:v>
      </x:c>
      <x:c r="E2892" s="14" t="n">
        <x:v>5</x:v>
      </x:c>
      <x:c r="F2892" s="2" t="str">
        <x:v>Sensor calibration</x:v>
      </x:c>
      <x:c r="G2892" s="9" t="str">
        <x:v>CAL-01</x:v>
      </x:c>
      <x:c r="H2892" s="15" t="n">
        <x:v>150</x:v>
      </x:c>
      <x:c r="I2892" s="9" t="str">
        <x:v>P09</x:v>
      </x:c>
      <x:c r="J2892" s="11" t="n">
        <x:v>46310.395833333336</x:v>
      </x:c>
      <x:c r="K2892" s="15" t="n">
        <x:v>10</x:v>
      </x:c>
      <x:c r="L2892" s="15" t="n">
        <x:v>6</x:v>
      </x:c>
      <x:c r="M2892" s="13" t="n">
        <x:f>J2892+(K2892+L2892)/1440</x:f>
        <x:v>46310.40694444445</x:v>
      </x:c>
      <x:c r="N2892" s="13" t="n">
        <x:f>VLOOKUP(C2892,'MES orders'!$A$8:$H$127,5,FALSE)</x:f>
        <x:v>46310.666666666664</x:v>
      </x:c>
      <x:c r="O2892" s="16" t="n">
        <x:f>MAX(0,(M2892-N2892)*24)</x:f>
        <x:v>0</x:v>
      </x:c>
      <x:c r="P2892" s="9" t="str">
        <x:v>No</x:v>
      </x:c>
      <x:c r="Q2892" s="15" t="n">
        <x:v>16</x:v>
      </x:c>
      <x:c r="R2892" s="13" t="n">
        <x:f>J2892+Q2892/1440</x:f>
        <x:v>46310.40694444445</x:v>
      </x:c>
      <x:c r="S2892" s="2" t="str">
        <x:f>VLOOKUP(C2892,'MES orders'!$A$8:$H$127,6,FALSE)</x:f>
        <x:v>Normal</x:v>
      </x:c>
      <x:c r="T2892" s="9" t="str"/>
    </x:row>
    <x:row r="2893" ht="22" customHeight="1">
      <x:c r="A2893" s="2" t="str">
        <x:v>L00548-010</x:v>
      </x:c>
      <x:c r="B2893" s="2" t="str">
        <x:v>L00548</x:v>
      </x:c>
      <x:c r="C2893" s="2" t="str">
        <x:v>SO-26110</x:v>
      </x:c>
      <x:c r="D2893" s="2" t="str">
        <x:v>R-C-SS</x:v>
      </x:c>
      <x:c r="E2893" s="14" t="n">
        <x:v>10</x:v>
      </x:c>
      <x:c r="F2893" s="2" t="str">
        <x:v>CNC machining</x:v>
      </x:c>
      <x:c r="G2893" s="9" t="str">
        <x:v>CNC-03</x:v>
      </x:c>
      <x:c r="H2893" s="15" t="n">
        <x:v>91</x:v>
      </x:c>
      <x:c r="I2893" s="9" t="str">
        <x:v>P01</x:v>
      </x:c>
      <x:c r="J2893" s="11" t="n">
        <x:v>46310.399305555555</x:v>
      </x:c>
      <x:c r="K2893" s="15" t="n">
        <x:v>18</x:v>
      </x:c>
      <x:c r="L2893" s="15" t="n">
        <x:v>24</x:v>
      </x:c>
      <x:c r="M2893" s="13" t="n">
        <x:f>J2893+(K2893+L2893)/1440</x:f>
        <x:v>46310.42847222222</x:v>
      </x:c>
      <x:c r="N2893" s="13" t="n">
        <x:f>VLOOKUP(C2893,'MES orders'!$A$8:$H$127,5,FALSE)</x:f>
        <x:v>46309.666666666664</x:v>
      </x:c>
      <x:c r="O2893" s="16" t="n">
        <x:f>MAX(0,(M2893-N2893)*24)</x:f>
        <x:v>18.28333333338378</x:v>
      </x:c>
      <x:c r="P2893" s="9" t="str">
        <x:v>No</x:v>
      </x:c>
      <x:c r="Q2893" s="15" t="n">
        <x:v>18</x:v>
      </x:c>
      <x:c r="R2893" s="13" t="n">
        <x:f>J2893+Q2893/1440</x:f>
        <x:v>46310.41180555555</x:v>
      </x:c>
      <x:c r="S2893" s="2" t="str">
        <x:f>VLOOKUP(C2893,'MES orders'!$A$8:$H$127,6,FALSE)</x:f>
        <x:v>Normal</x:v>
      </x:c>
      <x:c r="T2893" s="9" t="str"/>
    </x:row>
    <x:row r="2894" ht="22" customHeight="1">
      <x:c r="A2894" s="2" t="str">
        <x:v>L00192-070</x:v>
      </x:c>
      <x:c r="B2894" s="2" t="str">
        <x:v>L00192</x:v>
      </x:c>
      <x:c r="C2894" s="2" t="str">
        <x:v>SO-26039</x:v>
      </x:c>
      <x:c r="D2894" s="2" t="str">
        <x:v>S-S-AL</x:v>
      </x:c>
      <x:c r="E2894" s="14" t="n">
        <x:v>5</x:v>
      </x:c>
      <x:c r="F2894" s="2" t="str">
        <x:v>Final assembly</x:v>
      </x:c>
      <x:c r="G2894" s="9" t="str">
        <x:v>AS-02</x:v>
      </x:c>
      <x:c r="H2894" s="15" t="n">
        <x:v>185</x:v>
      </x:c>
      <x:c r="I2894" s="9" t="str">
        <x:v>P06</x:v>
      </x:c>
      <x:c r="J2894" s="11" t="n">
        <x:v>46310.4</x:v>
      </x:c>
      <x:c r="K2894" s="15" t="n">
        <x:v>5</x:v>
      </x:c>
      <x:c r="L2894" s="15" t="n">
        <x:v>4</x:v>
      </x:c>
      <x:c r="M2894" s="13" t="n">
        <x:f>J2894+(K2894+L2894)/1440</x:f>
        <x:v>46310.40625</x:v>
      </x:c>
      <x:c r="N2894" s="13" t="n">
        <x:f>VLOOKUP(C2894,'MES orders'!$A$8:$H$127,5,FALSE)</x:f>
        <x:v>46310.666666666664</x:v>
      </x:c>
      <x:c r="O2894" s="16" t="n">
        <x:f>MAX(0,(M2894-N2894)*24)</x:f>
        <x:v>0</x:v>
      </x:c>
      <x:c r="P2894" s="9" t="str">
        <x:v>No</x:v>
      </x:c>
      <x:c r="Q2894" s="15" t="n">
        <x:v>9</x:v>
      </x:c>
      <x:c r="R2894" s="13" t="n">
        <x:f>J2894+Q2894/1440</x:f>
        <x:v>46310.40625</x:v>
      </x:c>
      <x:c r="S2894" s="2" t="str">
        <x:f>VLOOKUP(C2894,'MES orders'!$A$8:$H$127,6,FALSE)</x:f>
        <x:v>Normal</x:v>
      </x:c>
      <x:c r="T2894" s="9" t="str"/>
    </x:row>
    <x:row r="2895" ht="22" customHeight="1">
      <x:c r="A2895" s="2" t="str">
        <x:v>L00272-030</x:v>
      </x:c>
      <x:c r="B2895" s="2" t="str">
        <x:v>L00272</x:v>
      </x:c>
      <x:c r="C2895" s="2" t="str">
        <x:v>SO-26055</x:v>
      </x:c>
      <x:c r="D2895" s="2" t="str">
        <x:v>D-C-AL</x:v>
      </x:c>
      <x:c r="E2895" s="14" t="n">
        <x:v>10</x:v>
      </x:c>
      <x:c r="F2895" s="2" t="str">
        <x:v>Wash &amp; dry</x:v>
      </x:c>
      <x:c r="G2895" s="9" t="str">
        <x:v>WS-02</x:v>
      </x:c>
      <x:c r="H2895" s="15" t="n">
        <x:v>191</x:v>
      </x:c>
      <x:c r="I2895" s="9" t="str">
        <x:v>P03</x:v>
      </x:c>
      <x:c r="J2895" s="11" t="n">
        <x:v>46310.4</x:v>
      </x:c>
      <x:c r="K2895" s="15" t="n">
        <x:v>12</x:v>
      </x:c>
      <x:c r="L2895" s="15" t="n">
        <x:v>3</x:v>
      </x:c>
      <x:c r="M2895" s="13" t="n">
        <x:f>J2895+(K2895+L2895)/1440</x:f>
        <x:v>46310.410416666666</x:v>
      </x:c>
      <x:c r="N2895" s="13" t="n">
        <x:f>VLOOKUP(C2895,'MES orders'!$A$8:$H$127,5,FALSE)</x:f>
        <x:v>46310.666666666664</x:v>
      </x:c>
      <x:c r="O2895" s="16" t="n">
        <x:f>MAX(0,(M2895-N2895)*24)</x:f>
        <x:v>0</x:v>
      </x:c>
      <x:c r="P2895" s="9" t="str">
        <x:v>No</x:v>
      </x:c>
      <x:c r="Q2895" s="15" t="n">
        <x:v>15</x:v>
      </x:c>
      <x:c r="R2895" s="13" t="n">
        <x:f>J2895+Q2895/1440</x:f>
        <x:v>46310.410416666666</x:v>
      </x:c>
      <x:c r="S2895" s="2" t="str">
        <x:f>VLOOKUP(C2895,'MES orders'!$A$8:$H$127,6,FALSE)</x:f>
        <x:v>Normal</x:v>
      </x:c>
      <x:c r="T2895" s="9" t="str"/>
    </x:row>
    <x:row r="2896" ht="22" customHeight="1">
      <x:c r="A2896" s="2" t="str">
        <x:v>L00468-050</x:v>
      </x:c>
      <x:c r="B2896" s="2" t="str">
        <x:v>L00468</x:v>
      </x:c>
      <x:c r="C2896" s="2" t="str">
        <x:v>SO-26094</x:v>
      </x:c>
      <x:c r="D2896" s="2" t="str">
        <x:v>D-S-SS</x:v>
      </x:c>
      <x:c r="E2896" s="14" t="n">
        <x:v>10</x:v>
      </x:c>
      <x:c r="F2896" s="2" t="str">
        <x:v>Final leak / function test</x:v>
      </x:c>
      <x:c r="G2896" s="9" t="str">
        <x:v>QA-01</x:v>
      </x:c>
      <x:c r="H2896" s="15" t="n">
        <x:v>110</x:v>
      </x:c>
      <x:c r="I2896" s="9" t="str">
        <x:v>P12</x:v>
      </x:c>
      <x:c r="J2896" s="11" t="n">
        <x:v>46310.40138888889</x:v>
      </x:c>
      <x:c r="K2896" s="15" t="n">
        <x:v>10</x:v>
      </x:c>
      <x:c r="L2896" s="15" t="n">
        <x:v>9</x:v>
      </x:c>
      <x:c r="M2896" s="13" t="n">
        <x:f>J2896+(K2896+L2896)/1440</x:f>
        <x:v>46310.41458333333</x:v>
      </x:c>
      <x:c r="N2896" s="13" t="n">
        <x:f>VLOOKUP(C2896,'MES orders'!$A$8:$H$127,5,FALSE)</x:f>
        <x:v>46309.666666666664</x:v>
      </x:c>
      <x:c r="O2896" s="16" t="n">
        <x:f>MAX(0,(M2896-N2896)*24)</x:f>
        <x:v>17.95000000001164</x:v>
      </x:c>
      <x:c r="P2896" s="9" t="str">
        <x:v>No</x:v>
      </x:c>
      <x:c r="Q2896" s="15" t="n">
        <x:v>19</x:v>
      </x:c>
      <x:c r="R2896" s="13" t="n">
        <x:f>J2896+Q2896/1440</x:f>
        <x:v>46310.41458333333</x:v>
      </x:c>
      <x:c r="S2896" s="2" t="str">
        <x:f>VLOOKUP(C2896,'MES orders'!$A$8:$H$127,6,FALSE)</x:f>
        <x:v>Normal</x:v>
      </x:c>
      <x:c r="T2896" s="9" t="str"/>
    </x:row>
    <x:row r="2897" ht="22" customHeight="1">
      <x:c r="A2897" s="2" t="str">
        <x:v>L00274-010</x:v>
      </x:c>
      <x:c r="B2897" s="2" t="str">
        <x:v>L00274</x:v>
      </x:c>
      <x:c r="C2897" s="2" t="str">
        <x:v>SO-26055</x:v>
      </x:c>
      <x:c r="D2897" s="2" t="str">
        <x:v>D-C-AL</x:v>
      </x:c>
      <x:c r="E2897" s="14" t="n">
        <x:v>10</x:v>
      </x:c>
      <x:c r="F2897" s="2" t="str">
        <x:v>CNC machining</x:v>
      </x:c>
      <x:c r="G2897" s="9" t="str">
        <x:v>CNC-02</x:v>
      </x:c>
      <x:c r="H2897" s="15" t="n">
        <x:v>57</x:v>
      </x:c>
      <x:c r="I2897" s="9" t="str">
        <x:v>P02</x:v>
      </x:c>
      <x:c r="J2897" s="11" t="n">
        <x:v>46310.40416666667</x:v>
      </x:c>
      <x:c r="K2897" s="15" t="n">
        <x:v>18</x:v>
      </x:c>
      <x:c r="L2897" s="15" t="n">
        <x:v>19</x:v>
      </x:c>
      <x:c r="M2897" s="13" t="n">
        <x:f>J2897+(K2897+L2897)/1440</x:f>
        <x:v>46310.42986111111</x:v>
      </x:c>
      <x:c r="N2897" s="13" t="n">
        <x:f>VLOOKUP(C2897,'MES orders'!$A$8:$H$127,5,FALSE)</x:f>
        <x:v>46310.666666666664</x:v>
      </x:c>
      <x:c r="O2897" s="16" t="n">
        <x:f>MAX(0,(M2897-N2897)*24)</x:f>
        <x:v>0</x:v>
      </x:c>
      <x:c r="P2897" s="9" t="str">
        <x:v>No</x:v>
      </x:c>
      <x:c r="Q2897" s="15" t="n">
        <x:v>18</x:v>
      </x:c>
      <x:c r="R2897" s="13" t="n">
        <x:f>J2897+Q2897/1440</x:f>
        <x:v>46310.416666666664</x:v>
      </x:c>
      <x:c r="S2897" s="2" t="str">
        <x:f>VLOOKUP(C2897,'MES orders'!$A$8:$H$127,6,FALSE)</x:f>
        <x:v>Normal</x:v>
      </x:c>
      <x:c r="T2897" s="9" t="str"/>
    </x:row>
    <x:row r="2898" ht="22" customHeight="1">
      <x:c r="A2898" s="2" t="str">
        <x:v>L00192-080</x:v>
      </x:c>
      <x:c r="B2898" s="2" t="str">
        <x:v>L00192</x:v>
      </x:c>
      <x:c r="C2898" s="2" t="str">
        <x:v>SO-26039</x:v>
      </x:c>
      <x:c r="D2898" s="2" t="str">
        <x:v>S-S-AL</x:v>
      </x:c>
      <x:c r="E2898" s="14" t="n">
        <x:v>5</x:v>
      </x:c>
      <x:c r="F2898" s="2" t="str">
        <x:v>Final leak / function test</x:v>
      </x:c>
      <x:c r="G2898" s="9" t="str">
        <x:v>QA-02</x:v>
      </x:c>
      <x:c r="H2898" s="15" t="n">
        <x:v>211</x:v>
      </x:c>
      <x:c r="I2898" s="9" t="str">
        <x:v>P11</x:v>
      </x:c>
      <x:c r="J2898" s="11" t="n">
        <x:v>46310.40625</x:v>
      </x:c>
      <x:c r="K2898" s="15" t="n">
        <x:v>10</x:v>
      </x:c>
      <x:c r="L2898" s="15" t="n">
        <x:v>4</x:v>
      </x:c>
      <x:c r="M2898" s="13" t="n">
        <x:f>J2898+(K2898+L2898)/1440</x:f>
        <x:v>46310.415972222225</x:v>
      </x:c>
      <x:c r="N2898" s="13" t="n">
        <x:f>VLOOKUP(C2898,'MES orders'!$A$8:$H$127,5,FALSE)</x:f>
        <x:v>46310.666666666664</x:v>
      </x:c>
      <x:c r="O2898" s="16" t="n">
        <x:f>MAX(0,(M2898-N2898)*24)</x:f>
        <x:v>0</x:v>
      </x:c>
      <x:c r="P2898" s="9" t="str">
        <x:v>No</x:v>
      </x:c>
      <x:c r="Q2898" s="15" t="n">
        <x:v>14</x:v>
      </x:c>
      <x:c r="R2898" s="13" t="n">
        <x:f>J2898+Q2898/1440</x:f>
        <x:v>46310.415972222225</x:v>
      </x:c>
      <x:c r="S2898" s="2" t="str">
        <x:f>VLOOKUP(C2898,'MES orders'!$A$8:$H$127,6,FALSE)</x:f>
        <x:v>Normal</x:v>
      </x:c>
      <x:c r="T2898" s="9" t="str"/>
    </x:row>
    <x:row r="2899" ht="22" customHeight="1">
      <x:c r="A2899" s="2" t="str">
        <x:v>L00195-070</x:v>
      </x:c>
      <x:c r="B2899" s="2" t="str">
        <x:v>L00195</x:v>
      </x:c>
      <x:c r="C2899" s="2" t="str">
        <x:v>SO-26039</x:v>
      </x:c>
      <x:c r="D2899" s="2" t="str">
        <x:v>S-S-AL</x:v>
      </x:c>
      <x:c r="E2899" s="14" t="n">
        <x:v>5</x:v>
      </x:c>
      <x:c r="F2899" s="2" t="str">
        <x:v>Final assembly</x:v>
      </x:c>
      <x:c r="G2899" s="9" t="str">
        <x:v>AS-02</x:v>
      </x:c>
      <x:c r="H2899" s="15" t="n">
        <x:v>186</x:v>
      </x:c>
      <x:c r="I2899" s="9" t="str">
        <x:v>P08</x:v>
      </x:c>
      <x:c r="J2899" s="11" t="n">
        <x:v>46310.40694444445</x:v>
      </x:c>
      <x:c r="K2899" s="15" t="n">
        <x:v>5</x:v>
      </x:c>
      <x:c r="L2899" s="15" t="n">
        <x:v>4</x:v>
      </x:c>
      <x:c r="M2899" s="13" t="n">
        <x:f>J2899+(K2899+L2899)/1440</x:f>
        <x:v>46310.413194444445</x:v>
      </x:c>
      <x:c r="N2899" s="13" t="n">
        <x:f>VLOOKUP(C2899,'MES orders'!$A$8:$H$127,5,FALSE)</x:f>
        <x:v>46310.666666666664</x:v>
      </x:c>
      <x:c r="O2899" s="16" t="n">
        <x:f>MAX(0,(M2899-N2899)*24)</x:f>
        <x:v>0</x:v>
      </x:c>
      <x:c r="P2899" s="9" t="str">
        <x:v>No</x:v>
      </x:c>
      <x:c r="Q2899" s="15" t="n">
        <x:v>9</x:v>
      </x:c>
      <x:c r="R2899" s="13" t="n">
        <x:f>J2899+Q2899/1440</x:f>
        <x:v>46310.413194444445</x:v>
      </x:c>
      <x:c r="S2899" s="2" t="str">
        <x:f>VLOOKUP(C2899,'MES orders'!$A$8:$H$127,6,FALSE)</x:f>
        <x:v>Normal</x:v>
      </x:c>
      <x:c r="T2899" s="9" t="str"/>
    </x:row>
    <x:row r="2900" ht="22" customHeight="1">
      <x:c r="A2900" s="2" t="str">
        <x:v>L00546-020</x:v>
      </x:c>
      <x:c r="B2900" s="2" t="str">
        <x:v>L00546</x:v>
      </x:c>
      <x:c r="C2900" s="2" t="str">
        <x:v>SO-26110</x:v>
      </x:c>
      <x:c r="D2900" s="2" t="str">
        <x:v>R-C-SS</x:v>
      </x:c>
      <x:c r="E2900" s="14" t="n">
        <x:v>10</x:v>
      </x:c>
      <x:c r="F2900" s="2" t="str">
        <x:v>Deburr &amp; inspect</x:v>
      </x:c>
      <x:c r="G2900" s="9" t="str">
        <x:v>DB-02</x:v>
      </x:c>
      <x:c r="H2900" s="15" t="n">
        <x:v>186</x:v>
      </x:c>
      <x:c r="I2900" s="9" t="str">
        <x:v>P06</x:v>
      </x:c>
      <x:c r="J2900" s="11" t="n">
        <x:v>46310.407638888886</x:v>
      </x:c>
      <x:c r="K2900" s="15" t="n">
        <x:v>4</x:v>
      </x:c>
      <x:c r="L2900" s="15" t="n">
        <x:v>6</x:v>
      </x:c>
      <x:c r="M2900" s="13" t="n">
        <x:f>J2900+(K2900+L2900)/1440</x:f>
        <x:v>46310.41458333333</x:v>
      </x:c>
      <x:c r="N2900" s="13" t="n">
        <x:f>VLOOKUP(C2900,'MES orders'!$A$8:$H$127,5,FALSE)</x:f>
        <x:v>46309.666666666664</x:v>
      </x:c>
      <x:c r="O2900" s="16" t="n">
        <x:f>MAX(0,(M2900-N2900)*24)</x:f>
        <x:v>17.95000000001164</x:v>
      </x:c>
      <x:c r="P2900" s="9" t="str">
        <x:v>No</x:v>
      </x:c>
      <x:c r="Q2900" s="15" t="n">
        <x:v>10</x:v>
      </x:c>
      <x:c r="R2900" s="13" t="n">
        <x:f>J2900+Q2900/1440</x:f>
        <x:v>46310.41458333333</x:v>
      </x:c>
      <x:c r="S2900" s="2" t="str">
        <x:f>VLOOKUP(C2900,'MES orders'!$A$8:$H$127,6,FALSE)</x:f>
        <x:v>Normal</x:v>
      </x:c>
      <x:c r="T2900" s="9" t="str"/>
    </x:row>
    <x:row r="2901" ht="22" customHeight="1">
      <x:c r="A2901" s="2" t="str">
        <x:v>L00470-040</x:v>
      </x:c>
      <x:c r="B2901" s="2" t="str">
        <x:v>L00470</x:v>
      </x:c>
      <x:c r="C2901" s="2" t="str">
        <x:v>SO-26094</x:v>
      </x:c>
      <x:c r="D2901" s="2" t="str">
        <x:v>D-S-SS</x:v>
      </x:c>
      <x:c r="E2901" s="14" t="n">
        <x:v>10</x:v>
      </x:c>
      <x:c r="F2901" s="2" t="str">
        <x:v>Mechanical assembly</x:v>
      </x:c>
      <x:c r="G2901" s="9" t="str">
        <x:v>AS-01</x:v>
      </x:c>
      <x:c r="H2901" s="15" t="n">
        <x:v>231</x:v>
      </x:c>
      <x:c r="I2901" s="9" t="str">
        <x:v>P04</x:v>
      </x:c>
      <x:c r="J2901" s="11" t="n">
        <x:v>46310.4375</x:v>
      </x:c>
      <x:c r="K2901" s="15" t="n">
        <x:v>8</x:v>
      </x:c>
      <x:c r="L2901" s="15" t="n">
        <x:v>18</x:v>
      </x:c>
      <x:c r="M2901" s="13" t="n">
        <x:f>J2901+(K2901+L2901)/1440</x:f>
        <x:v>46310.455555555556</x:v>
      </x:c>
      <x:c r="N2901" s="13" t="n">
        <x:f>VLOOKUP(C2901,'MES orders'!$A$8:$H$127,5,FALSE)</x:f>
        <x:v>46309.666666666664</x:v>
      </x:c>
      <x:c r="O2901" s="16" t="n">
        <x:f>MAX(0,(M2901-N2901)*24)</x:f>
        <x:v>18.933333333407063</x:v>
      </x:c>
      <x:c r="P2901" s="9" t="str">
        <x:v>No</x:v>
      </x:c>
      <x:c r="Q2901" s="15" t="n">
        <x:v>26</x:v>
      </x:c>
      <x:c r="R2901" s="13" t="n">
        <x:f>J2901+Q2901/1440</x:f>
        <x:v>46310.455555555556</x:v>
      </x:c>
      <x:c r="S2901" s="2" t="str">
        <x:f>VLOOKUP(C2901,'MES orders'!$A$8:$H$127,6,FALSE)</x:f>
        <x:v>Normal</x:v>
      </x:c>
      <x:c r="T2901" s="9" t="str"/>
    </x:row>
    <x:row r="2902" ht="22" customHeight="1">
      <x:c r="A2902" s="2" t="str">
        <x:v>L00271-040</x:v>
      </x:c>
      <x:c r="B2902" s="2" t="str">
        <x:v>L00271</x:v>
      </x:c>
      <x:c r="C2902" s="2" t="str">
        <x:v>SO-26055</x:v>
      </x:c>
      <x:c r="D2902" s="2" t="str">
        <x:v>D-C-AL</x:v>
      </x:c>
      <x:c r="E2902" s="14" t="n">
        <x:v>10</x:v>
      </x:c>
      <x:c r="F2902" s="2" t="str">
        <x:v>Mechanical assembly</x:v>
      </x:c>
      <x:c r="G2902" s="9" t="str">
        <x:v>AS-02</x:v>
      </x:c>
      <x:c r="H2902" s="15" t="n">
        <x:v>187</x:v>
      </x:c>
      <x:c r="I2902" s="9" t="str">
        <x:v>P07</x:v>
      </x:c>
      <x:c r="J2902" s="11" t="n">
        <x:v>46310.4375</x:v>
      </x:c>
      <x:c r="K2902" s="15" t="n">
        <x:v>8</x:v>
      </x:c>
      <x:c r="L2902" s="15" t="n">
        <x:v>14</x:v>
      </x:c>
      <x:c r="M2902" s="13" t="n">
        <x:f>J2902+(K2902+L2902)/1440</x:f>
        <x:v>46310.45277777778</x:v>
      </x:c>
      <x:c r="N2902" s="13" t="n">
        <x:f>VLOOKUP(C2902,'MES orders'!$A$8:$H$127,5,FALSE)</x:f>
        <x:v>46310.666666666664</x:v>
      </x:c>
      <x:c r="O2902" s="16" t="n">
        <x:f>MAX(0,(M2902-N2902)*24)</x:f>
        <x:v>0</x:v>
      </x:c>
      <x:c r="P2902" s="9" t="str">
        <x:v>No</x:v>
      </x:c>
      <x:c r="Q2902" s="15" t="n">
        <x:v>22</x:v>
      </x:c>
      <x:c r="R2902" s="13" t="n">
        <x:f>J2902+Q2902/1440</x:f>
        <x:v>46310.45277777778</x:v>
      </x:c>
      <x:c r="S2902" s="2" t="str">
        <x:f>VLOOKUP(C2902,'MES orders'!$A$8:$H$127,6,FALSE)</x:f>
        <x:v>Normal</x:v>
      </x:c>
      <x:c r="T2902" s="9" t="str"/>
    </x:row>
    <x:row r="2903" ht="22" customHeight="1">
      <x:c r="A2903" s="2" t="str">
        <x:v>L00272-040</x:v>
      </x:c>
      <x:c r="B2903" s="2" t="str">
        <x:v>L00272</x:v>
      </x:c>
      <x:c r="C2903" s="2" t="str">
        <x:v>SO-26055</x:v>
      </x:c>
      <x:c r="D2903" s="2" t="str">
        <x:v>D-C-AL</x:v>
      </x:c>
      <x:c r="E2903" s="14" t="n">
        <x:v>10</x:v>
      </x:c>
      <x:c r="F2903" s="2" t="str">
        <x:v>Mechanical assembly</x:v>
      </x:c>
      <x:c r="G2903" s="9" t="str">
        <x:v>AS-04</x:v>
      </x:c>
      <x:c r="H2903" s="15" t="n">
        <x:v>107</x:v>
      </x:c>
      <x:c r="I2903" s="9" t="str">
        <x:v>P08</x:v>
      </x:c>
      <x:c r="J2903" s="11" t="n">
        <x:v>46310.4375</x:v>
      </x:c>
      <x:c r="K2903" s="15" t="n">
        <x:v>8</x:v>
      </x:c>
      <x:c r="L2903" s="15" t="n">
        <x:v>14</x:v>
      </x:c>
      <x:c r="M2903" s="13" t="n">
        <x:f>J2903+(K2903+L2903)/1440</x:f>
        <x:v>46310.45277777778</x:v>
      </x:c>
      <x:c r="N2903" s="13" t="n">
        <x:f>VLOOKUP(C2903,'MES orders'!$A$8:$H$127,5,FALSE)</x:f>
        <x:v>46310.666666666664</x:v>
      </x:c>
      <x:c r="O2903" s="16" t="n">
        <x:f>MAX(0,(M2903-N2903)*24)</x:f>
        <x:v>0</x:v>
      </x:c>
      <x:c r="P2903" s="9" t="str">
        <x:v>No</x:v>
      </x:c>
      <x:c r="Q2903" s="15" t="n">
        <x:v>22</x:v>
      </x:c>
      <x:c r="R2903" s="13" t="n">
        <x:f>J2903+Q2903/1440</x:f>
        <x:v>46310.45277777778</x:v>
      </x:c>
      <x:c r="S2903" s="2" t="str">
        <x:f>VLOOKUP(C2903,'MES orders'!$A$8:$H$127,6,FALSE)</x:f>
        <x:v>Normal</x:v>
      </x:c>
      <x:c r="T2903" s="9" t="str"/>
    </x:row>
    <x:row r="2904" ht="22" customHeight="1">
      <x:c r="A2904" s="2" t="str">
        <x:v>L00507-020</x:v>
      </x:c>
      <x:c r="B2904" s="2" t="str">
        <x:v>L00507</x:v>
      </x:c>
      <x:c r="C2904" s="2" t="str">
        <x:v>SO-26102</x:v>
      </x:c>
      <x:c r="D2904" s="2" t="str">
        <x:v>D-L-SS</x:v>
      </x:c>
      <x:c r="E2904" s="14" t="n">
        <x:v>25</x:v>
      </x:c>
      <x:c r="F2904" s="2" t="str">
        <x:v>Deburr &amp; inspect</x:v>
      </x:c>
      <x:c r="G2904" s="9" t="str">
        <x:v>DB-01</x:v>
      </x:c>
      <x:c r="H2904" s="15" t="n">
        <x:v>274</x:v>
      </x:c>
      <x:c r="I2904" s="9" t="str">
        <x:v>P06</x:v>
      </x:c>
      <x:c r="J2904" s="11" t="n">
        <x:v>46310.4375</x:v>
      </x:c>
      <x:c r="K2904" s="15" t="n">
        <x:v>4</x:v>
      </x:c>
      <x:c r="L2904" s="15" t="n">
        <x:v>24</x:v>
      </x:c>
      <x:c r="M2904" s="13" t="n">
        <x:f>J2904+(K2904+L2904)/1440</x:f>
        <x:v>46310.45694444444</x:v>
      </x:c>
      <x:c r="N2904" s="13" t="n">
        <x:f>VLOOKUP(C2904,'MES orders'!$A$8:$H$127,5,FALSE)</x:f>
        <x:v>46309.666666666664</x:v>
      </x:c>
      <x:c r="O2904" s="16" t="n">
        <x:f>MAX(0,(M2904-N2904)*24)</x:f>
        <x:v>18.966666666674428</x:v>
      </x:c>
      <x:c r="P2904" s="9" t="str">
        <x:v>No</x:v>
      </x:c>
      <x:c r="Q2904" s="15" t="n">
        <x:v>28</x:v>
      </x:c>
      <x:c r="R2904" s="13" t="n">
        <x:f>J2904+Q2904/1440</x:f>
        <x:v>46310.45694444444</x:v>
      </x:c>
      <x:c r="S2904" s="2" t="str">
        <x:f>VLOOKUP(C2904,'MES orders'!$A$8:$H$127,6,FALSE)</x:f>
        <x:v>Normal</x:v>
      </x:c>
      <x:c r="T2904" s="9" t="str"/>
    </x:row>
    <x:row r="2905" ht="22" customHeight="1">
      <x:c r="A2905" s="2" t="str">
        <x:v>L00547-020</x:v>
      </x:c>
      <x:c r="B2905" s="2" t="str">
        <x:v>L00547</x:v>
      </x:c>
      <x:c r="C2905" s="2" t="str">
        <x:v>SO-26110</x:v>
      </x:c>
      <x:c r="D2905" s="2" t="str">
        <x:v>R-C-SS</x:v>
      </x:c>
      <x:c r="E2905" s="14" t="n">
        <x:v>10</x:v>
      </x:c>
      <x:c r="F2905" s="2" t="str">
        <x:v>Deburr &amp; inspect</x:v>
      </x:c>
      <x:c r="G2905" s="9" t="str">
        <x:v>DB-02</x:v>
      </x:c>
      <x:c r="H2905" s="15" t="n">
        <x:v>187</x:v>
      </x:c>
      <x:c r="I2905" s="9" t="str">
        <x:v>P02</x:v>
      </x:c>
      <x:c r="J2905" s="11" t="n">
        <x:v>46310.4375</x:v>
      </x:c>
      <x:c r="K2905" s="15" t="n">
        <x:v>4</x:v>
      </x:c>
      <x:c r="L2905" s="15" t="n">
        <x:v>6</x:v>
      </x:c>
      <x:c r="M2905" s="13" t="n">
        <x:f>J2905+(K2905+L2905)/1440</x:f>
        <x:v>46310.444444444445</x:v>
      </x:c>
      <x:c r="N2905" s="13" t="n">
        <x:f>VLOOKUP(C2905,'MES orders'!$A$8:$H$127,5,FALSE)</x:f>
        <x:v>46309.666666666664</x:v>
      </x:c>
      <x:c r="O2905" s="16" t="n">
        <x:f>MAX(0,(M2905-N2905)*24)</x:f>
        <x:v>18.666666666744277</x:v>
      </x:c>
      <x:c r="P2905" s="9" t="str">
        <x:v>No</x:v>
      </x:c>
      <x:c r="Q2905" s="15" t="n">
        <x:v>10</x:v>
      </x:c>
      <x:c r="R2905" s="13" t="n">
        <x:f>J2905+Q2905/1440</x:f>
        <x:v>46310.444444444445</x:v>
      </x:c>
      <x:c r="S2905" s="2" t="str">
        <x:f>VLOOKUP(C2905,'MES orders'!$A$8:$H$127,6,FALSE)</x:f>
        <x:v>Normal</x:v>
      </x:c>
      <x:c r="T2905" s="9" t="str"/>
    </x:row>
    <x:row r="2906" ht="22" customHeight="1">
      <x:c r="A2906" s="2" t="str">
        <x:v>L00469-050</x:v>
      </x:c>
      <x:c r="B2906" s="2" t="str">
        <x:v>L00469</x:v>
      </x:c>
      <x:c r="C2906" s="2" t="str">
        <x:v>SO-26094</x:v>
      </x:c>
      <x:c r="D2906" s="2" t="str">
        <x:v>D-S-SS</x:v>
      </x:c>
      <x:c r="E2906" s="14" t="n">
        <x:v>10</x:v>
      </x:c>
      <x:c r="F2906" s="2" t="str">
        <x:v>Final leak / function test</x:v>
      </x:c>
      <x:c r="G2906" s="9" t="str">
        <x:v>QA-01</x:v>
      </x:c>
      <x:c r="H2906" s="15" t="n">
        <x:v>111</x:v>
      </x:c>
      <x:c r="I2906" s="9" t="str">
        <x:v>P11</x:v>
      </x:c>
      <x:c r="J2906" s="11" t="n">
        <x:v>46310.4375</x:v>
      </x:c>
      <x:c r="K2906" s="15" t="n">
        <x:v>10</x:v>
      </x:c>
      <x:c r="L2906" s="15" t="n">
        <x:v>9</x:v>
      </x:c>
      <x:c r="M2906" s="13" t="n">
        <x:f>J2906+(K2906+L2906)/1440</x:f>
        <x:v>46310.450694444444</x:v>
      </x:c>
      <x:c r="N2906" s="13" t="n">
        <x:f>VLOOKUP(C2906,'MES orders'!$A$8:$H$127,5,FALSE)</x:f>
        <x:v>46309.666666666664</x:v>
      </x:c>
      <x:c r="O2906" s="16" t="n">
        <x:f>MAX(0,(M2906-N2906)*24)</x:f>
        <x:v>18.816666666709352</x:v>
      </x:c>
      <x:c r="P2906" s="9" t="str">
        <x:v>No</x:v>
      </x:c>
      <x:c r="Q2906" s="15" t="n">
        <x:v>19</x:v>
      </x:c>
      <x:c r="R2906" s="13" t="n">
        <x:f>J2906+Q2906/1440</x:f>
        <x:v>46310.450694444444</x:v>
      </x:c>
      <x:c r="S2906" s="2" t="str">
        <x:f>VLOOKUP(C2906,'MES orders'!$A$8:$H$127,6,FALSE)</x:f>
        <x:v>Normal</x:v>
      </x:c>
      <x:c r="T2906" s="9" t="str"/>
    </x:row>
    <x:row r="2907" ht="22" customHeight="1">
      <x:c r="A2907" s="2" t="str">
        <x:v>L00194-080</x:v>
      </x:c>
      <x:c r="B2907" s="2" t="str">
        <x:v>L00194</x:v>
      </x:c>
      <x:c r="C2907" s="2" t="str">
        <x:v>SO-26039</x:v>
      </x:c>
      <x:c r="D2907" s="2" t="str">
        <x:v>S-S-AL</x:v>
      </x:c>
      <x:c r="E2907" s="14" t="n">
        <x:v>5</x:v>
      </x:c>
      <x:c r="F2907" s="2" t="str">
        <x:v>Final leak / function test</x:v>
      </x:c>
      <x:c r="G2907" s="9" t="str">
        <x:v>QA-02</x:v>
      </x:c>
      <x:c r="H2907" s="15" t="n">
        <x:v>212</x:v>
      </x:c>
      <x:c r="I2907" s="9" t="str">
        <x:v>P12</x:v>
      </x:c>
      <x:c r="J2907" s="11" t="n">
        <x:v>46310.4375</x:v>
      </x:c>
      <x:c r="K2907" s="15" t="n">
        <x:v>10</x:v>
      </x:c>
      <x:c r="L2907" s="15" t="n">
        <x:v>4</x:v>
      </x:c>
      <x:c r="M2907" s="13" t="n">
        <x:f>J2907+(K2907+L2907)/1440</x:f>
        <x:v>46310.447222222225</x:v>
      </x:c>
      <x:c r="N2907" s="13" t="n">
        <x:f>VLOOKUP(C2907,'MES orders'!$A$8:$H$127,5,FALSE)</x:f>
        <x:v>46310.666666666664</x:v>
      </x:c>
      <x:c r="O2907" s="16" t="n">
        <x:f>MAX(0,(M2907-N2907)*24)</x:f>
        <x:v>0</x:v>
      </x:c>
      <x:c r="P2907" s="9" t="str">
        <x:v>No</x:v>
      </x:c>
      <x:c r="Q2907" s="15" t="n">
        <x:v>14</x:v>
      </x:c>
      <x:c r="R2907" s="13" t="n">
        <x:f>J2907+Q2907/1440</x:f>
        <x:v>46310.447222222225</x:v>
      </x:c>
      <x:c r="S2907" s="2" t="str">
        <x:f>VLOOKUP(C2907,'MES orders'!$A$8:$H$127,6,FALSE)</x:f>
        <x:v>Normal</x:v>
      </x:c>
      <x:c r="T2907" s="9" t="str"/>
    </x:row>
    <x:row r="2908" ht="22" customHeight="1">
      <x:c r="A2908" s="2" t="str">
        <x:v>L00506-030</x:v>
      </x:c>
      <x:c r="B2908" s="2" t="str">
        <x:v>L00506</x:v>
      </x:c>
      <x:c r="C2908" s="2" t="str">
        <x:v>SO-26102</x:v>
      </x:c>
      <x:c r="D2908" s="2" t="str">
        <x:v>D-L-SS</x:v>
      </x:c>
      <x:c r="E2908" s="14" t="n">
        <x:v>25</x:v>
      </x:c>
      <x:c r="F2908" s="2" t="str">
        <x:v>Wash &amp; dry</x:v>
      </x:c>
      <x:c r="G2908" s="9" t="str">
        <x:v>WS-01</x:v>
      </x:c>
      <x:c r="H2908" s="15" t="n">
        <x:v>267</x:v>
      </x:c>
      <x:c r="I2908" s="9" t="str">
        <x:v>P05</x:v>
      </x:c>
      <x:c r="J2908" s="11" t="n">
        <x:v>46310.4375</x:v>
      </x:c>
      <x:c r="K2908" s="15" t="n">
        <x:v>12</x:v>
      </x:c>
      <x:c r="L2908" s="15" t="n">
        <x:v>12</x:v>
      </x:c>
      <x:c r="M2908" s="13" t="n">
        <x:f>J2908+(K2908+L2908)/1440</x:f>
        <x:v>46310.45416666667</x:v>
      </x:c>
      <x:c r="N2908" s="13" t="n">
        <x:f>VLOOKUP(C2908,'MES orders'!$A$8:$H$127,5,FALSE)</x:f>
        <x:v>46309.666666666664</x:v>
      </x:c>
      <x:c r="O2908" s="16" t="n">
        <x:f>MAX(0,(M2908-N2908)*24)</x:f>
        <x:v>18.9000000001397</x:v>
      </x:c>
      <x:c r="P2908" s="9" t="str">
        <x:v>No</x:v>
      </x:c>
      <x:c r="Q2908" s="15" t="n">
        <x:v>24</x:v>
      </x:c>
      <x:c r="R2908" s="13" t="n">
        <x:f>J2908+Q2908/1440</x:f>
        <x:v>46310.45416666667</x:v>
      </x:c>
      <x:c r="S2908" s="2" t="str">
        <x:f>VLOOKUP(C2908,'MES orders'!$A$8:$H$127,6,FALSE)</x:f>
        <x:v>Normal</x:v>
      </x:c>
      <x:c r="T2908" s="9" t="str"/>
    </x:row>
    <x:row r="2909" ht="22" customHeight="1">
      <x:c r="A2909" s="2" t="str">
        <x:v>L00546-030</x:v>
      </x:c>
      <x:c r="B2909" s="2" t="str">
        <x:v>L00546</x:v>
      </x:c>
      <x:c r="C2909" s="2" t="str">
        <x:v>SO-26110</x:v>
      </x:c>
      <x:c r="D2909" s="2" t="str">
        <x:v>R-C-SS</x:v>
      </x:c>
      <x:c r="E2909" s="14" t="n">
        <x:v>10</x:v>
      </x:c>
      <x:c r="F2909" s="2" t="str">
        <x:v>Wash &amp; dry</x:v>
      </x:c>
      <x:c r="G2909" s="9" t="str">
        <x:v>WS-02</x:v>
      </x:c>
      <x:c r="H2909" s="15" t="n">
        <x:v>192</x:v>
      </x:c>
      <x:c r="I2909" s="9" t="str">
        <x:v>P01</x:v>
      </x:c>
      <x:c r="J2909" s="11" t="n">
        <x:v>46310.4375</x:v>
      </x:c>
      <x:c r="K2909" s="15" t="n">
        <x:v>12</x:v>
      </x:c>
      <x:c r="L2909" s="15" t="n">
        <x:v>3</x:v>
      </x:c>
      <x:c r="M2909" s="13" t="n">
        <x:f>J2909+(K2909+L2909)/1440</x:f>
        <x:v>46310.447916666664</x:v>
      </x:c>
      <x:c r="N2909" s="13" t="n">
        <x:f>VLOOKUP(C2909,'MES orders'!$A$8:$H$127,5,FALSE)</x:f>
        <x:v>46309.666666666664</x:v>
      </x:c>
      <x:c r="O2909" s="16" t="n">
        <x:f>MAX(0,(M2909-N2909)*24)</x:f>
        <x:v>18.75</x:v>
      </x:c>
      <x:c r="P2909" s="9" t="str">
        <x:v>No</x:v>
      </x:c>
      <x:c r="Q2909" s="15" t="n">
        <x:v>15</x:v>
      </x:c>
      <x:c r="R2909" s="13" t="n">
        <x:f>J2909+Q2909/1440</x:f>
        <x:v>46310.447916666664</x:v>
      </x:c>
      <x:c r="S2909" s="2" t="str">
        <x:f>VLOOKUP(C2909,'MES orders'!$A$8:$H$127,6,FALSE)</x:f>
        <x:v>Normal</x:v>
      </x:c>
      <x:c r="T2909" s="9" t="str"/>
    </x:row>
    <x:row r="2910" ht="22" customHeight="1">
      <x:c r="A2910" s="2" t="str">
        <x:v>L00548-020</x:v>
      </x:c>
      <x:c r="B2910" s="2" t="str">
        <x:v>L00548</x:v>
      </x:c>
      <x:c r="C2910" s="2" t="str">
        <x:v>SO-26110</x:v>
      </x:c>
      <x:c r="D2910" s="2" t="str">
        <x:v>R-C-SS</x:v>
      </x:c>
      <x:c r="E2910" s="14" t="n">
        <x:v>10</x:v>
      </x:c>
      <x:c r="F2910" s="2" t="str">
        <x:v>Deburr &amp; inspect</x:v>
      </x:c>
      <x:c r="G2910" s="9" t="str">
        <x:v>DB-02</x:v>
      </x:c>
      <x:c r="H2910" s="15" t="n">
        <x:v>188</x:v>
      </x:c>
      <x:c r="I2910" s="9" t="str">
        <x:v>P03</x:v>
      </x:c>
      <x:c r="J2910" s="11" t="n">
        <x:v>46310.444444444445</x:v>
      </x:c>
      <x:c r="K2910" s="15" t="n">
        <x:v>4</x:v>
      </x:c>
      <x:c r="L2910" s="15" t="n">
        <x:v>6</x:v>
      </x:c>
      <x:c r="M2910" s="13" t="n">
        <x:f>J2910+(K2910+L2910)/1440</x:f>
        <x:v>46310.45138888889</x:v>
      </x:c>
      <x:c r="N2910" s="13" t="n">
        <x:f>VLOOKUP(C2910,'MES orders'!$A$8:$H$127,5,FALSE)</x:f>
        <x:v>46309.666666666664</x:v>
      </x:c>
      <x:c r="O2910" s="16" t="n">
        <x:f>MAX(0,(M2910-N2910)*24)</x:f>
        <x:v>18.833333333430346</x:v>
      </x:c>
      <x:c r="P2910" s="9" t="str">
        <x:v>No</x:v>
      </x:c>
      <x:c r="Q2910" s="15" t="n">
        <x:v>10</x:v>
      </x:c>
      <x:c r="R2910" s="13" t="n">
        <x:f>J2910+Q2910/1440</x:f>
        <x:v>46310.45138888889</x:v>
      </x:c>
      <x:c r="S2910" s="2" t="str">
        <x:f>VLOOKUP(C2910,'MES orders'!$A$8:$H$127,6,FALSE)</x:f>
        <x:v>Normal</x:v>
      </x:c>
      <x:c r="T2910" s="9" t="str"/>
    </x:row>
    <x:row r="2911" ht="22" customHeight="1">
      <x:c r="A2911" s="2" t="str">
        <x:v>L00195-080</x:v>
      </x:c>
      <x:c r="B2911" s="2" t="str">
        <x:v>L00195</x:v>
      </x:c>
      <x:c r="C2911" s="2" t="str">
        <x:v>SO-26039</x:v>
      </x:c>
      <x:c r="D2911" s="2" t="str">
        <x:v>S-S-AL</x:v>
      </x:c>
      <x:c r="E2911" s="14" t="n">
        <x:v>5</x:v>
      </x:c>
      <x:c r="F2911" s="2" t="str">
        <x:v>Final leak / function test</x:v>
      </x:c>
      <x:c r="G2911" s="9" t="str">
        <x:v>QA-02</x:v>
      </x:c>
      <x:c r="H2911" s="15" t="n">
        <x:v>213</x:v>
      </x:c>
      <x:c r="I2911" s="9" t="str">
        <x:v>P12</x:v>
      </x:c>
      <x:c r="J2911" s="11" t="n">
        <x:v>46310.447222222225</x:v>
      </x:c>
      <x:c r="K2911" s="15" t="n">
        <x:v>10</x:v>
      </x:c>
      <x:c r="L2911" s="15" t="n">
        <x:v>4</x:v>
      </x:c>
      <x:c r="M2911" s="13" t="n">
        <x:f>J2911+(K2911+L2911)/1440</x:f>
        <x:v>46310.45694444445</x:v>
      </x:c>
      <x:c r="N2911" s="13" t="n">
        <x:f>VLOOKUP(C2911,'MES orders'!$A$8:$H$127,5,FALSE)</x:f>
        <x:v>46310.666666666664</x:v>
      </x:c>
      <x:c r="O2911" s="16" t="n">
        <x:f>MAX(0,(M2911-N2911)*24)</x:f>
        <x:v>0</x:v>
      </x:c>
      <x:c r="P2911" s="9" t="str">
        <x:v>No</x:v>
      </x:c>
      <x:c r="Q2911" s="15" t="n">
        <x:v>14</x:v>
      </x:c>
      <x:c r="R2911" s="13" t="n">
        <x:f>J2911+Q2911/1440</x:f>
        <x:v>46310.45694444445</x:v>
      </x:c>
      <x:c r="S2911" s="2" t="str">
        <x:f>VLOOKUP(C2911,'MES orders'!$A$8:$H$127,6,FALSE)</x:f>
        <x:v>Normal</x:v>
      </x:c>
      <x:c r="T2911" s="9" t="str"/>
    </x:row>
    <x:row r="2912" ht="22" customHeight="1">
      <x:c r="A2912" s="2" t="str">
        <x:v>L00546-040</x:v>
      </x:c>
      <x:c r="B2912" s="2" t="str">
        <x:v>L00546</x:v>
      </x:c>
      <x:c r="C2912" s="2" t="str">
        <x:v>SO-26110</x:v>
      </x:c>
      <x:c r="D2912" s="2" t="str">
        <x:v>R-C-SS</x:v>
      </x:c>
      <x:c r="E2912" s="14" t="n">
        <x:v>10</x:v>
      </x:c>
      <x:c r="F2912" s="2" t="str">
        <x:v>Mechanical assembly</x:v>
      </x:c>
      <x:c r="G2912" s="9" t="str">
        <x:v>AS-03</x:v>
      </x:c>
      <x:c r="H2912" s="15" t="n">
        <x:v>153</x:v>
      </x:c>
      <x:c r="I2912" s="9" t="str">
        <x:v>P01</x:v>
      </x:c>
      <x:c r="J2912" s="11" t="n">
        <x:v>46310.447916666664</x:v>
      </x:c>
      <x:c r="K2912" s="15" t="n">
        <x:v>8</x:v>
      </x:c>
      <x:c r="L2912" s="15" t="n">
        <x:v>14</x:v>
      </x:c>
      <x:c r="M2912" s="13" t="n">
        <x:f>J2912+(K2912+L2912)/1440</x:f>
        <x:v>46310.46319444444</x:v>
      </x:c>
      <x:c r="N2912" s="13" t="n">
        <x:f>VLOOKUP(C2912,'MES orders'!$A$8:$H$127,5,FALSE)</x:f>
        <x:v>46309.666666666664</x:v>
      </x:c>
      <x:c r="O2912" s="16" t="n">
        <x:f>MAX(0,(M2912-N2912)*24)</x:f>
        <x:v>19.116666666639503</x:v>
      </x:c>
      <x:c r="P2912" s="9" t="str">
        <x:v>No</x:v>
      </x:c>
      <x:c r="Q2912" s="15" t="n">
        <x:v>22</x:v>
      </x:c>
      <x:c r="R2912" s="13" t="n">
        <x:f>J2912+Q2912/1440</x:f>
        <x:v>46310.46319444444</x:v>
      </x:c>
      <x:c r="S2912" s="2" t="str">
        <x:f>VLOOKUP(C2912,'MES orders'!$A$8:$H$127,6,FALSE)</x:f>
        <x:v>Normal</x:v>
      </x:c>
      <x:c r="T2912" s="9" t="str"/>
    </x:row>
    <x:row r="2913" ht="22" customHeight="1">
      <x:c r="A2913" s="2" t="str">
        <x:v>L00547-030</x:v>
      </x:c>
      <x:c r="B2913" s="2" t="str">
        <x:v>L00547</x:v>
      </x:c>
      <x:c r="C2913" s="2" t="str">
        <x:v>SO-26110</x:v>
      </x:c>
      <x:c r="D2913" s="2" t="str">
        <x:v>R-C-SS</x:v>
      </x:c>
      <x:c r="E2913" s="14" t="n">
        <x:v>10</x:v>
      </x:c>
      <x:c r="F2913" s="2" t="str">
        <x:v>Wash &amp; dry</x:v>
      </x:c>
      <x:c r="G2913" s="9" t="str">
        <x:v>WS-02</x:v>
      </x:c>
      <x:c r="H2913" s="15" t="n">
        <x:v>193</x:v>
      </x:c>
      <x:c r="I2913" s="9" t="str">
        <x:v>P02</x:v>
      </x:c>
      <x:c r="J2913" s="11" t="n">
        <x:v>46310.447916666664</x:v>
      </x:c>
      <x:c r="K2913" s="15" t="n">
        <x:v>12</x:v>
      </x:c>
      <x:c r="L2913" s="15" t="n">
        <x:v>3</x:v>
      </x:c>
      <x:c r="M2913" s="13" t="n">
        <x:f>J2913+(K2913+L2913)/1440</x:f>
        <x:v>46310.45833333333</x:v>
      </x:c>
      <x:c r="N2913" s="13" t="n">
        <x:f>VLOOKUP(C2913,'MES orders'!$A$8:$H$127,5,FALSE)</x:f>
        <x:v>46309.666666666664</x:v>
      </x:c>
      <x:c r="O2913" s="16" t="n">
        <x:f>MAX(0,(M2913-N2913)*24)</x:f>
        <x:v>18.999999999941792</x:v>
      </x:c>
      <x:c r="P2913" s="9" t="str">
        <x:v>No</x:v>
      </x:c>
      <x:c r="Q2913" s="15" t="n">
        <x:v>15</x:v>
      </x:c>
      <x:c r="R2913" s="13" t="n">
        <x:f>J2913+Q2913/1440</x:f>
        <x:v>46310.45833333333</x:v>
      </x:c>
      <x:c r="S2913" s="2" t="str">
        <x:f>VLOOKUP(C2913,'MES orders'!$A$8:$H$127,6,FALSE)</x:f>
        <x:v>Normal</x:v>
      </x:c>
      <x:c r="T2913" s="9" t="str"/>
    </x:row>
    <x:row r="2914" ht="22" customHeight="1">
      <x:c r="A2914" s="2" t="str">
        <x:v>L00549-010</x:v>
      </x:c>
      <x:c r="B2914" s="2" t="str">
        <x:v>L00549</x:v>
      </x:c>
      <x:c r="C2914" s="2" t="str">
        <x:v>SO-26110</x:v>
      </x:c>
      <x:c r="D2914" s="2" t="str">
        <x:v>R-C-SS</x:v>
      </x:c>
      <x:c r="E2914" s="14" t="n">
        <x:v>10</x:v>
      </x:c>
      <x:c r="F2914" s="2" t="str">
        <x:v>CNC machining</x:v>
      </x:c>
      <x:c r="G2914" s="9" t="str">
        <x:v>CNC-03</x:v>
      </x:c>
      <x:c r="H2914" s="15" t="n">
        <x:v>92</x:v>
      </x:c>
      <x:c r="I2914" s="9" t="str">
        <x:v>P03</x:v>
      </x:c>
      <x:c r="J2914" s="11" t="n">
        <x:v>46310.45138888889</x:v>
      </x:c>
      <x:c r="K2914" s="15" t="n">
        <x:v>18</x:v>
      </x:c>
      <x:c r="L2914" s="15" t="n">
        <x:v>24</x:v>
      </x:c>
      <x:c r="M2914" s="13" t="n">
        <x:f>J2914+(K2914+L2914)/1440</x:f>
        <x:v>46310.48055555556</x:v>
      </x:c>
      <x:c r="N2914" s="13" t="n">
        <x:f>VLOOKUP(C2914,'MES orders'!$A$8:$H$127,5,FALSE)</x:f>
        <x:v>46309.666666666664</x:v>
      </x:c>
      <x:c r="O2914" s="16" t="n">
        <x:f>MAX(0,(M2914-N2914)*24)</x:f>
        <x:v>19.533333333441988</x:v>
      </x:c>
      <x:c r="P2914" s="9" t="str">
        <x:v>No</x:v>
      </x:c>
      <x:c r="Q2914" s="15" t="n">
        <x:v>18</x:v>
      </x:c>
      <x:c r="R2914" s="13" t="n">
        <x:f>J2914+Q2914/1440</x:f>
        <x:v>46310.46388888889</x:v>
      </x:c>
      <x:c r="S2914" s="2" t="str">
        <x:f>VLOOKUP(C2914,'MES orders'!$A$8:$H$127,6,FALSE)</x:f>
        <x:v>Normal</x:v>
      </x:c>
      <x:c r="T2914" s="9" t="str"/>
    </x:row>
    <x:row r="2915" ht="22" customHeight="1">
      <x:c r="A2915" s="2" t="str">
        <x:v>L00273-020</x:v>
      </x:c>
      <x:c r="B2915" s="2" t="str">
        <x:v>L00273</x:v>
      </x:c>
      <x:c r="C2915" s="2" t="str">
        <x:v>SO-26055</x:v>
      </x:c>
      <x:c r="D2915" s="2" t="str">
        <x:v>D-C-AL</x:v>
      </x:c>
      <x:c r="E2915" s="14" t="n">
        <x:v>10</x:v>
      </x:c>
      <x:c r="F2915" s="2" t="str">
        <x:v>Deburr &amp; inspect</x:v>
      </x:c>
      <x:c r="G2915" s="9" t="str">
        <x:v>DB-02</x:v>
      </x:c>
      <x:c r="H2915" s="15" t="n">
        <x:v>189</x:v>
      </x:c>
      <x:c r="I2915" s="9" t="str">
        <x:v>P07</x:v>
      </x:c>
      <x:c r="J2915" s="11" t="n">
        <x:v>46310.45277777778</x:v>
      </x:c>
      <x:c r="K2915" s="15" t="n">
        <x:v>4</x:v>
      </x:c>
      <x:c r="L2915" s="15" t="n">
        <x:v>6</x:v>
      </x:c>
      <x:c r="M2915" s="13" t="n">
        <x:f>J2915+(K2915+L2915)/1440</x:f>
        <x:v>46310.45972222222</x:v>
      </x:c>
      <x:c r="N2915" s="13" t="n">
        <x:f>VLOOKUP(C2915,'MES orders'!$A$8:$H$127,5,FALSE)</x:f>
        <x:v>46310.666666666664</x:v>
      </x:c>
      <x:c r="O2915" s="16" t="n">
        <x:f>MAX(0,(M2915-N2915)*24)</x:f>
        <x:v>0</x:v>
      </x:c>
      <x:c r="P2915" s="9" t="str">
        <x:v>No</x:v>
      </x:c>
      <x:c r="Q2915" s="15" t="n">
        <x:v>10</x:v>
      </x:c>
      <x:c r="R2915" s="13" t="n">
        <x:f>J2915+Q2915/1440</x:f>
        <x:v>46310.45972222222</x:v>
      </x:c>
      <x:c r="S2915" s="2" t="str">
        <x:f>VLOOKUP(C2915,'MES orders'!$A$8:$H$127,6,FALSE)</x:f>
        <x:v>Normal</x:v>
      </x:c>
      <x:c r="T2915" s="9" t="str"/>
    </x:row>
    <x:row r="2916" ht="22" customHeight="1">
      <x:c r="A2916" s="2" t="str">
        <x:v>L00506-040</x:v>
      </x:c>
      <x:c r="B2916" s="2" t="str">
        <x:v>L00506</x:v>
      </x:c>
      <x:c r="C2916" s="2" t="str">
        <x:v>SO-26102</x:v>
      </x:c>
      <x:c r="D2916" s="2" t="str">
        <x:v>D-L-SS</x:v>
      </x:c>
      <x:c r="E2916" s="14" t="n">
        <x:v>25</x:v>
      </x:c>
      <x:c r="F2916" s="2" t="str">
        <x:v>Mechanical assembly</x:v>
      </x:c>
      <x:c r="G2916" s="9" t="str">
        <x:v>AS-02</x:v>
      </x:c>
      <x:c r="H2916" s="15" t="n">
        <x:v>188</x:v>
      </x:c>
      <x:c r="I2916" s="9" t="str">
        <x:v>P05</x:v>
      </x:c>
      <x:c r="J2916" s="11" t="n">
        <x:v>46310.45416666667</x:v>
      </x:c>
      <x:c r="K2916" s="15" t="n">
        <x:v>8</x:v>
      </x:c>
      <x:c r="L2916" s="15" t="n">
        <x:v>61</x:v>
      </x:c>
      <x:c r="M2916" s="13" t="n">
        <x:f>J2916+(K2916+L2916)/1440</x:f>
        <x:v>46310.50208333334</x:v>
      </x:c>
      <x:c r="N2916" s="13" t="n">
        <x:f>VLOOKUP(C2916,'MES orders'!$A$8:$H$127,5,FALSE)</x:f>
        <x:v>46309.666666666664</x:v>
      </x:c>
      <x:c r="O2916" s="16" t="n">
        <x:f>MAX(0,(M2916-N2916)*24)</x:f>
        <x:v>20.05000000022119</x:v>
      </x:c>
      <x:c r="P2916" s="9" t="str">
        <x:v>No</x:v>
      </x:c>
      <x:c r="Q2916" s="15" t="n">
        <x:v>69</x:v>
      </x:c>
      <x:c r="R2916" s="13" t="n">
        <x:f>J2916+Q2916/1440</x:f>
        <x:v>46310.50208333334</x:v>
      </x:c>
      <x:c r="S2916" s="2" t="str">
        <x:f>VLOOKUP(C2916,'MES orders'!$A$8:$H$127,6,FALSE)</x:f>
        <x:v>Normal</x:v>
      </x:c>
      <x:c r="T2916" s="9" t="str"/>
    </x:row>
    <x:row r="2917" ht="22" customHeight="1">
      <x:c r="A2917" s="2" t="str">
        <x:v>L00470-050</x:v>
      </x:c>
      <x:c r="B2917" s="2" t="str">
        <x:v>L00470</x:v>
      </x:c>
      <x:c r="C2917" s="2" t="str">
        <x:v>SO-26094</x:v>
      </x:c>
      <x:c r="D2917" s="2" t="str">
        <x:v>D-S-SS</x:v>
      </x:c>
      <x:c r="E2917" s="14" t="n">
        <x:v>10</x:v>
      </x:c>
      <x:c r="F2917" s="2" t="str">
        <x:v>Final leak / function test</x:v>
      </x:c>
      <x:c r="G2917" s="9" t="str">
        <x:v>QA-01</x:v>
      </x:c>
      <x:c r="H2917" s="15" t="n">
        <x:v>112</x:v>
      </x:c>
      <x:c r="I2917" s="9" t="str">
        <x:v>P11</x:v>
      </x:c>
      <x:c r="J2917" s="11" t="n">
        <x:v>46310.455555555556</x:v>
      </x:c>
      <x:c r="K2917" s="15" t="n">
        <x:v>10</x:v>
      </x:c>
      <x:c r="L2917" s="15" t="n">
        <x:v>9</x:v>
      </x:c>
      <x:c r="M2917" s="13" t="n">
        <x:f>J2917+(K2917+L2917)/1440</x:f>
        <x:v>46310.46875</x:v>
      </x:c>
      <x:c r="N2917" s="13" t="n">
        <x:f>VLOOKUP(C2917,'MES orders'!$A$8:$H$127,5,FALSE)</x:f>
        <x:v>46309.666666666664</x:v>
      </x:c>
      <x:c r="O2917" s="16" t="n">
        <x:f>MAX(0,(M2917-N2917)*24)</x:f>
        <x:v>19.250000000058208</x:v>
      </x:c>
      <x:c r="P2917" s="9" t="str">
        <x:v>No</x:v>
      </x:c>
      <x:c r="Q2917" s="15" t="n">
        <x:v>19</x:v>
      </x:c>
      <x:c r="R2917" s="13" t="n">
        <x:f>J2917+Q2917/1440</x:f>
        <x:v>46310.46875</x:v>
      </x:c>
      <x:c r="S2917" s="2" t="str">
        <x:f>VLOOKUP(C2917,'MES orders'!$A$8:$H$127,6,FALSE)</x:f>
        <x:v>Normal</x:v>
      </x:c>
      <x:c r="T2917" s="9" t="str"/>
    </x:row>
    <x:row r="2918" ht="22" customHeight="1">
      <x:c r="A2918" s="2" t="str">
        <x:v>L00508-020</x:v>
      </x:c>
      <x:c r="B2918" s="2" t="str">
        <x:v>L00508</x:v>
      </x:c>
      <x:c r="C2918" s="2" t="str">
        <x:v>SO-26102</x:v>
      </x:c>
      <x:c r="D2918" s="2" t="str">
        <x:v>D-L-SS</x:v>
      </x:c>
      <x:c r="E2918" s="14" t="n">
        <x:v>25</x:v>
      </x:c>
      <x:c r="F2918" s="2" t="str">
        <x:v>Deburr &amp; inspect</x:v>
      </x:c>
      <x:c r="G2918" s="9" t="str">
        <x:v>DB-01</x:v>
      </x:c>
      <x:c r="H2918" s="15" t="n">
        <x:v>275</x:v>
      </x:c>
      <x:c r="I2918" s="9" t="str">
        <x:v>P06</x:v>
      </x:c>
      <x:c r="J2918" s="11" t="n">
        <x:v>46310.45694444444</x:v>
      </x:c>
      <x:c r="K2918" s="15" t="n">
        <x:v>4</x:v>
      </x:c>
      <x:c r="L2918" s="15" t="n">
        <x:v>24</x:v>
      </x:c>
      <x:c r="M2918" s="13" t="n">
        <x:f>J2918+(K2918+L2918)/1440</x:f>
        <x:v>46310.476388888885</x:v>
      </x:c>
      <x:c r="N2918" s="13" t="n">
        <x:f>VLOOKUP(C2918,'MES orders'!$A$8:$H$127,5,FALSE)</x:f>
        <x:v>46309.666666666664</x:v>
      </x:c>
      <x:c r="O2918" s="16" t="n">
        <x:f>MAX(0,(M2918-N2918)*24)</x:f>
        <x:v>19.433333333290648</x:v>
      </x:c>
      <x:c r="P2918" s="9" t="str">
        <x:v>No</x:v>
      </x:c>
      <x:c r="Q2918" s="15" t="n">
        <x:v>28</x:v>
      </x:c>
      <x:c r="R2918" s="13" t="n">
        <x:f>J2918+Q2918/1440</x:f>
        <x:v>46310.476388888885</x:v>
      </x:c>
      <x:c r="S2918" s="2" t="str">
        <x:f>VLOOKUP(C2918,'MES orders'!$A$8:$H$127,6,FALSE)</x:f>
        <x:v>Normal</x:v>
      </x:c>
      <x:c r="T2918" s="9" t="str"/>
    </x:row>
    <x:row r="2919" ht="22" customHeight="1">
      <x:c r="A2919" s="2" t="str">
        <x:v>L00271-050</x:v>
      </x:c>
      <x:c r="B2919" s="2" t="str">
        <x:v>L00271</x:v>
      </x:c>
      <x:c r="C2919" s="2" t="str">
        <x:v>SO-26055</x:v>
      </x:c>
      <x:c r="D2919" s="2" t="str">
        <x:v>D-C-AL</x:v>
      </x:c>
      <x:c r="E2919" s="14" t="n">
        <x:v>10</x:v>
      </x:c>
      <x:c r="F2919" s="2" t="str">
        <x:v>Final leak / function test</x:v>
      </x:c>
      <x:c r="G2919" s="9" t="str">
        <x:v>QA-02</x:v>
      </x:c>
      <x:c r="H2919" s="15" t="n">
        <x:v>214</x:v>
      </x:c>
      <x:c r="I2919" s="9" t="str">
        <x:v>P12</x:v>
      </x:c>
      <x:c r="J2919" s="11" t="n">
        <x:v>46310.45694444444</x:v>
      </x:c>
      <x:c r="K2919" s="15" t="n">
        <x:v>10</x:v>
      </x:c>
      <x:c r="L2919" s="15" t="n">
        <x:v>7</x:v>
      </x:c>
      <x:c r="M2919" s="13" t="n">
        <x:f>J2919+(K2919+L2919)/1440</x:f>
        <x:v>46310.46875</x:v>
      </x:c>
      <x:c r="N2919" s="13" t="n">
        <x:f>VLOOKUP(C2919,'MES orders'!$A$8:$H$127,5,FALSE)</x:f>
        <x:v>46310.666666666664</x:v>
      </x:c>
      <x:c r="O2919" s="16" t="n">
        <x:f>MAX(0,(M2919-N2919)*24)</x:f>
        <x:v>0</x:v>
      </x:c>
      <x:c r="P2919" s="9" t="str">
        <x:v>No</x:v>
      </x:c>
      <x:c r="Q2919" s="15" t="n">
        <x:v>17</x:v>
      </x:c>
      <x:c r="R2919" s="13" t="n">
        <x:f>J2919+Q2919/1440</x:f>
        <x:v>46310.46875</x:v>
      </x:c>
      <x:c r="S2919" s="2" t="str">
        <x:f>VLOOKUP(C2919,'MES orders'!$A$8:$H$127,6,FALSE)</x:f>
        <x:v>Normal</x:v>
      </x:c>
      <x:c r="T2919" s="9" t="str"/>
    </x:row>
    <x:row r="2920" ht="22" customHeight="1">
      <x:c r="A2920" s="2" t="str">
        <x:v>L00507-030</x:v>
      </x:c>
      <x:c r="B2920" s="2" t="str">
        <x:v>L00507</x:v>
      </x:c>
      <x:c r="C2920" s="2" t="str">
        <x:v>SO-26102</x:v>
      </x:c>
      <x:c r="D2920" s="2" t="str">
        <x:v>D-L-SS</x:v>
      </x:c>
      <x:c r="E2920" s="14" t="n">
        <x:v>25</x:v>
      </x:c>
      <x:c r="F2920" s="2" t="str">
        <x:v>Wash &amp; dry</x:v>
      </x:c>
      <x:c r="G2920" s="9" t="str">
        <x:v>WS-01</x:v>
      </x:c>
      <x:c r="H2920" s="15" t="n">
        <x:v>268</x:v>
      </x:c>
      <x:c r="I2920" s="9" t="str">
        <x:v>P04</x:v>
      </x:c>
      <x:c r="J2920" s="11" t="n">
        <x:v>46310.45694444444</x:v>
      </x:c>
      <x:c r="K2920" s="15" t="n">
        <x:v>12</x:v>
      </x:c>
      <x:c r="L2920" s="15" t="n">
        <x:v>12</x:v>
      </x:c>
      <x:c r="M2920" s="13" t="n">
        <x:f>J2920+(K2920+L2920)/1440</x:f>
        <x:v>46310.47361111111</x:v>
      </x:c>
      <x:c r="N2920" s="13" t="n">
        <x:f>VLOOKUP(C2920,'MES orders'!$A$8:$H$127,5,FALSE)</x:f>
        <x:v>46309.666666666664</x:v>
      </x:c>
      <x:c r="O2920" s="16" t="n">
        <x:f>MAX(0,(M2920-N2920)*24)</x:f>
        <x:v>19.36666666675592</x:v>
      </x:c>
      <x:c r="P2920" s="9" t="str">
        <x:v>No</x:v>
      </x:c>
      <x:c r="Q2920" s="15" t="n">
        <x:v>24</x:v>
      </x:c>
      <x:c r="R2920" s="13" t="n">
        <x:f>J2920+Q2920/1440</x:f>
        <x:v>46310.47361111111</x:v>
      </x:c>
      <x:c r="S2920" s="2" t="str">
        <x:f>VLOOKUP(C2920,'MES orders'!$A$8:$H$127,6,FALSE)</x:f>
        <x:v>Normal</x:v>
      </x:c>
      <x:c r="T2920" s="9" t="str"/>
    </x:row>
    <x:row r="2921" ht="22" customHeight="1">
      <x:c r="A2921" s="2" t="str">
        <x:v>L00548-030</x:v>
      </x:c>
      <x:c r="B2921" s="2" t="str">
        <x:v>L00548</x:v>
      </x:c>
      <x:c r="C2921" s="2" t="str">
        <x:v>SO-26110</x:v>
      </x:c>
      <x:c r="D2921" s="2" t="str">
        <x:v>R-C-SS</x:v>
      </x:c>
      <x:c r="E2921" s="14" t="n">
        <x:v>10</x:v>
      </x:c>
      <x:c r="F2921" s="2" t="str">
        <x:v>Wash &amp; dry</x:v>
      </x:c>
      <x:c r="G2921" s="9" t="str">
        <x:v>WS-02</x:v>
      </x:c>
      <x:c r="H2921" s="15" t="n">
        <x:v>194</x:v>
      </x:c>
      <x:c r="I2921" s="9" t="str">
        <x:v>P02</x:v>
      </x:c>
      <x:c r="J2921" s="11" t="n">
        <x:v>46310.458333333336</x:v>
      </x:c>
      <x:c r="K2921" s="15" t="n">
        <x:v>12</x:v>
      </x:c>
      <x:c r="L2921" s="15" t="n">
        <x:v>3</x:v>
      </x:c>
      <x:c r="M2921" s="13" t="n">
        <x:f>J2921+(K2921+L2921)/1440</x:f>
        <x:v>46310.46875</x:v>
      </x:c>
      <x:c r="N2921" s="13" t="n">
        <x:f>VLOOKUP(C2921,'MES orders'!$A$8:$H$127,5,FALSE)</x:f>
        <x:v>46309.666666666664</x:v>
      </x:c>
      <x:c r="O2921" s="16" t="n">
        <x:f>MAX(0,(M2921-N2921)*24)</x:f>
        <x:v>19.250000000058208</x:v>
      </x:c>
      <x:c r="P2921" s="9" t="str">
        <x:v>No</x:v>
      </x:c>
      <x:c r="Q2921" s="15" t="n">
        <x:v>15</x:v>
      </x:c>
      <x:c r="R2921" s="13" t="n">
        <x:f>J2921+Q2921/1440</x:f>
        <x:v>46310.46875</x:v>
      </x:c>
      <x:c r="S2921" s="2" t="str">
        <x:f>VLOOKUP(C2921,'MES orders'!$A$8:$H$127,6,FALSE)</x:f>
        <x:v>Normal</x:v>
      </x:c>
      <x:c r="T2921" s="9" t="str"/>
    </x:row>
    <x:row r="2922" ht="22" customHeight="1">
      <x:c r="A2922" s="2" t="str">
        <x:v>L00274-020</x:v>
      </x:c>
      <x:c r="B2922" s="2" t="str">
        <x:v>L00274</x:v>
      </x:c>
      <x:c r="C2922" s="2" t="str">
        <x:v>SO-26055</x:v>
      </x:c>
      <x:c r="D2922" s="2" t="str">
        <x:v>D-C-AL</x:v>
      </x:c>
      <x:c r="E2922" s="14" t="n">
        <x:v>10</x:v>
      </x:c>
      <x:c r="F2922" s="2" t="str">
        <x:v>Deburr &amp; inspect</x:v>
      </x:c>
      <x:c r="G2922" s="9" t="str">
        <x:v>DB-02</x:v>
      </x:c>
      <x:c r="H2922" s="15" t="n">
        <x:v>190</x:v>
      </x:c>
      <x:c r="I2922" s="9" t="str">
        <x:v>P07</x:v>
      </x:c>
      <x:c r="J2922" s="11" t="n">
        <x:v>46310.45972222222</x:v>
      </x:c>
      <x:c r="K2922" s="15" t="n">
        <x:v>4</x:v>
      </x:c>
      <x:c r="L2922" s="15" t="n">
        <x:v>6</x:v>
      </x:c>
      <x:c r="M2922" s="13" t="n">
        <x:f>J2922+(K2922+L2922)/1440</x:f>
        <x:v>46310.46666666667</x:v>
      </x:c>
      <x:c r="N2922" s="13" t="n">
        <x:f>VLOOKUP(C2922,'MES orders'!$A$8:$H$127,5,FALSE)</x:f>
        <x:v>46310.666666666664</x:v>
      </x:c>
      <x:c r="O2922" s="16" t="n">
        <x:f>MAX(0,(M2922-N2922)*24)</x:f>
        <x:v>0</x:v>
      </x:c>
      <x:c r="P2922" s="9" t="str">
        <x:v>No</x:v>
      </x:c>
      <x:c r="Q2922" s="15" t="n">
        <x:v>10</x:v>
      </x:c>
      <x:c r="R2922" s="13" t="n">
        <x:f>J2922+Q2922/1440</x:f>
        <x:v>46310.46666666667</x:v>
      </x:c>
      <x:c r="S2922" s="2" t="str">
        <x:f>VLOOKUP(C2922,'MES orders'!$A$8:$H$127,6,FALSE)</x:f>
        <x:v>Normal</x:v>
      </x:c>
      <x:c r="T2922" s="9" t="str"/>
    </x:row>
    <x:row r="2923" ht="22" customHeight="1">
      <x:c r="A2923" s="2" t="str">
        <x:v>L00550-010</x:v>
      </x:c>
      <x:c r="B2923" s="2" t="str">
        <x:v>L00550</x:v>
      </x:c>
      <x:c r="C2923" s="2" t="str">
        <x:v>SO-26110</x:v>
      </x:c>
      <x:c r="D2923" s="2" t="str">
        <x:v>R-C-SS</x:v>
      </x:c>
      <x:c r="E2923" s="14" t="n">
        <x:v>10</x:v>
      </x:c>
      <x:c r="F2923" s="2" t="str">
        <x:v>CNC machining</x:v>
      </x:c>
      <x:c r="G2923" s="9" t="str">
        <x:v>CNC-04</x:v>
      </x:c>
      <x:c r="H2923" s="15" t="n">
        <x:v>88</x:v>
      </x:c>
      <x:c r="I2923" s="9" t="str">
        <x:v>P03</x:v>
      </x:c>
      <x:c r="J2923" s="11" t="n">
        <x:v>46310.46388888889</x:v>
      </x:c>
      <x:c r="K2923" s="15" t="n">
        <x:v>18</x:v>
      </x:c>
      <x:c r="L2923" s="15" t="n">
        <x:v>24</x:v>
      </x:c>
      <x:c r="M2923" s="13" t="n">
        <x:f>J2923+(K2923+L2923)/1440</x:f>
        <x:v>46310.493055555555</x:v>
      </x:c>
      <x:c r="N2923" s="13" t="n">
        <x:f>VLOOKUP(C2923,'MES orders'!$A$8:$H$127,5,FALSE)</x:f>
        <x:v>46309.666666666664</x:v>
      </x:c>
      <x:c r="O2923" s="16" t="n">
        <x:f>MAX(0,(M2923-N2923)*24)</x:f>
        <x:v>19.83333333337214</x:v>
      </x:c>
      <x:c r="P2923" s="9" t="str">
        <x:v>No</x:v>
      </x:c>
      <x:c r="Q2923" s="15" t="n">
        <x:v>18</x:v>
      </x:c>
      <x:c r="R2923" s="13" t="n">
        <x:f>J2923+Q2923/1440</x:f>
        <x:v>46310.476388888885</x:v>
      </x:c>
      <x:c r="S2923" s="2" t="str">
        <x:f>VLOOKUP(C2923,'MES orders'!$A$8:$H$127,6,FALSE)</x:f>
        <x:v>Normal</x:v>
      </x:c>
      <x:c r="T2923" s="9" t="str"/>
    </x:row>
    <x:row r="2924" ht="22" customHeight="1">
      <x:c r="A2924" s="2" t="str">
        <x:v>L00548-040</x:v>
      </x:c>
      <x:c r="B2924" s="2" t="str">
        <x:v>L00548</x:v>
      </x:c>
      <x:c r="C2924" s="2" t="str">
        <x:v>SO-26110</x:v>
      </x:c>
      <x:c r="D2924" s="2" t="str">
        <x:v>R-C-SS</x:v>
      </x:c>
      <x:c r="E2924" s="14" t="n">
        <x:v>10</x:v>
      </x:c>
      <x:c r="F2924" s="2" t="str">
        <x:v>Mechanical assembly</x:v>
      </x:c>
      <x:c r="G2924" s="9" t="str">
        <x:v>AS-03</x:v>
      </x:c>
      <x:c r="H2924" s="15" t="n">
        <x:v>154</x:v>
      </x:c>
      <x:c r="I2924" s="9" t="str">
        <x:v>P01</x:v>
      </x:c>
      <x:c r="J2924" s="11" t="n">
        <x:v>46310.46875</x:v>
      </x:c>
      <x:c r="K2924" s="15" t="n">
        <x:v>8</x:v>
      </x:c>
      <x:c r="L2924" s="15" t="n">
        <x:v>14</x:v>
      </x:c>
      <x:c r="M2924" s="13" t="n">
        <x:f>J2924+(K2924+L2924)/1440</x:f>
        <x:v>46310.48402777778</x:v>
      </x:c>
      <x:c r="N2924" s="13" t="n">
        <x:f>VLOOKUP(C2924,'MES orders'!$A$8:$H$127,5,FALSE)</x:f>
        <x:v>46309.666666666664</x:v>
      </x:c>
      <x:c r="O2924" s="16" t="n">
        <x:f>MAX(0,(M2924-N2924)*24)</x:f>
        <x:v>19.61666666669771</x:v>
      </x:c>
      <x:c r="P2924" s="9" t="str">
        <x:v>No</x:v>
      </x:c>
      <x:c r="Q2924" s="15" t="n">
        <x:v>22</x:v>
      </x:c>
      <x:c r="R2924" s="13" t="n">
        <x:f>J2924+Q2924/1440</x:f>
        <x:v>46310.48402777778</x:v>
      </x:c>
      <x:c r="S2924" s="2" t="str">
        <x:f>VLOOKUP(C2924,'MES orders'!$A$8:$H$127,6,FALSE)</x:f>
        <x:v>Normal</x:v>
      </x:c>
      <x:c r="T2924" s="9" t="str"/>
    </x:row>
    <x:row r="2925" ht="22" customHeight="1">
      <x:c r="A2925" s="2" t="str">
        <x:v>L00586-010</x:v>
      </x:c>
      <x:c r="B2925" s="2" t="str">
        <x:v>L00586</x:v>
      </x:c>
      <x:c r="C2925" s="2" t="str">
        <x:v>SO-26118</x:v>
      </x:c>
      <x:c r="D2925" s="2" t="str">
        <x:v>R-S-SS</x:v>
      </x:c>
      <x:c r="E2925" s="14" t="n">
        <x:v>10</x:v>
      </x:c>
      <x:c r="F2925" s="2" t="str">
        <x:v>CNC machining</x:v>
      </x:c>
      <x:c r="G2925" s="9" t="str">
        <x:v>CNC-05</x:v>
      </x:c>
      <x:c r="H2925" s="15" t="n">
        <x:v>81</x:v>
      </x:c>
      <x:c r="I2925" s="9" t="str">
        <x:v>P02</x:v>
      </x:c>
      <x:c r="J2925" s="11" t="n">
        <x:v>46310.46875</x:v>
      </x:c>
      <x:c r="K2925" s="15" t="n">
        <x:v>18</x:v>
      </x:c>
      <x:c r="L2925" s="15" t="n">
        <x:v>30</x:v>
      </x:c>
      <x:c r="M2925" s="13" t="n">
        <x:f>J2925+(K2925+L2925)/1440</x:f>
        <x:v>46310.50208333333</x:v>
      </x:c>
      <x:c r="N2925" s="13" t="n">
        <x:f>VLOOKUP(C2925,'MES orders'!$A$8:$H$127,5,FALSE)</x:f>
        <x:v>46309.666666666664</x:v>
      </x:c>
      <x:c r="O2925" s="16" t="n">
        <x:f>MAX(0,(M2925-N2925)*24)</x:f>
        <x:v>20.050000000046566</x:v>
      </x:c>
      <x:c r="P2925" s="9" t="str">
        <x:v>No</x:v>
      </x:c>
      <x:c r="Q2925" s="15" t="n">
        <x:v>18</x:v>
      </x:c>
      <x:c r="R2925" s="13" t="n">
        <x:f>J2925+Q2925/1440</x:f>
        <x:v>46310.48125</x:v>
      </x:c>
      <x:c r="S2925" s="2" t="str">
        <x:f>VLOOKUP(C2925,'MES orders'!$A$8:$H$127,6,FALSE)</x:f>
        <x:v>Normal</x:v>
      </x:c>
      <x:c r="T2925" s="9" t="str"/>
    </x:row>
    <x:row r="2926" ht="22" customHeight="1">
      <x:c r="A2926" s="2" t="str">
        <x:v>L00272-050</x:v>
      </x:c>
      <x:c r="B2926" s="2" t="str">
        <x:v>L00272</x:v>
      </x:c>
      <x:c r="C2926" s="2" t="str">
        <x:v>SO-26055</x:v>
      </x:c>
      <x:c r="D2926" s="2" t="str">
        <x:v>D-C-AL</x:v>
      </x:c>
      <x:c r="E2926" s="14" t="n">
        <x:v>10</x:v>
      </x:c>
      <x:c r="F2926" s="2" t="str">
        <x:v>Final leak / function test</x:v>
      </x:c>
      <x:c r="G2926" s="9" t="str">
        <x:v>QA-01</x:v>
      </x:c>
      <x:c r="H2926" s="15" t="n">
        <x:v>113</x:v>
      </x:c>
      <x:c r="I2926" s="9" t="str">
        <x:v>P11</x:v>
      </x:c>
      <x:c r="J2926" s="11" t="n">
        <x:v>46310.46875</x:v>
      </x:c>
      <x:c r="K2926" s="15" t="n">
        <x:v>10</x:v>
      </x:c>
      <x:c r="L2926" s="15" t="n">
        <x:v>7</x:v>
      </x:c>
      <x:c r="M2926" s="13" t="n">
        <x:f>J2926+(K2926+L2926)/1440</x:f>
        <x:v>46310.48055555556</x:v>
      </x:c>
      <x:c r="N2926" s="13" t="n">
        <x:f>VLOOKUP(C2926,'MES orders'!$A$8:$H$127,5,FALSE)</x:f>
        <x:v>46310.666666666664</x:v>
      </x:c>
      <x:c r="O2926" s="16" t="n">
        <x:f>MAX(0,(M2926-N2926)*24)</x:f>
        <x:v>0</x:v>
      </x:c>
      <x:c r="P2926" s="9" t="str">
        <x:v>No</x:v>
      </x:c>
      <x:c r="Q2926" s="15" t="n">
        <x:v>17</x:v>
      </x:c>
      <x:c r="R2926" s="13" t="n">
        <x:f>J2926+Q2926/1440</x:f>
        <x:v>46310.48055555556</x:v>
      </x:c>
      <x:c r="S2926" s="2" t="str">
        <x:f>VLOOKUP(C2926,'MES orders'!$A$8:$H$127,6,FALSE)</x:f>
        <x:v>Normal</x:v>
      </x:c>
      <x:c r="T2926" s="9" t="str"/>
    </x:row>
    <x:row r="2927" ht="22" customHeight="1">
      <x:c r="A2927" s="2" t="str">
        <x:v>L00273-030</x:v>
      </x:c>
      <x:c r="B2927" s="2" t="str">
        <x:v>L00273</x:v>
      </x:c>
      <x:c r="C2927" s="2" t="str">
        <x:v>SO-26055</x:v>
      </x:c>
      <x:c r="D2927" s="2" t="str">
        <x:v>D-C-AL</x:v>
      </x:c>
      <x:c r="E2927" s="14" t="n">
        <x:v>10</x:v>
      </x:c>
      <x:c r="F2927" s="2" t="str">
        <x:v>Wash &amp; dry</x:v>
      </x:c>
      <x:c r="G2927" s="9" t="str">
        <x:v>WS-02</x:v>
      </x:c>
      <x:c r="H2927" s="15" t="n">
        <x:v>195</x:v>
      </x:c>
      <x:c r="I2927" s="9" t="str">
        <x:v>P07</x:v>
      </x:c>
      <x:c r="J2927" s="11" t="n">
        <x:v>46310.46875</x:v>
      </x:c>
      <x:c r="K2927" s="15" t="n">
        <x:v>12</x:v>
      </x:c>
      <x:c r="L2927" s="15" t="n">
        <x:v>3</x:v>
      </x:c>
      <x:c r="M2927" s="13" t="n">
        <x:f>J2927+(K2927+L2927)/1440</x:f>
        <x:v>46310.479166666664</x:v>
      </x:c>
      <x:c r="N2927" s="13" t="n">
        <x:f>VLOOKUP(C2927,'MES orders'!$A$8:$H$127,5,FALSE)</x:f>
        <x:v>46310.666666666664</x:v>
      </x:c>
      <x:c r="O2927" s="16" t="n">
        <x:f>MAX(0,(M2927-N2927)*24)</x:f>
        <x:v>0</x:v>
      </x:c>
      <x:c r="P2927" s="9" t="str">
        <x:v>No</x:v>
      </x:c>
      <x:c r="Q2927" s="15" t="n">
        <x:v>15</x:v>
      </x:c>
      <x:c r="R2927" s="13" t="n">
        <x:f>J2927+Q2927/1440</x:f>
        <x:v>46310.479166666664</x:v>
      </x:c>
      <x:c r="S2927" s="2" t="str">
        <x:f>VLOOKUP(C2927,'MES orders'!$A$8:$H$127,6,FALSE)</x:f>
        <x:v>Normal</x:v>
      </x:c>
      <x:c r="T2927" s="9" t="str"/>
    </x:row>
    <x:row r="2928" ht="22" customHeight="1">
      <x:c r="A2928" s="2" t="str">
        <x:v>L00507-040</x:v>
      </x:c>
      <x:c r="B2928" s="2" t="str">
        <x:v>L00507</x:v>
      </x:c>
      <x:c r="C2928" s="2" t="str">
        <x:v>SO-26102</x:v>
      </x:c>
      <x:c r="D2928" s="2" t="str">
        <x:v>D-L-SS</x:v>
      </x:c>
      <x:c r="E2928" s="14" t="n">
        <x:v>25</x:v>
      </x:c>
      <x:c r="F2928" s="2" t="str">
        <x:v>Mechanical assembly</x:v>
      </x:c>
      <x:c r="G2928" s="9" t="str">
        <x:v>AS-01</x:v>
      </x:c>
      <x:c r="H2928" s="15" t="n">
        <x:v>232</x:v>
      </x:c>
      <x:c r="I2928" s="9" t="str">
        <x:v>P04</x:v>
      </x:c>
      <x:c r="J2928" s="11" t="n">
        <x:v>46310.47361111111</x:v>
      </x:c>
      <x:c r="K2928" s="15" t="n">
        <x:v>8</x:v>
      </x:c>
      <x:c r="L2928" s="15" t="n">
        <x:v>61</x:v>
      </x:c>
      <x:c r="M2928" s="13" t="n">
        <x:f>J2928+(K2928+L2928)/1440</x:f>
        <x:v>46310.52152777778</x:v>
      </x:c>
      <x:c r="N2928" s="13" t="n">
        <x:f>VLOOKUP(C2928,'MES orders'!$A$8:$H$127,5,FALSE)</x:f>
        <x:v>46309.666666666664</x:v>
      </x:c>
      <x:c r="O2928" s="16" t="n">
        <x:f>MAX(0,(M2928-N2928)*24)</x:f>
        <x:v>20.51666666683741</x:v>
      </x:c>
      <x:c r="P2928" s="9" t="str">
        <x:v>No</x:v>
      </x:c>
      <x:c r="Q2928" s="15" t="n">
        <x:v>69</x:v>
      </x:c>
      <x:c r="R2928" s="13" t="n">
        <x:f>J2928+Q2928/1440</x:f>
        <x:v>46310.52152777778</x:v>
      </x:c>
      <x:c r="S2928" s="2" t="str">
        <x:f>VLOOKUP(C2928,'MES orders'!$A$8:$H$127,6,FALSE)</x:f>
        <x:v>Normal</x:v>
      </x:c>
      <x:c r="T2928" s="9" t="str"/>
    </x:row>
    <x:row r="2929" ht="22" customHeight="1">
      <x:c r="A2929" s="2" t="str">
        <x:v>L00587-010</x:v>
      </x:c>
      <x:c r="B2929" s="2" t="str">
        <x:v>L00587</x:v>
      </x:c>
      <x:c r="C2929" s="2" t="str">
        <x:v>SO-26118</x:v>
      </x:c>
      <x:c r="D2929" s="2" t="str">
        <x:v>R-S-SS</x:v>
      </x:c>
      <x:c r="E2929" s="14" t="n">
        <x:v>10</x:v>
      </x:c>
      <x:c r="F2929" s="2" t="str">
        <x:v>CNC machining</x:v>
      </x:c>
      <x:c r="G2929" s="9" t="str">
        <x:v>CNC-06</x:v>
      </x:c>
      <x:c r="H2929" s="15" t="n">
        <x:v>74</x:v>
      </x:c>
      <x:c r="I2929" s="9" t="str">
        <x:v>P03</x:v>
      </x:c>
      <x:c r="J2929" s="11" t="n">
        <x:v>46310.47638888889</x:v>
      </x:c>
      <x:c r="K2929" s="15" t="n">
        <x:v>18</x:v>
      </x:c>
      <x:c r="L2929" s="15" t="n">
        <x:v>30</x:v>
      </x:c>
      <x:c r="M2929" s="13" t="n">
        <x:f>J2929+(K2929+L2929)/1440</x:f>
        <x:v>46310.509722222225</x:v>
      </x:c>
      <x:c r="N2929" s="13" t="n">
        <x:f>VLOOKUP(C2929,'MES orders'!$A$8:$H$127,5,FALSE)</x:f>
        <x:v>46309.666666666664</x:v>
      </x:c>
      <x:c r="O2929" s="16" t="n">
        <x:f>MAX(0,(M2929-N2929)*24)</x:f>
        <x:v>20.23333333345363</x:v>
      </x:c>
      <x:c r="P2929" s="9" t="str">
        <x:v>No</x:v>
      </x:c>
      <x:c r="Q2929" s="15" t="n">
        <x:v>18</x:v>
      </x:c>
      <x:c r="R2929" s="13" t="n">
        <x:f>J2929+Q2929/1440</x:f>
        <x:v>46310.48888888889</x:v>
      </x:c>
      <x:c r="S2929" s="2" t="str">
        <x:f>VLOOKUP(C2929,'MES orders'!$A$8:$H$127,6,FALSE)</x:f>
        <x:v>Normal</x:v>
      </x:c>
      <x:c r="T2929" s="9" t="str"/>
    </x:row>
    <x:row r="2930" ht="22" customHeight="1">
      <x:c r="A2930" s="2" t="str">
        <x:v>L00508-030</x:v>
      </x:c>
      <x:c r="B2930" s="2" t="str">
        <x:v>L00508</x:v>
      </x:c>
      <x:c r="C2930" s="2" t="str">
        <x:v>SO-26102</x:v>
      </x:c>
      <x:c r="D2930" s="2" t="str">
        <x:v>D-L-SS</x:v>
      </x:c>
      <x:c r="E2930" s="14" t="n">
        <x:v>25</x:v>
      </x:c>
      <x:c r="F2930" s="2" t="str">
        <x:v>Wash &amp; dry</x:v>
      </x:c>
      <x:c r="G2930" s="9" t="str">
        <x:v>WS-01</x:v>
      </x:c>
      <x:c r="H2930" s="15" t="n">
        <x:v>269</x:v>
      </x:c>
      <x:c r="I2930" s="9" t="str">
        <x:v>P06</x:v>
      </x:c>
      <x:c r="J2930" s="11" t="n">
        <x:v>46310.47638888889</x:v>
      </x:c>
      <x:c r="K2930" s="15" t="n">
        <x:v>12</x:v>
      </x:c>
      <x:c r="L2930" s="15" t="n">
        <x:v>12</x:v>
      </x:c>
      <x:c r="M2930" s="13" t="n">
        <x:f>J2930+(K2930+L2930)/1440</x:f>
        <x:v>46310.49305555556</x:v>
      </x:c>
      <x:c r="N2930" s="13" t="n">
        <x:f>VLOOKUP(C2930,'MES orders'!$A$8:$H$127,5,FALSE)</x:f>
        <x:v>46309.666666666664</x:v>
      </x:c>
      <x:c r="O2930" s="16" t="n">
        <x:f>MAX(0,(M2930-N2930)*24)</x:f>
        <x:v>19.83333333354676</x:v>
      </x:c>
      <x:c r="P2930" s="9" t="str">
        <x:v>No</x:v>
      </x:c>
      <x:c r="Q2930" s="15" t="n">
        <x:v>24</x:v>
      </x:c>
      <x:c r="R2930" s="13" t="n">
        <x:f>J2930+Q2930/1440</x:f>
        <x:v>46310.49305555556</x:v>
      </x:c>
      <x:c r="S2930" s="2" t="str">
        <x:f>VLOOKUP(C2930,'MES orders'!$A$8:$H$127,6,FALSE)</x:f>
        <x:v>Normal</x:v>
      </x:c>
      <x:c r="T2930" s="9" t="str"/>
    </x:row>
    <x:row r="2931" ht="22" customHeight="1">
      <x:c r="A2931" s="2" t="str">
        <x:v>L00273-040</x:v>
      </x:c>
      <x:c r="B2931" s="2" t="str">
        <x:v>L00273</x:v>
      </x:c>
      <x:c r="C2931" s="2" t="str">
        <x:v>SO-26055</x:v>
      </x:c>
      <x:c r="D2931" s="2" t="str">
        <x:v>D-C-AL</x:v>
      </x:c>
      <x:c r="E2931" s="14" t="n">
        <x:v>10</x:v>
      </x:c>
      <x:c r="F2931" s="2" t="str">
        <x:v>Mechanical assembly</x:v>
      </x:c>
      <x:c r="G2931" s="9" t="str">
        <x:v>AS-04</x:v>
      </x:c>
      <x:c r="H2931" s="15" t="n">
        <x:v>108</x:v>
      </x:c>
      <x:c r="I2931" s="9" t="str">
        <x:v>P07</x:v>
      </x:c>
      <x:c r="J2931" s="11" t="n">
        <x:v>46310.479166666664</x:v>
      </x:c>
      <x:c r="K2931" s="15" t="n">
        <x:v>8</x:v>
      </x:c>
      <x:c r="L2931" s="15" t="n">
        <x:v>14</x:v>
      </x:c>
      <x:c r="M2931" s="13" t="n">
        <x:f>J2931+(K2931+L2931)/1440</x:f>
        <x:v>46310.49444444444</x:v>
      </x:c>
      <x:c r="N2931" s="13" t="n">
        <x:f>VLOOKUP(C2931,'MES orders'!$A$8:$H$127,5,FALSE)</x:f>
        <x:v>46310.666666666664</x:v>
      </x:c>
      <x:c r="O2931" s="16" t="n">
        <x:f>MAX(0,(M2931-N2931)*24)</x:f>
        <x:v>0</x:v>
      </x:c>
      <x:c r="P2931" s="9" t="str">
        <x:v>No</x:v>
      </x:c>
      <x:c r="Q2931" s="15" t="n">
        <x:v>22</x:v>
      </x:c>
      <x:c r="R2931" s="13" t="n">
        <x:f>J2931+Q2931/1440</x:f>
        <x:v>46310.49444444444</x:v>
      </x:c>
      <x:c r="S2931" s="2" t="str">
        <x:f>VLOOKUP(C2931,'MES orders'!$A$8:$H$127,6,FALSE)</x:f>
        <x:v>Normal</x:v>
      </x:c>
      <x:c r="T2931" s="9" t="str"/>
    </x:row>
    <x:row r="2932" ht="22" customHeight="1">
      <x:c r="A2932" s="2" t="str">
        <x:v>L00274-030</x:v>
      </x:c>
      <x:c r="B2932" s="2" t="str">
        <x:v>L00274</x:v>
      </x:c>
      <x:c r="C2932" s="2" t="str">
        <x:v>SO-26055</x:v>
      </x:c>
      <x:c r="D2932" s="2" t="str">
        <x:v>D-C-AL</x:v>
      </x:c>
      <x:c r="E2932" s="14" t="n">
        <x:v>10</x:v>
      </x:c>
      <x:c r="F2932" s="2" t="str">
        <x:v>Wash &amp; dry</x:v>
      </x:c>
      <x:c r="G2932" s="9" t="str">
        <x:v>WS-02</x:v>
      </x:c>
      <x:c r="H2932" s="15" t="n">
        <x:v>196</x:v>
      </x:c>
      <x:c r="I2932" s="9" t="str">
        <x:v>P08</x:v>
      </x:c>
      <x:c r="J2932" s="11" t="n">
        <x:v>46310.479166666664</x:v>
      </x:c>
      <x:c r="K2932" s="15" t="n">
        <x:v>12</x:v>
      </x:c>
      <x:c r="L2932" s="15" t="n">
        <x:v>3</x:v>
      </x:c>
      <x:c r="M2932" s="13" t="n">
        <x:f>J2932+(K2932+L2932)/1440</x:f>
        <x:v>46310.48958333333</x:v>
      </x:c>
      <x:c r="N2932" s="13" t="n">
        <x:f>VLOOKUP(C2932,'MES orders'!$A$8:$H$127,5,FALSE)</x:f>
        <x:v>46310.666666666664</x:v>
      </x:c>
      <x:c r="O2932" s="16" t="n">
        <x:f>MAX(0,(M2932-N2932)*24)</x:f>
        <x:v>0</x:v>
      </x:c>
      <x:c r="P2932" s="9" t="str">
        <x:v>No</x:v>
      </x:c>
      <x:c r="Q2932" s="15" t="n">
        <x:v>15</x:v>
      </x:c>
      <x:c r="R2932" s="13" t="n">
        <x:f>J2932+Q2932/1440</x:f>
        <x:v>46310.48958333333</x:v>
      </x:c>
      <x:c r="S2932" s="2" t="str">
        <x:f>VLOOKUP(C2932,'MES orders'!$A$8:$H$127,6,FALSE)</x:f>
        <x:v>Normal</x:v>
      </x:c>
      <x:c r="T2932" s="9" t="str"/>
    </x:row>
    <x:row r="2933" ht="22" customHeight="1">
      <x:c r="A2933" s="2" t="str">
        <x:v>L00588-010</x:v>
      </x:c>
      <x:c r="B2933" s="2" t="str">
        <x:v>L00588</x:v>
      </x:c>
      <x:c r="C2933" s="2" t="str">
        <x:v>SO-26118</x:v>
      </x:c>
      <x:c r="D2933" s="2" t="str">
        <x:v>R-S-SS</x:v>
      </x:c>
      <x:c r="E2933" s="14" t="n">
        <x:v>10</x:v>
      </x:c>
      <x:c r="F2933" s="2" t="str">
        <x:v>CNC machining</x:v>
      </x:c>
      <x:c r="G2933" s="9" t="str">
        <x:v>CNC-03</x:v>
      </x:c>
      <x:c r="H2933" s="15" t="n">
        <x:v>93</x:v>
      </x:c>
      <x:c r="I2933" s="9" t="str">
        <x:v>P02</x:v>
      </x:c>
      <x:c r="J2933" s="11" t="n">
        <x:v>46310.48125</x:v>
      </x:c>
      <x:c r="K2933" s="15" t="n">
        <x:v>18</x:v>
      </x:c>
      <x:c r="L2933" s="15" t="n">
        <x:v>30</x:v>
      </x:c>
      <x:c r="M2933" s="13" t="n">
        <x:f>J2933+(K2933+L2933)/1440</x:f>
        <x:v>46310.51458333333</x:v>
      </x:c>
      <x:c r="N2933" s="13" t="n">
        <x:f>VLOOKUP(C2933,'MES orders'!$A$8:$H$127,5,FALSE)</x:f>
        <x:v>46309.666666666664</x:v>
      </x:c>
      <x:c r="O2933" s="16" t="n">
        <x:f>MAX(0,(M2933-N2933)*24)</x:f>
        <x:v>20.349999999976717</x:v>
      </x:c>
      <x:c r="P2933" s="9" t="str">
        <x:v>No</x:v>
      </x:c>
      <x:c r="Q2933" s="15" t="n">
        <x:v>18</x:v>
      </x:c>
      <x:c r="R2933" s="13" t="n">
        <x:f>J2933+Q2933/1440</x:f>
        <x:v>46310.493749999994</x:v>
      </x:c>
      <x:c r="S2933" s="2" t="str">
        <x:f>VLOOKUP(C2933,'MES orders'!$A$8:$H$127,6,FALSE)</x:f>
        <x:v>Normal</x:v>
      </x:c>
      <x:c r="T2933" s="9" t="str"/>
    </x:row>
    <x:row r="2934" ht="22" customHeight="1">
      <x:c r="A2934" s="2" t="str">
        <x:v>L00274-040</x:v>
      </x:c>
      <x:c r="B2934" s="2" t="str">
        <x:v>L00274</x:v>
      </x:c>
      <x:c r="C2934" s="2" t="str">
        <x:v>SO-26055</x:v>
      </x:c>
      <x:c r="D2934" s="2" t="str">
        <x:v>D-C-AL</x:v>
      </x:c>
      <x:c r="E2934" s="14" t="n">
        <x:v>10</x:v>
      </x:c>
      <x:c r="F2934" s="2" t="str">
        <x:v>Mechanical assembly</x:v>
      </x:c>
      <x:c r="G2934" s="9" t="str">
        <x:v>AS-05</x:v>
      </x:c>
      <x:c r="H2934" s="15" t="n">
        <x:v>58</x:v>
      </x:c>
      <x:c r="I2934" s="9" t="str">
        <x:v>P03</x:v>
      </x:c>
      <x:c r="J2934" s="11" t="n">
        <x:v>46310.489583333336</x:v>
      </x:c>
      <x:c r="K2934" s="15" t="n">
        <x:v>8</x:v>
      </x:c>
      <x:c r="L2934" s="15" t="n">
        <x:v>14</x:v>
      </x:c>
      <x:c r="M2934" s="13" t="n">
        <x:f>J2934+(K2934+L2934)/1440</x:f>
        <x:v>46310.50486111111</x:v>
      </x:c>
      <x:c r="N2934" s="13" t="n">
        <x:f>VLOOKUP(C2934,'MES orders'!$A$8:$H$127,5,FALSE)</x:f>
        <x:v>46310.666666666664</x:v>
      </x:c>
      <x:c r="O2934" s="16" t="n">
        <x:f>MAX(0,(M2934-N2934)*24)</x:f>
        <x:v>0</x:v>
      </x:c>
      <x:c r="P2934" s="9" t="str">
        <x:v>No</x:v>
      </x:c>
      <x:c r="Q2934" s="15" t="n">
        <x:v>22</x:v>
      </x:c>
      <x:c r="R2934" s="13" t="n">
        <x:f>J2934+Q2934/1440</x:f>
        <x:v>46310.50486111111</x:v>
      </x:c>
      <x:c r="S2934" s="2" t="str">
        <x:f>VLOOKUP(C2934,'MES orders'!$A$8:$H$127,6,FALSE)</x:f>
        <x:v>Normal</x:v>
      </x:c>
      <x:c r="T2934" s="9" t="str"/>
    </x:row>
    <x:row r="2935" ht="22" customHeight="1">
      <x:c r="A2935" s="2" t="str">
        <x:v>L00508-040</x:v>
      </x:c>
      <x:c r="B2935" s="2" t="str">
        <x:v>L00508</x:v>
      </x:c>
      <x:c r="C2935" s="2" t="str">
        <x:v>SO-26102</x:v>
      </x:c>
      <x:c r="D2935" s="2" t="str">
        <x:v>D-L-SS</x:v>
      </x:c>
      <x:c r="E2935" s="14" t="n">
        <x:v>25</x:v>
      </x:c>
      <x:c r="F2935" s="2" t="str">
        <x:v>Mechanical assembly</x:v>
      </x:c>
      <x:c r="G2935" s="9" t="str">
        <x:v>AS-03</x:v>
      </x:c>
      <x:c r="H2935" s="15" t="n">
        <x:v>155</x:v>
      </x:c>
      <x:c r="I2935" s="9" t="str">
        <x:v>P06</x:v>
      </x:c>
      <x:c r="J2935" s="11" t="n">
        <x:v>46310.493055555555</x:v>
      </x:c>
      <x:c r="K2935" s="15" t="n">
        <x:v>8</x:v>
      </x:c>
      <x:c r="L2935" s="15" t="n">
        <x:v>61</x:v>
      </x:c>
      <x:c r="M2935" s="13" t="n">
        <x:f>J2935+(K2935+L2935)/1440</x:f>
        <x:v>46310.540972222225</x:v>
      </x:c>
      <x:c r="N2935" s="13" t="n">
        <x:f>VLOOKUP(C2935,'MES orders'!$A$8:$H$127,5,FALSE)</x:f>
        <x:v>46309.666666666664</x:v>
      </x:c>
      <x:c r="O2935" s="16" t="n">
        <x:f>MAX(0,(M2935-N2935)*24)</x:f>
        <x:v>20.98333333345363</x:v>
      </x:c>
      <x:c r="P2935" s="9" t="str">
        <x:v>No</x:v>
      </x:c>
      <x:c r="Q2935" s="15" t="n">
        <x:v>69</x:v>
      </x:c>
      <x:c r="R2935" s="13" t="n">
        <x:f>J2935+Q2935/1440</x:f>
        <x:v>46310.540972222225</x:v>
      </x:c>
      <x:c r="S2935" s="2" t="str">
        <x:f>VLOOKUP(C2935,'MES orders'!$A$8:$H$127,6,FALSE)</x:f>
        <x:v>Normal</x:v>
      </x:c>
      <x:c r="T2935" s="9" t="str"/>
    </x:row>
    <x:row r="2936" ht="22" customHeight="1">
      <x:c r="A2936" s="2" t="str">
        <x:v>L00589-010</x:v>
      </x:c>
      <x:c r="B2936" s="2" t="str">
        <x:v>L00589</x:v>
      </x:c>
      <x:c r="C2936" s="2" t="str">
        <x:v>SO-26118</x:v>
      </x:c>
      <x:c r="D2936" s="2" t="str">
        <x:v>R-S-SS</x:v>
      </x:c>
      <x:c r="E2936" s="14" t="n">
        <x:v>10</x:v>
      </x:c>
      <x:c r="F2936" s="2" t="str">
        <x:v>CNC machining</x:v>
      </x:c>
      <x:c r="G2936" s="9" t="str">
        <x:v>CNC-04</x:v>
      </x:c>
      <x:c r="H2936" s="15" t="n">
        <x:v>89</x:v>
      </x:c>
      <x:c r="I2936" s="9" t="str">
        <x:v>P01</x:v>
      </x:c>
      <x:c r="J2936" s="11" t="n">
        <x:v>46310.493055555555</x:v>
      </x:c>
      <x:c r="K2936" s="15" t="n">
        <x:v>18</x:v>
      </x:c>
      <x:c r="L2936" s="15" t="n">
        <x:v>30</x:v>
      </x:c>
      <x:c r="M2936" s="13" t="n">
        <x:f>J2936+(K2936+L2936)/1440</x:f>
        <x:v>46310.52638888889</x:v>
      </x:c>
      <x:c r="N2936" s="13" t="n">
        <x:f>VLOOKUP(C2936,'MES orders'!$A$8:$H$127,5,FALSE)</x:f>
        <x:v>46309.666666666664</x:v>
      </x:c>
      <x:c r="O2936" s="16" t="n">
        <x:f>MAX(0,(M2936-N2936)*24)</x:f>
        <x:v>20.633333333360497</x:v>
      </x:c>
      <x:c r="P2936" s="9" t="str">
        <x:v>No</x:v>
      </x:c>
      <x:c r="Q2936" s="15" t="n">
        <x:v>18</x:v>
      </x:c>
      <x:c r="R2936" s="13" t="n">
        <x:f>J2936+Q2936/1440</x:f>
        <x:v>46310.50555555555</x:v>
      </x:c>
      <x:c r="S2936" s="2" t="str">
        <x:f>VLOOKUP(C2936,'MES orders'!$A$8:$H$127,6,FALSE)</x:f>
        <x:v>Normal</x:v>
      </x:c>
      <x:c r="T2936" s="9" t="str"/>
    </x:row>
    <x:row r="2937" ht="22" customHeight="1">
      <x:c r="A2937" s="2" t="str">
        <x:v>L00273-050</x:v>
      </x:c>
      <x:c r="B2937" s="2" t="str">
        <x:v>L00273</x:v>
      </x:c>
      <x:c r="C2937" s="2" t="str">
        <x:v>SO-26055</x:v>
      </x:c>
      <x:c r="D2937" s="2" t="str">
        <x:v>D-C-AL</x:v>
      </x:c>
      <x:c r="E2937" s="14" t="n">
        <x:v>10</x:v>
      </x:c>
      <x:c r="F2937" s="2" t="str">
        <x:v>Final leak / function test</x:v>
      </x:c>
      <x:c r="G2937" s="9" t="str">
        <x:v>QA-02</x:v>
      </x:c>
      <x:c r="H2937" s="15" t="n">
        <x:v>215</x:v>
      </x:c>
      <x:c r="I2937" s="9" t="str">
        <x:v>P12</x:v>
      </x:c>
      <x:c r="J2937" s="11" t="n">
        <x:v>46310.49444444444</x:v>
      </x:c>
      <x:c r="K2937" s="15" t="n">
        <x:v>10</x:v>
      </x:c>
      <x:c r="L2937" s="15" t="n">
        <x:v>7</x:v>
      </x:c>
      <x:c r="M2937" s="13" t="n">
        <x:f>J2937+(K2937+L2937)/1440</x:f>
        <x:v>46310.50625</x:v>
      </x:c>
      <x:c r="N2937" s="13" t="n">
        <x:f>VLOOKUP(C2937,'MES orders'!$A$8:$H$127,5,FALSE)</x:f>
        <x:v>46310.666666666664</x:v>
      </x:c>
      <x:c r="O2937" s="16" t="n">
        <x:f>MAX(0,(M2937-N2937)*24)</x:f>
        <x:v>0</x:v>
      </x:c>
      <x:c r="P2937" s="9" t="str">
        <x:v>No</x:v>
      </x:c>
      <x:c r="Q2937" s="15" t="n">
        <x:v>17</x:v>
      </x:c>
      <x:c r="R2937" s="13" t="n">
        <x:f>J2937+Q2937/1440</x:f>
        <x:v>46310.50625</x:v>
      </x:c>
      <x:c r="S2937" s="2" t="str">
        <x:f>VLOOKUP(C2937,'MES orders'!$A$8:$H$127,6,FALSE)</x:f>
        <x:v>Normal</x:v>
      </x:c>
      <x:c r="T2937" s="9" t="str"/>
    </x:row>
    <x:row r="2938" ht="22" customHeight="1">
      <x:c r="A2938" s="2" t="str">
        <x:v>L00590-010</x:v>
      </x:c>
      <x:c r="B2938" s="2" t="str">
        <x:v>L00590</x:v>
      </x:c>
      <x:c r="C2938" s="2" t="str">
        <x:v>SO-26118</x:v>
      </x:c>
      <x:c r="D2938" s="2" t="str">
        <x:v>R-S-SS</x:v>
      </x:c>
      <x:c r="E2938" s="14" t="n">
        <x:v>10</x:v>
      </x:c>
      <x:c r="F2938" s="2" t="str">
        <x:v>CNC machining</x:v>
      </x:c>
      <x:c r="G2938" s="9" t="str">
        <x:v>CNC-05</x:v>
      </x:c>
      <x:c r="H2938" s="15" t="n">
        <x:v>82</x:v>
      </x:c>
      <x:c r="I2938" s="9" t="str">
        <x:v>P02</x:v>
      </x:c>
      <x:c r="J2938" s="11" t="n">
        <x:v>46310.50208333333</x:v>
      </x:c>
      <x:c r="K2938" s="15" t="n">
        <x:v>18</x:v>
      </x:c>
      <x:c r="L2938" s="15" t="n">
        <x:v>30</x:v>
      </x:c>
      <x:c r="M2938" s="13" t="n">
        <x:f>J2938+(K2938+L2938)/1440</x:f>
        <x:v>46310.535416666666</x:v>
      </x:c>
      <x:c r="N2938" s="13" t="n">
        <x:f>VLOOKUP(C2938,'MES orders'!$A$8:$H$127,5,FALSE)</x:f>
        <x:v>46309.666666666664</x:v>
      </x:c>
      <x:c r="O2938" s="16" t="n">
        <x:f>MAX(0,(M2938-N2938)*24)</x:f>
        <x:v>20.850000000034925</x:v>
      </x:c>
      <x:c r="P2938" s="9" t="str">
        <x:v>No</x:v>
      </x:c>
      <x:c r="Q2938" s="15" t="n">
        <x:v>18</x:v>
      </x:c>
      <x:c r="R2938" s="13" t="n">
        <x:f>J2938+Q2938/1440</x:f>
        <x:v>46310.51458333333</x:v>
      </x:c>
      <x:c r="S2938" s="2" t="str">
        <x:f>VLOOKUP(C2938,'MES orders'!$A$8:$H$127,6,FALSE)</x:f>
        <x:v>Normal</x:v>
      </x:c>
      <x:c r="T2938" s="9" t="str"/>
    </x:row>
    <x:row r="2939" ht="22" customHeight="1">
      <x:c r="A2939" s="2" t="str">
        <x:v>L00509-020</x:v>
      </x:c>
      <x:c r="B2939" s="2" t="str">
        <x:v>L00509</x:v>
      </x:c>
      <x:c r="C2939" s="2" t="str">
        <x:v>SO-26102</x:v>
      </x:c>
      <x:c r="D2939" s="2" t="str">
        <x:v>D-L-SS</x:v>
      </x:c>
      <x:c r="E2939" s="14" t="n">
        <x:v>25</x:v>
      </x:c>
      <x:c r="F2939" s="2" t="str">
        <x:v>Deburr &amp; inspect</x:v>
      </x:c>
      <x:c r="G2939" s="9" t="str">
        <x:v>DB-01</x:v>
      </x:c>
      <x:c r="H2939" s="15" t="n">
        <x:v>276</x:v>
      </x:c>
      <x:c r="I2939" s="9" t="str">
        <x:v>P05</x:v>
      </x:c>
      <x:c r="J2939" s="11" t="n">
        <x:v>46310.50208333333</x:v>
      </x:c>
      <x:c r="K2939" s="15" t="n">
        <x:v>4</x:v>
      </x:c>
      <x:c r="L2939" s="15" t="n">
        <x:v>24</x:v>
      </x:c>
      <x:c r="M2939" s="13" t="n">
        <x:f>J2939+(K2939+L2939)/1440</x:f>
        <x:v>46310.521527777775</x:v>
      </x:c>
      <x:c r="N2939" s="13" t="n">
        <x:f>VLOOKUP(C2939,'MES orders'!$A$8:$H$127,5,FALSE)</x:f>
        <x:v>46309.666666666664</x:v>
      </x:c>
      <x:c r="O2939" s="16" t="n">
        <x:f>MAX(0,(M2939-N2939)*24)</x:f>
        <x:v>20.516666666662786</x:v>
      </x:c>
      <x:c r="P2939" s="9" t="str">
        <x:v>No</x:v>
      </x:c>
      <x:c r="Q2939" s="15" t="n">
        <x:v>28</x:v>
      </x:c>
      <x:c r="R2939" s="13" t="n">
        <x:f>J2939+Q2939/1440</x:f>
        <x:v>46310.521527777775</x:v>
      </x:c>
      <x:c r="S2939" s="2" t="str">
        <x:f>VLOOKUP(C2939,'MES orders'!$A$8:$H$127,6,FALSE)</x:f>
        <x:v>Normal</x:v>
      </x:c>
      <x:c r="T2939" s="9" t="str"/>
    </x:row>
    <x:row r="2940" ht="22" customHeight="1">
      <x:c r="A2940" s="2" t="str">
        <x:v>L00506-050</x:v>
      </x:c>
      <x:c r="B2940" s="2" t="str">
        <x:v>L00506</x:v>
      </x:c>
      <x:c r="C2940" s="2" t="str">
        <x:v>SO-26102</x:v>
      </x:c>
      <x:c r="D2940" s="2" t="str">
        <x:v>D-L-SS</x:v>
      </x:c>
      <x:c r="E2940" s="14" t="n">
        <x:v>25</x:v>
      </x:c>
      <x:c r="F2940" s="2" t="str">
        <x:v>Final leak / function test</x:v>
      </x:c>
      <x:c r="G2940" s="9" t="str">
        <x:v>QA-01</x:v>
      </x:c>
      <x:c r="H2940" s="15" t="n">
        <x:v>114</x:v>
      </x:c>
      <x:c r="I2940" s="9" t="str">
        <x:v>P11</x:v>
      </x:c>
      <x:c r="J2940" s="11" t="n">
        <x:v>46310.50208333333</x:v>
      </x:c>
      <x:c r="K2940" s="15" t="n">
        <x:v>10</x:v>
      </x:c>
      <x:c r="L2940" s="15" t="n">
        <x:v>30</x:v>
      </x:c>
      <x:c r="M2940" s="13" t="n">
        <x:f>J2940+(K2940+L2940)/1440</x:f>
        <x:v>46310.529861111114</x:v>
      </x:c>
      <x:c r="N2940" s="13" t="n">
        <x:f>VLOOKUP(C2940,'MES orders'!$A$8:$H$127,5,FALSE)</x:f>
        <x:v>46309.666666666664</x:v>
      </x:c>
      <x:c r="O2940" s="16" t="n">
        <x:f>MAX(0,(M2940-N2940)*24)</x:f>
        <x:v>20.716666666790843</x:v>
      </x:c>
      <x:c r="P2940" s="9" t="str">
        <x:v>No</x:v>
      </x:c>
      <x:c r="Q2940" s="15" t="n">
        <x:v>40</x:v>
      </x:c>
      <x:c r="R2940" s="13" t="n">
        <x:f>J2940+Q2940/1440</x:f>
        <x:v>46310.529861111114</x:v>
      </x:c>
      <x:c r="S2940" s="2" t="str">
        <x:f>VLOOKUP(C2940,'MES orders'!$A$8:$H$127,6,FALSE)</x:f>
        <x:v>Normal</x:v>
      </x:c>
      <x:c r="T2940" s="9" t="str"/>
    </x:row>
    <x:row r="2941" ht="22" customHeight="1">
      <x:c r="A2941" s="2" t="str">
        <x:v>L00275-010</x:v>
      </x:c>
      <x:c r="B2941" s="2" t="str">
        <x:v>L00275</x:v>
      </x:c>
      <x:c r="C2941" s="2" t="str">
        <x:v>SO-26055</x:v>
      </x:c>
      <x:c r="D2941" s="2" t="str">
        <x:v>D-C-AL</x:v>
      </x:c>
      <x:c r="E2941" s="14" t="n">
        <x:v>10</x:v>
      </x:c>
      <x:c r="F2941" s="2" t="str">
        <x:v>CNC machining</x:v>
      </x:c>
      <x:c r="G2941" s="9" t="str">
        <x:v>CNC-01</x:v>
      </x:c>
      <x:c r="H2941" s="15" t="n">
        <x:v>80</x:v>
      </x:c>
      <x:c r="I2941" s="9" t="str">
        <x:v>P03</x:v>
      </x:c>
      <x:c r="J2941" s="11" t="n">
        <x:v>46310.50486111111</x:v>
      </x:c>
      <x:c r="K2941" s="15" t="n">
        <x:v>18</x:v>
      </x:c>
      <x:c r="L2941" s="15" t="n">
        <x:v>19</x:v>
      </x:c>
      <x:c r="M2941" s="13" t="n">
        <x:f>J2941+(K2941+L2941)/1440</x:f>
        <x:v>46310.53055555555</x:v>
      </x:c>
      <x:c r="N2941" s="13" t="n">
        <x:f>VLOOKUP(C2941,'MES orders'!$A$8:$H$127,5,FALSE)</x:f>
        <x:v>46310.666666666664</x:v>
      </x:c>
      <x:c r="O2941" s="16" t="n">
        <x:f>MAX(0,(M2941-N2941)*24)</x:f>
        <x:v>0</x:v>
      </x:c>
      <x:c r="P2941" s="9" t="str">
        <x:v>No</x:v>
      </x:c>
      <x:c r="Q2941" s="15" t="n">
        <x:v>18</x:v>
      </x:c>
      <x:c r="R2941" s="13" t="n">
        <x:f>J2941+Q2941/1440</x:f>
        <x:v>46310.51736111111</x:v>
      </x:c>
      <x:c r="S2941" s="2" t="str">
        <x:f>VLOOKUP(C2941,'MES orders'!$A$8:$H$127,6,FALSE)</x:f>
        <x:v>Normal</x:v>
      </x:c>
      <x:c r="T2941" s="9" t="str"/>
    </x:row>
    <x:row r="2942" ht="22" customHeight="1">
      <x:c r="A2942" s="2" t="str">
        <x:v>L00274-050</x:v>
      </x:c>
      <x:c r="B2942" s="2" t="str">
        <x:v>L00274</x:v>
      </x:c>
      <x:c r="C2942" s="2" t="str">
        <x:v>SO-26055</x:v>
      </x:c>
      <x:c r="D2942" s="2" t="str">
        <x:v>D-C-AL</x:v>
      </x:c>
      <x:c r="E2942" s="14" t="n">
        <x:v>10</x:v>
      </x:c>
      <x:c r="F2942" s="2" t="str">
        <x:v>Final leak / function test</x:v>
      </x:c>
      <x:c r="G2942" s="9" t="str">
        <x:v>QA-02</x:v>
      </x:c>
      <x:c r="H2942" s="15" t="n">
        <x:v>216</x:v>
      </x:c>
      <x:c r="I2942" s="9" t="str">
        <x:v>P12</x:v>
      </x:c>
      <x:c r="J2942" s="11" t="n">
        <x:v>46310.50625</x:v>
      </x:c>
      <x:c r="K2942" s="15" t="n">
        <x:v>10</x:v>
      </x:c>
      <x:c r="L2942" s="15" t="n">
        <x:v>7</x:v>
      </x:c>
      <x:c r="M2942" s="13" t="n">
        <x:f>J2942+(K2942+L2942)/1440</x:f>
        <x:v>46310.518055555556</x:v>
      </x:c>
      <x:c r="N2942" s="13" t="n">
        <x:f>VLOOKUP(C2942,'MES orders'!$A$8:$H$127,5,FALSE)</x:f>
        <x:v>46310.666666666664</x:v>
      </x:c>
      <x:c r="O2942" s="16" t="n">
        <x:f>MAX(0,(M2942-N2942)*24)</x:f>
        <x:v>0</x:v>
      </x:c>
      <x:c r="P2942" s="9" t="str">
        <x:v>No</x:v>
      </x:c>
      <x:c r="Q2942" s="15" t="n">
        <x:v>17</x:v>
      </x:c>
      <x:c r="R2942" s="13" t="n">
        <x:f>J2942+Q2942/1440</x:f>
        <x:v>46310.518055555556</x:v>
      </x:c>
      <x:c r="S2942" s="2" t="str">
        <x:f>VLOOKUP(C2942,'MES orders'!$A$8:$H$127,6,FALSE)</x:f>
        <x:v>Normal</x:v>
      </x:c>
      <x:c r="T2942" s="9" t="str"/>
    </x:row>
    <x:row r="2943" ht="22" customHeight="1">
      <x:c r="A2943" s="2" t="str">
        <x:v>L00231-010</x:v>
      </x:c>
      <x:c r="B2943" s="2" t="str">
        <x:v>L00231</x:v>
      </x:c>
      <x:c r="C2943" s="2" t="str">
        <x:v>SO-26047</x:v>
      </x:c>
      <x:c r="D2943" s="2" t="str">
        <x:v>S-L-AL</x:v>
      </x:c>
      <x:c r="E2943" s="14" t="n">
        <x:v>5</x:v>
      </x:c>
      <x:c r="F2943" s="2" t="str">
        <x:v>CNC machining</x:v>
      </x:c>
      <x:c r="G2943" s="9" t="str">
        <x:v>CNC-06</x:v>
      </x:c>
      <x:c r="H2943" s="15" t="n">
        <x:v>75</x:v>
      </x:c>
      <x:c r="I2943" s="9" t="str">
        <x:v>P01</x:v>
      </x:c>
      <x:c r="J2943" s="11" t="n">
        <x:v>46310.509722222225</x:v>
      </x:c>
      <x:c r="K2943" s="15" t="n">
        <x:v>18</x:v>
      </x:c>
      <x:c r="L2943" s="15" t="n">
        <x:v>16</x:v>
      </x:c>
      <x:c r="M2943" s="13" t="n">
        <x:f>J2943+(K2943+L2943)/1440</x:f>
        <x:v>46310.53333333333</x:v>
      </x:c>
      <x:c r="N2943" s="13" t="n">
        <x:f>VLOOKUP(C2943,'MES orders'!$A$8:$H$127,5,FALSE)</x:f>
        <x:v>46310.666666666664</x:v>
      </x:c>
      <x:c r="O2943" s="16" t="n">
        <x:f>MAX(0,(M2943-N2943)*24)</x:f>
        <x:v>0</x:v>
      </x:c>
      <x:c r="P2943" s="9" t="str">
        <x:v>No</x:v>
      </x:c>
      <x:c r="Q2943" s="15" t="n">
        <x:v>18</x:v>
      </x:c>
      <x:c r="R2943" s="13" t="n">
        <x:f>J2943+Q2943/1440</x:f>
        <x:v>46310.52222222222</x:v>
      </x:c>
      <x:c r="S2943" s="2" t="str">
        <x:f>VLOOKUP(C2943,'MES orders'!$A$8:$H$127,6,FALSE)</x:f>
        <x:v>Urgent</x:v>
      </x:c>
      <x:c r="T2943" s="9" t="str"/>
    </x:row>
    <x:row r="2944" ht="22" customHeight="1">
      <x:c r="A2944" s="2" t="str">
        <x:v>L00232-010</x:v>
      </x:c>
      <x:c r="B2944" s="2" t="str">
        <x:v>L00232</x:v>
      </x:c>
      <x:c r="C2944" s="2" t="str">
        <x:v>SO-26047</x:v>
      </x:c>
      <x:c r="D2944" s="2" t="str">
        <x:v>S-L-AL</x:v>
      </x:c>
      <x:c r="E2944" s="14" t="n">
        <x:v>5</x:v>
      </x:c>
      <x:c r="F2944" s="2" t="str">
        <x:v>CNC machining</x:v>
      </x:c>
      <x:c r="G2944" s="9" t="str">
        <x:v>CNC-03</x:v>
      </x:c>
      <x:c r="H2944" s="15" t="n">
        <x:v>94</x:v>
      </x:c>
      <x:c r="I2944" s="9" t="str">
        <x:v>P02</x:v>
      </x:c>
      <x:c r="J2944" s="11" t="n">
        <x:v>46310.51458333333</x:v>
      </x:c>
      <x:c r="K2944" s="15" t="n">
        <x:v>18</x:v>
      </x:c>
      <x:c r="L2944" s="15" t="n">
        <x:v>16</x:v>
      </x:c>
      <x:c r="M2944" s="13" t="n">
        <x:f>J2944+(K2944+L2944)/1440</x:f>
        <x:v>46310.53819444444</x:v>
      </x:c>
      <x:c r="N2944" s="13" t="n">
        <x:f>VLOOKUP(C2944,'MES orders'!$A$8:$H$127,5,FALSE)</x:f>
        <x:v>46310.666666666664</x:v>
      </x:c>
      <x:c r="O2944" s="16" t="n">
        <x:f>MAX(0,(M2944-N2944)*24)</x:f>
        <x:v>0</x:v>
      </x:c>
      <x:c r="P2944" s="9" t="str">
        <x:v>No</x:v>
      </x:c>
      <x:c r="Q2944" s="15" t="n">
        <x:v>18</x:v>
      </x:c>
      <x:c r="R2944" s="13" t="n">
        <x:f>J2944+Q2944/1440</x:f>
        <x:v>46310.52708333333</x:v>
      </x:c>
      <x:c r="S2944" s="2" t="str">
        <x:f>VLOOKUP(C2944,'MES orders'!$A$8:$H$127,6,FALSE)</x:f>
        <x:v>Urgent</x:v>
      </x:c>
      <x:c r="T2944" s="9" t="str"/>
    </x:row>
    <x:row r="2945" ht="22" customHeight="1">
      <x:c r="A2945" s="2" t="str">
        <x:v>L00510-020</x:v>
      </x:c>
      <x:c r="B2945" s="2" t="str">
        <x:v>L00510</x:v>
      </x:c>
      <x:c r="C2945" s="2" t="str">
        <x:v>SO-26102</x:v>
      </x:c>
      <x:c r="D2945" s="2" t="str">
        <x:v>D-L-SS</x:v>
      </x:c>
      <x:c r="E2945" s="14" t="n">
        <x:v>25</x:v>
      </x:c>
      <x:c r="F2945" s="2" t="str">
        <x:v>Deburr &amp; inspect</x:v>
      </x:c>
      <x:c r="G2945" s="9" t="str">
        <x:v>DB-01</x:v>
      </x:c>
      <x:c r="H2945" s="15" t="n">
        <x:v>277</x:v>
      </x:c>
      <x:c r="I2945" s="9" t="str">
        <x:v>P05</x:v>
      </x:c>
      <x:c r="J2945" s="11" t="n">
        <x:v>46310.521527777775</x:v>
      </x:c>
      <x:c r="K2945" s="15" t="n">
        <x:v>4</x:v>
      </x:c>
      <x:c r="L2945" s="15" t="n">
        <x:v>24</x:v>
      </x:c>
      <x:c r="M2945" s="13" t="n">
        <x:f>J2945+(K2945+L2945)/1440</x:f>
        <x:v>46310.54097222222</x:v>
      </x:c>
      <x:c r="N2945" s="13" t="n">
        <x:f>VLOOKUP(C2945,'MES orders'!$A$8:$H$127,5,FALSE)</x:f>
        <x:v>46309.666666666664</x:v>
      </x:c>
      <x:c r="O2945" s="16" t="n">
        <x:f>MAX(0,(M2945-N2945)*24)</x:f>
        <x:v>20.983333333279006</x:v>
      </x:c>
      <x:c r="P2945" s="9" t="str">
        <x:v>No</x:v>
      </x:c>
      <x:c r="Q2945" s="15" t="n">
        <x:v>28</x:v>
      </x:c>
      <x:c r="R2945" s="13" t="n">
        <x:f>J2945+Q2945/1440</x:f>
        <x:v>46310.54097222222</x:v>
      </x:c>
      <x:c r="S2945" s="2" t="str">
        <x:f>VLOOKUP(C2945,'MES orders'!$A$8:$H$127,6,FALSE)</x:f>
        <x:v>Normal</x:v>
      </x:c>
      <x:c r="T2945" s="9" t="str"/>
    </x:row>
    <x:row r="2946" ht="22" customHeight="1">
      <x:c r="A2946" s="2" t="str">
        <x:v>L00507-050</x:v>
      </x:c>
      <x:c r="B2946" s="2" t="str">
        <x:v>L00507</x:v>
      </x:c>
      <x:c r="C2946" s="2" t="str">
        <x:v>SO-26102</x:v>
      </x:c>
      <x:c r="D2946" s="2" t="str">
        <x:v>D-L-SS</x:v>
      </x:c>
      <x:c r="E2946" s="14" t="n">
        <x:v>25</x:v>
      </x:c>
      <x:c r="F2946" s="2" t="str">
        <x:v>Final leak / function test</x:v>
      </x:c>
      <x:c r="G2946" s="9" t="str">
        <x:v>QA-02</x:v>
      </x:c>
      <x:c r="H2946" s="15" t="n">
        <x:v>217</x:v>
      </x:c>
      <x:c r="I2946" s="9" t="str">
        <x:v>P12</x:v>
      </x:c>
      <x:c r="J2946" s="11" t="n">
        <x:v>46310.521527777775</x:v>
      </x:c>
      <x:c r="K2946" s="15" t="n">
        <x:v>10</x:v>
      </x:c>
      <x:c r="L2946" s="15" t="n">
        <x:v>30</x:v>
      </x:c>
      <x:c r="M2946" s="13" t="n">
        <x:f>J2946+(K2946+L2946)/1440</x:f>
        <x:v>46310.549305555556</x:v>
      </x:c>
      <x:c r="N2946" s="13" t="n">
        <x:f>VLOOKUP(C2946,'MES orders'!$A$8:$H$127,5,FALSE)</x:f>
        <x:v>46309.666666666664</x:v>
      </x:c>
      <x:c r="O2946" s="16" t="n">
        <x:f>MAX(0,(M2946-N2946)*24)</x:f>
        <x:v>21.183333333407063</x:v>
      </x:c>
      <x:c r="P2946" s="9" t="str">
        <x:v>No</x:v>
      </x:c>
      <x:c r="Q2946" s="15" t="n">
        <x:v>40</x:v>
      </x:c>
      <x:c r="R2946" s="13" t="n">
        <x:f>J2946+Q2946/1440</x:f>
        <x:v>46310.549305555556</x:v>
      </x:c>
      <x:c r="S2946" s="2" t="str">
        <x:f>VLOOKUP(C2946,'MES orders'!$A$8:$H$127,6,FALSE)</x:f>
        <x:v>Normal</x:v>
      </x:c>
      <x:c r="T2946" s="9" t="str"/>
    </x:row>
    <x:row r="2947" ht="22" customHeight="1">
      <x:c r="A2947" s="2" t="str">
        <x:v>L00509-030</x:v>
      </x:c>
      <x:c r="B2947" s="2" t="str">
        <x:v>L00509</x:v>
      </x:c>
      <x:c r="C2947" s="2" t="str">
        <x:v>SO-26102</x:v>
      </x:c>
      <x:c r="D2947" s="2" t="str">
        <x:v>D-L-SS</x:v>
      </x:c>
      <x:c r="E2947" s="14" t="n">
        <x:v>25</x:v>
      </x:c>
      <x:c r="F2947" s="2" t="str">
        <x:v>Wash &amp; dry</x:v>
      </x:c>
      <x:c r="G2947" s="9" t="str">
        <x:v>WS-01</x:v>
      </x:c>
      <x:c r="H2947" s="15" t="n">
        <x:v>270</x:v>
      </x:c>
      <x:c r="I2947" s="9" t="str">
        <x:v>P04</x:v>
      </x:c>
      <x:c r="J2947" s="11" t="n">
        <x:v>46310.521527777775</x:v>
      </x:c>
      <x:c r="K2947" s="15" t="n">
        <x:v>12</x:v>
      </x:c>
      <x:c r="L2947" s="15" t="n">
        <x:v>12</x:v>
      </x:c>
      <x:c r="M2947" s="13" t="n">
        <x:f>J2947+(K2947+L2947)/1440</x:f>
        <x:v>46310.538194444445</x:v>
      </x:c>
      <x:c r="N2947" s="13" t="n">
        <x:f>VLOOKUP(C2947,'MES orders'!$A$8:$H$127,5,FALSE)</x:f>
        <x:v>46309.666666666664</x:v>
      </x:c>
      <x:c r="O2947" s="16" t="n">
        <x:f>MAX(0,(M2947-N2947)*24)</x:f>
        <x:v>20.916666666744277</x:v>
      </x:c>
      <x:c r="P2947" s="9" t="str">
        <x:v>No</x:v>
      </x:c>
      <x:c r="Q2947" s="15" t="n">
        <x:v>24</x:v>
      </x:c>
      <x:c r="R2947" s="13" t="n">
        <x:f>J2947+Q2947/1440</x:f>
        <x:v>46310.538194444445</x:v>
      </x:c>
      <x:c r="S2947" s="2" t="str">
        <x:f>VLOOKUP(C2947,'MES orders'!$A$8:$H$127,6,FALSE)</x:f>
        <x:v>Normal</x:v>
      </x:c>
      <x:c r="T2947" s="9" t="str"/>
    </x:row>
    <x:row r="2948" ht="22" customHeight="1">
      <x:c r="A2948" s="2" t="str">
        <x:v>L00233-010</x:v>
      </x:c>
      <x:c r="B2948" s="2" t="str">
        <x:v>L00233</x:v>
      </x:c>
      <x:c r="C2948" s="2" t="str">
        <x:v>SO-26047</x:v>
      </x:c>
      <x:c r="D2948" s="2" t="str">
        <x:v>S-L-AL</x:v>
      </x:c>
      <x:c r="E2948" s="14" t="n">
        <x:v>5</x:v>
      </x:c>
      <x:c r="F2948" s="2" t="str">
        <x:v>CNC machining</x:v>
      </x:c>
      <x:c r="G2948" s="9" t="str">
        <x:v>CNC-04</x:v>
      </x:c>
      <x:c r="H2948" s="15" t="n">
        <x:v>90</x:v>
      </x:c>
      <x:c r="I2948" s="9" t="str">
        <x:v>P03</x:v>
      </x:c>
      <x:c r="J2948" s="11" t="n">
        <x:v>46310.52638888889</x:v>
      </x:c>
      <x:c r="K2948" s="15" t="n">
        <x:v>18</x:v>
      </x:c>
      <x:c r="L2948" s="15" t="n">
        <x:v>16</x:v>
      </x:c>
      <x:c r="M2948" s="13" t="n">
        <x:f>J2948+(K2948+L2948)/1440</x:f>
        <x:v>46310.549999999996</x:v>
      </x:c>
      <x:c r="N2948" s="13" t="n">
        <x:f>VLOOKUP(C2948,'MES orders'!$A$8:$H$127,5,FALSE)</x:f>
        <x:v>46310.666666666664</x:v>
      </x:c>
      <x:c r="O2948" s="16" t="n">
        <x:f>MAX(0,(M2948-N2948)*24)</x:f>
        <x:v>0</x:v>
      </x:c>
      <x:c r="P2948" s="9" t="str">
        <x:v>No</x:v>
      </x:c>
      <x:c r="Q2948" s="15" t="n">
        <x:v>18</x:v>
      </x:c>
      <x:c r="R2948" s="13" t="n">
        <x:f>J2948+Q2948/1440</x:f>
        <x:v>46310.538888888885</x:v>
      </x:c>
      <x:c r="S2948" s="2" t="str">
        <x:f>VLOOKUP(C2948,'MES orders'!$A$8:$H$127,6,FALSE)</x:f>
        <x:v>Urgent</x:v>
      </x:c>
      <x:c r="T2948" s="9" t="str"/>
    </x:row>
    <x:row r="2949" ht="22" customHeight="1">
      <x:c r="A2949" s="2" t="str">
        <x:v>L00589-020</x:v>
      </x:c>
      <x:c r="B2949" s="2" t="str">
        <x:v>L00589</x:v>
      </x:c>
      <x:c r="C2949" s="2" t="str">
        <x:v>SO-26118</x:v>
      </x:c>
      <x:c r="D2949" s="2" t="str">
        <x:v>R-S-SS</x:v>
      </x:c>
      <x:c r="E2949" s="14" t="n">
        <x:v>10</x:v>
      </x:c>
      <x:c r="F2949" s="2" t="str">
        <x:v>Deburr &amp; inspect</x:v>
      </x:c>
      <x:c r="G2949" s="9" t="str">
        <x:v>DB-02</x:v>
      </x:c>
      <x:c r="H2949" s="15" t="n">
        <x:v>191</x:v>
      </x:c>
      <x:c r="I2949" s="9" t="str">
        <x:v>P01</x:v>
      </x:c>
      <x:c r="J2949" s="11" t="n">
        <x:v>46310.52638888889</x:v>
      </x:c>
      <x:c r="K2949" s="15" t="n">
        <x:v>4</x:v>
      </x:c>
      <x:c r="L2949" s="15" t="n">
        <x:v>7</x:v>
      </x:c>
      <x:c r="M2949" s="13" t="n">
        <x:f>J2949+(K2949+L2949)/1440</x:f>
        <x:v>46310.53402777778</x:v>
      </x:c>
      <x:c r="N2949" s="13" t="n">
        <x:f>VLOOKUP(C2949,'MES orders'!$A$8:$H$127,5,FALSE)</x:f>
        <x:v>46309.666666666664</x:v>
      </x:c>
      <x:c r="O2949" s="16" t="n">
        <x:f>MAX(0,(M2949-N2949)*24)</x:f>
        <x:v>20.81666666676756</x:v>
      </x:c>
      <x:c r="P2949" s="9" t="str">
        <x:v>No</x:v>
      </x:c>
      <x:c r="Q2949" s="15" t="n">
        <x:v>11</x:v>
      </x:c>
      <x:c r="R2949" s="13" t="n">
        <x:f>J2949+Q2949/1440</x:f>
        <x:v>46310.53402777778</x:v>
      </x:c>
      <x:c r="S2949" s="2" t="str">
        <x:f>VLOOKUP(C2949,'MES orders'!$A$8:$H$127,6,FALSE)</x:f>
        <x:v>Normal</x:v>
      </x:c>
      <x:c r="T2949" s="9" t="str"/>
    </x:row>
    <x:row r="2950" ht="22" customHeight="1">
      <x:c r="A2950" s="2" t="str">
        <x:v>L00589-030</x:v>
      </x:c>
      <x:c r="B2950" s="2" t="str">
        <x:v>L00589</x:v>
      </x:c>
      <x:c r="C2950" s="2" t="str">
        <x:v>SO-26118</x:v>
      </x:c>
      <x:c r="D2950" s="2" t="str">
        <x:v>R-S-SS</x:v>
      </x:c>
      <x:c r="E2950" s="14" t="n">
        <x:v>10</x:v>
      </x:c>
      <x:c r="F2950" s="2" t="str">
        <x:v>Wash &amp; dry</x:v>
      </x:c>
      <x:c r="G2950" s="9" t="str">
        <x:v>WS-02</x:v>
      </x:c>
      <x:c r="H2950" s="15" t="n">
        <x:v>197</x:v>
      </x:c>
      <x:c r="I2950" s="9" t="str">
        <x:v>P01</x:v>
      </x:c>
      <x:c r="J2950" s="11" t="n">
        <x:v>46310.53402777778</x:v>
      </x:c>
      <x:c r="K2950" s="15" t="n">
        <x:v>12</x:v>
      </x:c>
      <x:c r="L2950" s="15" t="n">
        <x:v>4</x:v>
      </x:c>
      <x:c r="M2950" s="13" t="n">
        <x:f>J2950+(K2950+L2950)/1440</x:f>
        <x:v>46310.54513888889</x:v>
      </x:c>
      <x:c r="N2950" s="13" t="n">
        <x:f>VLOOKUP(C2950,'MES orders'!$A$8:$H$127,5,FALSE)</x:f>
        <x:v>46309.666666666664</x:v>
      </x:c>
      <x:c r="O2950" s="16" t="n">
        <x:f>MAX(0,(M2950-N2950)*24)</x:f>
        <x:v>21.083333333430346</x:v>
      </x:c>
      <x:c r="P2950" s="9" t="str">
        <x:v>No</x:v>
      </x:c>
      <x:c r="Q2950" s="15" t="n">
        <x:v>16</x:v>
      </x:c>
      <x:c r="R2950" s="13" t="n">
        <x:f>J2950+Q2950/1440</x:f>
        <x:v>46310.54513888889</x:v>
      </x:c>
      <x:c r="S2950" s="2" t="str">
        <x:f>VLOOKUP(C2950,'MES orders'!$A$8:$H$127,6,FALSE)</x:f>
        <x:v>Normal</x:v>
      </x:c>
      <x:c r="T2950" s="9" t="str"/>
    </x:row>
    <x:row r="2951" ht="22" customHeight="1">
      <x:c r="A2951" s="2" t="str">
        <x:v>L00590-020</x:v>
      </x:c>
      <x:c r="B2951" s="2" t="str">
        <x:v>L00590</x:v>
      </x:c>
      <x:c r="C2951" s="2" t="str">
        <x:v>SO-26118</x:v>
      </x:c>
      <x:c r="D2951" s="2" t="str">
        <x:v>R-S-SS</x:v>
      </x:c>
      <x:c r="E2951" s="14" t="n">
        <x:v>10</x:v>
      </x:c>
      <x:c r="F2951" s="2" t="str">
        <x:v>Deburr &amp; inspect</x:v>
      </x:c>
      <x:c r="G2951" s="9" t="str">
        <x:v>DB-02</x:v>
      </x:c>
      <x:c r="H2951" s="15" t="n">
        <x:v>192</x:v>
      </x:c>
      <x:c r="I2951" s="9" t="str">
        <x:v>P02</x:v>
      </x:c>
      <x:c r="J2951" s="11" t="n">
        <x:v>46310.535416666666</x:v>
      </x:c>
      <x:c r="K2951" s="15" t="n">
        <x:v>4</x:v>
      </x:c>
      <x:c r="L2951" s="15" t="n">
        <x:v>7</x:v>
      </x:c>
      <x:c r="M2951" s="13" t="n">
        <x:f>J2951+(K2951+L2951)/1440</x:f>
        <x:v>46310.54305555556</x:v>
      </x:c>
      <x:c r="N2951" s="13" t="n">
        <x:f>VLOOKUP(C2951,'MES orders'!$A$8:$H$127,5,FALSE)</x:f>
        <x:v>46309.666666666664</x:v>
      </x:c>
      <x:c r="O2951" s="16" t="n">
        <x:f>MAX(0,(M2951-N2951)*24)</x:f>
        <x:v>21.033333333441988</x:v>
      </x:c>
      <x:c r="P2951" s="9" t="str">
        <x:v>No</x:v>
      </x:c>
      <x:c r="Q2951" s="15" t="n">
        <x:v>11</x:v>
      </x:c>
      <x:c r="R2951" s="13" t="n">
        <x:f>J2951+Q2951/1440</x:f>
        <x:v>46310.54305555556</x:v>
      </x:c>
      <x:c r="S2951" s="2" t="str">
        <x:f>VLOOKUP(C2951,'MES orders'!$A$8:$H$127,6,FALSE)</x:f>
        <x:v>Normal</x:v>
      </x:c>
      <x:c r="T2951" s="9" t="str"/>
    </x:row>
    <x:row r="2952" ht="22" customHeight="1">
      <x:c r="A2952" s="2" t="str">
        <x:v>L00546-050</x:v>
      </x:c>
      <x:c r="B2952" s="2" t="str">
        <x:v>L00546</x:v>
      </x:c>
      <x:c r="C2952" s="2" t="str">
        <x:v>SO-26110</x:v>
      </x:c>
      <x:c r="D2952" s="2" t="str">
        <x:v>R-C-SS</x:v>
      </x:c>
      <x:c r="E2952" s="14" t="n">
        <x:v>10</x:v>
      </x:c>
      <x:c r="F2952" s="2" t="str">
        <x:v>Valve adjustment</x:v>
      </x:c>
      <x:c r="G2952" s="9" t="str">
        <x:v>AS-01</x:v>
      </x:c>
      <x:c r="H2952" s="15" t="n">
        <x:v>233</x:v>
      </x:c>
      <x:c r="I2952" s="9" t="str">
        <x:v>P05</x:v>
      </x:c>
      <x:c r="J2952" s="11" t="n">
        <x:v>46310.540972222225</x:v>
      </x:c>
      <x:c r="K2952" s="15" t="n">
        <x:v>6</x:v>
      </x:c>
      <x:c r="L2952" s="15" t="n">
        <x:v>9</x:v>
      </x:c>
      <x:c r="M2952" s="13" t="n">
        <x:f>J2952+(K2952+L2952)/1440</x:f>
        <x:v>46310.55138888889</x:v>
      </x:c>
      <x:c r="N2952" s="13" t="n">
        <x:f>VLOOKUP(C2952,'MES orders'!$A$8:$H$127,5,FALSE)</x:f>
        <x:v>46309.666666666664</x:v>
      </x:c>
      <x:c r="O2952" s="16" t="n">
        <x:f>MAX(0,(M2952-N2952)*24)</x:f>
        <x:v>21.23333333339542</x:v>
      </x:c>
      <x:c r="P2952" s="9" t="str">
        <x:v>No</x:v>
      </x:c>
      <x:c r="Q2952" s="15" t="n">
        <x:v>15</x:v>
      </x:c>
      <x:c r="R2952" s="13" t="n">
        <x:f>J2952+Q2952/1440</x:f>
        <x:v>46310.55138888889</x:v>
      </x:c>
      <x:c r="S2952" s="2" t="str">
        <x:f>VLOOKUP(C2952,'MES orders'!$A$8:$H$127,6,FALSE)</x:f>
        <x:v>Normal</x:v>
      </x:c>
      <x:c r="T2952" s="9" t="str"/>
    </x:row>
    <x:row r="2953" ht="22" customHeight="1">
      <x:c r="A2953" s="2" t="str">
        <x:v>L00547-040</x:v>
      </x:c>
      <x:c r="B2953" s="2" t="str">
        <x:v>L00547</x:v>
      </x:c>
      <x:c r="C2953" s="2" t="str">
        <x:v>SO-26110</x:v>
      </x:c>
      <x:c r="D2953" s="2" t="str">
        <x:v>R-C-SS</x:v>
      </x:c>
      <x:c r="E2953" s="14" t="n">
        <x:v>10</x:v>
      </x:c>
      <x:c r="F2953" s="2" t="str">
        <x:v>Mechanical assembly</x:v>
      </x:c>
      <x:c r="G2953" s="9" t="str">
        <x:v>AS-02</x:v>
      </x:c>
      <x:c r="H2953" s="15" t="n">
        <x:v>189</x:v>
      </x:c>
      <x:c r="I2953" s="9" t="str">
        <x:v>P06</x:v>
      </x:c>
      <x:c r="J2953" s="11" t="n">
        <x:v>46310.540972222225</x:v>
      </x:c>
      <x:c r="K2953" s="15" t="n">
        <x:v>8</x:v>
      </x:c>
      <x:c r="L2953" s="15" t="n">
        <x:v>14</x:v>
      </x:c>
      <x:c r="M2953" s="13" t="n">
        <x:f>J2953+(K2953+L2953)/1440</x:f>
        <x:v>46310.55625</x:v>
      </x:c>
      <x:c r="N2953" s="13" t="n">
        <x:f>VLOOKUP(C2953,'MES orders'!$A$8:$H$127,5,FALSE)</x:f>
        <x:v>46309.666666666664</x:v>
      </x:c>
      <x:c r="O2953" s="16" t="n">
        <x:f>MAX(0,(M2953-N2953)*24)</x:f>
        <x:v>21.350000000093132</x:v>
      </x:c>
      <x:c r="P2953" s="9" t="str">
        <x:v>No</x:v>
      </x:c>
      <x:c r="Q2953" s="15" t="n">
        <x:v>22</x:v>
      </x:c>
      <x:c r="R2953" s="13" t="n">
        <x:f>J2953+Q2953/1440</x:f>
        <x:v>46310.55625</x:v>
      </x:c>
      <x:c r="S2953" s="2" t="str">
        <x:f>VLOOKUP(C2953,'MES orders'!$A$8:$H$127,6,FALSE)</x:f>
        <x:v>Normal</x:v>
      </x:c>
      <x:c r="T2953" s="9" t="str"/>
    </x:row>
    <x:row r="2954" ht="22" customHeight="1">
      <x:c r="A2954" s="2" t="str">
        <x:v>L00231-020</x:v>
      </x:c>
      <x:c r="B2954" s="2" t="str">
        <x:v>L00231</x:v>
      </x:c>
      <x:c r="C2954" s="2" t="str">
        <x:v>SO-26047</x:v>
      </x:c>
      <x:c r="D2954" s="2" t="str">
        <x:v>S-L-AL</x:v>
      </x:c>
      <x:c r="E2954" s="14" t="n">
        <x:v>5</x:v>
      </x:c>
      <x:c r="F2954" s="2" t="str">
        <x:v>Deburr &amp; inspect</x:v>
      </x:c>
      <x:c r="G2954" s="9" t="str">
        <x:v>DB-01</x:v>
      </x:c>
      <x:c r="H2954" s="15" t="n">
        <x:v>278</x:v>
      </x:c>
      <x:c r="I2954" s="9" t="str">
        <x:v>P03</x:v>
      </x:c>
      <x:c r="J2954" s="11" t="n">
        <x:v>46310.540972222225</x:v>
      </x:c>
      <x:c r="K2954" s="15" t="n">
        <x:v>4</x:v>
      </x:c>
      <x:c r="L2954" s="15" t="n">
        <x:v>5</x:v>
      </x:c>
      <x:c r="M2954" s="13" t="n">
        <x:f>J2954+(K2954+L2954)/1440</x:f>
        <x:v>46310.54722222222</x:v>
      </x:c>
      <x:c r="N2954" s="13" t="n">
        <x:f>VLOOKUP(C2954,'MES orders'!$A$8:$H$127,5,FALSE)</x:f>
        <x:v>46310.666666666664</x:v>
      </x:c>
      <x:c r="O2954" s="16" t="n">
        <x:f>MAX(0,(M2954-N2954)*24)</x:f>
        <x:v>0</x:v>
      </x:c>
      <x:c r="P2954" s="9" t="str">
        <x:v>No</x:v>
      </x:c>
      <x:c r="Q2954" s="15" t="n">
        <x:v>9</x:v>
      </x:c>
      <x:c r="R2954" s="13" t="n">
        <x:f>J2954+Q2954/1440</x:f>
        <x:v>46310.54722222222</x:v>
      </x:c>
      <x:c r="S2954" s="2" t="str">
        <x:f>VLOOKUP(C2954,'MES orders'!$A$8:$H$127,6,FALSE)</x:f>
        <x:v>Urgent</x:v>
      </x:c>
      <x:c r="T2954" s="9" t="str"/>
    </x:row>
    <x:row r="2955" ht="22" customHeight="1">
      <x:c r="A2955" s="2" t="str">
        <x:v>L00508-050</x:v>
      </x:c>
      <x:c r="B2955" s="2" t="str">
        <x:v>L00508</x:v>
      </x:c>
      <x:c r="C2955" s="2" t="str">
        <x:v>SO-26102</x:v>
      </x:c>
      <x:c r="D2955" s="2" t="str">
        <x:v>D-L-SS</x:v>
      </x:c>
      <x:c r="E2955" s="14" t="n">
        <x:v>25</x:v>
      </x:c>
      <x:c r="F2955" s="2" t="str">
        <x:v>Final leak / function test</x:v>
      </x:c>
      <x:c r="G2955" s="9" t="str">
        <x:v>QA-01</x:v>
      </x:c>
      <x:c r="H2955" s="15" t="n">
        <x:v>115</x:v>
      </x:c>
      <x:c r="I2955" s="9" t="str">
        <x:v>P11</x:v>
      </x:c>
      <x:c r="J2955" s="11" t="n">
        <x:v>46310.540972222225</x:v>
      </x:c>
      <x:c r="K2955" s="15" t="n">
        <x:v>10</x:v>
      </x:c>
      <x:c r="L2955" s="15" t="n">
        <x:v>30</x:v>
      </x:c>
      <x:c r="M2955" s="13" t="n">
        <x:f>J2955+(K2955+L2955)/1440</x:f>
        <x:v>46310.568750000006</x:v>
      </x:c>
      <x:c r="N2955" s="13" t="n">
        <x:f>VLOOKUP(C2955,'MES orders'!$A$8:$H$127,5,FALSE)</x:f>
        <x:v>46309.666666666664</x:v>
      </x:c>
      <x:c r="O2955" s="16" t="n">
        <x:f>MAX(0,(M2955-N2955)*24)</x:f>
        <x:v>21.650000000197906</x:v>
      </x:c>
      <x:c r="P2955" s="9" t="str">
        <x:v>No</x:v>
      </x:c>
      <x:c r="Q2955" s="15" t="n">
        <x:v>40</x:v>
      </x:c>
      <x:c r="R2955" s="13" t="n">
        <x:f>J2955+Q2955/1440</x:f>
        <x:v>46310.568750000006</x:v>
      </x:c>
      <x:c r="S2955" s="2" t="str">
        <x:f>VLOOKUP(C2955,'MES orders'!$A$8:$H$127,6,FALSE)</x:f>
        <x:v>Normal</x:v>
      </x:c>
      <x:c r="T2955" s="9" t="str"/>
    </x:row>
    <x:row r="2956" ht="22" customHeight="1">
      <x:c r="A2956" s="2" t="str">
        <x:v>L00510-030</x:v>
      </x:c>
      <x:c r="B2956" s="2" t="str">
        <x:v>L00510</x:v>
      </x:c>
      <x:c r="C2956" s="2" t="str">
        <x:v>SO-26102</x:v>
      </x:c>
      <x:c r="D2956" s="2" t="str">
        <x:v>D-L-SS</x:v>
      </x:c>
      <x:c r="E2956" s="14" t="n">
        <x:v>25</x:v>
      </x:c>
      <x:c r="F2956" s="2" t="str">
        <x:v>Wash &amp; dry</x:v>
      </x:c>
      <x:c r="G2956" s="9" t="str">
        <x:v>WS-01</x:v>
      </x:c>
      <x:c r="H2956" s="15" t="n">
        <x:v>271</x:v>
      </x:c>
      <x:c r="I2956" s="9" t="str">
        <x:v>P04</x:v>
      </x:c>
      <x:c r="J2956" s="11" t="n">
        <x:v>46310.540972222225</x:v>
      </x:c>
      <x:c r="K2956" s="15" t="n">
        <x:v>12</x:v>
      </x:c>
      <x:c r="L2956" s="15" t="n">
        <x:v>12</x:v>
      </x:c>
      <x:c r="M2956" s="13" t="n">
        <x:f>J2956+(K2956+L2956)/1440</x:f>
        <x:v>46310.557638888895</x:v>
      </x:c>
      <x:c r="N2956" s="13" t="n">
        <x:f>VLOOKUP(C2956,'MES orders'!$A$8:$H$127,5,FALSE)</x:f>
        <x:v>46309.666666666664</x:v>
      </x:c>
      <x:c r="O2956" s="16" t="n">
        <x:f>MAX(0,(M2956-N2956)*24)</x:f>
        <x:v>21.38333333353512</x:v>
      </x:c>
      <x:c r="P2956" s="9" t="str">
        <x:v>No</x:v>
      </x:c>
      <x:c r="Q2956" s="15" t="n">
        <x:v>24</x:v>
      </x:c>
      <x:c r="R2956" s="13" t="n">
        <x:f>J2956+Q2956/1440</x:f>
        <x:v>46310.557638888895</x:v>
      </x:c>
      <x:c r="S2956" s="2" t="str">
        <x:f>VLOOKUP(C2956,'MES orders'!$A$8:$H$127,6,FALSE)</x:f>
        <x:v>Normal</x:v>
      </x:c>
      <x:c r="T2956" s="9" t="str"/>
    </x:row>
    <x:row r="2957" ht="22" customHeight="1">
      <x:c r="A2957" s="2" t="str">
        <x:v>L00232-020</x:v>
      </x:c>
      <x:c r="B2957" s="2" t="str">
        <x:v>L00232</x:v>
      </x:c>
      <x:c r="C2957" s="2" t="str">
        <x:v>SO-26047</x:v>
      </x:c>
      <x:c r="D2957" s="2" t="str">
        <x:v>S-L-AL</x:v>
      </x:c>
      <x:c r="E2957" s="14" t="n">
        <x:v>5</x:v>
      </x:c>
      <x:c r="F2957" s="2" t="str">
        <x:v>Deburr &amp; inspect</x:v>
      </x:c>
      <x:c r="G2957" s="9" t="str">
        <x:v>DB-02</x:v>
      </x:c>
      <x:c r="H2957" s="15" t="n">
        <x:v>193</x:v>
      </x:c>
      <x:c r="I2957" s="9" t="str">
        <x:v>P07</x:v>
      </x:c>
      <x:c r="J2957" s="11" t="n">
        <x:v>46310.54305555556</x:v>
      </x:c>
      <x:c r="K2957" s="15" t="n">
        <x:v>4</x:v>
      </x:c>
      <x:c r="L2957" s="15" t="n">
        <x:v>5</x:v>
      </x:c>
      <x:c r="M2957" s="13" t="n">
        <x:f>J2957+(K2957+L2957)/1440</x:f>
        <x:v>46310.549305555556</x:v>
      </x:c>
      <x:c r="N2957" s="13" t="n">
        <x:f>VLOOKUP(C2957,'MES orders'!$A$8:$H$127,5,FALSE)</x:f>
        <x:v>46310.666666666664</x:v>
      </x:c>
      <x:c r="O2957" s="16" t="n">
        <x:f>MAX(0,(M2957-N2957)*24)</x:f>
        <x:v>0</x:v>
      </x:c>
      <x:c r="P2957" s="9" t="str">
        <x:v>No</x:v>
      </x:c>
      <x:c r="Q2957" s="15" t="n">
        <x:v>9</x:v>
      </x:c>
      <x:c r="R2957" s="13" t="n">
        <x:f>J2957+Q2957/1440</x:f>
        <x:v>46310.549305555556</x:v>
      </x:c>
      <x:c r="S2957" s="2" t="str">
        <x:f>VLOOKUP(C2957,'MES orders'!$A$8:$H$127,6,FALSE)</x:f>
        <x:v>Urgent</x:v>
      </x:c>
      <x:c r="T2957" s="9" t="str"/>
    </x:row>
    <x:row r="2958" ht="22" customHeight="1">
      <x:c r="A2958" s="2" t="str">
        <x:v>L00589-040</x:v>
      </x:c>
      <x:c r="B2958" s="2" t="str">
        <x:v>L00589</x:v>
      </x:c>
      <x:c r="C2958" s="2" t="str">
        <x:v>SO-26118</x:v>
      </x:c>
      <x:c r="D2958" s="2" t="str">
        <x:v>R-S-SS</x:v>
      </x:c>
      <x:c r="E2958" s="14" t="n">
        <x:v>10</x:v>
      </x:c>
      <x:c r="F2958" s="2" t="str">
        <x:v>Mechanical assembly</x:v>
      </x:c>
      <x:c r="G2958" s="9" t="str">
        <x:v>AS-03</x:v>
      </x:c>
      <x:c r="H2958" s="15" t="n">
        <x:v>156</x:v>
      </x:c>
      <x:c r="I2958" s="9" t="str">
        <x:v>P01</x:v>
      </x:c>
      <x:c r="J2958" s="11" t="n">
        <x:v>46310.54513888889</x:v>
      </x:c>
      <x:c r="K2958" s="15" t="n">
        <x:v>8</x:v>
      </x:c>
      <x:c r="L2958" s="15" t="n">
        <x:v>18</x:v>
      </x:c>
      <x:c r="M2958" s="13" t="n">
        <x:f>J2958+(K2958+L2958)/1440</x:f>
        <x:v>46310.56319444445</x:v>
      </x:c>
      <x:c r="N2958" s="13" t="n">
        <x:f>VLOOKUP(C2958,'MES orders'!$A$8:$H$127,5,FALSE)</x:f>
        <x:v>46309.666666666664</x:v>
      </x:c>
      <x:c r="O2958" s="16" t="n">
        <x:f>MAX(0,(M2958-N2958)*24)</x:f>
        <x:v>21.5166666667792</x:v>
      </x:c>
      <x:c r="P2958" s="9" t="str">
        <x:v>No</x:v>
      </x:c>
      <x:c r="Q2958" s="15" t="n">
        <x:v>26</x:v>
      </x:c>
      <x:c r="R2958" s="13" t="n">
        <x:f>J2958+Q2958/1440</x:f>
        <x:v>46310.56319444445</x:v>
      </x:c>
      <x:c r="S2958" s="2" t="str">
        <x:f>VLOOKUP(C2958,'MES orders'!$A$8:$H$127,6,FALSE)</x:f>
        <x:v>Normal</x:v>
      </x:c>
      <x:c r="T2958" s="9" t="str"/>
    </x:row>
    <x:row r="2959" ht="22" customHeight="1">
      <x:c r="A2959" s="2" t="str">
        <x:v>L00590-030</x:v>
      </x:c>
      <x:c r="B2959" s="2" t="str">
        <x:v>L00590</x:v>
      </x:c>
      <x:c r="C2959" s="2" t="str">
        <x:v>SO-26118</x:v>
      </x:c>
      <x:c r="D2959" s="2" t="str">
        <x:v>R-S-SS</x:v>
      </x:c>
      <x:c r="E2959" s="14" t="n">
        <x:v>10</x:v>
      </x:c>
      <x:c r="F2959" s="2" t="str">
        <x:v>Wash &amp; dry</x:v>
      </x:c>
      <x:c r="G2959" s="9" t="str">
        <x:v>WS-02</x:v>
      </x:c>
      <x:c r="H2959" s="15" t="n">
        <x:v>198</x:v>
      </x:c>
      <x:c r="I2959" s="9" t="str">
        <x:v>P02</x:v>
      </x:c>
      <x:c r="J2959" s="11" t="n">
        <x:v>46310.54513888889</x:v>
      </x:c>
      <x:c r="K2959" s="15" t="n">
        <x:v>12</x:v>
      </x:c>
      <x:c r="L2959" s="15" t="n">
        <x:v>4</x:v>
      </x:c>
      <x:c r="M2959" s="13" t="n">
        <x:f>J2959+(K2959+L2959)/1440</x:f>
        <x:v>46310.55625</x:v>
      </x:c>
      <x:c r="N2959" s="13" t="n">
        <x:f>VLOOKUP(C2959,'MES orders'!$A$8:$H$127,5,FALSE)</x:f>
        <x:v>46309.666666666664</x:v>
      </x:c>
      <x:c r="O2959" s="16" t="n">
        <x:f>MAX(0,(M2959-N2959)*24)</x:f>
        <x:v>21.350000000093132</x:v>
      </x:c>
      <x:c r="P2959" s="9" t="str">
        <x:v>No</x:v>
      </x:c>
      <x:c r="Q2959" s="15" t="n">
        <x:v>16</x:v>
      </x:c>
      <x:c r="R2959" s="13" t="n">
        <x:f>J2959+Q2959/1440</x:f>
        <x:v>46310.55625</x:v>
      </x:c>
      <x:c r="S2959" s="2" t="str">
        <x:f>VLOOKUP(C2959,'MES orders'!$A$8:$H$127,6,FALSE)</x:f>
        <x:v>Normal</x:v>
      </x:c>
      <x:c r="T2959" s="9" t="str"/>
    </x:row>
    <x:row r="2960" ht="22" customHeight="1">
      <x:c r="A2960" s="2" t="str">
        <x:v>L00275-020</x:v>
      </x:c>
      <x:c r="B2960" s="2" t="str">
        <x:v>L00275</x:v>
      </x:c>
      <x:c r="C2960" s="2" t="str">
        <x:v>SO-26055</x:v>
      </x:c>
      <x:c r="D2960" s="2" t="str">
        <x:v>D-C-AL</x:v>
      </x:c>
      <x:c r="E2960" s="14" t="n">
        <x:v>10</x:v>
      </x:c>
      <x:c r="F2960" s="2" t="str">
        <x:v>Deburr &amp; inspect</x:v>
      </x:c>
      <x:c r="G2960" s="9" t="str">
        <x:v>DB-02</x:v>
      </x:c>
      <x:c r="H2960" s="15" t="n">
        <x:v>194</x:v>
      </x:c>
      <x:c r="I2960" s="9" t="str">
        <x:v>P07</x:v>
      </x:c>
      <x:c r="J2960" s="11" t="n">
        <x:v>46310.549305555556</x:v>
      </x:c>
      <x:c r="K2960" s="15" t="n">
        <x:v>4</x:v>
      </x:c>
      <x:c r="L2960" s="15" t="n">
        <x:v>6</x:v>
      </x:c>
      <x:c r="M2960" s="13" t="n">
        <x:f>J2960+(K2960+L2960)/1440</x:f>
        <x:v>46310.55625</x:v>
      </x:c>
      <x:c r="N2960" s="13" t="n">
        <x:f>VLOOKUP(C2960,'MES orders'!$A$8:$H$127,5,FALSE)</x:f>
        <x:v>46310.666666666664</x:v>
      </x:c>
      <x:c r="O2960" s="16" t="n">
        <x:f>MAX(0,(M2960-N2960)*24)</x:f>
        <x:v>0</x:v>
      </x:c>
      <x:c r="P2960" s="9" t="str">
        <x:v>No</x:v>
      </x:c>
      <x:c r="Q2960" s="15" t="n">
        <x:v>10</x:v>
      </x:c>
      <x:c r="R2960" s="13" t="n">
        <x:f>J2960+Q2960/1440</x:f>
        <x:v>46310.55625</x:v>
      </x:c>
      <x:c r="S2960" s="2" t="str">
        <x:f>VLOOKUP(C2960,'MES orders'!$A$8:$H$127,6,FALSE)</x:f>
        <x:v>Normal</x:v>
      </x:c>
      <x:c r="T2960" s="9" t="str"/>
    </x:row>
    <x:row r="2961" ht="22" customHeight="1">
      <x:c r="A2961" s="2" t="str">
        <x:v>L00233-020</x:v>
      </x:c>
      <x:c r="B2961" s="2" t="str">
        <x:v>L00233</x:v>
      </x:c>
      <x:c r="C2961" s="2" t="str">
        <x:v>SO-26047</x:v>
      </x:c>
      <x:c r="D2961" s="2" t="str">
        <x:v>S-L-AL</x:v>
      </x:c>
      <x:c r="E2961" s="14" t="n">
        <x:v>5</x:v>
      </x:c>
      <x:c r="F2961" s="2" t="str">
        <x:v>Deburr &amp; inspect</x:v>
      </x:c>
      <x:c r="G2961" s="9" t="str">
        <x:v>DB-01</x:v>
      </x:c>
      <x:c r="H2961" s="15" t="n">
        <x:v>279</x:v>
      </x:c>
      <x:c r="I2961" s="9" t="str">
        <x:v>P03</x:v>
      </x:c>
      <x:c r="J2961" s="11" t="n">
        <x:v>46310.55</x:v>
      </x:c>
      <x:c r="K2961" s="15" t="n">
        <x:v>4</x:v>
      </x:c>
      <x:c r="L2961" s="15" t="n">
        <x:v>5</x:v>
      </x:c>
      <x:c r="M2961" s="13" t="n">
        <x:f>J2961+(K2961+L2961)/1440</x:f>
        <x:v>46310.55625</x:v>
      </x:c>
      <x:c r="N2961" s="13" t="n">
        <x:f>VLOOKUP(C2961,'MES orders'!$A$8:$H$127,5,FALSE)</x:f>
        <x:v>46310.666666666664</x:v>
      </x:c>
      <x:c r="O2961" s="16" t="n">
        <x:f>MAX(0,(M2961-N2961)*24)</x:f>
        <x:v>0</x:v>
      </x:c>
      <x:c r="P2961" s="9" t="str">
        <x:v>No</x:v>
      </x:c>
      <x:c r="Q2961" s="15" t="n">
        <x:v>9</x:v>
      </x:c>
      <x:c r="R2961" s="13" t="n">
        <x:f>J2961+Q2961/1440</x:f>
        <x:v>46310.55625</x:v>
      </x:c>
      <x:c r="S2961" s="2" t="str">
        <x:f>VLOOKUP(C2961,'MES orders'!$A$8:$H$127,6,FALSE)</x:f>
        <x:v>Urgent</x:v>
      </x:c>
      <x:c r="T2961" s="9" t="str"/>
    </x:row>
    <x:row r="2962" ht="22" customHeight="1">
      <x:c r="A2962" s="2" t="str">
        <x:v>L00546-060</x:v>
      </x:c>
      <x:c r="B2962" s="2" t="str">
        <x:v>L00546</x:v>
      </x:c>
      <x:c r="C2962" s="2" t="str">
        <x:v>SO-26110</x:v>
      </x:c>
      <x:c r="D2962" s="2" t="str">
        <x:v>R-C-SS</x:v>
      </x:c>
      <x:c r="E2962" s="14" t="n">
        <x:v>10</x:v>
      </x:c>
      <x:c r="F2962" s="2" t="str">
        <x:v>Final leak / function test</x:v>
      </x:c>
      <x:c r="G2962" s="9" t="str">
        <x:v>QA-02</x:v>
      </x:c>
      <x:c r="H2962" s="15" t="n">
        <x:v>218</x:v>
      </x:c>
      <x:c r="I2962" s="9" t="str">
        <x:v>P12</x:v>
      </x:c>
      <x:c r="J2962" s="11" t="n">
        <x:v>46310.55138888889</x:v>
      </x:c>
      <x:c r="K2962" s="15" t="n">
        <x:v>10</x:v>
      </x:c>
      <x:c r="L2962" s="15" t="n">
        <x:v>7</x:v>
      </x:c>
      <x:c r="M2962" s="13" t="n">
        <x:f>J2962+(K2962+L2962)/1440</x:f>
        <x:v>46310.56319444445</x:v>
      </x:c>
      <x:c r="N2962" s="13" t="n">
        <x:f>VLOOKUP(C2962,'MES orders'!$A$8:$H$127,5,FALSE)</x:f>
        <x:v>46309.666666666664</x:v>
      </x:c>
      <x:c r="O2962" s="16" t="n">
        <x:f>MAX(0,(M2962-N2962)*24)</x:f>
        <x:v>21.5166666667792</x:v>
      </x:c>
      <x:c r="P2962" s="9" t="str">
        <x:v>No</x:v>
      </x:c>
      <x:c r="Q2962" s="15" t="n">
        <x:v>17</x:v>
      </x:c>
      <x:c r="R2962" s="13" t="n">
        <x:f>J2962+Q2962/1440</x:f>
        <x:v>46310.56319444445</x:v>
      </x:c>
      <x:c r="S2962" s="2" t="str">
        <x:f>VLOOKUP(C2962,'MES orders'!$A$8:$H$127,6,FALSE)</x:f>
        <x:v>Normal</x:v>
      </x:c>
      <x:c r="T2962" s="9" t="str"/>
    </x:row>
    <x:row r="2963" ht="22" customHeight="1">
      <x:c r="A2963" s="2" t="str">
        <x:v>L00547-050</x:v>
      </x:c>
      <x:c r="B2963" s="2" t="str">
        <x:v>L00547</x:v>
      </x:c>
      <x:c r="C2963" s="2" t="str">
        <x:v>SO-26110</x:v>
      </x:c>
      <x:c r="D2963" s="2" t="str">
        <x:v>R-C-SS</x:v>
      </x:c>
      <x:c r="E2963" s="14" t="n">
        <x:v>10</x:v>
      </x:c>
      <x:c r="F2963" s="2" t="str">
        <x:v>Valve adjustment</x:v>
      </x:c>
      <x:c r="G2963" s="9" t="str">
        <x:v>AS-01</x:v>
      </x:c>
      <x:c r="H2963" s="15" t="n">
        <x:v>234</x:v>
      </x:c>
      <x:c r="I2963" s="9" t="str">
        <x:v>P05</x:v>
      </x:c>
      <x:c r="J2963" s="11" t="n">
        <x:v>46310.55625</x:v>
      </x:c>
      <x:c r="K2963" s="15" t="n">
        <x:v>6</x:v>
      </x:c>
      <x:c r="L2963" s="15" t="n">
        <x:v>9</x:v>
      </x:c>
      <x:c r="M2963" s="13" t="n">
        <x:f>J2963+(K2963+L2963)/1440</x:f>
        <x:v>46310.566666666666</x:v>
      </x:c>
      <x:c r="N2963" s="13" t="n">
        <x:f>VLOOKUP(C2963,'MES orders'!$A$8:$H$127,5,FALSE)</x:f>
        <x:v>46309.666666666664</x:v>
      </x:c>
      <x:c r="O2963" s="16" t="n">
        <x:f>MAX(0,(M2963-N2963)*24)</x:f>
        <x:v>21.600000000034925</x:v>
      </x:c>
      <x:c r="P2963" s="9" t="str">
        <x:v>No</x:v>
      </x:c>
      <x:c r="Q2963" s="15" t="n">
        <x:v>15</x:v>
      </x:c>
      <x:c r="R2963" s="13" t="n">
        <x:f>J2963+Q2963/1440</x:f>
        <x:v>46310.566666666666</x:v>
      </x:c>
      <x:c r="S2963" s="2" t="str">
        <x:f>VLOOKUP(C2963,'MES orders'!$A$8:$H$127,6,FALSE)</x:f>
        <x:v>Normal</x:v>
      </x:c>
      <x:c r="T2963" s="9" t="str"/>
    </x:row>
    <x:row r="2964" ht="22" customHeight="1">
      <x:c r="A2964" s="2" t="str">
        <x:v>L00548-050</x:v>
      </x:c>
      <x:c r="B2964" s="2" t="str">
        <x:v>L00548</x:v>
      </x:c>
      <x:c r="C2964" s="2" t="str">
        <x:v>SO-26110</x:v>
      </x:c>
      <x:c r="D2964" s="2" t="str">
        <x:v>R-C-SS</x:v>
      </x:c>
      <x:c r="E2964" s="14" t="n">
        <x:v>10</x:v>
      </x:c>
      <x:c r="F2964" s="2" t="str">
        <x:v>Valve adjustment</x:v>
      </x:c>
      <x:c r="G2964" s="9" t="str">
        <x:v>AS-02</x:v>
      </x:c>
      <x:c r="H2964" s="15" t="n">
        <x:v>190</x:v>
      </x:c>
      <x:c r="I2964" s="9" t="str">
        <x:v>P06</x:v>
      </x:c>
      <x:c r="J2964" s="11" t="n">
        <x:v>46310.55625</x:v>
      </x:c>
      <x:c r="K2964" s="15" t="n">
        <x:v>6</x:v>
      </x:c>
      <x:c r="L2964" s="15" t="n">
        <x:v>9</x:v>
      </x:c>
      <x:c r="M2964" s="13" t="n">
        <x:f>J2964+(K2964+L2964)/1440</x:f>
        <x:v>46310.566666666666</x:v>
      </x:c>
      <x:c r="N2964" s="13" t="n">
        <x:f>VLOOKUP(C2964,'MES orders'!$A$8:$H$127,5,FALSE)</x:f>
        <x:v>46309.666666666664</x:v>
      </x:c>
      <x:c r="O2964" s="16" t="n">
        <x:f>MAX(0,(M2964-N2964)*24)</x:f>
        <x:v>21.600000000034925</x:v>
      </x:c>
      <x:c r="P2964" s="9" t="str">
        <x:v>No</x:v>
      </x:c>
      <x:c r="Q2964" s="15" t="n">
        <x:v>15</x:v>
      </x:c>
      <x:c r="R2964" s="13" t="n">
        <x:f>J2964+Q2964/1440</x:f>
        <x:v>46310.566666666666</x:v>
      </x:c>
      <x:c r="S2964" s="2" t="str">
        <x:f>VLOOKUP(C2964,'MES orders'!$A$8:$H$127,6,FALSE)</x:f>
        <x:v>Normal</x:v>
      </x:c>
      <x:c r="T2964" s="9" t="str"/>
    </x:row>
    <x:row r="2965" ht="22" customHeight="1">
      <x:c r="A2965" s="2" t="str">
        <x:v>L00590-040</x:v>
      </x:c>
      <x:c r="B2965" s="2" t="str">
        <x:v>L00590</x:v>
      </x:c>
      <x:c r="C2965" s="2" t="str">
        <x:v>SO-26118</x:v>
      </x:c>
      <x:c r="D2965" s="2" t="str">
        <x:v>R-S-SS</x:v>
      </x:c>
      <x:c r="E2965" s="14" t="n">
        <x:v>10</x:v>
      </x:c>
      <x:c r="F2965" s="2" t="str">
        <x:v>Mechanical assembly</x:v>
      </x:c>
      <x:c r="G2965" s="9" t="str">
        <x:v>AS-04</x:v>
      </x:c>
      <x:c r="H2965" s="15" t="n">
        <x:v>109</x:v>
      </x:c>
      <x:c r="I2965" s="9" t="str">
        <x:v>P02</x:v>
      </x:c>
      <x:c r="J2965" s="11" t="n">
        <x:v>46310.55625</x:v>
      </x:c>
      <x:c r="K2965" s="15" t="n">
        <x:v>8</x:v>
      </x:c>
      <x:c r="L2965" s="15" t="n">
        <x:v>18</x:v>
      </x:c>
      <x:c r="M2965" s="13" t="n">
        <x:f>J2965+(K2965+L2965)/1440</x:f>
        <x:v>46310.57430555556</x:v>
      </x:c>
      <x:c r="N2965" s="13" t="n">
        <x:f>VLOOKUP(C2965,'MES orders'!$A$8:$H$127,5,FALSE)</x:f>
        <x:v>46309.666666666664</x:v>
      </x:c>
      <x:c r="O2965" s="16" t="n">
        <x:f>MAX(0,(M2965-N2965)*24)</x:f>
        <x:v>21.783333333441988</x:v>
      </x:c>
      <x:c r="P2965" s="9" t="str">
        <x:v>No</x:v>
      </x:c>
      <x:c r="Q2965" s="15" t="n">
        <x:v>26</x:v>
      </x:c>
      <x:c r="R2965" s="13" t="n">
        <x:f>J2965+Q2965/1440</x:f>
        <x:v>46310.57430555556</x:v>
      </x:c>
      <x:c r="S2965" s="2" t="str">
        <x:f>VLOOKUP(C2965,'MES orders'!$A$8:$H$127,6,FALSE)</x:f>
        <x:v>Normal</x:v>
      </x:c>
      <x:c r="T2965" s="9" t="str"/>
    </x:row>
    <x:row r="2966" ht="22" customHeight="1">
      <x:c r="A2966" s="2" t="str">
        <x:v>L00231-030</x:v>
      </x:c>
      <x:c r="B2966" s="2" t="str">
        <x:v>L00231</x:v>
      </x:c>
      <x:c r="C2966" s="2" t="str">
        <x:v>SO-26047</x:v>
      </x:c>
      <x:c r="D2966" s="2" t="str">
        <x:v>S-L-AL</x:v>
      </x:c>
      <x:c r="E2966" s="14" t="n">
        <x:v>5</x:v>
      </x:c>
      <x:c r="F2966" s="2" t="str">
        <x:v>Wash &amp; dry</x:v>
      </x:c>
      <x:c r="G2966" s="9" t="str">
        <x:v>WS-02</x:v>
      </x:c>
      <x:c r="H2966" s="15" t="n">
        <x:v>199</x:v>
      </x:c>
      <x:c r="I2966" s="9" t="str">
        <x:v>P03</x:v>
      </x:c>
      <x:c r="J2966" s="11" t="n">
        <x:v>46310.55625</x:v>
      </x:c>
      <x:c r="K2966" s="15" t="n">
        <x:v>12</x:v>
      </x:c>
      <x:c r="L2966" s="15" t="n">
        <x:v>2</x:v>
      </x:c>
      <x:c r="M2966" s="13" t="n">
        <x:f>J2966+(K2966+L2966)/1440</x:f>
        <x:v>46310.565972222226</x:v>
      </x:c>
      <x:c r="N2966" s="13" t="n">
        <x:f>VLOOKUP(C2966,'MES orders'!$A$8:$H$127,5,FALSE)</x:f>
        <x:v>46310.666666666664</x:v>
      </x:c>
      <x:c r="O2966" s="16" t="n">
        <x:f>MAX(0,(M2966-N2966)*24)</x:f>
        <x:v>0</x:v>
      </x:c>
      <x:c r="P2966" s="9" t="str">
        <x:v>No</x:v>
      </x:c>
      <x:c r="Q2966" s="15" t="n">
        <x:v>14</x:v>
      </x:c>
      <x:c r="R2966" s="13" t="n">
        <x:f>J2966+Q2966/1440</x:f>
        <x:v>46310.565972222226</x:v>
      </x:c>
      <x:c r="S2966" s="2" t="str">
        <x:f>VLOOKUP(C2966,'MES orders'!$A$8:$H$127,6,FALSE)</x:f>
        <x:v>Urgent</x:v>
      </x:c>
      <x:c r="T2966" s="9" t="str"/>
    </x:row>
    <x:row r="2967" ht="22" customHeight="1">
      <x:c r="A2967" s="2" t="str">
        <x:v>L00549-020</x:v>
      </x:c>
      <x:c r="B2967" s="2" t="str">
        <x:v>L00549</x:v>
      </x:c>
      <x:c r="C2967" s="2" t="str">
        <x:v>SO-26110</x:v>
      </x:c>
      <x:c r="D2967" s="2" t="str">
        <x:v>R-C-SS</x:v>
      </x:c>
      <x:c r="E2967" s="14" t="n">
        <x:v>10</x:v>
      </x:c>
      <x:c r="F2967" s="2" t="str">
        <x:v>Deburr &amp; inspect</x:v>
      </x:c>
      <x:c r="G2967" s="9" t="str">
        <x:v>DB-01</x:v>
      </x:c>
      <x:c r="H2967" s="15" t="n">
        <x:v>280</x:v>
      </x:c>
      <x:c r="I2967" s="9" t="str">
        <x:v>P04</x:v>
      </x:c>
      <x:c r="J2967" s="11" t="n">
        <x:v>46310.55763888889</x:v>
      </x:c>
      <x:c r="K2967" s="15" t="n">
        <x:v>4</x:v>
      </x:c>
      <x:c r="L2967" s="15" t="n">
        <x:v>6</x:v>
      </x:c>
      <x:c r="M2967" s="13" t="n">
        <x:f>J2967+(K2967+L2967)/1440</x:f>
        <x:v>46310.56458333333</x:v>
      </x:c>
      <x:c r="N2967" s="13" t="n">
        <x:f>VLOOKUP(C2967,'MES orders'!$A$8:$H$127,5,FALSE)</x:f>
        <x:v>46309.666666666664</x:v>
      </x:c>
      <x:c r="O2967" s="16" t="n">
        <x:f>MAX(0,(M2967-N2967)*24)</x:f>
        <x:v>21.550000000046566</x:v>
      </x:c>
      <x:c r="P2967" s="9" t="str">
        <x:v>No</x:v>
      </x:c>
      <x:c r="Q2967" s="15" t="n">
        <x:v>10</x:v>
      </x:c>
      <x:c r="R2967" s="13" t="n">
        <x:f>J2967+Q2967/1440</x:f>
        <x:v>46310.56458333333</x:v>
      </x:c>
      <x:c r="S2967" s="2" t="str">
        <x:f>VLOOKUP(C2967,'MES orders'!$A$8:$H$127,6,FALSE)</x:f>
        <x:v>Normal</x:v>
      </x:c>
      <x:c r="T2967" s="9" t="str"/>
    </x:row>
    <x:row r="2968" ht="22" customHeight="1">
      <x:c r="A2968" s="2" t="str">
        <x:v>L00589-050</x:v>
      </x:c>
      <x:c r="B2968" s="2" t="str">
        <x:v>L00589</x:v>
      </x:c>
      <x:c r="C2968" s="2" t="str">
        <x:v>SO-26118</x:v>
      </x:c>
      <x:c r="D2968" s="2" t="str">
        <x:v>R-S-SS</x:v>
      </x:c>
      <x:c r="E2968" s="14" t="n">
        <x:v>10</x:v>
      </x:c>
      <x:c r="F2968" s="2" t="str">
        <x:v>Valve adjustment</x:v>
      </x:c>
      <x:c r="G2968" s="9" t="str">
        <x:v>AS-03</x:v>
      </x:c>
      <x:c r="H2968" s="15" t="n">
        <x:v>157</x:v>
      </x:c>
      <x:c r="I2968" s="9" t="str">
        <x:v>P08</x:v>
      </x:c>
      <x:c r="J2968" s="11" t="n">
        <x:v>46310.56319444445</x:v>
      </x:c>
      <x:c r="K2968" s="15" t="n">
        <x:v>6</x:v>
      </x:c>
      <x:c r="L2968" s="15" t="n">
        <x:v>11</x:v>
      </x:c>
      <x:c r="M2968" s="13" t="n">
        <x:f>J2968+(K2968+L2968)/1440</x:f>
        <x:v>46310.575000000004</x:v>
      </x:c>
      <x:c r="N2968" s="13" t="n">
        <x:f>VLOOKUP(C2968,'MES orders'!$A$8:$H$127,5,FALSE)</x:f>
        <x:v>46309.666666666664</x:v>
      </x:c>
      <x:c r="O2968" s="16" t="n">
        <x:f>MAX(0,(M2968-N2968)*24)</x:f>
        <x:v>21.80000000016298</x:v>
      </x:c>
      <x:c r="P2968" s="9" t="str">
        <x:v>No</x:v>
      </x:c>
      <x:c r="Q2968" s="15" t="n">
        <x:v>17</x:v>
      </x:c>
      <x:c r="R2968" s="13" t="n">
        <x:f>J2968+Q2968/1440</x:f>
        <x:v>46310.575000000004</x:v>
      </x:c>
      <x:c r="S2968" s="2" t="str">
        <x:f>VLOOKUP(C2968,'MES orders'!$A$8:$H$127,6,FALSE)</x:f>
        <x:v>Normal</x:v>
      </x:c>
      <x:c r="T2968" s="9" t="str"/>
    </x:row>
    <x:row r="2969" ht="22" customHeight="1">
      <x:c r="A2969" s="2" t="str">
        <x:v>L00549-030</x:v>
      </x:c>
      <x:c r="B2969" s="2" t="str">
        <x:v>L00549</x:v>
      </x:c>
      <x:c r="C2969" s="2" t="str">
        <x:v>SO-26110</x:v>
      </x:c>
      <x:c r="D2969" s="2" t="str">
        <x:v>R-C-SS</x:v>
      </x:c>
      <x:c r="E2969" s="14" t="n">
        <x:v>10</x:v>
      </x:c>
      <x:c r="F2969" s="2" t="str">
        <x:v>Wash &amp; dry</x:v>
      </x:c>
      <x:c r="G2969" s="9" t="str">
        <x:v>WS-01</x:v>
      </x:c>
      <x:c r="H2969" s="15" t="n">
        <x:v>272</x:v>
      </x:c>
      <x:c r="I2969" s="9" t="str">
        <x:v>P04</x:v>
      </x:c>
      <x:c r="J2969" s="11" t="n">
        <x:v>46310.56458333333</x:v>
      </x:c>
      <x:c r="K2969" s="15" t="n">
        <x:v>12</x:v>
      </x:c>
      <x:c r="L2969" s="15" t="n">
        <x:v>3</x:v>
      </x:c>
      <x:c r="M2969" s="13" t="n">
        <x:f>J2969+(K2969+L2969)/1440</x:f>
        <x:v>46310.575</x:v>
      </x:c>
      <x:c r="N2969" s="13" t="n">
        <x:f>VLOOKUP(C2969,'MES orders'!$A$8:$H$127,5,FALSE)</x:f>
        <x:v>46309.666666666664</x:v>
      </x:c>
      <x:c r="O2969" s="16" t="n">
        <x:f>MAX(0,(M2969-N2969)*24)</x:f>
        <x:v>21.79999999998836</x:v>
      </x:c>
      <x:c r="P2969" s="9" t="str">
        <x:v>No</x:v>
      </x:c>
      <x:c r="Q2969" s="15" t="n">
        <x:v>15</x:v>
      </x:c>
      <x:c r="R2969" s="13" t="n">
        <x:f>J2969+Q2969/1440</x:f>
        <x:v>46310.575</x:v>
      </x:c>
      <x:c r="S2969" s="2" t="str">
        <x:f>VLOOKUP(C2969,'MES orders'!$A$8:$H$127,6,FALSE)</x:f>
        <x:v>Normal</x:v>
      </x:c>
      <x:c r="T2969" s="9" t="str"/>
    </x:row>
    <x:row r="2970" ht="22" customHeight="1">
      <x:c r="A2970" s="2" t="str">
        <x:v>L00231-040</x:v>
      </x:c>
      <x:c r="B2970" s="2" t="str">
        <x:v>L00231</x:v>
      </x:c>
      <x:c r="C2970" s="2" t="str">
        <x:v>SO-26047</x:v>
      </x:c>
      <x:c r="D2970" s="2" t="str">
        <x:v>S-L-AL</x:v>
      </x:c>
      <x:c r="E2970" s="14" t="n">
        <x:v>5</x:v>
      </x:c>
      <x:c r="F2970" s="2" t="str">
        <x:v>Mechanical preassembly</x:v>
      </x:c>
      <x:c r="G2970" s="9" t="str">
        <x:v>AS-05</x:v>
      </x:c>
      <x:c r="H2970" s="15" t="n">
        <x:v>59</x:v>
      </x:c>
      <x:c r="I2970" s="9" t="str">
        <x:v>P01</x:v>
      </x:c>
      <x:c r="J2970" s="11" t="n">
        <x:v>46310.56597222222</x:v>
      </x:c>
      <x:c r="K2970" s="15" t="n">
        <x:v>6</x:v>
      </x:c>
      <x:c r="L2970" s="15" t="n">
        <x:v>7</x:v>
      </x:c>
      <x:c r="M2970" s="13" t="n">
        <x:f>J2970+(K2970+L2970)/1440</x:f>
        <x:v>46310.575</x:v>
      </x:c>
      <x:c r="N2970" s="13" t="n">
        <x:f>VLOOKUP(C2970,'MES orders'!$A$8:$H$127,5,FALSE)</x:f>
        <x:v>46310.666666666664</x:v>
      </x:c>
      <x:c r="O2970" s="16" t="n">
        <x:f>MAX(0,(M2970-N2970)*24)</x:f>
        <x:v>0</x:v>
      </x:c>
      <x:c r="P2970" s="9" t="str">
        <x:v>No</x:v>
      </x:c>
      <x:c r="Q2970" s="15" t="n">
        <x:v>13</x:v>
      </x:c>
      <x:c r="R2970" s="13" t="n">
        <x:f>J2970+Q2970/1440</x:f>
        <x:v>46310.575</x:v>
      </x:c>
      <x:c r="S2970" s="2" t="str">
        <x:f>VLOOKUP(C2970,'MES orders'!$A$8:$H$127,6,FALSE)</x:f>
        <x:v>Urgent</x:v>
      </x:c>
      <x:c r="T2970" s="9" t="str"/>
    </x:row>
    <x:row r="2971" ht="22" customHeight="1">
      <x:c r="A2971" s="2" t="str">
        <x:v>L00232-030</x:v>
      </x:c>
      <x:c r="B2971" s="2" t="str">
        <x:v>L00232</x:v>
      </x:c>
      <x:c r="C2971" s="2" t="str">
        <x:v>SO-26047</x:v>
      </x:c>
      <x:c r="D2971" s="2" t="str">
        <x:v>S-L-AL</x:v>
      </x:c>
      <x:c r="E2971" s="14" t="n">
        <x:v>5</x:v>
      </x:c>
      <x:c r="F2971" s="2" t="str">
        <x:v>Wash &amp; dry</x:v>
      </x:c>
      <x:c r="G2971" s="9" t="str">
        <x:v>WS-02</x:v>
      </x:c>
      <x:c r="H2971" s="15" t="n">
        <x:v>200</x:v>
      </x:c>
      <x:c r="I2971" s="9" t="str">
        <x:v>P03</x:v>
      </x:c>
      <x:c r="J2971" s="11" t="n">
        <x:v>46310.56597222222</x:v>
      </x:c>
      <x:c r="K2971" s="15" t="n">
        <x:v>12</x:v>
      </x:c>
      <x:c r="L2971" s="15" t="n">
        <x:v>2</x:v>
      </x:c>
      <x:c r="M2971" s="13" t="n">
        <x:f>J2971+(K2971+L2971)/1440</x:f>
        <x:v>46310.575694444444</x:v>
      </x:c>
      <x:c r="N2971" s="13" t="n">
        <x:f>VLOOKUP(C2971,'MES orders'!$A$8:$H$127,5,FALSE)</x:f>
        <x:v>46310.666666666664</x:v>
      </x:c>
      <x:c r="O2971" s="16" t="n">
        <x:f>MAX(0,(M2971-N2971)*24)</x:f>
        <x:v>0</x:v>
      </x:c>
      <x:c r="P2971" s="9" t="str">
        <x:v>No</x:v>
      </x:c>
      <x:c r="Q2971" s="15" t="n">
        <x:v>14</x:v>
      </x:c>
      <x:c r="R2971" s="13" t="n">
        <x:f>J2971+Q2971/1440</x:f>
        <x:v>46310.575694444444</x:v>
      </x:c>
      <x:c r="S2971" s="2" t="str">
        <x:f>VLOOKUP(C2971,'MES orders'!$A$8:$H$127,6,FALSE)</x:f>
        <x:v>Urgent</x:v>
      </x:c>
      <x:c r="T2971" s="9" t="str"/>
    </x:row>
    <x:row r="2972" ht="22" customHeight="1">
      <x:c r="A2972" s="2" t="str">
        <x:v>L00550-020</x:v>
      </x:c>
      <x:c r="B2972" s="2" t="str">
        <x:v>L00550</x:v>
      </x:c>
      <x:c r="C2972" s="2" t="str">
        <x:v>SO-26110</x:v>
      </x:c>
      <x:c r="D2972" s="2" t="str">
        <x:v>R-C-SS</x:v>
      </x:c>
      <x:c r="E2972" s="14" t="n">
        <x:v>10</x:v>
      </x:c>
      <x:c r="F2972" s="2" t="str">
        <x:v>Deburr &amp; inspect</x:v>
      </x:c>
      <x:c r="G2972" s="9" t="str">
        <x:v>DB-01</x:v>
      </x:c>
      <x:c r="H2972" s="15" t="n">
        <x:v>281</x:v>
      </x:c>
      <x:c r="I2972" s="9" t="str">
        <x:v>P05</x:v>
      </x:c>
      <x:c r="J2972" s="11" t="n">
        <x:v>46310.566666666666</x:v>
      </x:c>
      <x:c r="K2972" s="15" t="n">
        <x:v>4</x:v>
      </x:c>
      <x:c r="L2972" s="15" t="n">
        <x:v>6</x:v>
      </x:c>
      <x:c r="M2972" s="13" t="n">
        <x:f>J2972+(K2972+L2972)/1440</x:f>
        <x:v>46310.57361111111</x:v>
      </x:c>
      <x:c r="N2972" s="13" t="n">
        <x:f>VLOOKUP(C2972,'MES orders'!$A$8:$H$127,5,FALSE)</x:f>
        <x:v>46309.666666666664</x:v>
      </x:c>
      <x:c r="O2972" s="16" t="n">
        <x:f>MAX(0,(M2972-N2972)*24)</x:f>
        <x:v>21.766666666720994</x:v>
      </x:c>
      <x:c r="P2972" s="9" t="str">
        <x:v>No</x:v>
      </x:c>
      <x:c r="Q2972" s="15" t="n">
        <x:v>10</x:v>
      </x:c>
      <x:c r="R2972" s="13" t="n">
        <x:f>J2972+Q2972/1440</x:f>
        <x:v>46310.57361111111</x:v>
      </x:c>
      <x:c r="S2972" s="2" t="str">
        <x:f>VLOOKUP(C2972,'MES orders'!$A$8:$H$127,6,FALSE)</x:f>
        <x:v>Normal</x:v>
      </x:c>
      <x:c r="T2972" s="9" t="str"/>
    </x:row>
    <x:row r="2973" ht="22" customHeight="1">
      <x:c r="A2973" s="2" t="str">
        <x:v>L00586-020</x:v>
      </x:c>
      <x:c r="B2973" s="2" t="str">
        <x:v>L00586</x:v>
      </x:c>
      <x:c r="C2973" s="2" t="str">
        <x:v>SO-26118</x:v>
      </x:c>
      <x:c r="D2973" s="2" t="str">
        <x:v>R-S-SS</x:v>
      </x:c>
      <x:c r="E2973" s="14" t="n">
        <x:v>10</x:v>
      </x:c>
      <x:c r="F2973" s="2" t="str">
        <x:v>Deburr &amp; inspect</x:v>
      </x:c>
      <x:c r="G2973" s="9" t="str">
        <x:v>DB-02</x:v>
      </x:c>
      <x:c r="H2973" s="15" t="n">
        <x:v>195</x:v>
      </x:c>
      <x:c r="I2973" s="9" t="str">
        <x:v>P06</x:v>
      </x:c>
      <x:c r="J2973" s="11" t="n">
        <x:v>46310.566666666666</x:v>
      </x:c>
      <x:c r="K2973" s="15" t="n">
        <x:v>4</x:v>
      </x:c>
      <x:c r="L2973" s="15" t="n">
        <x:v>7</x:v>
      </x:c>
      <x:c r="M2973" s="13" t="n">
        <x:f>J2973+(K2973+L2973)/1440</x:f>
        <x:v>46310.57430555556</x:v>
      </x:c>
      <x:c r="N2973" s="13" t="n">
        <x:f>VLOOKUP(C2973,'MES orders'!$A$8:$H$127,5,FALSE)</x:f>
        <x:v>46309.666666666664</x:v>
      </x:c>
      <x:c r="O2973" s="16" t="n">
        <x:f>MAX(0,(M2973-N2973)*24)</x:f>
        <x:v>21.783333333441988</x:v>
      </x:c>
      <x:c r="P2973" s="9" t="str">
        <x:v>No</x:v>
      </x:c>
      <x:c r="Q2973" s="15" t="n">
        <x:v>11</x:v>
      </x:c>
      <x:c r="R2973" s="13" t="n">
        <x:f>J2973+Q2973/1440</x:f>
        <x:v>46310.57430555556</x:v>
      </x:c>
      <x:c r="S2973" s="2" t="str">
        <x:f>VLOOKUP(C2973,'MES orders'!$A$8:$H$127,6,FALSE)</x:f>
        <x:v>Normal</x:v>
      </x:c>
      <x:c r="T2973" s="9" t="str"/>
    </x:row>
    <x:row r="2974" ht="22" customHeight="1">
      <x:c r="A2974" s="2" t="str">
        <x:v>L00547-060</x:v>
      </x:c>
      <x:c r="B2974" s="2" t="str">
        <x:v>L00547</x:v>
      </x:c>
      <x:c r="C2974" s="2" t="str">
        <x:v>SO-26110</x:v>
      </x:c>
      <x:c r="D2974" s="2" t="str">
        <x:v>R-C-SS</x:v>
      </x:c>
      <x:c r="E2974" s="14" t="n">
        <x:v>10</x:v>
      </x:c>
      <x:c r="F2974" s="2" t="str">
        <x:v>Final leak / function test</x:v>
      </x:c>
      <x:c r="G2974" s="9" t="str">
        <x:v>QA-02</x:v>
      </x:c>
      <x:c r="H2974" s="15" t="n">
        <x:v>219</x:v>
      </x:c>
      <x:c r="I2974" s="9" t="str">
        <x:v>P12</x:v>
      </x:c>
      <x:c r="J2974" s="11" t="n">
        <x:v>46310.566666666666</x:v>
      </x:c>
      <x:c r="K2974" s="15" t="n">
        <x:v>10</x:v>
      </x:c>
      <x:c r="L2974" s="15" t="n">
        <x:v>7</x:v>
      </x:c>
      <x:c r="M2974" s="13" t="n">
        <x:f>J2974+(K2974+L2974)/1440</x:f>
        <x:v>46310.57847222222</x:v>
      </x:c>
      <x:c r="N2974" s="13" t="n">
        <x:f>VLOOKUP(C2974,'MES orders'!$A$8:$H$127,5,FALSE)</x:f>
        <x:v>46309.666666666664</x:v>
      </x:c>
      <x:c r="O2974" s="16" t="n">
        <x:f>MAX(0,(M2974-N2974)*24)</x:f>
        <x:v>21.883333333418705</x:v>
      </x:c>
      <x:c r="P2974" s="9" t="str">
        <x:v>No</x:v>
      </x:c>
      <x:c r="Q2974" s="15" t="n">
        <x:v>17</x:v>
      </x:c>
      <x:c r="R2974" s="13" t="n">
        <x:f>J2974+Q2974/1440</x:f>
        <x:v>46310.57847222222</x:v>
      </x:c>
      <x:c r="S2974" s="2" t="str">
        <x:f>VLOOKUP(C2974,'MES orders'!$A$8:$H$127,6,FALSE)</x:f>
        <x:v>Normal</x:v>
      </x:c>
      <x:c r="T2974" s="9" t="str"/>
    </x:row>
    <x:row r="2975" ht="22" customHeight="1">
      <x:c r="A2975" s="2" t="str">
        <x:v>L00548-060</x:v>
      </x:c>
      <x:c r="B2975" s="2" t="str">
        <x:v>L00548</x:v>
      </x:c>
      <x:c r="C2975" s="2" t="str">
        <x:v>SO-26110</x:v>
      </x:c>
      <x:c r="D2975" s="2" t="str">
        <x:v>R-C-SS</x:v>
      </x:c>
      <x:c r="E2975" s="14" t="n">
        <x:v>10</x:v>
      </x:c>
      <x:c r="F2975" s="2" t="str">
        <x:v>Final leak / function test</x:v>
      </x:c>
      <x:c r="G2975" s="9" t="str">
        <x:v>QA-03</x:v>
      </x:c>
      <x:c r="H2975" s="15" t="n">
        <x:v>131</x:v>
      </x:c>
      <x:c r="I2975" s="9" t="str">
        <x:v>P11</x:v>
      </x:c>
      <x:c r="J2975" s="11" t="n">
        <x:v>46310.56875</x:v>
      </x:c>
      <x:c r="K2975" s="15" t="n">
        <x:v>10</x:v>
      </x:c>
      <x:c r="L2975" s="15" t="n">
        <x:v>7</x:v>
      </x:c>
      <x:c r="M2975" s="13" t="n">
        <x:f>J2975+(K2975+L2975)/1440</x:f>
        <x:v>46310.580555555556</x:v>
      </x:c>
      <x:c r="N2975" s="13" t="n">
        <x:f>VLOOKUP(C2975,'MES orders'!$A$8:$H$127,5,FALSE)</x:f>
        <x:v>46309.666666666664</x:v>
      </x:c>
      <x:c r="O2975" s="16" t="n">
        <x:f>MAX(0,(M2975-N2975)*24)</x:f>
        <x:v>21.933333333407063</x:v>
      </x:c>
      <x:c r="P2975" s="9" t="str">
        <x:v>No</x:v>
      </x:c>
      <x:c r="Q2975" s="15" t="n">
        <x:v>17</x:v>
      </x:c>
      <x:c r="R2975" s="13" t="n">
        <x:f>J2975+Q2975/1440</x:f>
        <x:v>46310.580555555556</x:v>
      </x:c>
      <x:c r="S2975" s="2" t="str">
        <x:f>VLOOKUP(C2975,'MES orders'!$A$8:$H$127,6,FALSE)</x:f>
        <x:v>Normal</x:v>
      </x:c>
      <x:c r="T2975" s="9" t="str"/>
    </x:row>
    <x:row r="2976" ht="22" customHeight="1">
      <x:c r="A2976" s="2" t="str">
        <x:v>L00587-020</x:v>
      </x:c>
      <x:c r="B2976" s="2" t="str">
        <x:v>L00587</x:v>
      </x:c>
      <x:c r="C2976" s="2" t="str">
        <x:v>SO-26118</x:v>
      </x:c>
      <x:c r="D2976" s="2" t="str">
        <x:v>R-S-SS</x:v>
      </x:c>
      <x:c r="E2976" s="14" t="n">
        <x:v>10</x:v>
      </x:c>
      <x:c r="F2976" s="2" t="str">
        <x:v>Deburr &amp; inspect</x:v>
      </x:c>
      <x:c r="G2976" s="9" t="str">
        <x:v>DB-01</x:v>
      </x:c>
      <x:c r="H2976" s="15" t="n">
        <x:v>282</x:v>
      </x:c>
      <x:c r="I2976" s="9" t="str">
        <x:v>P05</x:v>
      </x:c>
      <x:c r="J2976" s="11" t="n">
        <x:v>46310.57361111111</x:v>
      </x:c>
      <x:c r="K2976" s="15" t="n">
        <x:v>4</x:v>
      </x:c>
      <x:c r="L2976" s="15" t="n">
        <x:v>7</x:v>
      </x:c>
      <x:c r="M2976" s="13" t="n">
        <x:f>J2976+(K2976+L2976)/1440</x:f>
        <x:v>46310.58125</x:v>
      </x:c>
      <x:c r="N2976" s="13" t="n">
        <x:f>VLOOKUP(C2976,'MES orders'!$A$8:$H$127,5,FALSE)</x:f>
        <x:v>46309.666666666664</x:v>
      </x:c>
      <x:c r="O2976" s="16" t="n">
        <x:f>MAX(0,(M2976-N2976)*24)</x:f>
        <x:v>21.950000000128057</x:v>
      </x:c>
      <x:c r="P2976" s="9" t="str">
        <x:v>No</x:v>
      </x:c>
      <x:c r="Q2976" s="15" t="n">
        <x:v>11</x:v>
      </x:c>
      <x:c r="R2976" s="13" t="n">
        <x:f>J2976+Q2976/1440</x:f>
        <x:v>46310.58125</x:v>
      </x:c>
      <x:c r="S2976" s="2" t="str">
        <x:f>VLOOKUP(C2976,'MES orders'!$A$8:$H$127,6,FALSE)</x:f>
        <x:v>Normal</x:v>
      </x:c>
      <x:c r="T2976" s="9" t="str"/>
    </x:row>
    <x:row r="2977" ht="22" customHeight="1">
      <x:c r="A2977" s="2" t="str">
        <x:v>L00588-020</x:v>
      </x:c>
      <x:c r="B2977" s="2" t="str">
        <x:v>L00588</x:v>
      </x:c>
      <x:c r="C2977" s="2" t="str">
        <x:v>SO-26118</x:v>
      </x:c>
      <x:c r="D2977" s="2" t="str">
        <x:v>R-S-SS</x:v>
      </x:c>
      <x:c r="E2977" s="14" t="n">
        <x:v>10</x:v>
      </x:c>
      <x:c r="F2977" s="2" t="str">
        <x:v>Deburr &amp; inspect</x:v>
      </x:c>
      <x:c r="G2977" s="9" t="str">
        <x:v>DB-02</x:v>
      </x:c>
      <x:c r="H2977" s="15" t="n">
        <x:v>196</x:v>
      </x:c>
      <x:c r="I2977" s="9" t="str">
        <x:v>P06</x:v>
      </x:c>
      <x:c r="J2977" s="11" t="n">
        <x:v>46310.57430555556</x:v>
      </x:c>
      <x:c r="K2977" s="15" t="n">
        <x:v>4</x:v>
      </x:c>
      <x:c r="L2977" s="15" t="n">
        <x:v>7</x:v>
      </x:c>
      <x:c r="M2977" s="13" t="n">
        <x:f>J2977+(K2977+L2977)/1440</x:f>
        <x:v>46310.58194444445</x:v>
      </x:c>
      <x:c r="N2977" s="13" t="n">
        <x:f>VLOOKUP(C2977,'MES orders'!$A$8:$H$127,5,FALSE)</x:f>
        <x:v>46309.666666666664</x:v>
      </x:c>
      <x:c r="O2977" s="16" t="n">
        <x:f>MAX(0,(M2977-N2977)*24)</x:f>
        <x:v>21.96666666684905</x:v>
      </x:c>
      <x:c r="P2977" s="9" t="str">
        <x:v>No</x:v>
      </x:c>
      <x:c r="Q2977" s="15" t="n">
        <x:v>11</x:v>
      </x:c>
      <x:c r="R2977" s="13" t="n">
        <x:f>J2977+Q2977/1440</x:f>
        <x:v>46310.58194444445</x:v>
      </x:c>
      <x:c r="S2977" s="2" t="str">
        <x:f>VLOOKUP(C2977,'MES orders'!$A$8:$H$127,6,FALSE)</x:f>
        <x:v>Normal</x:v>
      </x:c>
      <x:c r="T2977" s="9" t="str"/>
    </x:row>
    <x:row r="2978" ht="22" customHeight="1">
      <x:c r="A2978" s="2" t="str">
        <x:v>L00509-040</x:v>
      </x:c>
      <x:c r="B2978" s="2" t="str">
        <x:v>L00509</x:v>
      </x:c>
      <x:c r="C2978" s="2" t="str">
        <x:v>SO-26102</x:v>
      </x:c>
      <x:c r="D2978" s="2" t="str">
        <x:v>D-L-SS</x:v>
      </x:c>
      <x:c r="E2978" s="14" t="n">
        <x:v>25</x:v>
      </x:c>
      <x:c r="F2978" s="2" t="str">
        <x:v>Mechanical assembly</x:v>
      </x:c>
      <x:c r="G2978" s="9" t="str">
        <x:v>AS-01</x:v>
      </x:c>
      <x:c r="H2978" s="15" t="n">
        <x:v>235</x:v>
      </x:c>
      <x:c r="I2978" s="9" t="str">
        <x:v>P16</x:v>
      </x:c>
      <x:c r="J2978" s="11" t="n">
        <x:v>46310.583333333336</x:v>
      </x:c>
      <x:c r="K2978" s="15" t="n">
        <x:v>8</x:v>
      </x:c>
      <x:c r="L2978" s="15" t="n">
        <x:v>61</x:v>
      </x:c>
      <x:c r="M2978" s="13" t="n">
        <x:f>J2978+(K2978+L2978)/1440</x:f>
        <x:v>46310.631250000006</x:v>
      </x:c>
      <x:c r="N2978" s="13" t="n">
        <x:f>VLOOKUP(C2978,'MES orders'!$A$8:$H$127,5,FALSE)</x:f>
        <x:v>46309.666666666664</x:v>
      </x:c>
      <x:c r="O2978" s="16" t="n">
        <x:f>MAX(0,(M2978-N2978)*24)</x:f>
        <x:v>23.150000000197906</x:v>
      </x:c>
      <x:c r="P2978" s="9" t="str">
        <x:v>No</x:v>
      </x:c>
      <x:c r="Q2978" s="15" t="n">
        <x:v>69</x:v>
      </x:c>
      <x:c r="R2978" s="13" t="n">
        <x:f>J2978+Q2978/1440</x:f>
        <x:v>46310.631250000006</x:v>
      </x:c>
      <x:c r="S2978" s="2" t="str">
        <x:f>VLOOKUP(C2978,'MES orders'!$A$8:$H$127,6,FALSE)</x:f>
        <x:v>Normal</x:v>
      </x:c>
      <x:c r="T2978" s="9" t="str"/>
    </x:row>
    <x:row r="2979" ht="22" customHeight="1">
      <x:c r="A2979" s="2" t="str">
        <x:v>L00510-040</x:v>
      </x:c>
      <x:c r="B2979" s="2" t="str">
        <x:v>L00510</x:v>
      </x:c>
      <x:c r="C2979" s="2" t="str">
        <x:v>SO-26102</x:v>
      </x:c>
      <x:c r="D2979" s="2" t="str">
        <x:v>D-L-SS</x:v>
      </x:c>
      <x:c r="E2979" s="14" t="n">
        <x:v>25</x:v>
      </x:c>
      <x:c r="F2979" s="2" t="str">
        <x:v>Mechanical assembly</x:v>
      </x:c>
      <x:c r="G2979" s="9" t="str">
        <x:v>AS-02</x:v>
      </x:c>
      <x:c r="H2979" s="15" t="n">
        <x:v>191</x:v>
      </x:c>
      <x:c r="I2979" s="9" t="str">
        <x:v>P17</x:v>
      </x:c>
      <x:c r="J2979" s="11" t="n">
        <x:v>46310.583333333336</x:v>
      </x:c>
      <x:c r="K2979" s="15" t="n">
        <x:v>8</x:v>
      </x:c>
      <x:c r="L2979" s="15" t="n">
        <x:v>61</x:v>
      </x:c>
      <x:c r="M2979" s="13" t="n">
        <x:f>J2979+(K2979+L2979)/1440</x:f>
        <x:v>46310.631250000006</x:v>
      </x:c>
      <x:c r="N2979" s="13" t="n">
        <x:f>VLOOKUP(C2979,'MES orders'!$A$8:$H$127,5,FALSE)</x:f>
        <x:v>46309.666666666664</x:v>
      </x:c>
      <x:c r="O2979" s="16" t="n">
        <x:f>MAX(0,(M2979-N2979)*24)</x:f>
        <x:v>23.150000000197906</x:v>
      </x:c>
      <x:c r="P2979" s="9" t="str">
        <x:v>No</x:v>
      </x:c>
      <x:c r="Q2979" s="15" t="n">
        <x:v>69</x:v>
      </x:c>
      <x:c r="R2979" s="13" t="n">
        <x:f>J2979+Q2979/1440</x:f>
        <x:v>46310.631250000006</x:v>
      </x:c>
      <x:c r="S2979" s="2" t="str">
        <x:f>VLOOKUP(C2979,'MES orders'!$A$8:$H$127,6,FALSE)</x:f>
        <x:v>Normal</x:v>
      </x:c>
      <x:c r="T2979" s="9" t="str"/>
    </x:row>
    <x:row r="2980" ht="22" customHeight="1">
      <x:c r="A2980" s="2" t="str">
        <x:v>L00549-040</x:v>
      </x:c>
      <x:c r="B2980" s="2" t="str">
        <x:v>L00549</x:v>
      </x:c>
      <x:c r="C2980" s="2" t="str">
        <x:v>SO-26110</x:v>
      </x:c>
      <x:c r="D2980" s="2" t="str">
        <x:v>R-C-SS</x:v>
      </x:c>
      <x:c r="E2980" s="14" t="n">
        <x:v>10</x:v>
      </x:c>
      <x:c r="F2980" s="2" t="str">
        <x:v>Mechanical assembly</x:v>
      </x:c>
      <x:c r="G2980" s="9" t="str">
        <x:v>AS-03</x:v>
      </x:c>
      <x:c r="H2980" s="15" t="n">
        <x:v>158</x:v>
      </x:c>
      <x:c r="I2980" s="9" t="str">
        <x:v>P18</x:v>
      </x:c>
      <x:c r="J2980" s="11" t="n">
        <x:v>46310.583333333336</x:v>
      </x:c>
      <x:c r="K2980" s="15" t="n">
        <x:v>8</x:v>
      </x:c>
      <x:c r="L2980" s="15" t="n">
        <x:v>14</x:v>
      </x:c>
      <x:c r="M2980" s="13" t="n">
        <x:f>J2980+(K2980+L2980)/1440</x:f>
        <x:v>46310.59861111111</x:v>
      </x:c>
      <x:c r="N2980" s="13" t="n">
        <x:f>VLOOKUP(C2980,'MES orders'!$A$8:$H$127,5,FALSE)</x:f>
        <x:v>46309.666666666664</x:v>
      </x:c>
      <x:c r="O2980" s="16" t="n">
        <x:f>MAX(0,(M2980-N2980)*24)</x:f>
        <x:v>22.36666666675592</x:v>
      </x:c>
      <x:c r="P2980" s="9" t="str">
        <x:v>No</x:v>
      </x:c>
      <x:c r="Q2980" s="15" t="n">
        <x:v>22</x:v>
      </x:c>
      <x:c r="R2980" s="13" t="n">
        <x:f>J2980+Q2980/1440</x:f>
        <x:v>46310.59861111111</x:v>
      </x:c>
      <x:c r="S2980" s="2" t="str">
        <x:f>VLOOKUP(C2980,'MES orders'!$A$8:$H$127,6,FALSE)</x:f>
        <x:v>Normal</x:v>
      </x:c>
      <x:c r="T2980" s="9" t="str"/>
    </x:row>
    <x:row r="2981" ht="22" customHeight="1">
      <x:c r="A2981" s="2" t="str">
        <x:v>L00590-050</x:v>
      </x:c>
      <x:c r="B2981" s="2" t="str">
        <x:v>L00590</x:v>
      </x:c>
      <x:c r="C2981" s="2" t="str">
        <x:v>SO-26118</x:v>
      </x:c>
      <x:c r="D2981" s="2" t="str">
        <x:v>R-S-SS</x:v>
      </x:c>
      <x:c r="E2981" s="14" t="n">
        <x:v>10</x:v>
      </x:c>
      <x:c r="F2981" s="2" t="str">
        <x:v>Valve adjustment</x:v>
      </x:c>
      <x:c r="G2981" s="9" t="str">
        <x:v>AS-04</x:v>
      </x:c>
      <x:c r="H2981" s="15" t="n">
        <x:v>110</x:v>
      </x:c>
      <x:c r="I2981" s="9" t="str">
        <x:v>P20</x:v>
      </x:c>
      <x:c r="J2981" s="11" t="n">
        <x:v>46310.583333333336</x:v>
      </x:c>
      <x:c r="K2981" s="15" t="n">
        <x:v>6</x:v>
      </x:c>
      <x:c r="L2981" s="15" t="n">
        <x:v>11</x:v>
      </x:c>
      <x:c r="M2981" s="13" t="n">
        <x:f>J2981+(K2981+L2981)/1440</x:f>
        <x:v>46310.59513888889</x:v>
      </x:c>
      <x:c r="N2981" s="13" t="n">
        <x:f>VLOOKUP(C2981,'MES orders'!$A$8:$H$127,5,FALSE)</x:f>
        <x:v>46309.666666666664</x:v>
      </x:c>
      <x:c r="O2981" s="16" t="n">
        <x:f>MAX(0,(M2981-N2981)*24)</x:f>
        <x:v>22.283333333500195</x:v>
      </x:c>
      <x:c r="P2981" s="9" t="str">
        <x:v>No</x:v>
      </x:c>
      <x:c r="Q2981" s="15" t="n">
        <x:v>17</x:v>
      </x:c>
      <x:c r="R2981" s="13" t="n">
        <x:f>J2981+Q2981/1440</x:f>
        <x:v>46310.59513888889</x:v>
      </x:c>
      <x:c r="S2981" s="2" t="str">
        <x:f>VLOOKUP(C2981,'MES orders'!$A$8:$H$127,6,FALSE)</x:f>
        <x:v>Normal</x:v>
      </x:c>
      <x:c r="T2981" s="9" t="str"/>
    </x:row>
    <x:row r="2982" ht="22" customHeight="1">
      <x:c r="A2982" s="2" t="str">
        <x:v>L00232-040</x:v>
      </x:c>
      <x:c r="B2982" s="2" t="str">
        <x:v>L00232</x:v>
      </x:c>
      <x:c r="C2982" s="2" t="str">
        <x:v>SO-26047</x:v>
      </x:c>
      <x:c r="D2982" s="2" t="str">
        <x:v>S-L-AL</x:v>
      </x:c>
      <x:c r="E2982" s="14" t="n">
        <x:v>5</x:v>
      </x:c>
      <x:c r="F2982" s="2" t="str">
        <x:v>Mechanical preassembly</x:v>
      </x:c>
      <x:c r="G2982" s="9" t="str">
        <x:v>AS-05</x:v>
      </x:c>
      <x:c r="H2982" s="15" t="n">
        <x:v>60</x:v>
      </x:c>
      <x:c r="I2982" s="9" t="str">
        <x:v>P13</x:v>
      </x:c>
      <x:c r="J2982" s="11" t="n">
        <x:v>46310.583333333336</x:v>
      </x:c>
      <x:c r="K2982" s="15" t="n">
        <x:v>6</x:v>
      </x:c>
      <x:c r="L2982" s="15" t="n">
        <x:v>7</x:v>
      </x:c>
      <x:c r="M2982" s="13" t="n">
        <x:f>J2982+(K2982+L2982)/1440</x:f>
        <x:v>46310.592361111114</x:v>
      </x:c>
      <x:c r="N2982" s="13" t="n">
        <x:f>VLOOKUP(C2982,'MES orders'!$A$8:$H$127,5,FALSE)</x:f>
        <x:v>46310.666666666664</x:v>
      </x:c>
      <x:c r="O2982" s="16" t="n">
        <x:f>MAX(0,(M2982-N2982)*24)</x:f>
        <x:v>0</x:v>
      </x:c>
      <x:c r="P2982" s="9" t="str">
        <x:v>No</x:v>
      </x:c>
      <x:c r="Q2982" s="15" t="n">
        <x:v>13</x:v>
      </x:c>
      <x:c r="R2982" s="13" t="n">
        <x:f>J2982+Q2982/1440</x:f>
        <x:v>46310.592361111114</x:v>
      </x:c>
      <x:c r="S2982" s="2" t="str">
        <x:f>VLOOKUP(C2982,'MES orders'!$A$8:$H$127,6,FALSE)</x:f>
        <x:v>Urgent</x:v>
      </x:c>
      <x:c r="T2982" s="9" t="str"/>
    </x:row>
    <x:row r="2983" ht="22" customHeight="1">
      <x:c r="A2983" s="2" t="str">
        <x:v>L00234-010</x:v>
      </x:c>
      <x:c r="B2983" s="2" t="str">
        <x:v>L00234</x:v>
      </x:c>
      <x:c r="C2983" s="2" t="str">
        <x:v>SO-26047</x:v>
      </x:c>
      <x:c r="D2983" s="2" t="str">
        <x:v>S-L-AL</x:v>
      </x:c>
      <x:c r="E2983" s="14" t="n">
        <x:v>5</x:v>
      </x:c>
      <x:c r="F2983" s="2" t="str">
        <x:v>CNC machining</x:v>
      </x:c>
      <x:c r="G2983" s="9" t="str">
        <x:v>CNC-03</x:v>
      </x:c>
      <x:c r="H2983" s="15" t="n">
        <x:v>95</x:v>
      </x:c>
      <x:c r="I2983" s="9" t="str">
        <x:v>P15</x:v>
      </x:c>
      <x:c r="J2983" s="11" t="n">
        <x:v>46310.583333333336</x:v>
      </x:c>
      <x:c r="K2983" s="15" t="n">
        <x:v>18</x:v>
      </x:c>
      <x:c r="L2983" s="15" t="n">
        <x:v>16</x:v>
      </x:c>
      <x:c r="M2983" s="13" t="n">
        <x:f>J2983+(K2983+L2983)/1440</x:f>
        <x:v>46310.606944444444</x:v>
      </x:c>
      <x:c r="N2983" s="13" t="n">
        <x:f>VLOOKUP(C2983,'MES orders'!$A$8:$H$127,5,FALSE)</x:f>
        <x:v>46310.666666666664</x:v>
      </x:c>
      <x:c r="O2983" s="16" t="n">
        <x:f>MAX(0,(M2983-N2983)*24)</x:f>
        <x:v>0</x:v>
      </x:c>
      <x:c r="P2983" s="9" t="str">
        <x:v>No</x:v>
      </x:c>
      <x:c r="Q2983" s="15" t="n">
        <x:v>18</x:v>
      </x:c>
      <x:c r="R2983" s="13" t="n">
        <x:f>J2983+Q2983/1440</x:f>
        <x:v>46310.59583333333</x:v>
      </x:c>
      <x:c r="S2983" s="2" t="str">
        <x:f>VLOOKUP(C2983,'MES orders'!$A$8:$H$127,6,FALSE)</x:f>
        <x:v>Urgent</x:v>
      </x:c>
      <x:c r="T2983" s="9" t="str"/>
    </x:row>
    <x:row r="2984" ht="22" customHeight="1">
      <x:c r="A2984" s="2" t="str">
        <x:v>L00231-050</x:v>
      </x:c>
      <x:c r="B2984" s="2" t="str">
        <x:v>L00231</x:v>
      </x:c>
      <x:c r="C2984" s="2" t="str">
        <x:v>SO-26047</x:v>
      </x:c>
      <x:c r="D2984" s="2" t="str">
        <x:v>S-L-AL</x:v>
      </x:c>
      <x:c r="E2984" s="14" t="n">
        <x:v>5</x:v>
      </x:c>
      <x:c r="F2984" s="2" t="str">
        <x:v>Sensor installation</x:v>
      </x:c>
      <x:c r="G2984" s="9" t="str">
        <x:v>EL-01</x:v>
      </x:c>
      <x:c r="H2984" s="15" t="n">
        <x:v>102</x:v>
      </x:c>
      <x:c r="I2984" s="9" t="str">
        <x:v>P19</x:v>
      </x:c>
      <x:c r="J2984" s="11" t="n">
        <x:v>46310.583333333336</x:v>
      </x:c>
      <x:c r="K2984" s="15" t="n">
        <x:v>8</x:v>
      </x:c>
      <x:c r="L2984" s="15" t="n">
        <x:v>8</x:v>
      </x:c>
      <x:c r="M2984" s="13" t="n">
        <x:f>J2984+(K2984+L2984)/1440</x:f>
        <x:v>46310.59444444445</x:v>
      </x:c>
      <x:c r="N2984" s="13" t="n">
        <x:f>VLOOKUP(C2984,'MES orders'!$A$8:$H$127,5,FALSE)</x:f>
        <x:v>46310.666666666664</x:v>
      </x:c>
      <x:c r="O2984" s="16" t="n">
        <x:f>MAX(0,(M2984-N2984)*24)</x:f>
        <x:v>0</x:v>
      </x:c>
      <x:c r="P2984" s="9" t="str">
        <x:v>No</x:v>
      </x:c>
      <x:c r="Q2984" s="15" t="n">
        <x:v>16</x:v>
      </x:c>
      <x:c r="R2984" s="13" t="n">
        <x:f>J2984+Q2984/1440</x:f>
        <x:v>46310.59444444445</x:v>
      </x:c>
      <x:c r="S2984" s="2" t="str">
        <x:f>VLOOKUP(C2984,'MES orders'!$A$8:$H$127,6,FALSE)</x:f>
        <x:v>Urgent</x:v>
      </x:c>
      <x:c r="T2984" s="9" t="str"/>
    </x:row>
    <x:row r="2985" ht="22" customHeight="1">
      <x:c r="A2985" s="2" t="str">
        <x:v>L00589-060</x:v>
      </x:c>
      <x:c r="B2985" s="2" t="str">
        <x:v>L00589</x:v>
      </x:c>
      <x:c r="C2985" s="2" t="str">
        <x:v>SO-26118</x:v>
      </x:c>
      <x:c r="D2985" s="2" t="str">
        <x:v>R-S-SS</x:v>
      </x:c>
      <x:c r="E2985" s="14" t="n">
        <x:v>10</x:v>
      </x:c>
      <x:c r="F2985" s="2" t="str">
        <x:v>Final leak / function test</x:v>
      </x:c>
      <x:c r="G2985" s="9" t="str">
        <x:v>QA-02</x:v>
      </x:c>
      <x:c r="H2985" s="15" t="n">
        <x:v>220</x:v>
      </x:c>
      <x:c r="I2985" s="9" t="str">
        <x:v>P23</x:v>
      </x:c>
      <x:c r="J2985" s="11" t="n">
        <x:v>46310.583333333336</x:v>
      </x:c>
      <x:c r="K2985" s="15" t="n">
        <x:v>10</x:v>
      </x:c>
      <x:c r="L2985" s="15" t="n">
        <x:v>9</x:v>
      </x:c>
      <x:c r="M2985" s="13" t="n">
        <x:f>J2985+(K2985+L2985)/1440</x:f>
        <x:v>46310.59652777778</x:v>
      </x:c>
      <x:c r="N2985" s="13" t="n">
        <x:f>VLOOKUP(C2985,'MES orders'!$A$8:$H$127,5,FALSE)</x:f>
        <x:v>46309.666666666664</x:v>
      </x:c>
      <x:c r="O2985" s="16" t="n">
        <x:f>MAX(0,(M2985-N2985)*24)</x:f>
        <x:v>22.31666666676756</x:v>
      </x:c>
      <x:c r="P2985" s="9" t="str">
        <x:v>No</x:v>
      </x:c>
      <x:c r="Q2985" s="15" t="n">
        <x:v>19</x:v>
      </x:c>
      <x:c r="R2985" s="13" t="n">
        <x:f>J2985+Q2985/1440</x:f>
        <x:v>46310.59652777778</x:v>
      </x:c>
      <x:c r="S2985" s="2" t="str">
        <x:f>VLOOKUP(C2985,'MES orders'!$A$8:$H$127,6,FALSE)</x:f>
        <x:v>Normal</x:v>
      </x:c>
      <x:c r="T2985" s="9" t="str"/>
    </x:row>
    <x:row r="2986" ht="22" customHeight="1">
      <x:c r="A2986" s="2" t="str">
        <x:v>L00233-030</x:v>
      </x:c>
      <x:c r="B2986" s="2" t="str">
        <x:v>L00233</x:v>
      </x:c>
      <x:c r="C2986" s="2" t="str">
        <x:v>SO-26047</x:v>
      </x:c>
      <x:c r="D2986" s="2" t="str">
        <x:v>S-L-AL</x:v>
      </x:c>
      <x:c r="E2986" s="14" t="n">
        <x:v>5</x:v>
      </x:c>
      <x:c r="F2986" s="2" t="str">
        <x:v>Wash &amp; dry</x:v>
      </x:c>
      <x:c r="G2986" s="9" t="str">
        <x:v>WS-01</x:v>
      </x:c>
      <x:c r="H2986" s="15" t="n">
        <x:v>273</x:v>
      </x:c>
      <x:c r="I2986" s="9" t="str">
        <x:v>P14</x:v>
      </x:c>
      <x:c r="J2986" s="11" t="n">
        <x:v>46310.583333333336</x:v>
      </x:c>
      <x:c r="K2986" s="15" t="n">
        <x:v>12</x:v>
      </x:c>
      <x:c r="L2986" s="15" t="n">
        <x:v>2</x:v>
      </x:c>
      <x:c r="M2986" s="13" t="n">
        <x:f>J2986+(K2986+L2986)/1440</x:f>
        <x:v>46310.59305555556</x:v>
      </x:c>
      <x:c r="N2986" s="13" t="n">
        <x:f>VLOOKUP(C2986,'MES orders'!$A$8:$H$127,5,FALSE)</x:f>
        <x:v>46310.666666666664</x:v>
      </x:c>
      <x:c r="O2986" s="16" t="n">
        <x:f>MAX(0,(M2986-N2986)*24)</x:f>
        <x:v>0</x:v>
      </x:c>
      <x:c r="P2986" s="9" t="str">
        <x:v>No</x:v>
      </x:c>
      <x:c r="Q2986" s="15" t="n">
        <x:v>14</x:v>
      </x:c>
      <x:c r="R2986" s="13" t="n">
        <x:f>J2986+Q2986/1440</x:f>
        <x:v>46310.59305555556</x:v>
      </x:c>
      <x:c r="S2986" s="2" t="str">
        <x:f>VLOOKUP(C2986,'MES orders'!$A$8:$H$127,6,FALSE)</x:f>
        <x:v>Urgent</x:v>
      </x:c>
      <x:c r="T2986" s="9" t="str"/>
    </x:row>
    <x:row r="2987" ht="22" customHeight="1">
      <x:c r="A2987" s="2" t="str">
        <x:v>L00275-030</x:v>
      </x:c>
      <x:c r="B2987" s="2" t="str">
        <x:v>L00275</x:v>
      </x:c>
      <x:c r="C2987" s="2" t="str">
        <x:v>SO-26055</x:v>
      </x:c>
      <x:c r="D2987" s="2" t="str">
        <x:v>D-C-AL</x:v>
      </x:c>
      <x:c r="E2987" s="14" t="n">
        <x:v>10</x:v>
      </x:c>
      <x:c r="F2987" s="2" t="str">
        <x:v>Wash &amp; dry</x:v>
      </x:c>
      <x:c r="G2987" s="9" t="str">
        <x:v>WS-02</x:v>
      </x:c>
      <x:c r="H2987" s="15" t="n">
        <x:v>201</x:v>
      </x:c>
      <x:c r="I2987" s="9" t="str">
        <x:v>P24</x:v>
      </x:c>
      <x:c r="J2987" s="11" t="n">
        <x:v>46310.583333333336</x:v>
      </x:c>
      <x:c r="K2987" s="15" t="n">
        <x:v>12</x:v>
      </x:c>
      <x:c r="L2987" s="15" t="n">
        <x:v>3</x:v>
      </x:c>
      <x:c r="M2987" s="13" t="n">
        <x:f>J2987+(K2987+L2987)/1440</x:f>
        <x:v>46310.59375</x:v>
      </x:c>
      <x:c r="N2987" s="13" t="n">
        <x:f>VLOOKUP(C2987,'MES orders'!$A$8:$H$127,5,FALSE)</x:f>
        <x:v>46310.666666666664</x:v>
      </x:c>
      <x:c r="O2987" s="16" t="n">
        <x:f>MAX(0,(M2987-N2987)*24)</x:f>
        <x:v>0</x:v>
      </x:c>
      <x:c r="P2987" s="9" t="str">
        <x:v>No</x:v>
      </x:c>
      <x:c r="Q2987" s="15" t="n">
        <x:v>15</x:v>
      </x:c>
      <x:c r="R2987" s="13" t="n">
        <x:f>J2987+Q2987/1440</x:f>
        <x:v>46310.59375</x:v>
      </x:c>
      <x:c r="S2987" s="2" t="str">
        <x:f>VLOOKUP(C2987,'MES orders'!$A$8:$H$127,6,FALSE)</x:f>
        <x:v>Normal</x:v>
      </x:c>
      <x:c r="T2987" s="9" t="str"/>
    </x:row>
    <x:row r="2988" ht="22" customHeight="1">
      <x:c r="A2988" s="2" t="str">
        <x:v>L00233-040</x:v>
      </x:c>
      <x:c r="B2988" s="2" t="str">
        <x:v>L00233</x:v>
      </x:c>
      <x:c r="C2988" s="2" t="str">
        <x:v>SO-26047</x:v>
      </x:c>
      <x:c r="D2988" s="2" t="str">
        <x:v>S-L-AL</x:v>
      </x:c>
      <x:c r="E2988" s="14" t="n">
        <x:v>5</x:v>
      </x:c>
      <x:c r="F2988" s="2" t="str">
        <x:v>Mechanical preassembly</x:v>
      </x:c>
      <x:c r="G2988" s="9" t="str">
        <x:v>AS-05</x:v>
      </x:c>
      <x:c r="H2988" s="15" t="n">
        <x:v>61</x:v>
      </x:c>
      <x:c r="I2988" s="9" t="str">
        <x:v>P13</x:v>
      </x:c>
      <x:c r="J2988" s="11" t="n">
        <x:v>46310.59305555555</x:v>
      </x:c>
      <x:c r="K2988" s="15" t="n">
        <x:v>6</x:v>
      </x:c>
      <x:c r="L2988" s="15" t="n">
        <x:v>7</x:v>
      </x:c>
      <x:c r="M2988" s="13" t="n">
        <x:f>J2988+(K2988+L2988)/1440</x:f>
        <x:v>46310.60208333333</x:v>
      </x:c>
      <x:c r="N2988" s="13" t="n">
        <x:f>VLOOKUP(C2988,'MES orders'!$A$8:$H$127,5,FALSE)</x:f>
        <x:v>46310.666666666664</x:v>
      </x:c>
      <x:c r="O2988" s="16" t="n">
        <x:f>MAX(0,(M2988-N2988)*24)</x:f>
        <x:v>0</x:v>
      </x:c>
      <x:c r="P2988" s="9" t="str">
        <x:v>No</x:v>
      </x:c>
      <x:c r="Q2988" s="15" t="n">
        <x:v>13</x:v>
      </x:c>
      <x:c r="R2988" s="13" t="n">
        <x:f>J2988+Q2988/1440</x:f>
        <x:v>46310.60208333333</x:v>
      </x:c>
      <x:c r="S2988" s="2" t="str">
        <x:f>VLOOKUP(C2988,'MES orders'!$A$8:$H$127,6,FALSE)</x:f>
        <x:v>Urgent</x:v>
      </x:c>
      <x:c r="T2988" s="9" t="str"/>
    </x:row>
    <x:row r="2989" ht="22" customHeight="1">
      <x:c r="A2989" s="2" t="str">
        <x:v>L00235-010</x:v>
      </x:c>
      <x:c r="B2989" s="2" t="str">
        <x:v>L00235</x:v>
      </x:c>
      <x:c r="C2989" s="2" t="str">
        <x:v>SO-26047</x:v>
      </x:c>
      <x:c r="D2989" s="2" t="str">
        <x:v>S-L-AL</x:v>
      </x:c>
      <x:c r="E2989" s="14" t="n">
        <x:v>5</x:v>
      </x:c>
      <x:c r="F2989" s="2" t="str">
        <x:v>CNC machining</x:v>
      </x:c>
      <x:c r="G2989" s="9" t="str">
        <x:v>CNC-04</x:v>
      </x:c>
      <x:c r="H2989" s="15" t="n">
        <x:v>91</x:v>
      </x:c>
      <x:c r="I2989" s="9" t="str">
        <x:v>P14</x:v>
      </x:c>
      <x:c r="J2989" s="11" t="n">
        <x:v>46310.59305555555</x:v>
      </x:c>
      <x:c r="K2989" s="15" t="n">
        <x:v>18</x:v>
      </x:c>
      <x:c r="L2989" s="15" t="n">
        <x:v>16</x:v>
      </x:c>
      <x:c r="M2989" s="13" t="n">
        <x:f>J2989+(K2989+L2989)/1440</x:f>
        <x:v>46310.61666666666</x:v>
      </x:c>
      <x:c r="N2989" s="13" t="n">
        <x:f>VLOOKUP(C2989,'MES orders'!$A$8:$H$127,5,FALSE)</x:f>
        <x:v>46310.666666666664</x:v>
      </x:c>
      <x:c r="O2989" s="16" t="n">
        <x:f>MAX(0,(M2989-N2989)*24)</x:f>
        <x:v>0</x:v>
      </x:c>
      <x:c r="P2989" s="9" t="str">
        <x:v>No</x:v>
      </x:c>
      <x:c r="Q2989" s="15" t="n">
        <x:v>18</x:v>
      </x:c>
      <x:c r="R2989" s="13" t="n">
        <x:f>J2989+Q2989/1440</x:f>
        <x:v>46310.60555555555</x:v>
      </x:c>
      <x:c r="S2989" s="2" t="str">
        <x:f>VLOOKUP(C2989,'MES orders'!$A$8:$H$127,6,FALSE)</x:f>
        <x:v>Urgent</x:v>
      </x:c>
      <x:c r="T2989" s="9" t="str"/>
    </x:row>
    <x:row r="2990" ht="22" customHeight="1">
      <x:c r="A2990" s="2" t="str">
        <x:v>L00231-060</x:v>
      </x:c>
      <x:c r="B2990" s="2" t="str">
        <x:v>L00231</x:v>
      </x:c>
      <x:c r="C2990" s="2" t="str">
        <x:v>SO-26047</x:v>
      </x:c>
      <x:c r="D2990" s="2" t="str">
        <x:v>S-L-AL</x:v>
      </x:c>
      <x:c r="E2990" s="14" t="n">
        <x:v>5</x:v>
      </x:c>
      <x:c r="F2990" s="2" t="str">
        <x:v>Sensor calibration</x:v>
      </x:c>
      <x:c r="G2990" s="9" t="str">
        <x:v>CAL-01</x:v>
      </x:c>
      <x:c r="H2990" s="15" t="n">
        <x:v>151</x:v>
      </x:c>
      <x:c r="I2990" s="9" t="str">
        <x:v>P21</x:v>
      </x:c>
      <x:c r="J2990" s="11" t="n">
        <x:v>46310.59444444445</x:v>
      </x:c>
      <x:c r="K2990" s="15" t="n">
        <x:v>10</x:v>
      </x:c>
      <x:c r="L2990" s="15" t="n">
        <x:v>9</x:v>
      </x:c>
      <x:c r="M2990" s="13" t="n">
        <x:f>J2990+(K2990+L2990)/1440</x:f>
        <x:v>46310.60763888889</x:v>
      </x:c>
      <x:c r="N2990" s="13" t="n">
        <x:f>VLOOKUP(C2990,'MES orders'!$A$8:$H$127,5,FALSE)</x:f>
        <x:v>46310.666666666664</x:v>
      </x:c>
      <x:c r="O2990" s="16" t="n">
        <x:f>MAX(0,(M2990-N2990)*24)</x:f>
        <x:v>0</x:v>
      </x:c>
      <x:c r="P2990" s="9" t="str">
        <x:v>No</x:v>
      </x:c>
      <x:c r="Q2990" s="15" t="n">
        <x:v>19</x:v>
      </x:c>
      <x:c r="R2990" s="13" t="n">
        <x:f>J2990+Q2990/1440</x:f>
        <x:v>46310.60763888889</x:v>
      </x:c>
      <x:c r="S2990" s="2" t="str">
        <x:f>VLOOKUP(C2990,'MES orders'!$A$8:$H$127,6,FALSE)</x:f>
        <x:v>Urgent</x:v>
      </x:c>
      <x:c r="T2990" s="9" t="str"/>
    </x:row>
    <x:row r="2991" ht="22" customHeight="1">
      <x:c r="A2991" s="2" t="str">
        <x:v>L00232-050</x:v>
      </x:c>
      <x:c r="B2991" s="2" t="str">
        <x:v>L00232</x:v>
      </x:c>
      <x:c r="C2991" s="2" t="str">
        <x:v>SO-26047</x:v>
      </x:c>
      <x:c r="D2991" s="2" t="str">
        <x:v>S-L-AL</x:v>
      </x:c>
      <x:c r="E2991" s="14" t="n">
        <x:v>5</x:v>
      </x:c>
      <x:c r="F2991" s="2" t="str">
        <x:v>Sensor installation</x:v>
      </x:c>
      <x:c r="G2991" s="9" t="str">
        <x:v>EL-01</x:v>
      </x:c>
      <x:c r="H2991" s="15" t="n">
        <x:v>103</x:v>
      </x:c>
      <x:c r="I2991" s="9" t="str">
        <x:v>P19</x:v>
      </x:c>
      <x:c r="J2991" s="11" t="n">
        <x:v>46310.59444444445</x:v>
      </x:c>
      <x:c r="K2991" s="15" t="n">
        <x:v>8</x:v>
      </x:c>
      <x:c r="L2991" s="15" t="n">
        <x:v>8</x:v>
      </x:c>
      <x:c r="M2991" s="13" t="n">
        <x:f>J2991+(K2991+L2991)/1440</x:f>
        <x:v>46310.60555555556</x:v>
      </x:c>
      <x:c r="N2991" s="13" t="n">
        <x:f>VLOOKUP(C2991,'MES orders'!$A$8:$H$127,5,FALSE)</x:f>
        <x:v>46310.666666666664</x:v>
      </x:c>
      <x:c r="O2991" s="16" t="n">
        <x:f>MAX(0,(M2991-N2991)*24)</x:f>
        <x:v>0</x:v>
      </x:c>
      <x:c r="P2991" s="9" t="str">
        <x:v>No</x:v>
      </x:c>
      <x:c r="Q2991" s="15" t="n">
        <x:v>16</x:v>
      </x:c>
      <x:c r="R2991" s="13" t="n">
        <x:f>J2991+Q2991/1440</x:f>
        <x:v>46310.60555555556</x:v>
      </x:c>
      <x:c r="S2991" s="2" t="str">
        <x:f>VLOOKUP(C2991,'MES orders'!$A$8:$H$127,6,FALSE)</x:f>
        <x:v>Urgent</x:v>
      </x:c>
      <x:c r="T2991" s="9" t="str"/>
    </x:row>
    <x:row r="2992" ht="22" customHeight="1">
      <x:c r="A2992" s="2" t="str">
        <x:v>L00590-060</x:v>
      </x:c>
      <x:c r="B2992" s="2" t="str">
        <x:v>L00590</x:v>
      </x:c>
      <x:c r="C2992" s="2" t="str">
        <x:v>SO-26118</x:v>
      </x:c>
      <x:c r="D2992" s="2" t="str">
        <x:v>R-S-SS</x:v>
      </x:c>
      <x:c r="E2992" s="14" t="n">
        <x:v>10</x:v>
      </x:c>
      <x:c r="F2992" s="2" t="str">
        <x:v>Final leak / function test</x:v>
      </x:c>
      <x:c r="G2992" s="9" t="str">
        <x:v>QA-03</x:v>
      </x:c>
      <x:c r="H2992" s="15" t="n">
        <x:v>132</x:v>
      </x:c>
      <x:c r="I2992" s="9" t="str">
        <x:v>P24</x:v>
      </x:c>
      <x:c r="J2992" s="11" t="n">
        <x:v>46310.595138888886</x:v>
      </x:c>
      <x:c r="K2992" s="15" t="n">
        <x:v>10</x:v>
      </x:c>
      <x:c r="L2992" s="15" t="n">
        <x:v>9</x:v>
      </x:c>
      <x:c r="M2992" s="13" t="n">
        <x:f>J2992+(K2992+L2992)/1440</x:f>
        <x:v>46310.60833333333</x:v>
      </x:c>
      <x:c r="N2992" s="13" t="n">
        <x:f>VLOOKUP(C2992,'MES orders'!$A$8:$H$127,5,FALSE)</x:f>
        <x:v>46309.666666666664</x:v>
      </x:c>
      <x:c r="O2992" s="16" t="n">
        <x:f>MAX(0,(M2992-N2992)*24)</x:f>
        <x:v>22.599999999976717</x:v>
      </x:c>
      <x:c r="P2992" s="9" t="str">
        <x:v>No</x:v>
      </x:c>
      <x:c r="Q2992" s="15" t="n">
        <x:v>19</x:v>
      </x:c>
      <x:c r="R2992" s="13" t="n">
        <x:f>J2992+Q2992/1440</x:f>
        <x:v>46310.60833333333</x:v>
      </x:c>
      <x:c r="S2992" s="2" t="str">
        <x:f>VLOOKUP(C2992,'MES orders'!$A$8:$H$127,6,FALSE)</x:f>
        <x:v>Normal</x:v>
      </x:c>
      <x:c r="T2992" s="9" t="str"/>
    </x:row>
    <x:row r="2993" ht="22" customHeight="1">
      <x:c r="A2993" s="2" t="str">
        <x:v>L00351-010</x:v>
      </x:c>
      <x:c r="B2993" s="2" t="str">
        <x:v>L00351</x:v>
      </x:c>
      <x:c r="C2993" s="2" t="str">
        <x:v>SO-26071</x:v>
      </x:c>
      <x:c r="D2993" s="2" t="str">
        <x:v>D-L-AL</x:v>
      </x:c>
      <x:c r="E2993" s="14" t="n">
        <x:v>15</x:v>
      </x:c>
      <x:c r="F2993" s="2" t="str">
        <x:v>CNC machining</x:v>
      </x:c>
      <x:c r="G2993" s="9" t="str">
        <x:v>CNC-05</x:v>
      </x:c>
      <x:c r="H2993" s="15" t="n">
        <x:v>83</x:v>
      </x:c>
      <x:c r="I2993" s="9" t="str">
        <x:v>P15</x:v>
      </x:c>
      <x:c r="J2993" s="11" t="n">
        <x:v>46310.59583333333</x:v>
      </x:c>
      <x:c r="K2993" s="15" t="n">
        <x:v>18</x:v>
      </x:c>
      <x:c r="L2993" s="15" t="n">
        <x:v>49</x:v>
      </x:c>
      <x:c r="M2993" s="13" t="n">
        <x:f>J2993+(K2993+L2993)/1440</x:f>
        <x:v>46310.64236111111</x:v>
      </x:c>
      <x:c r="N2993" s="13" t="n">
        <x:f>VLOOKUP(C2993,'MES orders'!$A$8:$H$127,5,FALSE)</x:f>
        <x:v>46310.666666666664</x:v>
      </x:c>
      <x:c r="O2993" s="16" t="n">
        <x:f>MAX(0,(M2993-N2993)*24)</x:f>
        <x:v>0</x:v>
      </x:c>
      <x:c r="P2993" s="9" t="str">
        <x:v>No</x:v>
      </x:c>
      <x:c r="Q2993" s="15" t="n">
        <x:v>18</x:v>
      </x:c>
      <x:c r="R2993" s="13" t="n">
        <x:f>J2993+Q2993/1440</x:f>
        <x:v>46310.60833333333</x:v>
      </x:c>
      <x:c r="S2993" s="2" t="str">
        <x:f>VLOOKUP(C2993,'MES orders'!$A$8:$H$127,6,FALSE)</x:f>
        <x:v>High</x:v>
      </x:c>
      <x:c r="T2993" s="9" t="str"/>
    </x:row>
    <x:row r="2994" ht="22" customHeight="1">
      <x:c r="A2994" s="2" t="str">
        <x:v>L00549-050</x:v>
      </x:c>
      <x:c r="B2994" s="2" t="str">
        <x:v>L00549</x:v>
      </x:c>
      <x:c r="C2994" s="2" t="str">
        <x:v>SO-26110</x:v>
      </x:c>
      <x:c r="D2994" s="2" t="str">
        <x:v>R-C-SS</x:v>
      </x:c>
      <x:c r="E2994" s="14" t="n">
        <x:v>10</x:v>
      </x:c>
      <x:c r="F2994" s="2" t="str">
        <x:v>Valve adjustment</x:v>
      </x:c>
      <x:c r="G2994" s="9" t="str">
        <x:v>AS-03</x:v>
      </x:c>
      <x:c r="H2994" s="15" t="n">
        <x:v>159</x:v>
      </x:c>
      <x:c r="I2994" s="9" t="str">
        <x:v>P18</x:v>
      </x:c>
      <x:c r="J2994" s="11" t="n">
        <x:v>46310.59861111111</x:v>
      </x:c>
      <x:c r="K2994" s="15" t="n">
        <x:v>6</x:v>
      </x:c>
      <x:c r="L2994" s="15" t="n">
        <x:v>9</x:v>
      </x:c>
      <x:c r="M2994" s="13" t="n">
        <x:f>J2994+(K2994+L2994)/1440</x:f>
        <x:v>46310.60902777778</x:v>
      </x:c>
      <x:c r="N2994" s="13" t="n">
        <x:f>VLOOKUP(C2994,'MES orders'!$A$8:$H$127,5,FALSE)</x:f>
        <x:v>46309.666666666664</x:v>
      </x:c>
      <x:c r="O2994" s="16" t="n">
        <x:f>MAX(0,(M2994-N2994)*24)</x:f>
        <x:v>22.61666666669771</x:v>
      </x:c>
      <x:c r="P2994" s="9" t="str">
        <x:v>No</x:v>
      </x:c>
      <x:c r="Q2994" s="15" t="n">
        <x:v>15</x:v>
      </x:c>
      <x:c r="R2994" s="13" t="n">
        <x:f>J2994+Q2994/1440</x:f>
        <x:v>46310.60902777778</x:v>
      </x:c>
      <x:c r="S2994" s="2" t="str">
        <x:f>VLOOKUP(C2994,'MES orders'!$A$8:$H$127,6,FALSE)</x:f>
        <x:v>Normal</x:v>
      </x:c>
      <x:c r="T2994" s="9" t="str"/>
    </x:row>
    <x:row r="2995" ht="22" customHeight="1">
      <x:c r="A2995" s="2" t="str">
        <x:v>L00352-010</x:v>
      </x:c>
      <x:c r="B2995" s="2" t="str">
        <x:v>L00352</x:v>
      </x:c>
      <x:c r="C2995" s="2" t="str">
        <x:v>SO-26071</x:v>
      </x:c>
      <x:c r="D2995" s="2" t="str">
        <x:v>D-L-AL</x:v>
      </x:c>
      <x:c r="E2995" s="14" t="n">
        <x:v>15</x:v>
      </x:c>
      <x:c r="F2995" s="2" t="str">
        <x:v>CNC machining</x:v>
      </x:c>
      <x:c r="G2995" s="9" t="str">
        <x:v>CNC-06</x:v>
      </x:c>
      <x:c r="H2995" s="15" t="n">
        <x:v>76</x:v>
      </x:c>
      <x:c r="I2995" s="9" t="str">
        <x:v>P13</x:v>
      </x:c>
      <x:c r="J2995" s="11" t="n">
        <x:v>46310.60208333333</x:v>
      </x:c>
      <x:c r="K2995" s="15" t="n">
        <x:v>18</x:v>
      </x:c>
      <x:c r="L2995" s="15" t="n">
        <x:v>49</x:v>
      </x:c>
      <x:c r="M2995" s="13" t="n">
        <x:f>J2995+(K2995+L2995)/1440</x:f>
        <x:v>46310.64861111111</x:v>
      </x:c>
      <x:c r="N2995" s="13" t="n">
        <x:f>VLOOKUP(C2995,'MES orders'!$A$8:$H$127,5,FALSE)</x:f>
        <x:v>46310.666666666664</x:v>
      </x:c>
      <x:c r="O2995" s="16" t="n">
        <x:f>MAX(0,(M2995-N2995)*24)</x:f>
        <x:v>0</x:v>
      </x:c>
      <x:c r="P2995" s="9" t="str">
        <x:v>No</x:v>
      </x:c>
      <x:c r="Q2995" s="15" t="n">
        <x:v>18</x:v>
      </x:c>
      <x:c r="R2995" s="13" t="n">
        <x:f>J2995+Q2995/1440</x:f>
        <x:v>46310.61458333333</x:v>
      </x:c>
      <x:c r="S2995" s="2" t="str">
        <x:f>VLOOKUP(C2995,'MES orders'!$A$8:$H$127,6,FALSE)</x:f>
        <x:v>High</x:v>
      </x:c>
      <x:c r="T2995" s="9" t="str"/>
    </x:row>
    <x:row r="2996" ht="22" customHeight="1">
      <x:c r="A2996" s="2" t="str">
        <x:v>L00233-050</x:v>
      </x:c>
      <x:c r="B2996" s="2" t="str">
        <x:v>L00233</x:v>
      </x:c>
      <x:c r="C2996" s="2" t="str">
        <x:v>SO-26047</x:v>
      </x:c>
      <x:c r="D2996" s="2" t="str">
        <x:v>S-L-AL</x:v>
      </x:c>
      <x:c r="E2996" s="14" t="n">
        <x:v>5</x:v>
      </x:c>
      <x:c r="F2996" s="2" t="str">
        <x:v>Sensor installation</x:v>
      </x:c>
      <x:c r="G2996" s="9" t="str">
        <x:v>EL-02</x:v>
      </x:c>
      <x:c r="H2996" s="15" t="n">
        <x:v>50</x:v>
      </x:c>
      <x:c r="I2996" s="9" t="str">
        <x:v>P20</x:v>
      </x:c>
      <x:c r="J2996" s="11" t="n">
        <x:v>46310.60208333333</x:v>
      </x:c>
      <x:c r="K2996" s="15" t="n">
        <x:v>8</x:v>
      </x:c>
      <x:c r="L2996" s="15" t="n">
        <x:v>8</x:v>
      </x:c>
      <x:c r="M2996" s="13" t="n">
        <x:f>J2996+(K2996+L2996)/1440</x:f>
        <x:v>46310.61319444444</x:v>
      </x:c>
      <x:c r="N2996" s="13" t="n">
        <x:f>VLOOKUP(C2996,'MES orders'!$A$8:$H$127,5,FALSE)</x:f>
        <x:v>46310.666666666664</x:v>
      </x:c>
      <x:c r="O2996" s="16" t="n">
        <x:f>MAX(0,(M2996-N2996)*24)</x:f>
        <x:v>0</x:v>
      </x:c>
      <x:c r="P2996" s="9" t="str">
        <x:v>No</x:v>
      </x:c>
      <x:c r="Q2996" s="15" t="n">
        <x:v>16</x:v>
      </x:c>
      <x:c r="R2996" s="13" t="n">
        <x:f>J2996+Q2996/1440</x:f>
        <x:v>46310.61319444444</x:v>
      </x:c>
      <x:c r="S2996" s="2" t="str">
        <x:f>VLOOKUP(C2996,'MES orders'!$A$8:$H$127,6,FALSE)</x:f>
        <x:v>Urgent</x:v>
      </x:c>
      <x:c r="T2996" s="9" t="str"/>
    </x:row>
    <x:row r="2997" ht="22" customHeight="1">
      <x:c r="A2997" s="2" t="str">
        <x:v>L00275-040</x:v>
      </x:c>
      <x:c r="B2997" s="2" t="str">
        <x:v>L00275</x:v>
      </x:c>
      <x:c r="C2997" s="2" t="str">
        <x:v>SO-26055</x:v>
      </x:c>
      <x:c r="D2997" s="2" t="str">
        <x:v>D-C-AL</x:v>
      </x:c>
      <x:c r="E2997" s="14" t="n">
        <x:v>10</x:v>
      </x:c>
      <x:c r="F2997" s="2" t="str">
        <x:v>Mechanical assembly</x:v>
      </x:c>
      <x:c r="G2997" s="9" t="str">
        <x:v>AS-04</x:v>
      </x:c>
      <x:c r="H2997" s="15" t="n">
        <x:v>111</x:v>
      </x:c>
      <x:c r="I2997" s="9" t="str">
        <x:v>P19</x:v>
      </x:c>
      <x:c r="J2997" s="11" t="n">
        <x:v>46310.60555555556</x:v>
      </x:c>
      <x:c r="K2997" s="15" t="n">
        <x:v>8</x:v>
      </x:c>
      <x:c r="L2997" s="15" t="n">
        <x:v>14</x:v>
      </x:c>
      <x:c r="M2997" s="13" t="n">
        <x:f>J2997+(K2997+L2997)/1440</x:f>
        <x:v>46310.620833333334</x:v>
      </x:c>
      <x:c r="N2997" s="13" t="n">
        <x:f>VLOOKUP(C2997,'MES orders'!$A$8:$H$127,5,FALSE)</x:f>
        <x:v>46310.666666666664</x:v>
      </x:c>
      <x:c r="O2997" s="16" t="n">
        <x:f>MAX(0,(M2997-N2997)*24)</x:f>
        <x:v>0</x:v>
      </x:c>
      <x:c r="P2997" s="9" t="str">
        <x:v>No</x:v>
      </x:c>
      <x:c r="Q2997" s="15" t="n">
        <x:v>22</x:v>
      </x:c>
      <x:c r="R2997" s="13" t="n">
        <x:f>J2997+Q2997/1440</x:f>
        <x:v>46310.620833333334</x:v>
      </x:c>
      <x:c r="S2997" s="2" t="str">
        <x:f>VLOOKUP(C2997,'MES orders'!$A$8:$H$127,6,FALSE)</x:f>
        <x:v>Normal</x:v>
      </x:c>
      <x:c r="T2997" s="9" t="str"/>
    </x:row>
    <x:row r="2998" ht="22" customHeight="1">
      <x:c r="A2998" s="2" t="str">
        <x:v>L00353-010</x:v>
      </x:c>
      <x:c r="B2998" s="2" t="str">
        <x:v>L00353</x:v>
      </x:c>
      <x:c r="C2998" s="2" t="str">
        <x:v>SO-26071</x:v>
      </x:c>
      <x:c r="D2998" s="2" t="str">
        <x:v>D-L-AL</x:v>
      </x:c>
      <x:c r="E2998" s="14" t="n">
        <x:v>15</x:v>
      </x:c>
      <x:c r="F2998" s="2" t="str">
        <x:v>CNC machining</x:v>
      </x:c>
      <x:c r="G2998" s="9" t="str">
        <x:v>CNC-03</x:v>
      </x:c>
      <x:c r="H2998" s="15" t="n">
        <x:v>96</x:v>
      </x:c>
      <x:c r="I2998" s="9" t="str">
        <x:v>P14</x:v>
      </x:c>
      <x:c r="J2998" s="11" t="n">
        <x:v>46310.606944444444</x:v>
      </x:c>
      <x:c r="K2998" s="15" t="n">
        <x:v>18</x:v>
      </x:c>
      <x:c r="L2998" s="15" t="n">
        <x:v>49</x:v>
      </x:c>
      <x:c r="M2998" s="13" t="n">
        <x:f>J2998+(K2998+L2998)/1440</x:f>
        <x:v>46310.65347222222</x:v>
      </x:c>
      <x:c r="N2998" s="13" t="n">
        <x:f>VLOOKUP(C2998,'MES orders'!$A$8:$H$127,5,FALSE)</x:f>
        <x:v>46310.666666666664</x:v>
      </x:c>
      <x:c r="O2998" s="16" t="n">
        <x:f>MAX(0,(M2998-N2998)*24)</x:f>
        <x:v>0</x:v>
      </x:c>
      <x:c r="P2998" s="9" t="str">
        <x:v>No</x:v>
      </x:c>
      <x:c r="Q2998" s="15" t="n">
        <x:v>18</x:v>
      </x:c>
      <x:c r="R2998" s="13" t="n">
        <x:f>J2998+Q2998/1440</x:f>
        <x:v>46310.61944444444</x:v>
      </x:c>
      <x:c r="S2998" s="2" t="str">
        <x:f>VLOOKUP(C2998,'MES orders'!$A$8:$H$127,6,FALSE)</x:f>
        <x:v>High</x:v>
      </x:c>
      <x:c r="T2998" s="9" t="str"/>
    </x:row>
    <x:row r="2999" ht="22" customHeight="1">
      <x:c r="A2999" s="2" t="str">
        <x:v>L00232-060</x:v>
      </x:c>
      <x:c r="B2999" s="2" t="str">
        <x:v>L00232</x:v>
      </x:c>
      <x:c r="C2999" s="2" t="str">
        <x:v>SO-26047</x:v>
      </x:c>
      <x:c r="D2999" s="2" t="str">
        <x:v>S-L-AL</x:v>
      </x:c>
      <x:c r="E2999" s="14" t="n">
        <x:v>5</x:v>
      </x:c>
      <x:c r="F2999" s="2" t="str">
        <x:v>Sensor calibration</x:v>
      </x:c>
      <x:c r="G2999" s="9" t="str">
        <x:v>CAL-01</x:v>
      </x:c>
      <x:c r="H2999" s="15" t="n">
        <x:v>152</x:v>
      </x:c>
      <x:c r="I2999" s="9" t="str">
        <x:v>P21</x:v>
      </x:c>
      <x:c r="J2999" s="11" t="n">
        <x:v>46310.60763888889</x:v>
      </x:c>
      <x:c r="K2999" s="15" t="n">
        <x:v>10</x:v>
      </x:c>
      <x:c r="L2999" s="15" t="n">
        <x:v>9</x:v>
      </x:c>
      <x:c r="M2999" s="13" t="n">
        <x:f>J2999+(K2999+L2999)/1440</x:f>
        <x:v>46310.620833333334</x:v>
      </x:c>
      <x:c r="N2999" s="13" t="n">
        <x:f>VLOOKUP(C2999,'MES orders'!$A$8:$H$127,5,FALSE)</x:f>
        <x:v>46310.666666666664</x:v>
      </x:c>
      <x:c r="O2999" s="16" t="n">
        <x:f>MAX(0,(M2999-N2999)*24)</x:f>
        <x:v>0</x:v>
      </x:c>
      <x:c r="P2999" s="9" t="str">
        <x:v>No</x:v>
      </x:c>
      <x:c r="Q2999" s="15" t="n">
        <x:v>19</x:v>
      </x:c>
      <x:c r="R2999" s="13" t="n">
        <x:f>J2999+Q2999/1440</x:f>
        <x:v>46310.620833333334</x:v>
      </x:c>
      <x:c r="S2999" s="2" t="str">
        <x:f>VLOOKUP(C2999,'MES orders'!$A$8:$H$127,6,FALSE)</x:f>
        <x:v>Urgent</x:v>
      </x:c>
      <x:c r="T2999" s="9" t="str"/>
    </x:row>
    <x:row r="3000" ht="22" customHeight="1">
      <x:c r="A3000" s="2" t="str">
        <x:v>L00311-010</x:v>
      </x:c>
      <x:c r="B3000" s="2" t="str">
        <x:v>L00311</x:v>
      </x:c>
      <x:c r="C3000" s="2" t="str">
        <x:v>SO-26063</x:v>
      </x:c>
      <x:c r="D3000" s="2" t="str">
        <x:v>D-S-AL</x:v>
      </x:c>
      <x:c r="E3000" s="14" t="n">
        <x:v>20</x:v>
      </x:c>
      <x:c r="F3000" s="2" t="str">
        <x:v>CNC machining</x:v>
      </x:c>
      <x:c r="G3000" s="9" t="str">
        <x:v>CNC-01</x:v>
      </x:c>
      <x:c r="H3000" s="15" t="n">
        <x:v>81</x:v>
      </x:c>
      <x:c r="I3000" s="9" t="str">
        <x:v>P15</x:v>
      </x:c>
      <x:c r="J3000" s="11" t="n">
        <x:v>46310.60833333333</x:v>
      </x:c>
      <x:c r="K3000" s="15" t="n">
        <x:v>18</x:v>
      </x:c>
      <x:c r="L3000" s="15" t="n">
        <x:v>48</x:v>
      </x:c>
      <x:c r="M3000" s="13" t="n">
        <x:f>J3000+(K3000+L3000)/1440</x:f>
        <x:v>46310.65416666666</x:v>
      </x:c>
      <x:c r="N3000" s="13" t="n">
        <x:f>VLOOKUP(C3000,'MES orders'!$A$8:$H$127,5,FALSE)</x:f>
        <x:v>46310.666666666664</x:v>
      </x:c>
      <x:c r="O3000" s="16" t="n">
        <x:f>MAX(0,(M3000-N3000)*24)</x:f>
        <x:v>0</x:v>
      </x:c>
      <x:c r="P3000" s="9" t="str">
        <x:v>No</x:v>
      </x:c>
      <x:c r="Q3000" s="15" t="n">
        <x:v>18</x:v>
      </x:c>
      <x:c r="R3000" s="13" t="n">
        <x:f>J3000+Q3000/1440</x:f>
        <x:v>46310.62083333333</x:v>
      </x:c>
      <x:c r="S3000" s="2" t="str">
        <x:f>VLOOKUP(C3000,'MES orders'!$A$8:$H$127,6,FALSE)</x:f>
        <x:v>Normal</x:v>
      </x:c>
      <x:c r="T3000" s="9" t="str"/>
    </x:row>
    <x:row r="3001" ht="22" customHeight="1">
      <x:c r="A3001" s="2" t="str">
        <x:v>L00549-060</x:v>
      </x:c>
      <x:c r="B3001" s="2" t="str">
        <x:v>L00549</x:v>
      </x:c>
      <x:c r="C3001" s="2" t="str">
        <x:v>SO-26110</x:v>
      </x:c>
      <x:c r="D3001" s="2" t="str">
        <x:v>R-C-SS</x:v>
      </x:c>
      <x:c r="E3001" s="14" t="n">
        <x:v>10</x:v>
      </x:c>
      <x:c r="F3001" s="2" t="str">
        <x:v>Final leak / function test</x:v>
      </x:c>
      <x:c r="G3001" s="9" t="str">
        <x:v>QA-02</x:v>
      </x:c>
      <x:c r="H3001" s="15" t="n">
        <x:v>221</x:v>
      </x:c>
      <x:c r="I3001" s="9" t="str">
        <x:v>P23</x:v>
      </x:c>
      <x:c r="J3001" s="11" t="n">
        <x:v>46310.60902777778</x:v>
      </x:c>
      <x:c r="K3001" s="15" t="n">
        <x:v>10</x:v>
      </x:c>
      <x:c r="L3001" s="15" t="n">
        <x:v>7</x:v>
      </x:c>
      <x:c r="M3001" s="13" t="n">
        <x:f>J3001+(K3001+L3001)/1440</x:f>
        <x:v>46310.620833333334</x:v>
      </x:c>
      <x:c r="N3001" s="13" t="n">
        <x:f>VLOOKUP(C3001,'MES orders'!$A$8:$H$127,5,FALSE)</x:f>
        <x:v>46309.666666666664</x:v>
      </x:c>
      <x:c r="O3001" s="16" t="n">
        <x:f>MAX(0,(M3001-N3001)*24)</x:f>
        <x:v>22.90000000008149</x:v>
      </x:c>
      <x:c r="P3001" s="9" t="str">
        <x:v>No</x:v>
      </x:c>
      <x:c r="Q3001" s="15" t="n">
        <x:v>17</x:v>
      </x:c>
      <x:c r="R3001" s="13" t="n">
        <x:f>J3001+Q3001/1440</x:f>
        <x:v>46310.620833333334</x:v>
      </x:c>
      <x:c r="S3001" s="2" t="str">
        <x:f>VLOOKUP(C3001,'MES orders'!$A$8:$H$127,6,FALSE)</x:f>
        <x:v>Normal</x:v>
      </x:c>
      <x:c r="T3001" s="9" t="str"/>
    </x:row>
    <x:row r="3002" ht="22" customHeight="1">
      <x:c r="A3002" s="2" t="str">
        <x:v>L00550-030</x:v>
      </x:c>
      <x:c r="B3002" s="2" t="str">
        <x:v>L00550</x:v>
      </x:c>
      <x:c r="C3002" s="2" t="str">
        <x:v>SO-26110</x:v>
      </x:c>
      <x:c r="D3002" s="2" t="str">
        <x:v>R-C-SS</x:v>
      </x:c>
      <x:c r="E3002" s="14" t="n">
        <x:v>10</x:v>
      </x:c>
      <x:c r="F3002" s="2" t="str">
        <x:v>Wash &amp; dry</x:v>
      </x:c>
      <x:c r="G3002" s="9" t="str">
        <x:v>WS-01</x:v>
      </x:c>
      <x:c r="H3002" s="15" t="n">
        <x:v>274</x:v>
      </x:c>
      <x:c r="I3002" s="9" t="str">
        <x:v>P18</x:v>
      </x:c>
      <x:c r="J3002" s="11" t="n">
        <x:v>46310.60902777778</x:v>
      </x:c>
      <x:c r="K3002" s="15" t="n">
        <x:v>12</x:v>
      </x:c>
      <x:c r="L3002" s="15" t="n">
        <x:v>3</x:v>
      </x:c>
      <x:c r="M3002" s="13" t="n">
        <x:f>J3002+(K3002+L3002)/1440</x:f>
        <x:v>46310.61944444444</x:v>
      </x:c>
      <x:c r="N3002" s="13" t="n">
        <x:f>VLOOKUP(C3002,'MES orders'!$A$8:$H$127,5,FALSE)</x:f>
        <x:v>46309.666666666664</x:v>
      </x:c>
      <x:c r="O3002" s="16" t="n">
        <x:f>MAX(0,(M3002-N3002)*24)</x:f>
        <x:v>22.866666666639503</x:v>
      </x:c>
      <x:c r="P3002" s="9" t="str">
        <x:v>No</x:v>
      </x:c>
      <x:c r="Q3002" s="15" t="n">
        <x:v>15</x:v>
      </x:c>
      <x:c r="R3002" s="13" t="n">
        <x:f>J3002+Q3002/1440</x:f>
        <x:v>46310.61944444444</x:v>
      </x:c>
      <x:c r="S3002" s="2" t="str">
        <x:f>VLOOKUP(C3002,'MES orders'!$A$8:$H$127,6,FALSE)</x:f>
        <x:v>Normal</x:v>
      </x:c>
      <x:c r="T3002" s="9" t="str"/>
    </x:row>
    <x:row r="3003" ht="22" customHeight="1">
      <x:c r="A3003" s="2" t="str">
        <x:v>L00354-010</x:v>
      </x:c>
      <x:c r="B3003" s="2" t="str">
        <x:v>L00354</x:v>
      </x:c>
      <x:c r="C3003" s="2" t="str">
        <x:v>SO-26071</x:v>
      </x:c>
      <x:c r="D3003" s="2" t="str">
        <x:v>D-L-AL</x:v>
      </x:c>
      <x:c r="E3003" s="14" t="n">
        <x:v>15</x:v>
      </x:c>
      <x:c r="F3003" s="2" t="str">
        <x:v>CNC machining</x:v>
      </x:c>
      <x:c r="G3003" s="9" t="str">
        <x:v>CNC-04</x:v>
      </x:c>
      <x:c r="H3003" s="15" t="n">
        <x:v>92</x:v>
      </x:c>
      <x:c r="I3003" s="9" t="str">
        <x:v>P13</x:v>
      </x:c>
      <x:c r="J3003" s="11" t="n">
        <x:v>46310.61666666667</x:v>
      </x:c>
      <x:c r="K3003" s="15" t="n">
        <x:v>18</x:v>
      </x:c>
      <x:c r="L3003" s="15" t="n">
        <x:v>49</x:v>
      </x:c>
      <x:c r="M3003" s="13" t="n">
        <x:f>J3003+(K3003+L3003)/1440</x:f>
        <x:v>46310.663194444445</x:v>
      </x:c>
      <x:c r="N3003" s="13" t="n">
        <x:f>VLOOKUP(C3003,'MES orders'!$A$8:$H$127,5,FALSE)</x:f>
        <x:v>46310.666666666664</x:v>
      </x:c>
      <x:c r="O3003" s="16" t="n">
        <x:f>MAX(0,(M3003-N3003)*24)</x:f>
        <x:v>0</x:v>
      </x:c>
      <x:c r="P3003" s="9" t="str">
        <x:v>No</x:v>
      </x:c>
      <x:c r="Q3003" s="15" t="n">
        <x:v>18</x:v>
      </x:c>
      <x:c r="R3003" s="13" t="n">
        <x:f>J3003+Q3003/1440</x:f>
        <x:v>46310.629166666666</x:v>
      </x:c>
      <x:c r="S3003" s="2" t="str">
        <x:f>VLOOKUP(C3003,'MES orders'!$A$8:$H$127,6,FALSE)</x:f>
        <x:v>High</x:v>
      </x:c>
      <x:c r="T3003" s="9" t="str"/>
    </x:row>
    <x:row r="3004" ht="22" customHeight="1">
      <x:c r="A3004" s="2" t="str">
        <x:v>L00550-040</x:v>
      </x:c>
      <x:c r="B3004" s="2" t="str">
        <x:v>L00550</x:v>
      </x:c>
      <x:c r="C3004" s="2" t="str">
        <x:v>SO-26110</x:v>
      </x:c>
      <x:c r="D3004" s="2" t="str">
        <x:v>R-C-SS</x:v>
      </x:c>
      <x:c r="E3004" s="14" t="n">
        <x:v>10</x:v>
      </x:c>
      <x:c r="F3004" s="2" t="str">
        <x:v>Mechanical assembly</x:v>
      </x:c>
      <x:c r="G3004" s="9" t="str">
        <x:v>AS-03</x:v>
      </x:c>
      <x:c r="H3004" s="15" t="n">
        <x:v>160</x:v>
      </x:c>
      <x:c r="I3004" s="9" t="str">
        <x:v>P18</x:v>
      </x:c>
      <x:c r="J3004" s="11" t="n">
        <x:v>46310.61944444444</x:v>
      </x:c>
      <x:c r="K3004" s="15" t="n">
        <x:v>8</x:v>
      </x:c>
      <x:c r="L3004" s="15" t="n">
        <x:v>14</x:v>
      </x:c>
      <x:c r="M3004" s="13" t="n">
        <x:f>J3004+(K3004+L3004)/1440</x:f>
        <x:v>46310.63472222222</x:v>
      </x:c>
      <x:c r="N3004" s="13" t="n">
        <x:f>VLOOKUP(C3004,'MES orders'!$A$8:$H$127,5,FALSE)</x:f>
        <x:v>46309.666666666664</x:v>
      </x:c>
      <x:c r="O3004" s="16" t="n">
        <x:f>MAX(0,(M3004-N3004)*24)</x:f>
        <x:v>23.233333333279006</x:v>
      </x:c>
      <x:c r="P3004" s="9" t="str">
        <x:v>No</x:v>
      </x:c>
      <x:c r="Q3004" s="15" t="n">
        <x:v>22</x:v>
      </x:c>
      <x:c r="R3004" s="13" t="n">
        <x:f>J3004+Q3004/1440</x:f>
        <x:v>46310.63472222222</x:v>
      </x:c>
      <x:c r="S3004" s="2" t="str">
        <x:f>VLOOKUP(C3004,'MES orders'!$A$8:$H$127,6,FALSE)</x:f>
        <x:v>Normal</x:v>
      </x:c>
      <x:c r="T3004" s="9" t="str"/>
    </x:row>
    <x:row r="3005" ht="22" customHeight="1">
      <x:c r="A3005" s="2" t="str">
        <x:v>L00312-010</x:v>
      </x:c>
      <x:c r="B3005" s="2" t="str">
        <x:v>L00312</x:v>
      </x:c>
      <x:c r="C3005" s="2" t="str">
        <x:v>SO-26063</x:v>
      </x:c>
      <x:c r="D3005" s="2" t="str">
        <x:v>D-S-AL</x:v>
      </x:c>
      <x:c r="E3005" s="14" t="n">
        <x:v>20</x:v>
      </x:c>
      <x:c r="F3005" s="2" t="str">
        <x:v>CNC machining</x:v>
      </x:c>
      <x:c r="G3005" s="9" t="str">
        <x:v>CNC-02</x:v>
      </x:c>
      <x:c r="H3005" s="15" t="n">
        <x:v>58</x:v>
      </x:c>
      <x:c r="I3005" s="9" t="str">
        <x:v>P14</x:v>
      </x:c>
      <x:c r="J3005" s="11" t="n">
        <x:v>46310.61944444444</x:v>
      </x:c>
      <x:c r="K3005" s="15" t="n">
        <x:v>18</x:v>
      </x:c>
      <x:c r="L3005" s="15" t="n">
        <x:v>48</x:v>
      </x:c>
      <x:c r="M3005" s="13" t="n">
        <x:f>J3005+(K3005+L3005)/1440</x:f>
        <x:v>46310.66527777777</x:v>
      </x:c>
      <x:c r="N3005" s="13" t="n">
        <x:f>VLOOKUP(C3005,'MES orders'!$A$8:$H$127,5,FALSE)</x:f>
        <x:v>46310.666666666664</x:v>
      </x:c>
      <x:c r="O3005" s="16" t="n">
        <x:f>MAX(0,(M3005-N3005)*24)</x:f>
        <x:v>0</x:v>
      </x:c>
      <x:c r="P3005" s="9" t="str">
        <x:v>No</x:v>
      </x:c>
      <x:c r="Q3005" s="15" t="n">
        <x:v>18</x:v>
      </x:c>
      <x:c r="R3005" s="13" t="n">
        <x:f>J3005+Q3005/1440</x:f>
        <x:v>46310.63194444444</x:v>
      </x:c>
      <x:c r="S3005" s="2" t="str">
        <x:f>VLOOKUP(C3005,'MES orders'!$A$8:$H$127,6,FALSE)</x:f>
        <x:v>Normal</x:v>
      </x:c>
      <x:c r="T3005" s="9" t="str"/>
    </x:row>
    <x:row r="3006" ht="22" customHeight="1">
      <x:c r="A3006" s="2" t="str">
        <x:v>L00233-060</x:v>
      </x:c>
      <x:c r="B3006" s="2" t="str">
        <x:v>L00233</x:v>
      </x:c>
      <x:c r="C3006" s="2" t="str">
        <x:v>SO-26047</x:v>
      </x:c>
      <x:c r="D3006" s="2" t="str">
        <x:v>S-L-AL</x:v>
      </x:c>
      <x:c r="E3006" s="14" t="n">
        <x:v>5</x:v>
      </x:c>
      <x:c r="F3006" s="2" t="str">
        <x:v>Sensor calibration</x:v>
      </x:c>
      <x:c r="G3006" s="9" t="str">
        <x:v>CAL-01</x:v>
      </x:c>
      <x:c r="H3006" s="15" t="n">
        <x:v>153</x:v>
      </x:c>
      <x:c r="I3006" s="9" t="str">
        <x:v>P21</x:v>
      </x:c>
      <x:c r="J3006" s="11" t="n">
        <x:v>46310.620833333334</x:v>
      </x:c>
      <x:c r="K3006" s="15" t="n">
        <x:v>10</x:v>
      </x:c>
      <x:c r="L3006" s="15" t="n">
        <x:v>9</x:v>
      </x:c>
      <x:c r="M3006" s="13" t="n">
        <x:f>J3006+(K3006+L3006)/1440</x:f>
        <x:v>46310.63402777778</x:v>
      </x:c>
      <x:c r="N3006" s="13" t="n">
        <x:f>VLOOKUP(C3006,'MES orders'!$A$8:$H$127,5,FALSE)</x:f>
        <x:v>46310.666666666664</x:v>
      </x:c>
      <x:c r="O3006" s="16" t="n">
        <x:f>MAX(0,(M3006-N3006)*24)</x:f>
        <x:v>0</x:v>
      </x:c>
      <x:c r="P3006" s="9" t="str">
        <x:v>No</x:v>
      </x:c>
      <x:c r="Q3006" s="15" t="n">
        <x:v>19</x:v>
      </x:c>
      <x:c r="R3006" s="13" t="n">
        <x:f>J3006+Q3006/1440</x:f>
        <x:v>46310.63402777778</x:v>
      </x:c>
      <x:c r="S3006" s="2" t="str">
        <x:f>VLOOKUP(C3006,'MES orders'!$A$8:$H$127,6,FALSE)</x:f>
        <x:v>Urgent</x:v>
      </x:c>
      <x:c r="T3006" s="9" t="str"/>
    </x:row>
    <x:row r="3007" ht="22" customHeight="1">
      <x:c r="A3007" s="2" t="str">
        <x:v>L00509-050</x:v>
      </x:c>
      <x:c r="B3007" s="2" t="str">
        <x:v>L00509</x:v>
      </x:c>
      <x:c r="C3007" s="2" t="str">
        <x:v>SO-26102</x:v>
      </x:c>
      <x:c r="D3007" s="2" t="str">
        <x:v>D-L-SS</x:v>
      </x:c>
      <x:c r="E3007" s="14" t="n">
        <x:v>25</x:v>
      </x:c>
      <x:c r="F3007" s="2" t="str">
        <x:v>Final leak / function test</x:v>
      </x:c>
      <x:c r="G3007" s="9" t="str">
        <x:v>QA-01</x:v>
      </x:c>
      <x:c r="H3007" s="15" t="n">
        <x:v>116</x:v>
      </x:c>
      <x:c r="I3007" s="9" t="str">
        <x:v>P23</x:v>
      </x:c>
      <x:c r="J3007" s="11" t="n">
        <x:v>46310.63125</x:v>
      </x:c>
      <x:c r="K3007" s="15" t="n">
        <x:v>10</x:v>
      </x:c>
      <x:c r="L3007" s="15" t="n">
        <x:v>30</x:v>
      </x:c>
      <x:c r="M3007" s="13" t="n">
        <x:f>J3007+(K3007+L3007)/1440</x:f>
        <x:v>46310.65902777778</x:v>
      </x:c>
      <x:c r="N3007" s="13" t="n">
        <x:f>VLOOKUP(C3007,'MES orders'!$A$8:$H$127,5,FALSE)</x:f>
        <x:v>46309.666666666664</x:v>
      </x:c>
      <x:c r="O3007" s="16" t="n">
        <x:f>MAX(0,(M3007-N3007)*24)</x:f>
        <x:v>23.81666666676756</x:v>
      </x:c>
      <x:c r="P3007" s="9" t="str">
        <x:v>No</x:v>
      </x:c>
      <x:c r="Q3007" s="15" t="n">
        <x:v>40</x:v>
      </x:c>
      <x:c r="R3007" s="13" t="n">
        <x:f>J3007+Q3007/1440</x:f>
        <x:v>46310.65902777778</x:v>
      </x:c>
      <x:c r="S3007" s="2" t="str">
        <x:f>VLOOKUP(C3007,'MES orders'!$A$8:$H$127,6,FALSE)</x:f>
        <x:v>Normal</x:v>
      </x:c>
      <x:c r="T3007" s="9" t="str"/>
    </x:row>
    <x:row r="3008" ht="22" customHeight="1">
      <x:c r="A3008" s="2" t="str">
        <x:v>L00510-050</x:v>
      </x:c>
      <x:c r="B3008" s="2" t="str">
        <x:v>L00510</x:v>
      </x:c>
      <x:c r="C3008" s="2" t="str">
        <x:v>SO-26102</x:v>
      </x:c>
      <x:c r="D3008" s="2" t="str">
        <x:v>D-L-SS</x:v>
      </x:c>
      <x:c r="E3008" s="14" t="n">
        <x:v>25</x:v>
      </x:c>
      <x:c r="F3008" s="2" t="str">
        <x:v>Final leak / function test</x:v>
      </x:c>
      <x:c r="G3008" s="9" t="str">
        <x:v>QA-02</x:v>
      </x:c>
      <x:c r="H3008" s="15" t="n">
        <x:v>222</x:v>
      </x:c>
      <x:c r="I3008" s="9" t="str">
        <x:v>P24</x:v>
      </x:c>
      <x:c r="J3008" s="11" t="n">
        <x:v>46310.63125</x:v>
      </x:c>
      <x:c r="K3008" s="15" t="n">
        <x:v>10</x:v>
      </x:c>
      <x:c r="L3008" s="15" t="n">
        <x:v>30</x:v>
      </x:c>
      <x:c r="M3008" s="13" t="n">
        <x:f>J3008+(K3008+L3008)/1440</x:f>
        <x:v>46310.65902777778</x:v>
      </x:c>
      <x:c r="N3008" s="13" t="n">
        <x:f>VLOOKUP(C3008,'MES orders'!$A$8:$H$127,5,FALSE)</x:f>
        <x:v>46309.666666666664</x:v>
      </x:c>
      <x:c r="O3008" s="16" t="n">
        <x:f>MAX(0,(M3008-N3008)*24)</x:f>
        <x:v>23.81666666676756</x:v>
      </x:c>
      <x:c r="P3008" s="9" t="str">
        <x:v>No</x:v>
      </x:c>
      <x:c r="Q3008" s="15" t="n">
        <x:v>40</x:v>
      </x:c>
      <x:c r="R3008" s="13" t="n">
        <x:f>J3008+Q3008/1440</x:f>
        <x:v>46310.65902777778</x:v>
      </x:c>
      <x:c r="S3008" s="2" t="str">
        <x:f>VLOOKUP(C3008,'MES orders'!$A$8:$H$127,6,FALSE)</x:f>
        <x:v>Normal</x:v>
      </x:c>
      <x:c r="T3008" s="9" t="str"/>
    </x:row>
    <x:row r="3009" ht="22" customHeight="1">
      <x:c r="A3009" s="2" t="str">
        <x:v>L00586-030</x:v>
      </x:c>
      <x:c r="B3009" s="2" t="str">
        <x:v>L00586</x:v>
      </x:c>
      <x:c r="C3009" s="2" t="str">
        <x:v>SO-26118</x:v>
      </x:c>
      <x:c r="D3009" s="2" t="str">
        <x:v>R-S-SS</x:v>
      </x:c>
      <x:c r="E3009" s="14" t="n">
        <x:v>10</x:v>
      </x:c>
      <x:c r="F3009" s="2" t="str">
        <x:v>Wash &amp; dry</x:v>
      </x:c>
      <x:c r="G3009" s="9" t="str">
        <x:v>WS-01</x:v>
      </x:c>
      <x:c r="H3009" s="15" t="n">
        <x:v>275</x:v>
      </x:c>
      <x:c r="I3009" s="9" t="str">
        <x:v>P16</x:v>
      </x:c>
      <x:c r="J3009" s="11" t="n">
        <x:v>46310.63125</x:v>
      </x:c>
      <x:c r="K3009" s="15" t="n">
        <x:v>12</x:v>
      </x:c>
      <x:c r="L3009" s="15" t="n">
        <x:v>4</x:v>
      </x:c>
      <x:c r="M3009" s="13" t="n">
        <x:f>J3009+(K3009+L3009)/1440</x:f>
        <x:v>46310.64236111111</x:v>
      </x:c>
      <x:c r="N3009" s="13" t="n">
        <x:f>VLOOKUP(C3009,'MES orders'!$A$8:$H$127,5,FALSE)</x:f>
        <x:v>46309.666666666664</x:v>
      </x:c>
      <x:c r="O3009" s="16" t="n">
        <x:f>MAX(0,(M3009-N3009)*24)</x:f>
        <x:v>23.41666666668607</x:v>
      </x:c>
      <x:c r="P3009" s="9" t="str">
        <x:v>No</x:v>
      </x:c>
      <x:c r="Q3009" s="15" t="n">
        <x:v>16</x:v>
      </x:c>
      <x:c r="R3009" s="13" t="n">
        <x:f>J3009+Q3009/1440</x:f>
        <x:v>46310.64236111111</x:v>
      </x:c>
      <x:c r="S3009" s="2" t="str">
        <x:f>VLOOKUP(C3009,'MES orders'!$A$8:$H$127,6,FALSE)</x:f>
        <x:v>Normal</x:v>
      </x:c>
      <x:c r="T3009" s="9" t="str"/>
    </x:row>
    <x:row r="3010" ht="22" customHeight="1">
      <x:c r="A3010" s="2" t="str">
        <x:v>L00550-050</x:v>
      </x:c>
      <x:c r="B3010" s="2" t="str">
        <x:v>L00550</x:v>
      </x:c>
      <x:c r="C3010" s="2" t="str">
        <x:v>SO-26110</x:v>
      </x:c>
      <x:c r="D3010" s="2" t="str">
        <x:v>R-C-SS</x:v>
      </x:c>
      <x:c r="E3010" s="14" t="n">
        <x:v>10</x:v>
      </x:c>
      <x:c r="F3010" s="2" t="str">
        <x:v>Valve adjustment</x:v>
      </x:c>
      <x:c r="G3010" s="9" t="str">
        <x:v>AS-01</x:v>
      </x:c>
      <x:c r="H3010" s="15" t="n">
        <x:v>236</x:v>
      </x:c>
      <x:c r="I3010" s="9" t="str">
        <x:v>P17</x:v>
      </x:c>
      <x:c r="J3010" s="11" t="n">
        <x:v>46310.634722222225</x:v>
      </x:c>
      <x:c r="K3010" s="15" t="n">
        <x:v>6</x:v>
      </x:c>
      <x:c r="L3010" s="15" t="n">
        <x:v>9</x:v>
      </x:c>
      <x:c r="M3010" s="13" t="n">
        <x:f>J3010+(K3010+L3010)/1440</x:f>
        <x:v>46310.64513888889</x:v>
      </x:c>
      <x:c r="N3010" s="13" t="n">
        <x:f>VLOOKUP(C3010,'MES orders'!$A$8:$H$127,5,FALSE)</x:f>
        <x:v>46309.666666666664</x:v>
      </x:c>
      <x:c r="O3010" s="16" t="n">
        <x:f>MAX(0,(M3010-N3010)*24)</x:f>
        <x:v>23.48333333339542</x:v>
      </x:c>
      <x:c r="P3010" s="9" t="str">
        <x:v>No</x:v>
      </x:c>
      <x:c r="Q3010" s="15" t="n">
        <x:v>15</x:v>
      </x:c>
      <x:c r="R3010" s="13" t="n">
        <x:f>J3010+Q3010/1440</x:f>
        <x:v>46310.64513888889</x:v>
      </x:c>
      <x:c r="S3010" s="2" t="str">
        <x:f>VLOOKUP(C3010,'MES orders'!$A$8:$H$127,6,FALSE)</x:f>
        <x:v>Normal</x:v>
      </x:c>
      <x:c r="T3010" s="9" t="str"/>
    </x:row>
    <x:row r="3011" ht="22" customHeight="1">
      <x:c r="A3011" s="2" t="str">
        <x:v>L00587-030</x:v>
      </x:c>
      <x:c r="B3011" s="2" t="str">
        <x:v>L00587</x:v>
      </x:c>
      <x:c r="C3011" s="2" t="str">
        <x:v>SO-26118</x:v>
      </x:c>
      <x:c r="D3011" s="2" t="str">
        <x:v>R-S-SS</x:v>
      </x:c>
      <x:c r="E3011" s="14" t="n">
        <x:v>10</x:v>
      </x:c>
      <x:c r="F3011" s="2" t="str">
        <x:v>Wash &amp; dry</x:v>
      </x:c>
      <x:c r="G3011" s="9" t="str">
        <x:v>WS-02</x:v>
      </x:c>
      <x:c r="H3011" s="15" t="n">
        <x:v>202</x:v>
      </x:c>
      <x:c r="I3011" s="9" t="str">
        <x:v>P18</x:v>
      </x:c>
      <x:c r="J3011" s="11" t="n">
        <x:v>46310.634722222225</x:v>
      </x:c>
      <x:c r="K3011" s="15" t="n">
        <x:v>12</x:v>
      </x:c>
      <x:c r="L3011" s="15" t="n">
        <x:v>4</x:v>
      </x:c>
      <x:c r="M3011" s="13" t="n">
        <x:f>J3011+(K3011+L3011)/1440</x:f>
        <x:v>46310.645833333336</x:v>
      </x:c>
      <x:c r="N3011" s="13" t="n">
        <x:f>VLOOKUP(C3011,'MES orders'!$A$8:$H$127,5,FALSE)</x:f>
        <x:v>46309.666666666664</x:v>
      </x:c>
      <x:c r="O3011" s="16" t="n">
        <x:f>MAX(0,(M3011-N3011)*24)</x:f>
        <x:v>23.500000000116415</x:v>
      </x:c>
      <x:c r="P3011" s="9" t="str">
        <x:v>No</x:v>
      </x:c>
      <x:c r="Q3011" s="15" t="n">
        <x:v>16</x:v>
      </x:c>
      <x:c r="R3011" s="13" t="n">
        <x:f>J3011+Q3011/1440</x:f>
        <x:v>46310.645833333336</x:v>
      </x:c>
      <x:c r="S3011" s="2" t="str">
        <x:f>VLOOKUP(C3011,'MES orders'!$A$8:$H$127,6,FALSE)</x:f>
        <x:v>Normal</x:v>
      </x:c>
      <x:c r="T3011" s="9" t="str"/>
    </x:row>
    <x:row r="3012" ht="22" customHeight="1">
      <x:c r="A3012" s="2" t="str">
        <x:v>L00586-040</x:v>
      </x:c>
      <x:c r="B3012" s="2" t="str">
        <x:v>L00586</x:v>
      </x:c>
      <x:c r="C3012" s="2" t="str">
        <x:v>SO-26118</x:v>
      </x:c>
      <x:c r="D3012" s="2" t="str">
        <x:v>R-S-SS</x:v>
      </x:c>
      <x:c r="E3012" s="14" t="n">
        <x:v>10</x:v>
      </x:c>
      <x:c r="F3012" s="2" t="str">
        <x:v>Mechanical assembly</x:v>
      </x:c>
      <x:c r="G3012" s="9" t="str">
        <x:v>AS-02</x:v>
      </x:c>
      <x:c r="H3012" s="15" t="n">
        <x:v>192</x:v>
      </x:c>
      <x:c r="I3012" s="9" t="str">
        <x:v>P16</x:v>
      </x:c>
      <x:c r="J3012" s="11" t="n">
        <x:v>46310.64236111111</x:v>
      </x:c>
      <x:c r="K3012" s="15" t="n">
        <x:v>8</x:v>
      </x:c>
      <x:c r="L3012" s="15" t="n">
        <x:v>18</x:v>
      </x:c>
      <x:c r="M3012" s="13" t="n">
        <x:f>J3012+(K3012+L3012)/1440</x:f>
        <x:v>46310.660416666666</x:v>
      </x:c>
      <x:c r="N3012" s="13" t="n">
        <x:f>VLOOKUP(C3012,'MES orders'!$A$8:$H$127,5,FALSE)</x:f>
        <x:v>46309.666666666664</x:v>
      </x:c>
      <x:c r="O3012" s="16" t="n">
        <x:f>MAX(0,(M3012-N3012)*24)</x:f>
        <x:v>23.850000000034925</x:v>
      </x:c>
      <x:c r="P3012" s="9" t="str">
        <x:v>No</x:v>
      </x:c>
      <x:c r="Q3012" s="15" t="n">
        <x:v>26</x:v>
      </x:c>
      <x:c r="R3012" s="13" t="n">
        <x:f>J3012+Q3012/1440</x:f>
        <x:v>46310.660416666666</x:v>
      </x:c>
      <x:c r="S3012" s="2" t="str">
        <x:f>VLOOKUP(C3012,'MES orders'!$A$8:$H$127,6,FALSE)</x:f>
        <x:v>Normal</x:v>
      </x:c>
      <x:c r="T3012" s="9" t="str"/>
    </x:row>
    <x:row r="3013" ht="22" customHeight="1">
      <x:c r="A3013" s="2" t="str">
        <x:v>L00355-010</x:v>
      </x:c>
      <x:c r="B3013" s="2" t="str">
        <x:v>L00355</x:v>
      </x:c>
      <x:c r="C3013" s="2" t="str">
        <x:v>SO-26071</x:v>
      </x:c>
      <x:c r="D3013" s="2" t="str">
        <x:v>D-L-AL</x:v>
      </x:c>
      <x:c r="E3013" s="14" t="n">
        <x:v>15</x:v>
      </x:c>
      <x:c r="F3013" s="2" t="str">
        <x:v>CNC machining</x:v>
      </x:c>
      <x:c r="G3013" s="9" t="str">
        <x:v>CNC-05</x:v>
      </x:c>
      <x:c r="H3013" s="15" t="n">
        <x:v>84</x:v>
      </x:c>
      <x:c r="I3013" s="9" t="str">
        <x:v>P13</x:v>
      </x:c>
      <x:c r="J3013" s="11" t="n">
        <x:v>46310.64236111111</x:v>
      </x:c>
      <x:c r="K3013" s="15" t="n">
        <x:v>18</x:v>
      </x:c>
      <x:c r="L3013" s="15" t="n">
        <x:v>49</x:v>
      </x:c>
      <x:c r="M3013" s="13" t="n">
        <x:f>J3013+(K3013+L3013)/1440</x:f>
        <x:v>46310.688888888886</x:v>
      </x:c>
      <x:c r="N3013" s="13" t="n">
        <x:f>VLOOKUP(C3013,'MES orders'!$A$8:$H$127,5,FALSE)</x:f>
        <x:v>46310.666666666664</x:v>
      </x:c>
      <x:c r="O3013" s="16" t="n">
        <x:f>MAX(0,(M3013-N3013)*24)</x:f>
        <x:v>0.5333333333255723</x:v>
      </x:c>
      <x:c r="P3013" s="9" t="str">
        <x:v>No</x:v>
      </x:c>
      <x:c r="Q3013" s="15" t="n">
        <x:v>18</x:v>
      </x:c>
      <x:c r="R3013" s="13" t="n">
        <x:f>J3013+Q3013/1440</x:f>
        <x:v>46310.65486111111</x:v>
      </x:c>
      <x:c r="S3013" s="2" t="str">
        <x:f>VLOOKUP(C3013,'MES orders'!$A$8:$H$127,6,FALSE)</x:f>
        <x:v>High</x:v>
      </x:c>
      <x:c r="T3013" s="9" t="str"/>
    </x:row>
    <x:row r="3014" ht="22" customHeight="1">
      <x:c r="A3014" s="2" t="str">
        <x:v>L00588-030</x:v>
      </x:c>
      <x:c r="B3014" s="2" t="str">
        <x:v>L00588</x:v>
      </x:c>
      <x:c r="C3014" s="2" t="str">
        <x:v>SO-26118</x:v>
      </x:c>
      <x:c r="D3014" s="2" t="str">
        <x:v>R-S-SS</x:v>
      </x:c>
      <x:c r="E3014" s="14" t="n">
        <x:v>10</x:v>
      </x:c>
      <x:c r="F3014" s="2" t="str">
        <x:v>Wash &amp; dry</x:v>
      </x:c>
      <x:c r="G3014" s="9" t="str">
        <x:v>WS-01</x:v>
      </x:c>
      <x:c r="H3014" s="15" t="n">
        <x:v>276</x:v>
      </x:c>
      <x:c r="I3014" s="9" t="str">
        <x:v>P17</x:v>
      </x:c>
      <x:c r="J3014" s="11" t="n">
        <x:v>46310.64513888889</x:v>
      </x:c>
      <x:c r="K3014" s="15" t="n">
        <x:v>12</x:v>
      </x:c>
      <x:c r="L3014" s="15" t="n">
        <x:v>4</x:v>
      </x:c>
      <x:c r="M3014" s="13" t="n">
        <x:f>J3014+(K3014+L3014)/1440</x:f>
        <x:v>46310.65625</x:v>
      </x:c>
      <x:c r="N3014" s="13" t="n">
        <x:f>VLOOKUP(C3014,'MES orders'!$A$8:$H$127,5,FALSE)</x:f>
        <x:v>46309.666666666664</x:v>
      </x:c>
      <x:c r="O3014" s="16" t="n">
        <x:f>MAX(0,(M3014-N3014)*24)</x:f>
        <x:v>23.750000000058208</x:v>
      </x:c>
      <x:c r="P3014" s="9" t="str">
        <x:v>No</x:v>
      </x:c>
      <x:c r="Q3014" s="15" t="n">
        <x:v>16</x:v>
      </x:c>
      <x:c r="R3014" s="13" t="n">
        <x:f>J3014+Q3014/1440</x:f>
        <x:v>46310.65625</x:v>
      </x:c>
      <x:c r="S3014" s="2" t="str">
        <x:f>VLOOKUP(C3014,'MES orders'!$A$8:$H$127,6,FALSE)</x:f>
        <x:v>Normal</x:v>
      </x:c>
      <x:c r="T3014" s="9" t="str"/>
    </x:row>
    <x:row r="3015" ht="22" customHeight="1">
      <x:c r="A3015" s="2" t="str">
        <x:v>L00587-040</x:v>
      </x:c>
      <x:c r="B3015" s="2" t="str">
        <x:v>L00587</x:v>
      </x:c>
      <x:c r="C3015" s="2" t="str">
        <x:v>SO-26118</x:v>
      </x:c>
      <x:c r="D3015" s="2" t="str">
        <x:v>R-S-SS</x:v>
      </x:c>
      <x:c r="E3015" s="14" t="n">
        <x:v>10</x:v>
      </x:c>
      <x:c r="F3015" s="2" t="str">
        <x:v>Mechanical assembly</x:v>
      </x:c>
      <x:c r="G3015" s="9" t="str">
        <x:v>AS-03</x:v>
      </x:c>
      <x:c r="H3015" s="15" t="n">
        <x:v>161</x:v>
      </x:c>
      <x:c r="I3015" s="9" t="str">
        <x:v>P18</x:v>
      </x:c>
      <x:c r="J3015" s="11" t="n">
        <x:v>46310.645833333336</x:v>
      </x:c>
      <x:c r="K3015" s="15" t="n">
        <x:v>8</x:v>
      </x:c>
      <x:c r="L3015" s="15" t="n">
        <x:v>18</x:v>
      </x:c>
      <x:c r="M3015" s="13" t="n">
        <x:f>J3015+(K3015+L3015)/1440</x:f>
        <x:v>46310.66388888889</x:v>
      </x:c>
      <x:c r="N3015" s="13" t="n">
        <x:f>VLOOKUP(C3015,'MES orders'!$A$8:$H$127,5,FALSE)</x:f>
        <x:v>46309.666666666664</x:v>
      </x:c>
      <x:c r="O3015" s="16" t="n">
        <x:f>MAX(0,(M3015-N3015)*24)</x:f>
        <x:v>23.93333333346527</x:v>
      </x:c>
      <x:c r="P3015" s="9" t="str">
        <x:v>No</x:v>
      </x:c>
      <x:c r="Q3015" s="15" t="n">
        <x:v>26</x:v>
      </x:c>
      <x:c r="R3015" s="13" t="n">
        <x:f>J3015+Q3015/1440</x:f>
        <x:v>46310.66388888889</x:v>
      </x:c>
      <x:c r="S3015" s="2" t="str">
        <x:f>VLOOKUP(C3015,'MES orders'!$A$8:$H$127,6,FALSE)</x:f>
        <x:v>Normal</x:v>
      </x:c>
      <x:c r="T3015" s="9" t="str"/>
    </x:row>
    <x:row r="3016" ht="22" customHeight="1">
      <x:c r="A3016" s="2" t="str">
        <x:v>L00111-010</x:v>
      </x:c>
      <x:c r="B3016" s="2" t="str">
        <x:v>L00111</x:v>
      </x:c>
      <x:c r="C3016" s="2" t="str">
        <x:v>SO-26023</x:v>
      </x:c>
      <x:c r="D3016" s="2" t="str">
        <x:v>R-L-AL</x:v>
      </x:c>
      <x:c r="E3016" s="14" t="n">
        <x:v>20</x:v>
      </x:c>
      <x:c r="F3016" s="2" t="str">
        <x:v>CNC machining</x:v>
      </x:c>
      <x:c r="G3016" s="9" t="str">
        <x:v>CNC-06</x:v>
      </x:c>
      <x:c r="H3016" s="15" t="n">
        <x:v>77</x:v>
      </x:c>
      <x:c r="I3016" s="9" t="str">
        <x:v>P14</x:v>
      </x:c>
      <x:c r="J3016" s="11" t="n">
        <x:v>46310.64861111111</x:v>
      </x:c>
      <x:c r="K3016" s="15" t="n">
        <x:v>18</x:v>
      </x:c>
      <x:c r="L3016" s="15" t="n">
        <x:v>65</x:v>
      </x:c>
      <x:c r="M3016" s="13" t="n">
        <x:f>J3016+(K3016+L3016)/1440</x:f>
        <x:v>46310.706249999996</x:v>
      </x:c>
      <x:c r="N3016" s="13" t="n">
        <x:f>VLOOKUP(C3016,'MES orders'!$A$8:$H$127,5,FALSE)</x:f>
        <x:v>46310.666666666664</x:v>
      </x:c>
      <x:c r="O3016" s="16" t="n">
        <x:f>MAX(0,(M3016-N3016)*24)</x:f>
        <x:v>0.9499999999534339</x:v>
      </x:c>
      <x:c r="P3016" s="9" t="str">
        <x:v>No</x:v>
      </x:c>
      <x:c r="Q3016" s="15" t="n">
        <x:v>18</x:v>
      </x:c>
      <x:c r="R3016" s="13" t="n">
        <x:f>J3016+Q3016/1440</x:f>
        <x:v>46310.661111111105</x:v>
      </x:c>
      <x:c r="S3016" s="2" t="str">
        <x:f>VLOOKUP(C3016,'MES orders'!$A$8:$H$127,6,FALSE)</x:f>
        <x:v>Normal</x:v>
      </x:c>
      <x:c r="T3016" s="9" t="str"/>
    </x:row>
    <x:row r="3017" ht="22" customHeight="1">
      <x:c r="A3017" s="2" t="str">
        <x:v>L00112-010</x:v>
      </x:c>
      <x:c r="B3017" s="2" t="str">
        <x:v>L00112</x:v>
      </x:c>
      <x:c r="C3017" s="2" t="str">
        <x:v>SO-26023</x:v>
      </x:c>
      <x:c r="D3017" s="2" t="str">
        <x:v>R-L-AL</x:v>
      </x:c>
      <x:c r="E3017" s="14" t="n">
        <x:v>20</x:v>
      </x:c>
      <x:c r="F3017" s="2" t="str">
        <x:v>CNC machining</x:v>
      </x:c>
      <x:c r="G3017" s="9" t="str">
        <x:v>CNC-03</x:v>
      </x:c>
      <x:c r="H3017" s="15" t="n">
        <x:v>97</x:v>
      </x:c>
      <x:c r="I3017" s="9" t="str">
        <x:v>P15</x:v>
      </x:c>
      <x:c r="J3017" s="11" t="n">
        <x:v>46310.65347222222</x:v>
      </x:c>
      <x:c r="K3017" s="15" t="n">
        <x:v>18</x:v>
      </x:c>
      <x:c r="L3017" s="15" t="n">
        <x:v>65</x:v>
      </x:c>
      <x:c r="M3017" s="13" t="n">
        <x:f>J3017+(K3017+L3017)/1440</x:f>
        <x:v>46310.71111111111</x:v>
      </x:c>
      <x:c r="N3017" s="13" t="n">
        <x:f>VLOOKUP(C3017,'MES orders'!$A$8:$H$127,5,FALSE)</x:f>
        <x:v>46310.666666666664</x:v>
      </x:c>
      <x:c r="O3017" s="16" t="n">
        <x:f>MAX(0,(M3017-N3017)*24)</x:f>
        <x:v>1.0666666666511446</x:v>
      </x:c>
      <x:c r="P3017" s="9" t="str">
        <x:v>No</x:v>
      </x:c>
      <x:c r="Q3017" s="15" t="n">
        <x:v>18</x:v>
      </x:c>
      <x:c r="R3017" s="13" t="n">
        <x:f>J3017+Q3017/1440</x:f>
        <x:v>46310.66597222222</x:v>
      </x:c>
      <x:c r="S3017" s="2" t="str">
        <x:f>VLOOKUP(C3017,'MES orders'!$A$8:$H$127,6,FALSE)</x:f>
        <x:v>Normal</x:v>
      </x:c>
      <x:c r="T3017" s="9" t="str"/>
    </x:row>
    <x:row r="3018" ht="22" customHeight="1">
      <x:c r="A3018" s="2" t="str">
        <x:v>L00311-020</x:v>
      </x:c>
      <x:c r="B3018" s="2" t="str">
        <x:v>L00311</x:v>
      </x:c>
      <x:c r="C3018" s="2" t="str">
        <x:v>SO-26063</x:v>
      </x:c>
      <x:c r="D3018" s="2" t="str">
        <x:v>D-S-AL</x:v>
      </x:c>
      <x:c r="E3018" s="14" t="n">
        <x:v>20</x:v>
      </x:c>
      <x:c r="F3018" s="2" t="str">
        <x:v>Deburr &amp; inspect</x:v>
      </x:c>
      <x:c r="G3018" s="9" t="str">
        <x:v>DB-01</x:v>
      </x:c>
      <x:c r="H3018" s="15" t="n">
        <x:v>283</x:v>
      </x:c>
      <x:c r="I3018" s="9" t="str">
        <x:v>P19</x:v>
      </x:c>
      <x:c r="J3018" s="11" t="n">
        <x:v>46310.65416666667</x:v>
      </x:c>
      <x:c r="K3018" s="15" t="n">
        <x:v>4</x:v>
      </x:c>
      <x:c r="L3018" s="15" t="n">
        <x:v>14</x:v>
      </x:c>
      <x:c r="M3018" s="13" t="n">
        <x:f>J3018+(K3018+L3018)/1440</x:f>
        <x:v>46310.666666666664</x:v>
      </x:c>
      <x:c r="N3018" s="13" t="n">
        <x:f>VLOOKUP(C3018,'MES orders'!$A$8:$H$127,5,FALSE)</x:f>
        <x:v>46310.666666666664</x:v>
      </x:c>
      <x:c r="O3018" s="16" t="n">
        <x:f>MAX(0,(M3018-N3018)*24)</x:f>
        <x:v>0</x:v>
      </x:c>
      <x:c r="P3018" s="9" t="str">
        <x:v>No</x:v>
      </x:c>
      <x:c r="Q3018" s="15" t="n">
        <x:v>18</x:v>
      </x:c>
      <x:c r="R3018" s="13" t="n">
        <x:f>J3018+Q3018/1440</x:f>
        <x:v>46310.666666666664</x:v>
      </x:c>
      <x:c r="S3018" s="2" t="str">
        <x:f>VLOOKUP(C3018,'MES orders'!$A$8:$H$127,6,FALSE)</x:f>
        <x:v>Normal</x:v>
      </x:c>
      <x:c r="T3018" s="9" t="str"/>
    </x:row>
    <x:row r="3019" ht="22" customHeight="1">
      <x:c r="A3019" s="2" t="str">
        <x:v>L00275-050</x:v>
      </x:c>
      <x:c r="B3019" s="2" t="str">
        <x:v>L00275</x:v>
      </x:c>
      <x:c r="C3019" s="2" t="str">
        <x:v>SO-26055</x:v>
      </x:c>
      <x:c r="D3019" s="2" t="str">
        <x:v>D-C-AL</x:v>
      </x:c>
      <x:c r="E3019" s="14" t="n">
        <x:v>10</x:v>
      </x:c>
      <x:c r="F3019" s="2" t="str">
        <x:v>Final leak / function test</x:v>
      </x:c>
      <x:c r="G3019" s="9" t="str">
        <x:v>QA-01</x:v>
      </x:c>
      <x:c r="H3019" s="15" t="n">
        <x:v>117</x:v>
      </x:c>
      <x:c r="I3019" s="9" t="str">
        <x:v>P24</x:v>
      </x:c>
      <x:c r="J3019" s="11" t="n">
        <x:v>46310.65902777778</x:v>
      </x:c>
      <x:c r="K3019" s="15" t="n">
        <x:v>10</x:v>
      </x:c>
      <x:c r="L3019" s="15" t="n">
        <x:v>7</x:v>
      </x:c>
      <x:c r="M3019" s="13" t="n">
        <x:f>J3019+(K3019+L3019)/1440</x:f>
        <x:v>46310.67083333334</x:v>
      </x:c>
      <x:c r="N3019" s="13" t="n">
        <x:f>VLOOKUP(C3019,'MES orders'!$A$8:$H$127,5,FALSE)</x:f>
        <x:v>46310.666666666664</x:v>
      </x:c>
      <x:c r="O3019" s="16" t="n">
        <x:f>MAX(0,(M3019-N3019)*24)</x:f>
        <x:v>0.10000000015133992</x:v>
      </x:c>
      <x:c r="P3019" s="9" t="str">
        <x:v>No</x:v>
      </x:c>
      <x:c r="Q3019" s="15" t="n">
        <x:v>17</x:v>
      </x:c>
      <x:c r="R3019" s="13" t="n">
        <x:f>J3019+Q3019/1440</x:f>
        <x:v>46310.67083333334</x:v>
      </x:c>
      <x:c r="S3019" s="2" t="str">
        <x:f>VLOOKUP(C3019,'MES orders'!$A$8:$H$127,6,FALSE)</x:f>
        <x:v>Normal</x:v>
      </x:c>
      <x:c r="T3019" s="9" t="str"/>
    </x:row>
    <x:row r="3020" ht="22" customHeight="1">
      <x:c r="A3020" s="2" t="str">
        <x:v>L00550-060</x:v>
      </x:c>
      <x:c r="B3020" s="2" t="str">
        <x:v>L00550</x:v>
      </x:c>
      <x:c r="C3020" s="2" t="str">
        <x:v>SO-26110</x:v>
      </x:c>
      <x:c r="D3020" s="2" t="str">
        <x:v>R-C-SS</x:v>
      </x:c>
      <x:c r="E3020" s="14" t="n">
        <x:v>10</x:v>
      </x:c>
      <x:c r="F3020" s="2" t="str">
        <x:v>Final leak / function test</x:v>
      </x:c>
      <x:c r="G3020" s="9" t="str">
        <x:v>QA-02</x:v>
      </x:c>
      <x:c r="H3020" s="15" t="n">
        <x:v>223</x:v>
      </x:c>
      <x:c r="I3020" s="9" t="str">
        <x:v>P23</x:v>
      </x:c>
      <x:c r="J3020" s="11" t="n">
        <x:v>46310.65902777778</x:v>
      </x:c>
      <x:c r="K3020" s="15" t="n">
        <x:v>10</x:v>
      </x:c>
      <x:c r="L3020" s="15" t="n">
        <x:v>7</x:v>
      </x:c>
      <x:c r="M3020" s="13" t="n">
        <x:f>J3020+(K3020+L3020)/1440</x:f>
        <x:v>46310.67083333334</x:v>
      </x:c>
      <x:c r="N3020" s="13" t="n">
        <x:f>VLOOKUP(C3020,'MES orders'!$A$8:$H$127,5,FALSE)</x:f>
        <x:v>46309.666666666664</x:v>
      </x:c>
      <x:c r="O3020" s="16" t="n">
        <x:f>MAX(0,(M3020-N3020)*24)</x:f>
        <x:v>24.10000000015134</x:v>
      </x:c>
      <x:c r="P3020" s="9" t="str">
        <x:v>No</x:v>
      </x:c>
      <x:c r="Q3020" s="15" t="n">
        <x:v>17</x:v>
      </x:c>
      <x:c r="R3020" s="13" t="n">
        <x:f>J3020+Q3020/1440</x:f>
        <x:v>46310.67083333334</x:v>
      </x:c>
      <x:c r="S3020" s="2" t="str">
        <x:f>VLOOKUP(C3020,'MES orders'!$A$8:$H$127,6,FALSE)</x:f>
        <x:v>Normal</x:v>
      </x:c>
      <x:c r="T3020" s="9" t="str"/>
    </x:row>
    <x:row r="3021" ht="22" customHeight="1">
      <x:c r="A3021" s="2" t="str">
        <x:v>L00586-050</x:v>
      </x:c>
      <x:c r="B3021" s="2" t="str">
        <x:v>L00586</x:v>
      </x:c>
      <x:c r="C3021" s="2" t="str">
        <x:v>SO-26118</x:v>
      </x:c>
      <x:c r="D3021" s="2" t="str">
        <x:v>R-S-SS</x:v>
      </x:c>
      <x:c r="E3021" s="14" t="n">
        <x:v>10</x:v>
      </x:c>
      <x:c r="F3021" s="2" t="str">
        <x:v>Valve adjustment</x:v>
      </x:c>
      <x:c r="G3021" s="9" t="str">
        <x:v>AS-01</x:v>
      </x:c>
      <x:c r="H3021" s="15" t="n">
        <x:v>237</x:v>
      </x:c>
      <x:c r="I3021" s="9" t="str">
        <x:v>P17</x:v>
      </x:c>
      <x:c r="J3021" s="11" t="n">
        <x:v>46310.660416666666</x:v>
      </x:c>
      <x:c r="K3021" s="15" t="n">
        <x:v>6</x:v>
      </x:c>
      <x:c r="L3021" s="15" t="n">
        <x:v>11</x:v>
      </x:c>
      <x:c r="M3021" s="13" t="n">
        <x:f>J3021+(K3021+L3021)/1440</x:f>
        <x:v>46310.67222222222</x:v>
      </x:c>
      <x:c r="N3021" s="13" t="n">
        <x:f>VLOOKUP(C3021,'MES orders'!$A$8:$H$127,5,FALSE)</x:f>
        <x:v>46309.666666666664</x:v>
      </x:c>
      <x:c r="O3021" s="16" t="n">
        <x:f>MAX(0,(M3021-N3021)*24)</x:f>
        <x:v>24.133333333418705</x:v>
      </x:c>
      <x:c r="P3021" s="9" t="str">
        <x:v>No</x:v>
      </x:c>
      <x:c r="Q3021" s="15" t="n">
        <x:v>17</x:v>
      </x:c>
      <x:c r="R3021" s="13" t="n">
        <x:f>J3021+Q3021/1440</x:f>
        <x:v>46310.67222222222</x:v>
      </x:c>
      <x:c r="S3021" s="2" t="str">
        <x:f>VLOOKUP(C3021,'MES orders'!$A$8:$H$127,6,FALSE)</x:f>
        <x:v>Normal</x:v>
      </x:c>
      <x:c r="T3021" s="9" t="str"/>
    </x:row>
    <x:row r="3022" ht="22" customHeight="1">
      <x:c r="A3022" s="2" t="str">
        <x:v>L00588-040</x:v>
      </x:c>
      <x:c r="B3022" s="2" t="str">
        <x:v>L00588</x:v>
      </x:c>
      <x:c r="C3022" s="2" t="str">
        <x:v>SO-26118</x:v>
      </x:c>
      <x:c r="D3022" s="2" t="str">
        <x:v>R-S-SS</x:v>
      </x:c>
      <x:c r="E3022" s="14" t="n">
        <x:v>10</x:v>
      </x:c>
      <x:c r="F3022" s="2" t="str">
        <x:v>Mechanical assembly</x:v>
      </x:c>
      <x:c r="G3022" s="9" t="str">
        <x:v>AS-04</x:v>
      </x:c>
      <x:c r="H3022" s="15" t="n">
        <x:v>112</x:v>
      </x:c>
      <x:c r="I3022" s="9" t="str">
        <x:v>P16</x:v>
      </x:c>
      <x:c r="J3022" s="11" t="n">
        <x:v>46310.660416666666</x:v>
      </x:c>
      <x:c r="K3022" s="15" t="n">
        <x:v>8</x:v>
      </x:c>
      <x:c r="L3022" s="15" t="n">
        <x:v>18</x:v>
      </x:c>
      <x:c r="M3022" s="13" t="n">
        <x:f>J3022+(K3022+L3022)/1440</x:f>
        <x:v>46310.67847222222</x:v>
      </x:c>
      <x:c r="N3022" s="13" t="n">
        <x:f>VLOOKUP(C3022,'MES orders'!$A$8:$H$127,5,FALSE)</x:f>
        <x:v>46309.666666666664</x:v>
      </x:c>
      <x:c r="O3022" s="16" t="n">
        <x:f>MAX(0,(M3022-N3022)*24)</x:f>
        <x:v>24.28333333338378</x:v>
      </x:c>
      <x:c r="P3022" s="9" t="str">
        <x:v>No</x:v>
      </x:c>
      <x:c r="Q3022" s="15" t="n">
        <x:v>26</x:v>
      </x:c>
      <x:c r="R3022" s="13" t="n">
        <x:f>J3022+Q3022/1440</x:f>
        <x:v>46310.67847222222</x:v>
      </x:c>
      <x:c r="S3022" s="2" t="str">
        <x:f>VLOOKUP(C3022,'MES orders'!$A$8:$H$127,6,FALSE)</x:f>
        <x:v>Normal</x:v>
      </x:c>
      <x:c r="T3022" s="9" t="str"/>
    </x:row>
    <x:row r="3023" ht="22" customHeight="1">
      <x:c r="A3023" s="2" t="str">
        <x:v>L00113-010</x:v>
      </x:c>
      <x:c r="B3023" s="2" t="str">
        <x:v>L00113</x:v>
      </x:c>
      <x:c r="C3023" s="2" t="str">
        <x:v>SO-26023</x:v>
      </x:c>
      <x:c r="D3023" s="2" t="str">
        <x:v>R-L-AL</x:v>
      </x:c>
      <x:c r="E3023" s="14" t="n">
        <x:v>20</x:v>
      </x:c>
      <x:c r="F3023" s="2" t="str">
        <x:v>CNC machining</x:v>
      </x:c>
      <x:c r="G3023" s="9" t="str">
        <x:v>CNC-04</x:v>
      </x:c>
      <x:c r="H3023" s="15" t="n">
        <x:v>93</x:v>
      </x:c>
      <x:c r="I3023" s="9" t="str">
        <x:v>P13</x:v>
      </x:c>
      <x:c r="J3023" s="11" t="n">
        <x:v>46310.663194444445</x:v>
      </x:c>
      <x:c r="K3023" s="15" t="n">
        <x:v>18</x:v>
      </x:c>
      <x:c r="L3023" s="15" t="n">
        <x:v>65</x:v>
      </x:c>
      <x:c r="M3023" s="13" t="n">
        <x:f>J3023+(K3023+L3023)/1440</x:f>
        <x:v>46310.72083333333</x:v>
      </x:c>
      <x:c r="N3023" s="13" t="n">
        <x:f>VLOOKUP(C3023,'MES orders'!$A$8:$H$127,5,FALSE)</x:f>
        <x:v>46310.666666666664</x:v>
      </x:c>
      <x:c r="O3023" s="16" t="n">
        <x:f>MAX(0,(M3023-N3023)*24)</x:f>
        <x:v>1.3000000000465661</x:v>
      </x:c>
      <x:c r="P3023" s="9" t="str">
        <x:v>No</x:v>
      </x:c>
      <x:c r="Q3023" s="15" t="n">
        <x:v>18</x:v>
      </x:c>
      <x:c r="R3023" s="13" t="n">
        <x:f>J3023+Q3023/1440</x:f>
        <x:v>46310.67569444444</x:v>
      </x:c>
      <x:c r="S3023" s="2" t="str">
        <x:f>VLOOKUP(C3023,'MES orders'!$A$8:$H$127,6,FALSE)</x:f>
        <x:v>Normal</x:v>
      </x:c>
      <x:c r="T3023" s="9" t="str"/>
    </x:row>
    <x:row r="3024" ht="22" customHeight="1">
      <x:c r="A3024" s="2" t="str">
        <x:v>L00587-050</x:v>
      </x:c>
      <x:c r="B3024" s="2" t="str">
        <x:v>L00587</x:v>
      </x:c>
      <x:c r="C3024" s="2" t="str">
        <x:v>SO-26118</x:v>
      </x:c>
      <x:c r="D3024" s="2" t="str">
        <x:v>R-S-SS</x:v>
      </x:c>
      <x:c r="E3024" s="14" t="n">
        <x:v>10</x:v>
      </x:c>
      <x:c r="F3024" s="2" t="str">
        <x:v>Valve adjustment</x:v>
      </x:c>
      <x:c r="G3024" s="9" t="str">
        <x:v>AS-02</x:v>
      </x:c>
      <x:c r="H3024" s="15" t="n">
        <x:v>193</x:v>
      </x:c>
      <x:c r="I3024" s="9" t="str">
        <x:v>P18</x:v>
      </x:c>
      <x:c r="J3024" s="11" t="n">
        <x:v>46310.66388888889</x:v>
      </x:c>
      <x:c r="K3024" s="15" t="n">
        <x:v>6</x:v>
      </x:c>
      <x:c r="L3024" s="15" t="n">
        <x:v>11</x:v>
      </x:c>
      <x:c r="M3024" s="13" t="n">
        <x:f>J3024+(K3024+L3024)/1440</x:f>
        <x:v>46310.67569444445</x:v>
      </x:c>
      <x:c r="N3024" s="13" t="n">
        <x:f>VLOOKUP(C3024,'MES orders'!$A$8:$H$127,5,FALSE)</x:f>
        <x:v>46309.666666666664</x:v>
      </x:c>
      <x:c r="O3024" s="16" t="n">
        <x:f>MAX(0,(M3024-N3024)*24)</x:f>
        <x:v>24.21666666684905</x:v>
      </x:c>
      <x:c r="P3024" s="9" t="str">
        <x:v>No</x:v>
      </x:c>
      <x:c r="Q3024" s="15" t="n">
        <x:v>17</x:v>
      </x:c>
      <x:c r="R3024" s="13" t="n">
        <x:f>J3024+Q3024/1440</x:f>
        <x:v>46310.67569444445</x:v>
      </x:c>
      <x:c r="S3024" s="2" t="str">
        <x:f>VLOOKUP(C3024,'MES orders'!$A$8:$H$127,6,FALSE)</x:f>
        <x:v>Normal</x:v>
      </x:c>
      <x:c r="T3024" s="9" t="str"/>
    </x:row>
    <x:row r="3025" ht="22" customHeight="1">
      <x:c r="A3025" s="2" t="str">
        <x:v>L00312-020</x:v>
      </x:c>
      <x:c r="B3025" s="2" t="str">
        <x:v>L00312</x:v>
      </x:c>
      <x:c r="C3025" s="2" t="str">
        <x:v>SO-26063</x:v>
      </x:c>
      <x:c r="D3025" s="2" t="str">
        <x:v>D-S-AL</x:v>
      </x:c>
      <x:c r="E3025" s="14" t="n">
        <x:v>20</x:v>
      </x:c>
      <x:c r="F3025" s="2" t="str">
        <x:v>Deburr &amp; inspect</x:v>
      </x:c>
      <x:c r="G3025" s="9" t="str">
        <x:v>DB-02</x:v>
      </x:c>
      <x:c r="H3025" s="15" t="n">
        <x:v>197</x:v>
      </x:c>
      <x:c r="I3025" s="9" t="str">
        <x:v>P20</x:v>
      </x:c>
      <x:c r="J3025" s="11" t="n">
        <x:v>46310.66527777778</x:v>
      </x:c>
      <x:c r="K3025" s="15" t="n">
        <x:v>4</x:v>
      </x:c>
      <x:c r="L3025" s="15" t="n">
        <x:v>14</x:v>
      </x:c>
      <x:c r="M3025" s="13" t="n">
        <x:f>J3025+(K3025+L3025)/1440</x:f>
        <x:v>46310.677777777775</x:v>
      </x:c>
      <x:c r="N3025" s="13" t="n">
        <x:f>VLOOKUP(C3025,'MES orders'!$A$8:$H$127,5,FALSE)</x:f>
        <x:v>46310.666666666664</x:v>
      </x:c>
      <x:c r="O3025" s="16" t="n">
        <x:f>MAX(0,(M3025-N3025)*24)</x:f>
        <x:v>0.26666666666278616</x:v>
      </x:c>
      <x:c r="P3025" s="9" t="str">
        <x:v>No</x:v>
      </x:c>
      <x:c r="Q3025" s="15" t="n">
        <x:v>18</x:v>
      </x:c>
      <x:c r="R3025" s="13" t="n">
        <x:f>J3025+Q3025/1440</x:f>
        <x:v>46310.677777777775</x:v>
      </x:c>
      <x:c r="S3025" s="2" t="str">
        <x:f>VLOOKUP(C3025,'MES orders'!$A$8:$H$127,6,FALSE)</x:f>
        <x:v>Normal</x:v>
      </x:c>
      <x:c r="T3025" s="9" t="str"/>
    </x:row>
    <x:row r="3026" ht="22" customHeight="1">
      <x:c r="A3026" s="2" t="str">
        <x:v>L00313-010</x:v>
      </x:c>
      <x:c r="B3026" s="2" t="str">
        <x:v>L00313</x:v>
      </x:c>
      <x:c r="C3026" s="2" t="str">
        <x:v>SO-26063</x:v>
      </x:c>
      <x:c r="D3026" s="2" t="str">
        <x:v>D-S-AL</x:v>
      </x:c>
      <x:c r="E3026" s="14" t="n">
        <x:v>20</x:v>
      </x:c>
      <x:c r="F3026" s="2" t="str">
        <x:v>CNC machining</x:v>
      </x:c>
      <x:c r="G3026" s="9" t="str">
        <x:v>CNC-01</x:v>
      </x:c>
      <x:c r="H3026" s="15" t="n">
        <x:v>82</x:v>
      </x:c>
      <x:c r="I3026" s="9" t="str">
        <x:v>P15</x:v>
      </x:c>
      <x:c r="J3026" s="11" t="n">
        <x:v>46310.665972222225</x:v>
      </x:c>
      <x:c r="K3026" s="15" t="n">
        <x:v>18</x:v>
      </x:c>
      <x:c r="L3026" s="15" t="n">
        <x:v>48</x:v>
      </x:c>
      <x:c r="M3026" s="13" t="n">
        <x:f>J3026+(K3026+L3026)/1440</x:f>
        <x:v>46310.711805555555</x:v>
      </x:c>
      <x:c r="N3026" s="13" t="n">
        <x:f>VLOOKUP(C3026,'MES orders'!$A$8:$H$127,5,FALSE)</x:f>
        <x:v>46310.666666666664</x:v>
      </x:c>
      <x:c r="O3026" s="16" t="n">
        <x:f>MAX(0,(M3026-N3026)*24)</x:f>
        <x:v>1.0833333333721384</x:v>
      </x:c>
      <x:c r="P3026" s="9" t="str">
        <x:v>No</x:v>
      </x:c>
      <x:c r="Q3026" s="15" t="n">
        <x:v>18</x:v>
      </x:c>
      <x:c r="R3026" s="13" t="n">
        <x:f>J3026+Q3026/1440</x:f>
        <x:v>46310.67847222222</x:v>
      </x:c>
      <x:c r="S3026" s="2" t="str">
        <x:f>VLOOKUP(C3026,'MES orders'!$A$8:$H$127,6,FALSE)</x:f>
        <x:v>Normal</x:v>
      </x:c>
      <x:c r="T3026" s="9" t="str"/>
    </x:row>
    <x:row r="3027" ht="22" customHeight="1">
      <x:c r="A3027" s="2" t="str">
        <x:v>L00311-030</x:v>
      </x:c>
      <x:c r="B3027" s="2" t="str">
        <x:v>L00311</x:v>
      </x:c>
      <x:c r="C3027" s="2" t="str">
        <x:v>SO-26063</x:v>
      </x:c>
      <x:c r="D3027" s="2" t="str">
        <x:v>D-S-AL</x:v>
      </x:c>
      <x:c r="E3027" s="14" t="n">
        <x:v>20</x:v>
      </x:c>
      <x:c r="F3027" s="2" t="str">
        <x:v>Wash &amp; dry</x:v>
      </x:c>
      <x:c r="G3027" s="9" t="str">
        <x:v>WS-02</x:v>
      </x:c>
      <x:c r="H3027" s="15" t="n">
        <x:v>203</x:v>
      </x:c>
      <x:c r="I3027" s="9" t="str">
        <x:v>P14</x:v>
      </x:c>
      <x:c r="J3027" s="11" t="n">
        <x:v>46310.666666666664</x:v>
      </x:c>
      <x:c r="K3027" s="15" t="n">
        <x:v>12</x:v>
      </x:c>
      <x:c r="L3027" s="15" t="n">
        <x:v>7</x:v>
      </x:c>
      <x:c r="M3027" s="13" t="n">
        <x:f>J3027+(K3027+L3027)/1440</x:f>
        <x:v>46310.67986111111</x:v>
      </x:c>
      <x:c r="N3027" s="13" t="n">
        <x:f>VLOOKUP(C3027,'MES orders'!$A$8:$H$127,5,FALSE)</x:f>
        <x:v>46310.666666666664</x:v>
      </x:c>
      <x:c r="O3027" s="16" t="n">
        <x:f>MAX(0,(M3027-N3027)*24)</x:f>
        <x:v>0.3166666666511446</x:v>
      </x:c>
      <x:c r="P3027" s="9" t="str">
        <x:v>No</x:v>
      </x:c>
      <x:c r="Q3027" s="15" t="n">
        <x:v>19</x:v>
      </x:c>
      <x:c r="R3027" s="13" t="n">
        <x:f>J3027+Q3027/1440</x:f>
        <x:v>46310.67986111111</x:v>
      </x:c>
      <x:c r="S3027" s="2" t="str">
        <x:f>VLOOKUP(C3027,'MES orders'!$A$8:$H$127,6,FALSE)</x:f>
        <x:v>Normal</x:v>
      </x:c>
      <x:c r="T3027" s="9" t="str"/>
    </x:row>
    <x:row r="3028" ht="22" customHeight="1">
      <x:c r="A3028" s="2" t="str">
        <x:v>L00234-020</x:v>
      </x:c>
      <x:c r="B3028" s="2" t="str">
        <x:v>L00234</x:v>
      </x:c>
      <x:c r="C3028" s="2" t="str">
        <x:v>SO-26047</x:v>
      </x:c>
      <x:c r="D3028" s="2" t="str">
        <x:v>S-L-AL</x:v>
      </x:c>
      <x:c r="E3028" s="14" t="n">
        <x:v>5</x:v>
      </x:c>
      <x:c r="F3028" s="2" t="str">
        <x:v>Deburr &amp; inspect</x:v>
      </x:c>
      <x:c r="G3028" s="9" t="str">
        <x:v>DB-01</x:v>
      </x:c>
      <x:c r="H3028" s="15" t="n">
        <x:v>284</x:v>
      </x:c>
      <x:c r="I3028" s="9" t="str">
        <x:v>P17</x:v>
      </x:c>
      <x:c r="J3028" s="11" t="n">
        <x:v>46310.67222222222</x:v>
      </x:c>
      <x:c r="K3028" s="15" t="n">
        <x:v>4</x:v>
      </x:c>
      <x:c r="L3028" s="15" t="n">
        <x:v>5</x:v>
      </x:c>
      <x:c r="M3028" s="13" t="n">
        <x:f>J3028+(K3028+L3028)/1440</x:f>
        <x:v>46310.67847222222</x:v>
      </x:c>
      <x:c r="N3028" s="13" t="n">
        <x:f>VLOOKUP(C3028,'MES orders'!$A$8:$H$127,5,FALSE)</x:f>
        <x:v>46310.666666666664</x:v>
      </x:c>
      <x:c r="O3028" s="16" t="n">
        <x:f>MAX(0,(M3028-N3028)*24)</x:f>
        <x:v>0.28333333338378</x:v>
      </x:c>
      <x:c r="P3028" s="9" t="str">
        <x:v>No</x:v>
      </x:c>
      <x:c r="Q3028" s="15" t="n">
        <x:v>9</x:v>
      </x:c>
      <x:c r="R3028" s="13" t="n">
        <x:f>J3028+Q3028/1440</x:f>
        <x:v>46310.67847222222</x:v>
      </x:c>
      <x:c r="S3028" s="2" t="str">
        <x:f>VLOOKUP(C3028,'MES orders'!$A$8:$H$127,6,FALSE)</x:f>
        <x:v>Urgent</x:v>
      </x:c>
      <x:c r="T3028" s="9" t="str"/>
    </x:row>
    <x:row r="3029" ht="22" customHeight="1">
      <x:c r="A3029" s="2" t="str">
        <x:v>L00586-060</x:v>
      </x:c>
      <x:c r="B3029" s="2" t="str">
        <x:v>L00586</x:v>
      </x:c>
      <x:c r="C3029" s="2" t="str">
        <x:v>SO-26118</x:v>
      </x:c>
      <x:c r="D3029" s="2" t="str">
        <x:v>R-S-SS</x:v>
      </x:c>
      <x:c r="E3029" s="14" t="n">
        <x:v>10</x:v>
      </x:c>
      <x:c r="F3029" s="2" t="str">
        <x:v>Final leak / function test</x:v>
      </x:c>
      <x:c r="G3029" s="9" t="str">
        <x:v>QA-02</x:v>
      </x:c>
      <x:c r="H3029" s="15" t="n">
        <x:v>224</x:v>
      </x:c>
      <x:c r="I3029" s="9" t="str">
        <x:v>P23</x:v>
      </x:c>
      <x:c r="J3029" s="11" t="n">
        <x:v>46310.67222222222</x:v>
      </x:c>
      <x:c r="K3029" s="15" t="n">
        <x:v>10</x:v>
      </x:c>
      <x:c r="L3029" s="15" t="n">
        <x:v>9</x:v>
      </x:c>
      <x:c r="M3029" s="13" t="n">
        <x:f>J3029+(K3029+L3029)/1440</x:f>
        <x:v>46310.68541666667</x:v>
      </x:c>
      <x:c r="N3029" s="13" t="n">
        <x:f>VLOOKUP(C3029,'MES orders'!$A$8:$H$127,5,FALSE)</x:f>
        <x:v>46309.666666666664</x:v>
      </x:c>
      <x:c r="O3029" s="16" t="n">
        <x:f>MAX(0,(M3029-N3029)*24)</x:f>
        <x:v>24.45000000006985</x:v>
      </x:c>
      <x:c r="P3029" s="9" t="str">
        <x:v>No</x:v>
      </x:c>
      <x:c r="Q3029" s="15" t="n">
        <x:v>19</x:v>
      </x:c>
      <x:c r="R3029" s="13" t="n">
        <x:f>J3029+Q3029/1440</x:f>
        <x:v>46310.68541666667</x:v>
      </x:c>
      <x:c r="S3029" s="2" t="str">
        <x:f>VLOOKUP(C3029,'MES orders'!$A$8:$H$127,6,FALSE)</x:f>
        <x:v>Normal</x:v>
      </x:c>
      <x:c r="T3029" s="9" t="str"/>
    </x:row>
    <x:row r="3030" ht="22" customHeight="1">
      <x:c r="A3030" s="2" t="str">
        <x:v>L00231-070</x:v>
      </x:c>
      <x:c r="B3030" s="2" t="str">
        <x:v>L00231</x:v>
      </x:c>
      <x:c r="C3030" s="2" t="str">
        <x:v>SO-26047</x:v>
      </x:c>
      <x:c r="D3030" s="2" t="str">
        <x:v>S-L-AL</x:v>
      </x:c>
      <x:c r="E3030" s="14" t="n">
        <x:v>5</x:v>
      </x:c>
      <x:c r="F3030" s="2" t="str">
        <x:v>Final assembly</x:v>
      </x:c>
      <x:c r="G3030" s="9" t="str">
        <x:v>AS-02</x:v>
      </x:c>
      <x:c r="H3030" s="15" t="n">
        <x:v>194</x:v>
      </x:c>
      <x:c r="I3030" s="9" t="str">
        <x:v>P18</x:v>
      </x:c>
      <x:c r="J3030" s="11" t="n">
        <x:v>46310.67569444444</x:v>
      </x:c>
      <x:c r="K3030" s="15" t="n">
        <x:v>5</x:v>
      </x:c>
      <x:c r="L3030" s="15" t="n">
        <x:v>5</x:v>
      </x:c>
      <x:c r="M3030" s="13" t="n">
        <x:f>J3030+(K3030+L3030)/1440</x:f>
        <x:v>46310.68263888889</x:v>
      </x:c>
      <x:c r="N3030" s="13" t="n">
        <x:f>VLOOKUP(C3030,'MES orders'!$A$8:$H$127,5,FALSE)</x:f>
        <x:v>46310.666666666664</x:v>
      </x:c>
      <x:c r="O3030" s="16" t="n">
        <x:f>MAX(0,(M3030-N3030)*24)</x:f>
        <x:v>0.3833333333604969</x:v>
      </x:c>
      <x:c r="P3030" s="9" t="str">
        <x:v>No</x:v>
      </x:c>
      <x:c r="Q3030" s="15" t="n">
        <x:v>10</x:v>
      </x:c>
      <x:c r="R3030" s="13" t="n">
        <x:f>J3030+Q3030/1440</x:f>
        <x:v>46310.68263888889</x:v>
      </x:c>
      <x:c r="S3030" s="2" t="str">
        <x:f>VLOOKUP(C3030,'MES orders'!$A$8:$H$127,6,FALSE)</x:f>
        <x:v>Urgent</x:v>
      </x:c>
      <x:c r="T3030" s="9" t="str"/>
    </x:row>
    <x:row r="3031" ht="22" customHeight="1">
      <x:c r="A3031" s="2" t="str">
        <x:v>L00314-010</x:v>
      </x:c>
      <x:c r="B3031" s="2" t="str">
        <x:v>L00314</x:v>
      </x:c>
      <x:c r="C3031" s="2" t="str">
        <x:v>SO-26063</x:v>
      </x:c>
      <x:c r="D3031" s="2" t="str">
        <x:v>D-S-AL</x:v>
      </x:c>
      <x:c r="E3031" s="14" t="n">
        <x:v>20</x:v>
      </x:c>
      <x:c r="F3031" s="2" t="str">
        <x:v>CNC machining</x:v>
      </x:c>
      <x:c r="G3031" s="9" t="str">
        <x:v>CNC-02</x:v>
      </x:c>
      <x:c r="H3031" s="15" t="n">
        <x:v>59</x:v>
      </x:c>
      <x:c r="I3031" s="9" t="str">
        <x:v>P13</x:v>
      </x:c>
      <x:c r="J3031" s="11" t="n">
        <x:v>46310.67569444444</x:v>
      </x:c>
      <x:c r="K3031" s="15" t="n">
        <x:v>18</x:v>
      </x:c>
      <x:c r="L3031" s="15" t="n">
        <x:v>48</x:v>
      </x:c>
      <x:c r="M3031" s="13" t="n">
        <x:f>J3031+(K3031+L3031)/1440</x:f>
        <x:v>46310.72152777777</x:v>
      </x:c>
      <x:c r="N3031" s="13" t="n">
        <x:f>VLOOKUP(C3031,'MES orders'!$A$8:$H$127,5,FALSE)</x:f>
        <x:v>46310.666666666664</x:v>
      </x:c>
      <x:c r="O3031" s="16" t="n">
        <x:f>MAX(0,(M3031-N3031)*24)</x:f>
        <x:v>1.316666666592937</x:v>
      </x:c>
      <x:c r="P3031" s="9" t="str">
        <x:v>No</x:v>
      </x:c>
      <x:c r="Q3031" s="15" t="n">
        <x:v>18</x:v>
      </x:c>
      <x:c r="R3031" s="13" t="n">
        <x:f>J3031+Q3031/1440</x:f>
        <x:v>46310.68819444444</x:v>
      </x:c>
      <x:c r="S3031" s="2" t="str">
        <x:f>VLOOKUP(C3031,'MES orders'!$A$8:$H$127,6,FALSE)</x:f>
        <x:v>Normal</x:v>
      </x:c>
      <x:c r="T3031" s="9" t="str"/>
    </x:row>
    <x:row r="3032" ht="22" customHeight="1">
      <x:c r="A3032" s="2" t="str">
        <x:v>L00587-060</x:v>
      </x:c>
      <x:c r="B3032" s="2" t="str">
        <x:v>L00587</x:v>
      </x:c>
      <x:c r="C3032" s="2" t="str">
        <x:v>SO-26118</x:v>
      </x:c>
      <x:c r="D3032" s="2" t="str">
        <x:v>R-S-SS</x:v>
      </x:c>
      <x:c r="E3032" s="14" t="n">
        <x:v>10</x:v>
      </x:c>
      <x:c r="F3032" s="2" t="str">
        <x:v>Final leak / function test</x:v>
      </x:c>
      <x:c r="G3032" s="9" t="str">
        <x:v>QA-03</x:v>
      </x:c>
      <x:c r="H3032" s="15" t="n">
        <x:v>133</x:v>
      </x:c>
      <x:c r="I3032" s="9" t="str">
        <x:v>P24</x:v>
      </x:c>
      <x:c r="J3032" s="11" t="n">
        <x:v>46310.67569444444</x:v>
      </x:c>
      <x:c r="K3032" s="15" t="n">
        <x:v>10</x:v>
      </x:c>
      <x:c r="L3032" s="15" t="n">
        <x:v>9</x:v>
      </x:c>
      <x:c r="M3032" s="13" t="n">
        <x:f>J3032+(K3032+L3032)/1440</x:f>
        <x:v>46310.688888888886</x:v>
      </x:c>
      <x:c r="N3032" s="13" t="n">
        <x:f>VLOOKUP(C3032,'MES orders'!$A$8:$H$127,5,FALSE)</x:f>
        <x:v>46309.666666666664</x:v>
      </x:c>
      <x:c r="O3032" s="16" t="n">
        <x:f>MAX(0,(M3032-N3032)*24)</x:f>
        <x:v>24.533333333325572</x:v>
      </x:c>
      <x:c r="P3032" s="9" t="str">
        <x:v>No</x:v>
      </x:c>
      <x:c r="Q3032" s="15" t="n">
        <x:v>19</x:v>
      </x:c>
      <x:c r="R3032" s="13" t="n">
        <x:f>J3032+Q3032/1440</x:f>
        <x:v>46310.688888888886</x:v>
      </x:c>
      <x:c r="S3032" s="2" t="str">
        <x:f>VLOOKUP(C3032,'MES orders'!$A$8:$H$127,6,FALSE)</x:f>
        <x:v>Normal</x:v>
      </x:c>
      <x:c r="T3032" s="9" t="str"/>
    </x:row>
    <x:row r="3033" ht="22" customHeight="1">
      <x:c r="A3033" s="2" t="str">
        <x:v>L00588-050</x:v>
      </x:c>
      <x:c r="B3033" s="2" t="str">
        <x:v>L00588</x:v>
      </x:c>
      <x:c r="C3033" s="2" t="str">
        <x:v>SO-26118</x:v>
      </x:c>
      <x:c r="D3033" s="2" t="str">
        <x:v>R-S-SS</x:v>
      </x:c>
      <x:c r="E3033" s="14" t="n">
        <x:v>10</x:v>
      </x:c>
      <x:c r="F3033" s="2" t="str">
        <x:v>Valve adjustment</x:v>
      </x:c>
      <x:c r="G3033" s="9" t="str">
        <x:v>AS-01</x:v>
      </x:c>
      <x:c r="H3033" s="15" t="n">
        <x:v>238</x:v>
      </x:c>
      <x:c r="I3033" s="9" t="str">
        <x:v>P17</x:v>
      </x:c>
      <x:c r="J3033" s="11" t="n">
        <x:v>46310.67847222222</x:v>
      </x:c>
      <x:c r="K3033" s="15" t="n">
        <x:v>6</x:v>
      </x:c>
      <x:c r="L3033" s="15" t="n">
        <x:v>11</x:v>
      </x:c>
      <x:c r="M3033" s="13" t="n">
        <x:f>J3033+(K3033+L3033)/1440</x:f>
        <x:v>46310.69027777778</x:v>
      </x:c>
      <x:c r="N3033" s="13" t="n">
        <x:f>VLOOKUP(C3033,'MES orders'!$A$8:$H$127,5,FALSE)</x:f>
        <x:v>46309.666666666664</x:v>
      </x:c>
      <x:c r="O3033" s="16" t="n">
        <x:f>MAX(0,(M3033-N3033)*24)</x:f>
        <x:v>24.56666666676756</x:v>
      </x:c>
      <x:c r="P3033" s="9" t="str">
        <x:v>No</x:v>
      </x:c>
      <x:c r="Q3033" s="15" t="n">
        <x:v>17</x:v>
      </x:c>
      <x:c r="R3033" s="13" t="n">
        <x:f>J3033+Q3033/1440</x:f>
        <x:v>46310.69027777778</x:v>
      </x:c>
      <x:c r="S3033" s="2" t="str">
        <x:f>VLOOKUP(C3033,'MES orders'!$A$8:$H$127,6,FALSE)</x:f>
        <x:v>Normal</x:v>
      </x:c>
      <x:c r="T3033" s="9" t="str"/>
    </x:row>
    <x:row r="3034" ht="22" customHeight="1">
      <x:c r="A3034" s="2" t="str">
        <x:v>L00234-030</x:v>
      </x:c>
      <x:c r="B3034" s="2" t="str">
        <x:v>L00234</x:v>
      </x:c>
      <x:c r="C3034" s="2" t="str">
        <x:v>SO-26047</x:v>
      </x:c>
      <x:c r="D3034" s="2" t="str">
        <x:v>S-L-AL</x:v>
      </x:c>
      <x:c r="E3034" s="14" t="n">
        <x:v>5</x:v>
      </x:c>
      <x:c r="F3034" s="2" t="str">
        <x:v>Wash &amp; dry</x:v>
      </x:c>
      <x:c r="G3034" s="9" t="str">
        <x:v>WS-01</x:v>
      </x:c>
      <x:c r="H3034" s="15" t="n">
        <x:v>277</x:v>
      </x:c>
      <x:c r="I3034" s="9" t="str">
        <x:v>P16</x:v>
      </x:c>
      <x:c r="J3034" s="11" t="n">
        <x:v>46310.67847222222</x:v>
      </x:c>
      <x:c r="K3034" s="15" t="n">
        <x:v>12</x:v>
      </x:c>
      <x:c r="L3034" s="15" t="n">
        <x:v>2</x:v>
      </x:c>
      <x:c r="M3034" s="13" t="n">
        <x:f>J3034+(K3034+L3034)/1440</x:f>
        <x:v>46310.68819444445</x:v>
      </x:c>
      <x:c r="N3034" s="13" t="n">
        <x:f>VLOOKUP(C3034,'MES orders'!$A$8:$H$127,5,FALSE)</x:f>
        <x:v>46310.666666666664</x:v>
      </x:c>
      <x:c r="O3034" s="16" t="n">
        <x:f>MAX(0,(M3034-N3034)*24)</x:f>
        <x:v>0.5166666667792015</x:v>
      </x:c>
      <x:c r="P3034" s="9" t="str">
        <x:v>No</x:v>
      </x:c>
      <x:c r="Q3034" s="15" t="n">
        <x:v>14</x:v>
      </x:c>
      <x:c r="R3034" s="13" t="n">
        <x:f>J3034+Q3034/1440</x:f>
        <x:v>46310.68819444445</x:v>
      </x:c>
      <x:c r="S3034" s="2" t="str">
        <x:f>VLOOKUP(C3034,'MES orders'!$A$8:$H$127,6,FALSE)</x:f>
        <x:v>Urgent</x:v>
      </x:c>
      <x:c r="T3034" s="9" t="str"/>
    </x:row>
    <x:row r="3035" ht="22" customHeight="1">
      <x:c r="A3035" s="2" t="str">
        <x:v>L00311-040</x:v>
      </x:c>
      <x:c r="B3035" s="2" t="str">
        <x:v>L00311</x:v>
      </x:c>
      <x:c r="C3035" s="2" t="str">
        <x:v>SO-26063</x:v>
      </x:c>
      <x:c r="D3035" s="2" t="str">
        <x:v>D-S-AL</x:v>
      </x:c>
      <x:c r="E3035" s="14" t="n">
        <x:v>20</x:v>
      </x:c>
      <x:c r="F3035" s="2" t="str">
        <x:v>Mechanical assembly</x:v>
      </x:c>
      <x:c r="G3035" s="9" t="str">
        <x:v>AS-04</x:v>
      </x:c>
      <x:c r="H3035" s="15" t="n">
        <x:v>113</x:v>
      </x:c>
      <x:c r="I3035" s="9" t="str">
        <x:v>P15</x:v>
      </x:c>
      <x:c r="J3035" s="11" t="n">
        <x:v>46310.67986111111</x:v>
      </x:c>
      <x:c r="K3035" s="15" t="n">
        <x:v>8</x:v>
      </x:c>
      <x:c r="L3035" s="15" t="n">
        <x:v>36</x:v>
      </x:c>
      <x:c r="M3035" s="13" t="n">
        <x:f>J3035+(K3035+L3035)/1440</x:f>
        <x:v>46310.71041666666</x:v>
      </x:c>
      <x:c r="N3035" s="13" t="n">
        <x:f>VLOOKUP(C3035,'MES orders'!$A$8:$H$127,5,FALSE)</x:f>
        <x:v>46310.666666666664</x:v>
      </x:c>
      <x:c r="O3035" s="16" t="n">
        <x:f>MAX(0,(M3035-N3035)*24)</x:f>
        <x:v>1.0499999999301508</x:v>
      </x:c>
      <x:c r="P3035" s="9" t="str">
        <x:v>No</x:v>
      </x:c>
      <x:c r="Q3035" s="15" t="n">
        <x:v>44</x:v>
      </x:c>
      <x:c r="R3035" s="13" t="n">
        <x:f>J3035+Q3035/1440</x:f>
        <x:v>46310.71041666666</x:v>
      </x:c>
      <x:c r="S3035" s="2" t="str">
        <x:f>VLOOKUP(C3035,'MES orders'!$A$8:$H$127,6,FALSE)</x:f>
        <x:v>Normal</x:v>
      </x:c>
      <x:c r="T3035" s="9" t="str"/>
    </x:row>
    <x:row r="3036" ht="22" customHeight="1">
      <x:c r="A3036" s="2" t="str">
        <x:v>L00312-030</x:v>
      </x:c>
      <x:c r="B3036" s="2" t="str">
        <x:v>L00312</x:v>
      </x:c>
      <x:c r="C3036" s="2" t="str">
        <x:v>SO-26063</x:v>
      </x:c>
      <x:c r="D3036" s="2" t="str">
        <x:v>D-S-AL</x:v>
      </x:c>
      <x:c r="E3036" s="14" t="n">
        <x:v>20</x:v>
      </x:c>
      <x:c r="F3036" s="2" t="str">
        <x:v>Wash &amp; dry</x:v>
      </x:c>
      <x:c r="G3036" s="9" t="str">
        <x:v>WS-02</x:v>
      </x:c>
      <x:c r="H3036" s="15" t="n">
        <x:v>204</x:v>
      </x:c>
      <x:c r="I3036" s="9" t="str">
        <x:v>P19</x:v>
      </x:c>
      <x:c r="J3036" s="11" t="n">
        <x:v>46310.67986111111</x:v>
      </x:c>
      <x:c r="K3036" s="15" t="n">
        <x:v>12</x:v>
      </x:c>
      <x:c r="L3036" s="15" t="n">
        <x:v>7</x:v>
      </x:c>
      <x:c r="M3036" s="13" t="n">
        <x:f>J3036+(K3036+L3036)/1440</x:f>
        <x:v>46310.69305555555</x:v>
      </x:c>
      <x:c r="N3036" s="13" t="n">
        <x:f>VLOOKUP(C3036,'MES orders'!$A$8:$H$127,5,FALSE)</x:f>
        <x:v>46310.666666666664</x:v>
      </x:c>
      <x:c r="O3036" s="16" t="n">
        <x:f>MAX(0,(M3036-N3036)*24)</x:f>
        <x:v>0.6333333333022892</x:v>
      </x:c>
      <x:c r="P3036" s="9" t="str">
        <x:v>No</x:v>
      </x:c>
      <x:c r="Q3036" s="15" t="n">
        <x:v>19</x:v>
      </x:c>
      <x:c r="R3036" s="13" t="n">
        <x:f>J3036+Q3036/1440</x:f>
        <x:v>46310.69305555555</x:v>
      </x:c>
      <x:c r="S3036" s="2" t="str">
        <x:f>VLOOKUP(C3036,'MES orders'!$A$8:$H$127,6,FALSE)</x:f>
        <x:v>Normal</x:v>
      </x:c>
      <x:c r="T3036" s="9" t="str"/>
    </x:row>
    <x:row r="3037" ht="22" customHeight="1">
      <x:c r="A3037" s="2" t="str">
        <x:v>L00232-070</x:v>
      </x:c>
      <x:c r="B3037" s="2" t="str">
        <x:v>L00232</x:v>
      </x:c>
      <x:c r="C3037" s="2" t="str">
        <x:v>SO-26047</x:v>
      </x:c>
      <x:c r="D3037" s="2" t="str">
        <x:v>S-L-AL</x:v>
      </x:c>
      <x:c r="E3037" s="14" t="n">
        <x:v>5</x:v>
      </x:c>
      <x:c r="F3037" s="2" t="str">
        <x:v>Final assembly</x:v>
      </x:c>
      <x:c r="G3037" s="9" t="str">
        <x:v>AS-02</x:v>
      </x:c>
      <x:c r="H3037" s="15" t="n">
        <x:v>195</x:v>
      </x:c>
      <x:c r="I3037" s="9" t="str">
        <x:v>P18</x:v>
      </x:c>
      <x:c r="J3037" s="11" t="n">
        <x:v>46310.68263888889</x:v>
      </x:c>
      <x:c r="K3037" s="15" t="n">
        <x:v>5</x:v>
      </x:c>
      <x:c r="L3037" s="15" t="n">
        <x:v>5</x:v>
      </x:c>
      <x:c r="M3037" s="13" t="n">
        <x:f>J3037+(K3037+L3037)/1440</x:f>
        <x:v>46310.68958333333</x:v>
      </x:c>
      <x:c r="N3037" s="13" t="n">
        <x:f>VLOOKUP(C3037,'MES orders'!$A$8:$H$127,5,FALSE)</x:f>
        <x:v>46310.666666666664</x:v>
      </x:c>
      <x:c r="O3037" s="16" t="n">
        <x:f>MAX(0,(M3037-N3037)*24)</x:f>
        <x:v>0.5500000000465661</x:v>
      </x:c>
      <x:c r="P3037" s="9" t="str">
        <x:v>No</x:v>
      </x:c>
      <x:c r="Q3037" s="15" t="n">
        <x:v>10</x:v>
      </x:c>
      <x:c r="R3037" s="13" t="n">
        <x:f>J3037+Q3037/1440</x:f>
        <x:v>46310.68958333333</x:v>
      </x:c>
      <x:c r="S3037" s="2" t="str">
        <x:f>VLOOKUP(C3037,'MES orders'!$A$8:$H$127,6,FALSE)</x:f>
        <x:v>Urgent</x:v>
      </x:c>
      <x:c r="T3037" s="9" t="str"/>
    </x:row>
    <x:row r="3038" ht="22" customHeight="1">
      <x:c r="A3038" s="2" t="str">
        <x:v>L00234-040</x:v>
      </x:c>
      <x:c r="B3038" s="2" t="str">
        <x:v>L00234</x:v>
      </x:c>
      <x:c r="C3038" s="2" t="str">
        <x:v>SO-26047</x:v>
      </x:c>
      <x:c r="D3038" s="2" t="str">
        <x:v>S-L-AL</x:v>
      </x:c>
      <x:c r="E3038" s="14" t="n">
        <x:v>5</x:v>
      </x:c>
      <x:c r="F3038" s="2" t="str">
        <x:v>Mechanical preassembly</x:v>
      </x:c>
      <x:c r="G3038" s="9" t="str">
        <x:v>AS-03</x:v>
      </x:c>
      <x:c r="H3038" s="15" t="n">
        <x:v>162</x:v>
      </x:c>
      <x:c r="I3038" s="9" t="str">
        <x:v>P16</x:v>
      </x:c>
      <x:c r="J3038" s="11" t="n">
        <x:v>46310.68819444445</x:v>
      </x:c>
      <x:c r="K3038" s="15" t="n">
        <x:v>6</x:v>
      </x:c>
      <x:c r="L3038" s="15" t="n">
        <x:v>7</x:v>
      </x:c>
      <x:c r="M3038" s="13" t="n">
        <x:f>J3038+(K3038+L3038)/1440</x:f>
        <x:v>46310.697222222225</x:v>
      </x:c>
      <x:c r="N3038" s="13" t="n">
        <x:f>VLOOKUP(C3038,'MES orders'!$A$8:$H$127,5,FALSE)</x:f>
        <x:v>46310.666666666664</x:v>
      </x:c>
      <x:c r="O3038" s="16" t="n">
        <x:f>MAX(0,(M3038-N3038)*24)</x:f>
        <x:v>0.7333333334536292</x:v>
      </x:c>
      <x:c r="P3038" s="9" t="str">
        <x:v>No</x:v>
      </x:c>
      <x:c r="Q3038" s="15" t="n">
        <x:v>13</x:v>
      </x:c>
      <x:c r="R3038" s="13" t="n">
        <x:f>J3038+Q3038/1440</x:f>
        <x:v>46310.697222222225</x:v>
      </x:c>
      <x:c r="S3038" s="2" t="str">
        <x:f>VLOOKUP(C3038,'MES orders'!$A$8:$H$127,6,FALSE)</x:f>
        <x:v>Urgent</x:v>
      </x:c>
      <x:c r="T3038" s="9" t="str"/>
    </x:row>
    <x:row r="3039" ht="22" customHeight="1">
      <x:c r="A3039" s="2" t="str">
        <x:v>L00114-010</x:v>
      </x:c>
      <x:c r="B3039" s="2" t="str">
        <x:v>L00114</x:v>
      </x:c>
      <x:c r="C3039" s="2" t="str">
        <x:v>SO-26023</x:v>
      </x:c>
      <x:c r="D3039" s="2" t="str">
        <x:v>R-L-AL</x:v>
      </x:c>
      <x:c r="E3039" s="14" t="n">
        <x:v>20</x:v>
      </x:c>
      <x:c r="F3039" s="2" t="str">
        <x:v>CNC machining</x:v>
      </x:c>
      <x:c r="G3039" s="9" t="str">
        <x:v>CNC-05</x:v>
      </x:c>
      <x:c r="H3039" s="15" t="n">
        <x:v>85</x:v>
      </x:c>
      <x:c r="I3039" s="9" t="str">
        <x:v>P14</x:v>
      </x:c>
      <x:c r="J3039" s="11" t="n">
        <x:v>46310.688888888886</x:v>
      </x:c>
      <x:c r="K3039" s="15" t="n">
        <x:v>18</x:v>
      </x:c>
      <x:c r="L3039" s="15" t="n">
        <x:v>65</x:v>
      </x:c>
      <x:c r="M3039" s="13" t="n">
        <x:f>J3039+(K3039+L3039)/1440</x:f>
        <x:v>46310.746527777774</x:v>
      </x:c>
      <x:c r="N3039" s="13" t="n">
        <x:f>VLOOKUP(C3039,'MES orders'!$A$8:$H$127,5,FALSE)</x:f>
        <x:v>46310.666666666664</x:v>
      </x:c>
      <x:c r="O3039" s="16" t="n">
        <x:f>MAX(0,(M3039-N3039)*24)</x:f>
        <x:v>1.9166666666278616</x:v>
      </x:c>
      <x:c r="P3039" s="9" t="str">
        <x:v>No</x:v>
      </x:c>
      <x:c r="Q3039" s="15" t="n">
        <x:v>18</x:v>
      </x:c>
      <x:c r="R3039" s="13" t="n">
        <x:f>J3039+Q3039/1440</x:f>
        <x:v>46310.70138888888</x:v>
      </x:c>
      <x:c r="S3039" s="2" t="str">
        <x:f>VLOOKUP(C3039,'MES orders'!$A$8:$H$127,6,FALSE)</x:f>
        <x:v>Normal</x:v>
      </x:c>
      <x:c r="T3039" s="9" t="str"/>
    </x:row>
    <x:row r="3040" ht="22" customHeight="1">
      <x:c r="A3040" s="2" t="str">
        <x:v>L00355-020</x:v>
      </x:c>
      <x:c r="B3040" s="2" t="str">
        <x:v>L00355</x:v>
      </x:c>
      <x:c r="C3040" s="2" t="str">
        <x:v>SO-26071</x:v>
      </x:c>
      <x:c r="D3040" s="2" t="str">
        <x:v>D-L-AL</x:v>
      </x:c>
      <x:c r="E3040" s="14" t="n">
        <x:v>15</x:v>
      </x:c>
      <x:c r="F3040" s="2" t="str">
        <x:v>Deburr &amp; inspect</x:v>
      </x:c>
      <x:c r="G3040" s="9" t="str">
        <x:v>DB-02</x:v>
      </x:c>
      <x:c r="H3040" s="15" t="n">
        <x:v>198</x:v>
      </x:c>
      <x:c r="I3040" s="9" t="str">
        <x:v>P13</x:v>
      </x:c>
      <x:c r="J3040" s="11" t="n">
        <x:v>46310.688888888886</x:v>
      </x:c>
      <x:c r="K3040" s="15" t="n">
        <x:v>4</x:v>
      </x:c>
      <x:c r="L3040" s="15" t="n">
        <x:v>14</x:v>
      </x:c>
      <x:c r="M3040" s="13" t="n">
        <x:f>J3040+(K3040+L3040)/1440</x:f>
        <x:v>46310.70138888888</x:v>
      </x:c>
      <x:c r="N3040" s="13" t="n">
        <x:f>VLOOKUP(C3040,'MES orders'!$A$8:$H$127,5,FALSE)</x:f>
        <x:v>46310.666666666664</x:v>
      </x:c>
      <x:c r="O3040" s="16" t="n">
        <x:f>MAX(0,(M3040-N3040)*24)</x:f>
        <x:v>0.8333333332557231</x:v>
      </x:c>
      <x:c r="P3040" s="9" t="str">
        <x:v>No</x:v>
      </x:c>
      <x:c r="Q3040" s="15" t="n">
        <x:v>18</x:v>
      </x:c>
      <x:c r="R3040" s="13" t="n">
        <x:f>J3040+Q3040/1440</x:f>
        <x:v>46310.70138888888</x:v>
      </x:c>
      <x:c r="S3040" s="2" t="str">
        <x:f>VLOOKUP(C3040,'MES orders'!$A$8:$H$127,6,FALSE)</x:f>
        <x:v>High</x:v>
      </x:c>
      <x:c r="T3040" s="9" t="str"/>
    </x:row>
    <x:row r="3041" ht="22" customHeight="1">
      <x:c r="A3041" s="2" t="str">
        <x:v>L00231-080</x:v>
      </x:c>
      <x:c r="B3041" s="2" t="str">
        <x:v>L00231</x:v>
      </x:c>
      <x:c r="C3041" s="2" t="str">
        <x:v>SO-26047</x:v>
      </x:c>
      <x:c r="D3041" s="2" t="str">
        <x:v>S-L-AL</x:v>
      </x:c>
      <x:c r="E3041" s="14" t="n">
        <x:v>5</x:v>
      </x:c>
      <x:c r="F3041" s="2" t="str">
        <x:v>Final leak / function test</x:v>
      </x:c>
      <x:c r="G3041" s="9" t="str">
        <x:v>QA-03</x:v>
      </x:c>
      <x:c r="H3041" s="15" t="n">
        <x:v>134</x:v>
      </x:c>
      <x:c r="I3041" s="9" t="str">
        <x:v>P24</x:v>
      </x:c>
      <x:c r="J3041" s="11" t="n">
        <x:v>46310.688888888886</x:v>
      </x:c>
      <x:c r="K3041" s="15" t="n">
        <x:v>10</x:v>
      </x:c>
      <x:c r="L3041" s="15" t="n">
        <x:v>6</x:v>
      </x:c>
      <x:c r="M3041" s="13" t="n">
        <x:f>J3041+(K3041+L3041)/1440</x:f>
        <x:v>46310.7</x:v>
      </x:c>
      <x:c r="N3041" s="13" t="n">
        <x:f>VLOOKUP(C3041,'MES orders'!$A$8:$H$127,5,FALSE)</x:f>
        <x:v>46310.666666666664</x:v>
      </x:c>
      <x:c r="O3041" s="16" t="n">
        <x:f>MAX(0,(M3041-N3041)*24)</x:f>
        <x:v>0.7999999999883585</x:v>
      </x:c>
      <x:c r="P3041" s="9" t="str">
        <x:v>No</x:v>
      </x:c>
      <x:c r="Q3041" s="15" t="n">
        <x:v>16</x:v>
      </x:c>
      <x:c r="R3041" s="13" t="n">
        <x:f>J3041+Q3041/1440</x:f>
        <x:v>46310.7</x:v>
      </x:c>
      <x:c r="S3041" s="2" t="str">
        <x:f>VLOOKUP(C3041,'MES orders'!$A$8:$H$127,6,FALSE)</x:f>
        <x:v>Urgent</x:v>
      </x:c>
      <x:c r="T3041" s="9" t="str"/>
    </x:row>
    <x:row r="3042" ht="22" customHeight="1">
      <x:c r="A3042" s="2" t="str">
        <x:v>L00233-070</x:v>
      </x:c>
      <x:c r="B3042" s="2" t="str">
        <x:v>L00233</x:v>
      </x:c>
      <x:c r="C3042" s="2" t="str">
        <x:v>SO-26047</x:v>
      </x:c>
      <x:c r="D3042" s="2" t="str">
        <x:v>S-L-AL</x:v>
      </x:c>
      <x:c r="E3042" s="14" t="n">
        <x:v>5</x:v>
      </x:c>
      <x:c r="F3042" s="2" t="str">
        <x:v>Final assembly</x:v>
      </x:c>
      <x:c r="G3042" s="9" t="str">
        <x:v>AS-02</x:v>
      </x:c>
      <x:c r="H3042" s="15" t="n">
        <x:v>196</x:v>
      </x:c>
      <x:c r="I3042" s="9" t="str">
        <x:v>P18</x:v>
      </x:c>
      <x:c r="J3042" s="11" t="n">
        <x:v>46310.68958333333</x:v>
      </x:c>
      <x:c r="K3042" s="15" t="n">
        <x:v>5</x:v>
      </x:c>
      <x:c r="L3042" s="15" t="n">
        <x:v>5</x:v>
      </x:c>
      <x:c r="M3042" s="13" t="n">
        <x:f>J3042+(K3042+L3042)/1440</x:f>
        <x:v>46310.69652777778</x:v>
      </x:c>
      <x:c r="N3042" s="13" t="n">
        <x:f>VLOOKUP(C3042,'MES orders'!$A$8:$H$127,5,FALSE)</x:f>
        <x:v>46310.666666666664</x:v>
      </x:c>
      <x:c r="O3042" s="16" t="n">
        <x:f>MAX(0,(M3042-N3042)*24)</x:f>
        <x:v>0.7166666667326353</x:v>
      </x:c>
      <x:c r="P3042" s="9" t="str">
        <x:v>No</x:v>
      </x:c>
      <x:c r="Q3042" s="15" t="n">
        <x:v>10</x:v>
      </x:c>
      <x:c r="R3042" s="13" t="n">
        <x:f>J3042+Q3042/1440</x:f>
        <x:v>46310.69652777778</x:v>
      </x:c>
      <x:c r="S3042" s="2" t="str">
        <x:f>VLOOKUP(C3042,'MES orders'!$A$8:$H$127,6,FALSE)</x:f>
        <x:v>Urgent</x:v>
      </x:c>
      <x:c r="T3042" s="9" t="str"/>
    </x:row>
    <x:row r="3043" ht="22" customHeight="1">
      <x:c r="A3043" s="2" t="str">
        <x:v>L00235-020</x:v>
      </x:c>
      <x:c r="B3043" s="2" t="str">
        <x:v>L00235</x:v>
      </x:c>
      <x:c r="C3043" s="2" t="str">
        <x:v>SO-26047</x:v>
      </x:c>
      <x:c r="D3043" s="2" t="str">
        <x:v>S-L-AL</x:v>
      </x:c>
      <x:c r="E3043" s="14" t="n">
        <x:v>5</x:v>
      </x:c>
      <x:c r="F3043" s="2" t="str">
        <x:v>Deburr &amp; inspect</x:v>
      </x:c>
      <x:c r="G3043" s="9" t="str">
        <x:v>DB-01</x:v>
      </x:c>
      <x:c r="H3043" s="15" t="n">
        <x:v>285</x:v>
      </x:c>
      <x:c r="I3043" s="9" t="str">
        <x:v>P17</x:v>
      </x:c>
      <x:c r="J3043" s="11" t="n">
        <x:v>46310.69027777778</x:v>
      </x:c>
      <x:c r="K3043" s="15" t="n">
        <x:v>4</x:v>
      </x:c>
      <x:c r="L3043" s="15" t="n">
        <x:v>5</x:v>
      </x:c>
      <x:c r="M3043" s="13" t="n">
        <x:f>J3043+(K3043+L3043)/1440</x:f>
        <x:v>46310.69652777778</x:v>
      </x:c>
      <x:c r="N3043" s="13" t="n">
        <x:f>VLOOKUP(C3043,'MES orders'!$A$8:$H$127,5,FALSE)</x:f>
        <x:v>46310.666666666664</x:v>
      </x:c>
      <x:c r="O3043" s="16" t="n">
        <x:f>MAX(0,(M3043-N3043)*24)</x:f>
        <x:v>0.7166666667326353</x:v>
      </x:c>
      <x:c r="P3043" s="9" t="str">
        <x:v>No</x:v>
      </x:c>
      <x:c r="Q3043" s="15" t="n">
        <x:v>9</x:v>
      </x:c>
      <x:c r="R3043" s="13" t="n">
        <x:f>J3043+Q3043/1440</x:f>
        <x:v>46310.69652777778</x:v>
      </x:c>
      <x:c r="S3043" s="2" t="str">
        <x:f>VLOOKUP(C3043,'MES orders'!$A$8:$H$127,6,FALSE)</x:f>
        <x:v>Urgent</x:v>
      </x:c>
      <x:c r="T3043" s="9" t="str"/>
    </x:row>
    <x:row r="3044" ht="22" customHeight="1">
      <x:c r="A3044" s="2" t="str">
        <x:v>L00588-060</x:v>
      </x:c>
      <x:c r="B3044" s="2" t="str">
        <x:v>L00588</x:v>
      </x:c>
      <x:c r="C3044" s="2" t="str">
        <x:v>SO-26118</x:v>
      </x:c>
      <x:c r="D3044" s="2" t="str">
        <x:v>R-S-SS</x:v>
      </x:c>
      <x:c r="E3044" s="14" t="n">
        <x:v>10</x:v>
      </x:c>
      <x:c r="F3044" s="2" t="str">
        <x:v>Final leak / function test</x:v>
      </x:c>
      <x:c r="G3044" s="9" t="str">
        <x:v>QA-02</x:v>
      </x:c>
      <x:c r="H3044" s="15" t="n">
        <x:v>225</x:v>
      </x:c>
      <x:c r="I3044" s="9" t="str">
        <x:v>P23</x:v>
      </x:c>
      <x:c r="J3044" s="11" t="n">
        <x:v>46310.69027777778</x:v>
      </x:c>
      <x:c r="K3044" s="15" t="n">
        <x:v>10</x:v>
      </x:c>
      <x:c r="L3044" s="15" t="n">
        <x:v>9</x:v>
      </x:c>
      <x:c r="M3044" s="13" t="n">
        <x:f>J3044+(K3044+L3044)/1440</x:f>
        <x:v>46310.70347222222</x:v>
      </x:c>
      <x:c r="N3044" s="13" t="n">
        <x:f>VLOOKUP(C3044,'MES orders'!$A$8:$H$127,5,FALSE)</x:f>
        <x:v>46309.666666666664</x:v>
      </x:c>
      <x:c r="O3044" s="16" t="n">
        <x:f>MAX(0,(M3044-N3044)*24)</x:f>
        <x:v>24.883333333418705</x:v>
      </x:c>
      <x:c r="P3044" s="9" t="str">
        <x:v>No</x:v>
      </x:c>
      <x:c r="Q3044" s="15" t="n">
        <x:v>19</x:v>
      </x:c>
      <x:c r="R3044" s="13" t="n">
        <x:f>J3044+Q3044/1440</x:f>
        <x:v>46310.70347222222</x:v>
      </x:c>
      <x:c r="S3044" s="2" t="str">
        <x:f>VLOOKUP(C3044,'MES orders'!$A$8:$H$127,6,FALSE)</x:f>
        <x:v>Normal</x:v>
      </x:c>
      <x:c r="T3044" s="9" t="str"/>
    </x:row>
    <x:row r="3045" ht="22" customHeight="1">
      <x:c r="A3045" s="2" t="str">
        <x:v>L00312-040</x:v>
      </x:c>
      <x:c r="B3045" s="2" t="str">
        <x:v>L00312</x:v>
      </x:c>
      <x:c r="C3045" s="2" t="str">
        <x:v>SO-26063</x:v>
      </x:c>
      <x:c r="D3045" s="2" t="str">
        <x:v>D-S-AL</x:v>
      </x:c>
      <x:c r="E3045" s="14" t="n">
        <x:v>20</x:v>
      </x:c>
      <x:c r="F3045" s="2" t="str">
        <x:v>Mechanical assembly</x:v>
      </x:c>
      <x:c r="G3045" s="9" t="str">
        <x:v>AS-05</x:v>
      </x:c>
      <x:c r="H3045" s="15" t="n">
        <x:v>62</x:v>
      </x:c>
      <x:c r="I3045" s="9" t="str">
        <x:v>P20</x:v>
      </x:c>
      <x:c r="J3045" s="11" t="n">
        <x:v>46310.69305555556</x:v>
      </x:c>
      <x:c r="K3045" s="15" t="n">
        <x:v>8</x:v>
      </x:c>
      <x:c r="L3045" s="15" t="n">
        <x:v>36</x:v>
      </x:c>
      <x:c r="M3045" s="13" t="n">
        <x:f>J3045+(K3045+L3045)/1440</x:f>
        <x:v>46310.72361111111</x:v>
      </x:c>
      <x:c r="N3045" s="13" t="n">
        <x:f>VLOOKUP(C3045,'MES orders'!$A$8:$H$127,5,FALSE)</x:f>
        <x:v>46310.666666666664</x:v>
      </x:c>
      <x:c r="O3045" s="16" t="n">
        <x:f>MAX(0,(M3045-N3045)*24)</x:f>
        <x:v>1.3666666667559184</x:v>
      </x:c>
      <x:c r="P3045" s="9" t="str">
        <x:v>No</x:v>
      </x:c>
      <x:c r="Q3045" s="15" t="n">
        <x:v>44</x:v>
      </x:c>
      <x:c r="R3045" s="13" t="n">
        <x:f>J3045+Q3045/1440</x:f>
        <x:v>46310.72361111111</x:v>
      </x:c>
      <x:c r="S3045" s="2" t="str">
        <x:f>VLOOKUP(C3045,'MES orders'!$A$8:$H$127,6,FALSE)</x:f>
        <x:v>Normal</x:v>
      </x:c>
      <x:c r="T3045" s="9" t="str"/>
    </x:row>
    <x:row r="3046" ht="22" customHeight="1">
      <x:c r="A3046" s="2" t="str">
        <x:v>L00351-020</x:v>
      </x:c>
      <x:c r="B3046" s="2" t="str">
        <x:v>L00351</x:v>
      </x:c>
      <x:c r="C3046" s="2" t="str">
        <x:v>SO-26071</x:v>
      </x:c>
      <x:c r="D3046" s="2" t="str">
        <x:v>D-L-AL</x:v>
      </x:c>
      <x:c r="E3046" s="14" t="n">
        <x:v>15</x:v>
      </x:c>
      <x:c r="F3046" s="2" t="str">
        <x:v>Deburr &amp; inspect</x:v>
      </x:c>
      <x:c r="G3046" s="9" t="str">
        <x:v>DB-01</x:v>
      </x:c>
      <x:c r="H3046" s="15" t="n">
        <x:v>286</x:v>
      </x:c>
      <x:c r="I3046" s="9" t="str">
        <x:v>P18</x:v>
      </x:c>
      <x:c r="J3046" s="11" t="n">
        <x:v>46310.69652777778</x:v>
      </x:c>
      <x:c r="K3046" s="15" t="n">
        <x:v>4</x:v>
      </x:c>
      <x:c r="L3046" s="15" t="n">
        <x:v>14</x:v>
      </x:c>
      <x:c r="M3046" s="13" t="n">
        <x:f>J3046+(K3046+L3046)/1440</x:f>
        <x:v>46310.709027777775</x:v>
      </x:c>
      <x:c r="N3046" s="13" t="n">
        <x:f>VLOOKUP(C3046,'MES orders'!$A$8:$H$127,5,FALSE)</x:f>
        <x:v>46310.666666666664</x:v>
      </x:c>
      <x:c r="O3046" s="16" t="n">
        <x:f>MAX(0,(M3046-N3046)*24)</x:f>
        <x:v>1.0166666666627862</x:v>
      </x:c>
      <x:c r="P3046" s="9" t="str">
        <x:v>No</x:v>
      </x:c>
      <x:c r="Q3046" s="15" t="n">
        <x:v>18</x:v>
      </x:c>
      <x:c r="R3046" s="13" t="n">
        <x:f>J3046+Q3046/1440</x:f>
        <x:v>46310.709027777775</x:v>
      </x:c>
      <x:c r="S3046" s="2" t="str">
        <x:f>VLOOKUP(C3046,'MES orders'!$A$8:$H$127,6,FALSE)</x:f>
        <x:v>High</x:v>
      </x:c>
      <x:c r="T3046" s="9" t="str"/>
    </x:row>
    <x:row r="3047" ht="22" customHeight="1">
      <x:c r="A3047" s="2" t="str">
        <x:v>L00235-030</x:v>
      </x:c>
      <x:c r="B3047" s="2" t="str">
        <x:v>L00235</x:v>
      </x:c>
      <x:c r="C3047" s="2" t="str">
        <x:v>SO-26047</x:v>
      </x:c>
      <x:c r="D3047" s="2" t="str">
        <x:v>S-L-AL</x:v>
      </x:c>
      <x:c r="E3047" s="14" t="n">
        <x:v>5</x:v>
      </x:c>
      <x:c r="F3047" s="2" t="str">
        <x:v>Wash &amp; dry</x:v>
      </x:c>
      <x:c r="G3047" s="9" t="str">
        <x:v>WS-01</x:v>
      </x:c>
      <x:c r="H3047" s="15" t="n">
        <x:v>278</x:v>
      </x:c>
      <x:c r="I3047" s="9" t="str">
        <x:v>P17</x:v>
      </x:c>
      <x:c r="J3047" s="11" t="n">
        <x:v>46310.69652777778</x:v>
      </x:c>
      <x:c r="K3047" s="15" t="n">
        <x:v>12</x:v>
      </x:c>
      <x:c r="L3047" s="15" t="n">
        <x:v>2</x:v>
      </x:c>
      <x:c r="M3047" s="13" t="n">
        <x:f>J3047+(K3047+L3047)/1440</x:f>
        <x:v>46310.70625</x:v>
      </x:c>
      <x:c r="N3047" s="13" t="n">
        <x:f>VLOOKUP(C3047,'MES orders'!$A$8:$H$127,5,FALSE)</x:f>
        <x:v>46310.666666666664</x:v>
      </x:c>
      <x:c r="O3047" s="16" t="n">
        <x:f>MAX(0,(M3047-N3047)*24)</x:f>
        <x:v>0.9500000001280569</x:v>
      </x:c>
      <x:c r="P3047" s="9" t="str">
        <x:v>No</x:v>
      </x:c>
      <x:c r="Q3047" s="15" t="n">
        <x:v>14</x:v>
      </x:c>
      <x:c r="R3047" s="13" t="n">
        <x:f>J3047+Q3047/1440</x:f>
        <x:v>46310.70625</x:v>
      </x:c>
      <x:c r="S3047" s="2" t="str">
        <x:f>VLOOKUP(C3047,'MES orders'!$A$8:$H$127,6,FALSE)</x:f>
        <x:v>Urgent</x:v>
      </x:c>
      <x:c r="T3047" s="9" t="str"/>
    </x:row>
    <x:row r="3048" ht="22" customHeight="1">
      <x:c r="A3048" s="2" t="str">
        <x:v>L00234-050</x:v>
      </x:c>
      <x:c r="B3048" s="2" t="str">
        <x:v>L00234</x:v>
      </x:c>
      <x:c r="C3048" s="2" t="str">
        <x:v>SO-26047</x:v>
      </x:c>
      <x:c r="D3048" s="2" t="str">
        <x:v>S-L-AL</x:v>
      </x:c>
      <x:c r="E3048" s="14" t="n">
        <x:v>5</x:v>
      </x:c>
      <x:c r="F3048" s="2" t="str">
        <x:v>Sensor installation</x:v>
      </x:c>
      <x:c r="G3048" s="9" t="str">
        <x:v>EL-01</x:v>
      </x:c>
      <x:c r="H3048" s="15" t="n">
        <x:v>104</x:v>
      </x:c>
      <x:c r="I3048" s="9" t="str">
        <x:v>P19</x:v>
      </x:c>
      <x:c r="J3048" s="11" t="n">
        <x:v>46310.697222222225</x:v>
      </x:c>
      <x:c r="K3048" s="15" t="n">
        <x:v>8</x:v>
      </x:c>
      <x:c r="L3048" s="15" t="n">
        <x:v>8</x:v>
      </x:c>
      <x:c r="M3048" s="13" t="n">
        <x:f>J3048+(K3048+L3048)/1440</x:f>
        <x:v>46310.708333333336</x:v>
      </x:c>
      <x:c r="N3048" s="13" t="n">
        <x:f>VLOOKUP(C3048,'MES orders'!$A$8:$H$127,5,FALSE)</x:f>
        <x:v>46310.666666666664</x:v>
      </x:c>
      <x:c r="O3048" s="16" t="n">
        <x:f>MAX(0,(M3048-N3048)*24)</x:f>
        <x:v>1.0000000001164153</x:v>
      </x:c>
      <x:c r="P3048" s="9" t="str">
        <x:v>No</x:v>
      </x:c>
      <x:c r="Q3048" s="15" t="n">
        <x:v>16</x:v>
      </x:c>
      <x:c r="R3048" s="13" t="n">
        <x:f>J3048+Q3048/1440</x:f>
        <x:v>46310.708333333336</x:v>
      </x:c>
      <x:c r="S3048" s="2" t="str">
        <x:f>VLOOKUP(C3048,'MES orders'!$A$8:$H$127,6,FALSE)</x:f>
        <x:v>Urgent</x:v>
      </x:c>
      <x:c r="T3048" s="9" t="str"/>
    </x:row>
    <x:row r="3049" ht="22" customHeight="1">
      <x:c r="A3049" s="2" t="str">
        <x:v>L00232-080</x:v>
      </x:c>
      <x:c r="B3049" s="2" t="str">
        <x:v>L00232</x:v>
      </x:c>
      <x:c r="C3049" s="2" t="str">
        <x:v>SO-26047</x:v>
      </x:c>
      <x:c r="D3049" s="2" t="str">
        <x:v>S-L-AL</x:v>
      </x:c>
      <x:c r="E3049" s="14" t="n">
        <x:v>5</x:v>
      </x:c>
      <x:c r="F3049" s="2" t="str">
        <x:v>Final leak / function test</x:v>
      </x:c>
      <x:c r="G3049" s="9" t="str">
        <x:v>QA-03</x:v>
      </x:c>
      <x:c r="H3049" s="15" t="n">
        <x:v>135</x:v>
      </x:c>
      <x:c r="I3049" s="9" t="str">
        <x:v>P24</x:v>
      </x:c>
      <x:c r="J3049" s="11" t="n">
        <x:v>46310.7</x:v>
      </x:c>
      <x:c r="K3049" s="15" t="n">
        <x:v>10</x:v>
      </x:c>
      <x:c r="L3049" s="15" t="n">
        <x:v>6</x:v>
      </x:c>
      <x:c r="M3049" s="13" t="n">
        <x:f>J3049+(K3049+L3049)/1440</x:f>
        <x:v>46310.71111111111</x:v>
      </x:c>
      <x:c r="N3049" s="13" t="n">
        <x:f>VLOOKUP(C3049,'MES orders'!$A$8:$H$127,5,FALSE)</x:f>
        <x:v>46310.666666666664</x:v>
      </x:c>
      <x:c r="O3049" s="16" t="n">
        <x:f>MAX(0,(M3049-N3049)*24)</x:f>
        <x:v>1.0666666666511446</x:v>
      </x:c>
      <x:c r="P3049" s="9" t="str">
        <x:v>No</x:v>
      </x:c>
      <x:c r="Q3049" s="15" t="n">
        <x:v>16</x:v>
      </x:c>
      <x:c r="R3049" s="13" t="n">
        <x:f>J3049+Q3049/1440</x:f>
        <x:v>46310.71111111111</x:v>
      </x:c>
      <x:c r="S3049" s="2" t="str">
        <x:f>VLOOKUP(C3049,'MES orders'!$A$8:$H$127,6,FALSE)</x:f>
        <x:v>Urgent</x:v>
      </x:c>
      <x:c r="T3049" s="9" t="str"/>
    </x:row>
    <x:row r="3050" ht="22" customHeight="1">
      <x:c r="A3050" s="2" t="str">
        <x:v>L00355-030</x:v>
      </x:c>
      <x:c r="B3050" s="2" t="str">
        <x:v>L00355</x:v>
      </x:c>
      <x:c r="C3050" s="2" t="str">
        <x:v>SO-26071</x:v>
      </x:c>
      <x:c r="D3050" s="2" t="str">
        <x:v>D-L-AL</x:v>
      </x:c>
      <x:c r="E3050" s="14" t="n">
        <x:v>15</x:v>
      </x:c>
      <x:c r="F3050" s="2" t="str">
        <x:v>Wash &amp; dry</x:v>
      </x:c>
      <x:c r="G3050" s="9" t="str">
        <x:v>WS-02</x:v>
      </x:c>
      <x:c r="H3050" s="15" t="n">
        <x:v>205</x:v>
      </x:c>
      <x:c r="I3050" s="9" t="str">
        <x:v>P13</x:v>
      </x:c>
      <x:c r="J3050" s="11" t="n">
        <x:v>46310.70138888889</x:v>
      </x:c>
      <x:c r="K3050" s="15" t="n">
        <x:v>12</x:v>
      </x:c>
      <x:c r="L3050" s="15" t="n">
        <x:v>7</x:v>
      </x:c>
      <x:c r="M3050" s="13" t="n">
        <x:f>J3050+(K3050+L3050)/1440</x:f>
        <x:v>46310.714583333334</x:v>
      </x:c>
      <x:c r="N3050" s="13" t="n">
        <x:f>VLOOKUP(C3050,'MES orders'!$A$8:$H$127,5,FALSE)</x:f>
        <x:v>46310.666666666664</x:v>
      </x:c>
      <x:c r="O3050" s="16" t="n">
        <x:f>MAX(0,(M3050-N3050)*24)</x:f>
        <x:v>1.1500000000814907</x:v>
      </x:c>
      <x:c r="P3050" s="9" t="str">
        <x:v>No</x:v>
      </x:c>
      <x:c r="Q3050" s="15" t="n">
        <x:v>19</x:v>
      </x:c>
      <x:c r="R3050" s="13" t="n">
        <x:f>J3050+Q3050/1440</x:f>
        <x:v>46310.714583333334</x:v>
      </x:c>
      <x:c r="S3050" s="2" t="str">
        <x:f>VLOOKUP(C3050,'MES orders'!$A$8:$H$127,6,FALSE)</x:f>
        <x:v>High</x:v>
      </x:c>
      <x:c r="T3050" s="9" t="str"/>
    </x:row>
    <x:row r="3051" ht="22" customHeight="1">
      <x:c r="A3051" s="2" t="str">
        <x:v>L00233-080</x:v>
      </x:c>
      <x:c r="B3051" s="2" t="str">
        <x:v>L00233</x:v>
      </x:c>
      <x:c r="C3051" s="2" t="str">
        <x:v>SO-26047</x:v>
      </x:c>
      <x:c r="D3051" s="2" t="str">
        <x:v>S-L-AL</x:v>
      </x:c>
      <x:c r="E3051" s="14" t="n">
        <x:v>5</x:v>
      </x:c>
      <x:c r="F3051" s="2" t="str">
        <x:v>Final leak / function test</x:v>
      </x:c>
      <x:c r="G3051" s="9" t="str">
        <x:v>QA-02</x:v>
      </x:c>
      <x:c r="H3051" s="15" t="n">
        <x:v>226</x:v>
      </x:c>
      <x:c r="I3051" s="9" t="str">
        <x:v>P23</x:v>
      </x:c>
      <x:c r="J3051" s="11" t="n">
        <x:v>46310.70347222222</x:v>
      </x:c>
      <x:c r="K3051" s="15" t="n">
        <x:v>10</x:v>
      </x:c>
      <x:c r="L3051" s="15" t="n">
        <x:v>6</x:v>
      </x:c>
      <x:c r="M3051" s="13" t="n">
        <x:f>J3051+(K3051+L3051)/1440</x:f>
        <x:v>46310.714583333334</x:v>
      </x:c>
      <x:c r="N3051" s="13" t="n">
        <x:f>VLOOKUP(C3051,'MES orders'!$A$8:$H$127,5,FALSE)</x:f>
        <x:v>46310.666666666664</x:v>
      </x:c>
      <x:c r="O3051" s="16" t="n">
        <x:f>MAX(0,(M3051-N3051)*24)</x:f>
        <x:v>1.1500000000814907</x:v>
      </x:c>
      <x:c r="P3051" s="9" t="str">
        <x:v>No</x:v>
      </x:c>
      <x:c r="Q3051" s="15" t="n">
        <x:v>16</x:v>
      </x:c>
      <x:c r="R3051" s="13" t="n">
        <x:f>J3051+Q3051/1440</x:f>
        <x:v>46310.714583333334</x:v>
      </x:c>
      <x:c r="S3051" s="2" t="str">
        <x:f>VLOOKUP(C3051,'MES orders'!$A$8:$H$127,6,FALSE)</x:f>
        <x:v>Urgent</x:v>
      </x:c>
      <x:c r="T3051" s="9" t="str"/>
    </x:row>
    <x:row r="3052" ht="22" customHeight="1">
      <x:c r="A3052" s="2" t="str">
        <x:v>L00235-040</x:v>
      </x:c>
      <x:c r="B3052" s="2" t="str">
        <x:v>L00235</x:v>
      </x:c>
      <x:c r="C3052" s="2" t="str">
        <x:v>SO-26047</x:v>
      </x:c>
      <x:c r="D3052" s="2" t="str">
        <x:v>S-L-AL</x:v>
      </x:c>
      <x:c r="E3052" s="14" t="n">
        <x:v>5</x:v>
      </x:c>
      <x:c r="F3052" s="2" t="str">
        <x:v>Mechanical preassembly</x:v>
      </x:c>
      <x:c r="G3052" s="9" t="str">
        <x:v>AS-01</x:v>
      </x:c>
      <x:c r="H3052" s="15" t="n">
        <x:v>239</x:v>
      </x:c>
      <x:c r="I3052" s="9" t="str">
        <x:v>P16</x:v>
      </x:c>
      <x:c r="J3052" s="11" t="n">
        <x:v>46310.70625</x:v>
      </x:c>
      <x:c r="K3052" s="15" t="n">
        <x:v>6</x:v>
      </x:c>
      <x:c r="L3052" s="15" t="n">
        <x:v>7</x:v>
      </x:c>
      <x:c r="M3052" s="13" t="n">
        <x:f>J3052+(K3052+L3052)/1440</x:f>
        <x:v>46310.71527777778</x:v>
      </x:c>
      <x:c r="N3052" s="13" t="n">
        <x:f>VLOOKUP(C3052,'MES orders'!$A$8:$H$127,5,FALSE)</x:f>
        <x:v>46310.666666666664</x:v>
      </x:c>
      <x:c r="O3052" s="16" t="n">
        <x:f>MAX(0,(M3052-N3052)*24)</x:f>
        <x:v>1.1666666668024845</x:v>
      </x:c>
      <x:c r="P3052" s="9" t="str">
        <x:v>No</x:v>
      </x:c>
      <x:c r="Q3052" s="15" t="n">
        <x:v>13</x:v>
      </x:c>
      <x:c r="R3052" s="13" t="n">
        <x:f>J3052+Q3052/1440</x:f>
        <x:v>46310.71527777778</x:v>
      </x:c>
      <x:c r="S3052" s="2" t="str">
        <x:f>VLOOKUP(C3052,'MES orders'!$A$8:$H$127,6,FALSE)</x:f>
        <x:v>Urgent</x:v>
      </x:c>
      <x:c r="T3052" s="9" t="str"/>
    </x:row>
    <x:row r="3053" ht="22" customHeight="1">
      <x:c r="A3053" s="2" t="str">
        <x:v>L00115-010</x:v>
      </x:c>
      <x:c r="B3053" s="2" t="str">
        <x:v>L00115</x:v>
      </x:c>
      <x:c r="C3053" s="2" t="str">
        <x:v>SO-26023</x:v>
      </x:c>
      <x:c r="D3053" s="2" t="str">
        <x:v>R-L-AL</x:v>
      </x:c>
      <x:c r="E3053" s="14" t="n">
        <x:v>20</x:v>
      </x:c>
      <x:c r="F3053" s="2" t="str">
        <x:v>CNC machining</x:v>
      </x:c>
      <x:c r="G3053" s="9" t="str">
        <x:v>CNC-06</x:v>
      </x:c>
      <x:c r="H3053" s="15" t="n">
        <x:v>78</x:v>
      </x:c>
      <x:c r="I3053" s="9" t="str">
        <x:v>P14</x:v>
      </x:c>
      <x:c r="J3053" s="11" t="n">
        <x:v>46310.70625</x:v>
      </x:c>
      <x:c r="K3053" s="15" t="n">
        <x:v>18</x:v>
      </x:c>
      <x:c r="L3053" s="15" t="n">
        <x:v>65</x:v>
      </x:c>
      <x:c r="M3053" s="13" t="n">
        <x:f>J3053+(K3053+L3053)/1440</x:f>
        <x:v>46310.76388888889</x:v>
      </x:c>
      <x:c r="N3053" s="13" t="n">
        <x:f>VLOOKUP(C3053,'MES orders'!$A$8:$H$127,5,FALSE)</x:f>
        <x:v>46310.666666666664</x:v>
      </x:c>
      <x:c r="O3053" s="16" t="n">
        <x:f>MAX(0,(M3053-N3053)*24)</x:f>
        <x:v>2.333333333430346</x:v>
      </x:c>
      <x:c r="P3053" s="9" t="str">
        <x:v>No</x:v>
      </x:c>
      <x:c r="Q3053" s="15" t="n">
        <x:v>18</x:v>
      </x:c>
      <x:c r="R3053" s="13" t="n">
        <x:f>J3053+Q3053/1440</x:f>
        <x:v>46310.71875</x:v>
      </x:c>
      <x:c r="S3053" s="2" t="str">
        <x:f>VLOOKUP(C3053,'MES orders'!$A$8:$H$127,6,FALSE)</x:f>
        <x:v>Normal</x:v>
      </x:c>
      <x:c r="T3053" s="9" t="str"/>
    </x:row>
    <x:row r="3054" ht="22" customHeight="1">
      <x:c r="A3054" s="2" t="str">
        <x:v>L00352-020</x:v>
      </x:c>
      <x:c r="B3054" s="2" t="str">
        <x:v>L00352</x:v>
      </x:c>
      <x:c r="C3054" s="2" t="str">
        <x:v>SO-26071</x:v>
      </x:c>
      <x:c r="D3054" s="2" t="str">
        <x:v>D-L-AL</x:v>
      </x:c>
      <x:c r="E3054" s="14" t="n">
        <x:v>15</x:v>
      </x:c>
      <x:c r="F3054" s="2" t="str">
        <x:v>Deburr &amp; inspect</x:v>
      </x:c>
      <x:c r="G3054" s="9" t="str">
        <x:v>DB-02</x:v>
      </x:c>
      <x:c r="H3054" s="15" t="n">
        <x:v>199</x:v>
      </x:c>
      <x:c r="I3054" s="9" t="str">
        <x:v>P17</x:v>
      </x:c>
      <x:c r="J3054" s="11" t="n">
        <x:v>46310.70625</x:v>
      </x:c>
      <x:c r="K3054" s="15" t="n">
        <x:v>4</x:v>
      </x:c>
      <x:c r="L3054" s="15" t="n">
        <x:v>14</x:v>
      </x:c>
      <x:c r="M3054" s="13" t="n">
        <x:f>J3054+(K3054+L3054)/1440</x:f>
        <x:v>46310.71875</x:v>
      </x:c>
      <x:c r="N3054" s="13" t="n">
        <x:f>VLOOKUP(C3054,'MES orders'!$A$8:$H$127,5,FALSE)</x:f>
        <x:v>46310.666666666664</x:v>
      </x:c>
      <x:c r="O3054" s="16" t="n">
        <x:f>MAX(0,(M3054-N3054)*24)</x:f>
        <x:v>1.2500000000582077</x:v>
      </x:c>
      <x:c r="P3054" s="9" t="str">
        <x:v>No</x:v>
      </x:c>
      <x:c r="Q3054" s="15" t="n">
        <x:v>18</x:v>
      </x:c>
      <x:c r="R3054" s="13" t="n">
        <x:f>J3054+Q3054/1440</x:f>
        <x:v>46310.71875</x:v>
      </x:c>
      <x:c r="S3054" s="2" t="str">
        <x:f>VLOOKUP(C3054,'MES orders'!$A$8:$H$127,6,FALSE)</x:f>
        <x:v>High</x:v>
      </x:c>
      <x:c r="T3054" s="9" t="str"/>
    </x:row>
    <x:row r="3055" ht="22" customHeight="1">
      <x:c r="A3055" s="2" t="str">
        <x:v>L00234-060</x:v>
      </x:c>
      <x:c r="B3055" s="2" t="str">
        <x:v>L00234</x:v>
      </x:c>
      <x:c r="C3055" s="2" t="str">
        <x:v>SO-26047</x:v>
      </x:c>
      <x:c r="D3055" s="2" t="str">
        <x:v>S-L-AL</x:v>
      </x:c>
      <x:c r="E3055" s="14" t="n">
        <x:v>5</x:v>
      </x:c>
      <x:c r="F3055" s="2" t="str">
        <x:v>Sensor calibration</x:v>
      </x:c>
      <x:c r="G3055" s="9" t="str">
        <x:v>CAL-01</x:v>
      </x:c>
      <x:c r="H3055" s="15" t="n">
        <x:v>154</x:v>
      </x:c>
      <x:c r="I3055" s="9" t="str">
        <x:v>P21</x:v>
      </x:c>
      <x:c r="J3055" s="11" t="n">
        <x:v>46310.708333333336</x:v>
      </x:c>
      <x:c r="K3055" s="15" t="n">
        <x:v>10</x:v>
      </x:c>
      <x:c r="L3055" s="15" t="n">
        <x:v>9</x:v>
      </x:c>
      <x:c r="M3055" s="13" t="n">
        <x:f>J3055+(K3055+L3055)/1440</x:f>
        <x:v>46310.72152777778</x:v>
      </x:c>
      <x:c r="N3055" s="13" t="n">
        <x:f>VLOOKUP(C3055,'MES orders'!$A$8:$H$127,5,FALSE)</x:f>
        <x:v>46310.666666666664</x:v>
      </x:c>
      <x:c r="O3055" s="16" t="n">
        <x:f>MAX(0,(M3055-N3055)*24)</x:f>
        <x:v>1.31666666676756</x:v>
      </x:c>
      <x:c r="P3055" s="9" t="str">
        <x:v>No</x:v>
      </x:c>
      <x:c r="Q3055" s="15" t="n">
        <x:v>19</x:v>
      </x:c>
      <x:c r="R3055" s="13" t="n">
        <x:f>J3055+Q3055/1440</x:f>
        <x:v>46310.72152777778</x:v>
      </x:c>
      <x:c r="S3055" s="2" t="str">
        <x:f>VLOOKUP(C3055,'MES orders'!$A$8:$H$127,6,FALSE)</x:f>
        <x:v>Urgent</x:v>
      </x:c>
      <x:c r="T3055" s="9" t="str"/>
    </x:row>
    <x:row r="3056" ht="22" customHeight="1">
      <x:c r="A3056" s="2" t="str">
        <x:v>L00351-030</x:v>
      </x:c>
      <x:c r="B3056" s="2" t="str">
        <x:v>L00351</x:v>
      </x:c>
      <x:c r="C3056" s="2" t="str">
        <x:v>SO-26071</x:v>
      </x:c>
      <x:c r="D3056" s="2" t="str">
        <x:v>D-L-AL</x:v>
      </x:c>
      <x:c r="E3056" s="14" t="n">
        <x:v>15</x:v>
      </x:c>
      <x:c r="F3056" s="2" t="str">
        <x:v>Wash &amp; dry</x:v>
      </x:c>
      <x:c r="G3056" s="9" t="str">
        <x:v>WS-01</x:v>
      </x:c>
      <x:c r="H3056" s="15" t="n">
        <x:v>279</x:v>
      </x:c>
      <x:c r="I3056" s="9" t="str">
        <x:v>P18</x:v>
      </x:c>
      <x:c r="J3056" s="11" t="n">
        <x:v>46310.709027777775</x:v>
      </x:c>
      <x:c r="K3056" s="15" t="n">
        <x:v>12</x:v>
      </x:c>
      <x:c r="L3056" s="15" t="n">
        <x:v>7</x:v>
      </x:c>
      <x:c r="M3056" s="13" t="n">
        <x:f>J3056+(K3056+L3056)/1440</x:f>
        <x:v>46310.72222222222</x:v>
      </x:c>
      <x:c r="N3056" s="13" t="n">
        <x:f>VLOOKUP(C3056,'MES orders'!$A$8:$H$127,5,FALSE)</x:f>
        <x:v>46310.666666666664</x:v>
      </x:c>
      <x:c r="O3056" s="16" t="n">
        <x:f>MAX(0,(M3056-N3056)*24)</x:f>
        <x:v>1.3333333333139308</x:v>
      </x:c>
      <x:c r="P3056" s="9" t="str">
        <x:v>No</x:v>
      </x:c>
      <x:c r="Q3056" s="15" t="n">
        <x:v>19</x:v>
      </x:c>
      <x:c r="R3056" s="13" t="n">
        <x:f>J3056+Q3056/1440</x:f>
        <x:v>46310.72222222222</x:v>
      </x:c>
      <x:c r="S3056" s="2" t="str">
        <x:f>VLOOKUP(C3056,'MES orders'!$A$8:$H$127,6,FALSE)</x:f>
        <x:v>High</x:v>
      </x:c>
      <x:c r="T3056" s="9" t="str"/>
    </x:row>
    <x:row r="3057" ht="22" customHeight="1">
      <x:c r="A3057" s="2" t="str">
        <x:v>L00315-010</x:v>
      </x:c>
      <x:c r="B3057" s="2" t="str">
        <x:v>L00315</x:v>
      </x:c>
      <x:c r="C3057" s="2" t="str">
        <x:v>SO-26063</x:v>
      </x:c>
      <x:c r="D3057" s="2" t="str">
        <x:v>D-S-AL</x:v>
      </x:c>
      <x:c r="E3057" s="14" t="n">
        <x:v>20</x:v>
      </x:c>
      <x:c r="F3057" s="2" t="str">
        <x:v>CNC machining</x:v>
      </x:c>
      <x:c r="G3057" s="9" t="str">
        <x:v>CNC-03</x:v>
      </x:c>
      <x:c r="H3057" s="15" t="n">
        <x:v>98</x:v>
      </x:c>
      <x:c r="I3057" s="9" t="str">
        <x:v>P15</x:v>
      </x:c>
      <x:c r="J3057" s="11" t="n">
        <x:v>46310.71111111111</x:v>
      </x:c>
      <x:c r="K3057" s="15" t="n">
        <x:v>18</x:v>
      </x:c>
      <x:c r="L3057" s="15" t="n">
        <x:v>48</x:v>
      </x:c>
      <x:c r="M3057" s="13" t="n">
        <x:f>J3057+(K3057+L3057)/1440</x:f>
        <x:v>46310.75694444444</x:v>
      </x:c>
      <x:c r="N3057" s="13" t="n">
        <x:f>VLOOKUP(C3057,'MES orders'!$A$8:$H$127,5,FALSE)</x:f>
        <x:v>46310.666666666664</x:v>
      </x:c>
      <x:c r="O3057" s="16" t="n">
        <x:f>MAX(0,(M3057-N3057)*24)</x:f>
        <x:v>2.166666666569654</x:v>
      </x:c>
      <x:c r="P3057" s="9" t="str">
        <x:v>No</x:v>
      </x:c>
      <x:c r="Q3057" s="15" t="n">
        <x:v>18</x:v>
      </x:c>
      <x:c r="R3057" s="13" t="n">
        <x:f>J3057+Q3057/1440</x:f>
        <x:v>46310.723611111105</x:v>
      </x:c>
      <x:c r="S3057" s="2" t="str">
        <x:f>VLOOKUP(C3057,'MES orders'!$A$8:$H$127,6,FALSE)</x:f>
        <x:v>Normal</x:v>
      </x:c>
      <x:c r="T3057" s="9" t="str"/>
    </x:row>
    <x:row r="3058" ht="22" customHeight="1">
      <x:c r="A3058" s="2" t="str">
        <x:v>L00311-050</x:v>
      </x:c>
      <x:c r="B3058" s="2" t="str">
        <x:v>L00311</x:v>
      </x:c>
      <x:c r="C3058" s="2" t="str">
        <x:v>SO-26063</x:v>
      </x:c>
      <x:c r="D3058" s="2" t="str">
        <x:v>D-S-AL</x:v>
      </x:c>
      <x:c r="E3058" s="14" t="n">
        <x:v>20</x:v>
      </x:c>
      <x:c r="F3058" s="2" t="str">
        <x:v>Final leak / function test</x:v>
      </x:c>
      <x:c r="G3058" s="9" t="str">
        <x:v>QA-01</x:v>
      </x:c>
      <x:c r="H3058" s="15" t="n">
        <x:v>118</x:v>
      </x:c>
      <x:c r="I3058" s="9" t="str">
        <x:v>P24</x:v>
      </x:c>
      <x:c r="J3058" s="11" t="n">
        <x:v>46310.71111111111</x:v>
      </x:c>
      <x:c r="K3058" s="15" t="n">
        <x:v>10</x:v>
      </x:c>
      <x:c r="L3058" s="15" t="n">
        <x:v>18</x:v>
      </x:c>
      <x:c r="M3058" s="13" t="n">
        <x:f>J3058+(K3058+L3058)/1440</x:f>
        <x:v>46310.73055555555</x:v>
      </x:c>
      <x:c r="N3058" s="13" t="n">
        <x:f>VLOOKUP(C3058,'MES orders'!$A$8:$H$127,5,FALSE)</x:f>
        <x:v>46310.666666666664</x:v>
      </x:c>
      <x:c r="O3058" s="16" t="n">
        <x:f>MAX(0,(M3058-N3058)*24)</x:f>
        <x:v>1.5333333332673647</x:v>
      </x:c>
      <x:c r="P3058" s="9" t="str">
        <x:v>No</x:v>
      </x:c>
      <x:c r="Q3058" s="15" t="n">
        <x:v>28</x:v>
      </x:c>
      <x:c r="R3058" s="13" t="n">
        <x:f>J3058+Q3058/1440</x:f>
        <x:v>46310.73055555555</x:v>
      </x:c>
      <x:c r="S3058" s="2" t="str">
        <x:f>VLOOKUP(C3058,'MES orders'!$A$8:$H$127,6,FALSE)</x:f>
        <x:v>Normal</x:v>
      </x:c>
      <x:c r="T3058" s="9" t="str"/>
    </x:row>
    <x:row r="3059" ht="22" customHeight="1">
      <x:c r="A3059" s="2" t="str">
        <x:v>L00355-040</x:v>
      </x:c>
      <x:c r="B3059" s="2" t="str">
        <x:v>L00355</x:v>
      </x:c>
      <x:c r="C3059" s="2" t="str">
        <x:v>SO-26071</x:v>
      </x:c>
      <x:c r="D3059" s="2" t="str">
        <x:v>D-L-AL</x:v>
      </x:c>
      <x:c r="E3059" s="14" t="n">
        <x:v>15</x:v>
      </x:c>
      <x:c r="F3059" s="2" t="str">
        <x:v>Mechanical assembly</x:v>
      </x:c>
      <x:c r="G3059" s="9" t="str">
        <x:v>AS-02</x:v>
      </x:c>
      <x:c r="H3059" s="15" t="n">
        <x:v>197</x:v>
      </x:c>
      <x:c r="I3059" s="9" t="str">
        <x:v>P13</x:v>
      </x:c>
      <x:c r="J3059" s="11" t="n">
        <x:v>46310.714583333334</x:v>
      </x:c>
      <x:c r="K3059" s="15" t="n">
        <x:v>8</x:v>
      </x:c>
      <x:c r="L3059" s="15" t="n">
        <x:v>36</x:v>
      </x:c>
      <x:c r="M3059" s="13" t="n">
        <x:f>J3059+(K3059+L3059)/1440</x:f>
        <x:v>46310.74513888889</x:v>
      </x:c>
      <x:c r="N3059" s="13" t="n">
        <x:f>VLOOKUP(C3059,'MES orders'!$A$8:$H$127,5,FALSE)</x:f>
        <x:v>46310.666666666664</x:v>
      </x:c>
      <x:c r="O3059" s="16" t="n">
        <x:f>MAX(0,(M3059-N3059)*24)</x:f>
        <x:v>1.883333333360497</x:v>
      </x:c>
      <x:c r="P3059" s="9" t="str">
        <x:v>No</x:v>
      </x:c>
      <x:c r="Q3059" s="15" t="n">
        <x:v>44</x:v>
      </x:c>
      <x:c r="R3059" s="13" t="n">
        <x:f>J3059+Q3059/1440</x:f>
        <x:v>46310.74513888889</x:v>
      </x:c>
      <x:c r="S3059" s="2" t="str">
        <x:f>VLOOKUP(C3059,'MES orders'!$A$8:$H$127,6,FALSE)</x:f>
        <x:v>High</x:v>
      </x:c>
      <x:c r="T3059" s="9" t="str"/>
    </x:row>
    <x:row r="3060" ht="22" customHeight="1">
      <x:c r="A3060" s="2" t="str">
        <x:v>L00235-050</x:v>
      </x:c>
      <x:c r="B3060" s="2" t="str">
        <x:v>L00235</x:v>
      </x:c>
      <x:c r="C3060" s="2" t="str">
        <x:v>SO-26047</x:v>
      </x:c>
      <x:c r="D3060" s="2" t="str">
        <x:v>S-L-AL</x:v>
      </x:c>
      <x:c r="E3060" s="14" t="n">
        <x:v>5</x:v>
      </x:c>
      <x:c r="F3060" s="2" t="str">
        <x:v>Sensor installation</x:v>
      </x:c>
      <x:c r="G3060" s="9" t="str">
        <x:v>EL-01</x:v>
      </x:c>
      <x:c r="H3060" s="15" t="n">
        <x:v>105</x:v>
      </x:c>
      <x:c r="I3060" s="9" t="str">
        <x:v>P19</x:v>
      </x:c>
      <x:c r="J3060" s="11" t="n">
        <x:v>46310.71527777778</x:v>
      </x:c>
      <x:c r="K3060" s="15" t="n">
        <x:v>8</x:v>
      </x:c>
      <x:c r="L3060" s="15" t="n">
        <x:v>8</x:v>
      </x:c>
      <x:c r="M3060" s="13" t="n">
        <x:f>J3060+(K3060+L3060)/1440</x:f>
        <x:v>46310.72638888889</x:v>
      </x:c>
      <x:c r="N3060" s="13" t="n">
        <x:f>VLOOKUP(C3060,'MES orders'!$A$8:$H$127,5,FALSE)</x:f>
        <x:v>46310.666666666664</x:v>
      </x:c>
      <x:c r="O3060" s="16" t="n">
        <x:f>MAX(0,(M3060-N3060)*24)</x:f>
        <x:v>1.4333333334652707</x:v>
      </x:c>
      <x:c r="P3060" s="9" t="str">
        <x:v>No</x:v>
      </x:c>
      <x:c r="Q3060" s="15" t="n">
        <x:v>16</x:v>
      </x:c>
      <x:c r="R3060" s="13" t="n">
        <x:f>J3060+Q3060/1440</x:f>
        <x:v>46310.72638888889</x:v>
      </x:c>
      <x:c r="S3060" s="2" t="str">
        <x:f>VLOOKUP(C3060,'MES orders'!$A$8:$H$127,6,FALSE)</x:f>
        <x:v>Urgent</x:v>
      </x:c>
      <x:c r="T3060" s="9" t="str"/>
    </x:row>
    <x:row r="3061" ht="22" customHeight="1">
      <x:c r="A3061" s="2" t="str">
        <x:v>L00352-030</x:v>
      </x:c>
      <x:c r="B3061" s="2" t="str">
        <x:v>L00352</x:v>
      </x:c>
      <x:c r="C3061" s="2" t="str">
        <x:v>SO-26071</x:v>
      </x:c>
      <x:c r="D3061" s="2" t="str">
        <x:v>D-L-AL</x:v>
      </x:c>
      <x:c r="E3061" s="14" t="n">
        <x:v>15</x:v>
      </x:c>
      <x:c r="F3061" s="2" t="str">
        <x:v>Wash &amp; dry</x:v>
      </x:c>
      <x:c r="G3061" s="9" t="str">
        <x:v>WS-02</x:v>
      </x:c>
      <x:c r="H3061" s="15" t="n">
        <x:v>206</x:v>
      </x:c>
      <x:c r="I3061" s="9" t="str">
        <x:v>P16</x:v>
      </x:c>
      <x:c r="J3061" s="11" t="n">
        <x:v>46310.71875</x:v>
      </x:c>
      <x:c r="K3061" s="15" t="n">
        <x:v>12</x:v>
      </x:c>
      <x:c r="L3061" s="15" t="n">
        <x:v>7</x:v>
      </x:c>
      <x:c r="M3061" s="13" t="n">
        <x:f>J3061+(K3061+L3061)/1440</x:f>
        <x:v>46310.731944444444</x:v>
      </x:c>
      <x:c r="N3061" s="13" t="n">
        <x:f>VLOOKUP(C3061,'MES orders'!$A$8:$H$127,5,FALSE)</x:f>
        <x:v>46310.666666666664</x:v>
      </x:c>
      <x:c r="O3061" s="16" t="n">
        <x:f>MAX(0,(M3061-N3061)*24)</x:f>
        <x:v>1.5666666667093523</x:v>
      </x:c>
      <x:c r="P3061" s="9" t="str">
        <x:v>No</x:v>
      </x:c>
      <x:c r="Q3061" s="15" t="n">
        <x:v>19</x:v>
      </x:c>
      <x:c r="R3061" s="13" t="n">
        <x:f>J3061+Q3061/1440</x:f>
        <x:v>46310.731944444444</x:v>
      </x:c>
      <x:c r="S3061" s="2" t="str">
        <x:f>VLOOKUP(C3061,'MES orders'!$A$8:$H$127,6,FALSE)</x:f>
        <x:v>High</x:v>
      </x:c>
      <x:c r="T3061" s="9" t="str"/>
    </x:row>
    <x:row r="3062" ht="22" customHeight="1">
      <x:c r="A3062" s="2" t="str">
        <x:v>L00113-020</x:v>
      </x:c>
      <x:c r="B3062" s="2" t="str">
        <x:v>L00113</x:v>
      </x:c>
      <x:c r="C3062" s="2" t="str">
        <x:v>SO-26023</x:v>
      </x:c>
      <x:c r="D3062" s="2" t="str">
        <x:v>R-L-AL</x:v>
      </x:c>
      <x:c r="E3062" s="14" t="n">
        <x:v>20</x:v>
      </x:c>
      <x:c r="F3062" s="2" t="str">
        <x:v>Deburr &amp; inspect</x:v>
      </x:c>
      <x:c r="G3062" s="9" t="str">
        <x:v>DB-02</x:v>
      </x:c>
      <x:c r="H3062" s="15" t="n">
        <x:v>200</x:v>
      </x:c>
      <x:c r="I3062" s="9" t="str">
        <x:v>P14</x:v>
      </x:c>
      <x:c r="J3062" s="11" t="n">
        <x:v>46310.72083333333</x:v>
      </x:c>
      <x:c r="K3062" s="15" t="n">
        <x:v>4</x:v>
      </x:c>
      <x:c r="L3062" s="15" t="n">
        <x:v>19</x:v>
      </x:c>
      <x:c r="M3062" s="13" t="n">
        <x:f>J3062+(K3062+L3062)/1440</x:f>
        <x:v>46310.736805555556</x:v>
      </x:c>
      <x:c r="N3062" s="13" t="n">
        <x:f>VLOOKUP(C3062,'MES orders'!$A$8:$H$127,5,FALSE)</x:f>
        <x:v>46310.666666666664</x:v>
      </x:c>
      <x:c r="O3062" s="16" t="n">
        <x:f>MAX(0,(M3062-N3062)*24)</x:f>
        <x:v>1.683333333407063</x:v>
      </x:c>
      <x:c r="P3062" s="9" t="str">
        <x:v>No</x:v>
      </x:c>
      <x:c r="Q3062" s="15" t="n">
        <x:v>23</x:v>
      </x:c>
      <x:c r="R3062" s="13" t="n">
        <x:f>J3062+Q3062/1440</x:f>
        <x:v>46310.736805555556</x:v>
      </x:c>
      <x:c r="S3062" s="2" t="str">
        <x:f>VLOOKUP(C3062,'MES orders'!$A$8:$H$127,6,FALSE)</x:f>
        <x:v>Normal</x:v>
      </x:c>
      <x:c r="T3062" s="9" t="str"/>
    </x:row>
    <x:row r="3063" ht="22" customHeight="1">
      <x:c r="A3063" s="2" t="str">
        <x:v>L00234-070</x:v>
      </x:c>
      <x:c r="B3063" s="2" t="str">
        <x:v>L00234</x:v>
      </x:c>
      <x:c r="C3063" s="2" t="str">
        <x:v>SO-26047</x:v>
      </x:c>
      <x:c r="D3063" s="2" t="str">
        <x:v>S-L-AL</x:v>
      </x:c>
      <x:c r="E3063" s="14" t="n">
        <x:v>5</x:v>
      </x:c>
      <x:c r="F3063" s="2" t="str">
        <x:v>Final assembly</x:v>
      </x:c>
      <x:c r="G3063" s="9" t="str">
        <x:v>AS-01</x:v>
      </x:c>
      <x:c r="H3063" s="15" t="n">
        <x:v>240</x:v>
      </x:c>
      <x:c r="I3063" s="9" t="str">
        <x:v>P17</x:v>
      </x:c>
      <x:c r="J3063" s="11" t="n">
        <x:v>46310.72152777778</x:v>
      </x:c>
      <x:c r="K3063" s="15" t="n">
        <x:v>5</x:v>
      </x:c>
      <x:c r="L3063" s="15" t="n">
        <x:v>5</x:v>
      </x:c>
      <x:c r="M3063" s="13" t="n">
        <x:f>J3063+(K3063+L3063)/1440</x:f>
        <x:v>46310.728472222225</x:v>
      </x:c>
      <x:c r="N3063" s="13" t="n">
        <x:f>VLOOKUP(C3063,'MES orders'!$A$8:$H$127,5,FALSE)</x:f>
        <x:v>46310.666666666664</x:v>
      </x:c>
      <x:c r="O3063" s="16" t="n">
        <x:f>MAX(0,(M3063-N3063)*24)</x:f>
        <x:v>1.4833333334536292</x:v>
      </x:c>
      <x:c r="P3063" s="9" t="str">
        <x:v>No</x:v>
      </x:c>
      <x:c r="Q3063" s="15" t="n">
        <x:v>10</x:v>
      </x:c>
      <x:c r="R3063" s="13" t="n">
        <x:f>J3063+Q3063/1440</x:f>
        <x:v>46310.728472222225</x:v>
      </x:c>
      <x:c r="S3063" s="2" t="str">
        <x:f>VLOOKUP(C3063,'MES orders'!$A$8:$H$127,6,FALSE)</x:f>
        <x:v>Urgent</x:v>
      </x:c>
      <x:c r="T3063" s="9" t="str"/>
    </x:row>
    <x:row r="3064" ht="22" customHeight="1">
      <x:c r="A3064" s="2" t="str">
        <x:v>L00353-020</x:v>
      </x:c>
      <x:c r="B3064" s="2" t="str">
        <x:v>L00353</x:v>
      </x:c>
      <x:c r="C3064" s="2" t="str">
        <x:v>SO-26071</x:v>
      </x:c>
      <x:c r="D3064" s="2" t="str">
        <x:v>D-L-AL</x:v>
      </x:c>
      <x:c r="E3064" s="14" t="n">
        <x:v>15</x:v>
      </x:c>
      <x:c r="F3064" s="2" t="str">
        <x:v>Deburr &amp; inspect</x:v>
      </x:c>
      <x:c r="G3064" s="9" t="str">
        <x:v>DB-01</x:v>
      </x:c>
      <x:c r="H3064" s="15" t="n">
        <x:v>287</x:v>
      </x:c>
      <x:c r="I3064" s="9" t="str">
        <x:v>P18</x:v>
      </x:c>
      <x:c r="J3064" s="11" t="n">
        <x:v>46310.72222222222</x:v>
      </x:c>
      <x:c r="K3064" s="15" t="n">
        <x:v>4</x:v>
      </x:c>
      <x:c r="L3064" s="15" t="n">
        <x:v>14</x:v>
      </x:c>
      <x:c r="M3064" s="13" t="n">
        <x:f>J3064+(K3064+L3064)/1440</x:f>
        <x:v>46310.734722222216</x:v>
      </x:c>
      <x:c r="N3064" s="13" t="n">
        <x:f>VLOOKUP(C3064,'MES orders'!$A$8:$H$127,5,FALSE)</x:f>
        <x:v>46310.666666666664</x:v>
      </x:c>
      <x:c r="O3064" s="16" t="n">
        <x:f>MAX(0,(M3064-N3064)*24)</x:f>
        <x:v>1.6333333332440816</x:v>
      </x:c>
      <x:c r="P3064" s="9" t="str">
        <x:v>No</x:v>
      </x:c>
      <x:c r="Q3064" s="15" t="n">
        <x:v>18</x:v>
      </x:c>
      <x:c r="R3064" s="13" t="n">
        <x:f>J3064+Q3064/1440</x:f>
        <x:v>46310.734722222216</x:v>
      </x:c>
      <x:c r="S3064" s="2" t="str">
        <x:f>VLOOKUP(C3064,'MES orders'!$A$8:$H$127,6,FALSE)</x:f>
        <x:v>High</x:v>
      </x:c>
      <x:c r="T3064" s="9" t="str"/>
    </x:row>
    <x:row r="3065" ht="22" customHeight="1">
      <x:c r="A3065" s="2" t="str">
        <x:v>L00391-010</x:v>
      </x:c>
      <x:c r="B3065" s="2" t="str">
        <x:v>L00391</x:v>
      </x:c>
      <x:c r="C3065" s="2" t="str">
        <x:v>SO-26079</x:v>
      </x:c>
      <x:c r="D3065" s="2" t="str">
        <x:v>R-C-AL</x:v>
      </x:c>
      <x:c r="E3065" s="14" t="n">
        <x:v>20</x:v>
      </x:c>
      <x:c r="F3065" s="2" t="str">
        <x:v>CNC machining</x:v>
      </x:c>
      <x:c r="G3065" s="9" t="str">
        <x:v>CNC-01</x:v>
      </x:c>
      <x:c r="H3065" s="15" t="n">
        <x:v>83</x:v>
      </x:c>
      <x:c r="I3065" s="9" t="str">
        <x:v>P15</x:v>
      </x:c>
      <x:c r="J3065" s="11" t="n">
        <x:v>46310.72361111111</x:v>
      </x:c>
      <x:c r="K3065" s="15" t="n">
        <x:v>18</x:v>
      </x:c>
      <x:c r="L3065" s="15" t="n">
        <x:v>38</x:v>
      </x:c>
      <x:c r="M3065" s="13" t="n">
        <x:f>J3065+(K3065+L3065)/1440</x:f>
        <x:v>46310.762500000004</x:v>
      </x:c>
      <x:c r="N3065" s="13" t="n">
        <x:f>VLOOKUP(C3065,'MES orders'!$A$8:$H$127,5,FALSE)</x:f>
        <x:v>46310.666666666664</x:v>
      </x:c>
      <x:c r="O3065" s="16" t="n">
        <x:f>MAX(0,(M3065-N3065)*24)</x:f>
        <x:v>2.3000000001629815</x:v>
      </x:c>
      <x:c r="P3065" s="9" t="str">
        <x:v>No</x:v>
      </x:c>
      <x:c r="Q3065" s="15" t="n">
        <x:v>18</x:v>
      </x:c>
      <x:c r="R3065" s="13" t="n">
        <x:f>J3065+Q3065/1440</x:f>
        <x:v>46310.73611111111</x:v>
      </x:c>
      <x:c r="S3065" s="2" t="str">
        <x:f>VLOOKUP(C3065,'MES orders'!$A$8:$H$127,6,FALSE)</x:f>
        <x:v>Normal</x:v>
      </x:c>
      <x:c r="T3065" s="9" t="str"/>
    </x:row>
    <x:row r="3066" ht="22" customHeight="1">
      <x:c r="A3066" s="2" t="str">
        <x:v>L00235-060</x:v>
      </x:c>
      <x:c r="B3066" s="2" t="str">
        <x:v>L00235</x:v>
      </x:c>
      <x:c r="C3066" s="2" t="str">
        <x:v>SO-26047</x:v>
      </x:c>
      <x:c r="D3066" s="2" t="str">
        <x:v>S-L-AL</x:v>
      </x:c>
      <x:c r="E3066" s="14" t="n">
        <x:v>5</x:v>
      </x:c>
      <x:c r="F3066" s="2" t="str">
        <x:v>Sensor calibration</x:v>
      </x:c>
      <x:c r="G3066" s="9" t="str">
        <x:v>CAL-01</x:v>
      </x:c>
      <x:c r="H3066" s="15" t="n">
        <x:v>155</x:v>
      </x:c>
      <x:c r="I3066" s="9" t="str">
        <x:v>P21</x:v>
      </x:c>
      <x:c r="J3066" s="11" t="n">
        <x:v>46310.72638888889</x:v>
      </x:c>
      <x:c r="K3066" s="15" t="n">
        <x:v>10</x:v>
      </x:c>
      <x:c r="L3066" s="15" t="n">
        <x:v>9</x:v>
      </x:c>
      <x:c r="M3066" s="13" t="n">
        <x:f>J3066+(K3066+L3066)/1440</x:f>
        <x:v>46310.739583333336</x:v>
      </x:c>
      <x:c r="N3066" s="13" t="n">
        <x:f>VLOOKUP(C3066,'MES orders'!$A$8:$H$127,5,FALSE)</x:f>
        <x:v>46310.666666666664</x:v>
      </x:c>
      <x:c r="O3066" s="16" t="n">
        <x:f>MAX(0,(M3066-N3066)*24)</x:f>
        <x:v>1.7500000001164153</x:v>
      </x:c>
      <x:c r="P3066" s="9" t="str">
        <x:v>No</x:v>
      </x:c>
      <x:c r="Q3066" s="15" t="n">
        <x:v>19</x:v>
      </x:c>
      <x:c r="R3066" s="13" t="n">
        <x:f>J3066+Q3066/1440</x:f>
        <x:v>46310.739583333336</x:v>
      </x:c>
      <x:c r="S3066" s="2" t="str">
        <x:f>VLOOKUP(C3066,'MES orders'!$A$8:$H$127,6,FALSE)</x:f>
        <x:v>Urgent</x:v>
      </x:c>
      <x:c r="T3066" s="9" t="str"/>
    </x:row>
    <x:row r="3067" ht="22" customHeight="1">
      <x:c r="A3067" s="2" t="str">
        <x:v>L00234-080</x:v>
      </x:c>
      <x:c r="B3067" s="2" t="str">
        <x:v>L00234</x:v>
      </x:c>
      <x:c r="C3067" s="2" t="str">
        <x:v>SO-26047</x:v>
      </x:c>
      <x:c r="D3067" s="2" t="str">
        <x:v>S-L-AL</x:v>
      </x:c>
      <x:c r="E3067" s="14" t="n">
        <x:v>5</x:v>
      </x:c>
      <x:c r="F3067" s="2" t="str">
        <x:v>Final leak / function test</x:v>
      </x:c>
      <x:c r="G3067" s="9" t="str">
        <x:v>QA-02</x:v>
      </x:c>
      <x:c r="H3067" s="15" t="n">
        <x:v>227</x:v>
      </x:c>
      <x:c r="I3067" s="9" t="str">
        <x:v>P23</x:v>
      </x:c>
      <x:c r="J3067" s="11" t="n">
        <x:v>46310.728472222225</x:v>
      </x:c>
      <x:c r="K3067" s="15" t="n">
        <x:v>10</x:v>
      </x:c>
      <x:c r="L3067" s="15" t="n">
        <x:v>6</x:v>
      </x:c>
      <x:c r="M3067" s="13" t="n">
        <x:f>J3067+(K3067+L3067)/1440</x:f>
        <x:v>46310.739583333336</x:v>
      </x:c>
      <x:c r="N3067" s="13" t="n">
        <x:f>VLOOKUP(C3067,'MES orders'!$A$8:$H$127,5,FALSE)</x:f>
        <x:v>46310.666666666664</x:v>
      </x:c>
      <x:c r="O3067" s="16" t="n">
        <x:f>MAX(0,(M3067-N3067)*24)</x:f>
        <x:v>1.7500000001164153</x:v>
      </x:c>
      <x:c r="P3067" s="9" t="str">
        <x:v>No</x:v>
      </x:c>
      <x:c r="Q3067" s="15" t="n">
        <x:v>16</x:v>
      </x:c>
      <x:c r="R3067" s="13" t="n">
        <x:f>J3067+Q3067/1440</x:f>
        <x:v>46310.739583333336</x:v>
      </x:c>
      <x:c r="S3067" s="2" t="str">
        <x:f>VLOOKUP(C3067,'MES orders'!$A$8:$H$127,6,FALSE)</x:f>
        <x:v>Urgent</x:v>
      </x:c>
      <x:c r="T3067" s="9" t="str"/>
    </x:row>
    <x:row r="3068" ht="22" customHeight="1">
      <x:c r="A3068" s="2" t="str">
        <x:v>L00312-050</x:v>
      </x:c>
      <x:c r="B3068" s="2" t="str">
        <x:v>L00312</x:v>
      </x:c>
      <x:c r="C3068" s="2" t="str">
        <x:v>SO-26063</x:v>
      </x:c>
      <x:c r="D3068" s="2" t="str">
        <x:v>D-S-AL</x:v>
      </x:c>
      <x:c r="E3068" s="14" t="n">
        <x:v>20</x:v>
      </x:c>
      <x:c r="F3068" s="2" t="str">
        <x:v>Final leak / function test</x:v>
      </x:c>
      <x:c r="G3068" s="9" t="str">
        <x:v>QA-01</x:v>
      </x:c>
      <x:c r="H3068" s="15" t="n">
        <x:v>119</x:v>
      </x:c>
      <x:c r="I3068" s="9" t="str">
        <x:v>P24</x:v>
      </x:c>
      <x:c r="J3068" s="11" t="n">
        <x:v>46310.73055555556</x:v>
      </x:c>
      <x:c r="K3068" s="15" t="n">
        <x:v>10</x:v>
      </x:c>
      <x:c r="L3068" s="15" t="n">
        <x:v>18</x:v>
      </x:c>
      <x:c r="M3068" s="13" t="n">
        <x:f>J3068+(K3068+L3068)/1440</x:f>
        <x:v>46310.75</x:v>
      </x:c>
      <x:c r="N3068" s="13" t="n">
        <x:f>VLOOKUP(C3068,'MES orders'!$A$8:$H$127,5,FALSE)</x:f>
        <x:v>46310.666666666664</x:v>
      </x:c>
      <x:c r="O3068" s="16" t="n">
        <x:f>MAX(0,(M3068-N3068)*24)</x:f>
        <x:v>2.0000000000582077</x:v>
      </x:c>
      <x:c r="P3068" s="9" t="str">
        <x:v>No</x:v>
      </x:c>
      <x:c r="Q3068" s="15" t="n">
        <x:v>28</x:v>
      </x:c>
      <x:c r="R3068" s="13" t="n">
        <x:f>J3068+Q3068/1440</x:f>
        <x:v>46310.75</x:v>
      </x:c>
      <x:c r="S3068" s="2" t="str">
        <x:f>VLOOKUP(C3068,'MES orders'!$A$8:$H$127,6,FALSE)</x:f>
        <x:v>Normal</x:v>
      </x:c>
      <x:c r="T3068" s="9" t="str"/>
    </x:row>
    <x:row r="3069" ht="22" customHeight="1">
      <x:c r="A3069" s="2" t="str">
        <x:v>L00354-020</x:v>
      </x:c>
      <x:c r="B3069" s="2" t="str">
        <x:v>L00354</x:v>
      </x:c>
      <x:c r="C3069" s="2" t="str">
        <x:v>SO-26071</x:v>
      </x:c>
      <x:c r="D3069" s="2" t="str">
        <x:v>D-L-AL</x:v>
      </x:c>
      <x:c r="E3069" s="14" t="n">
        <x:v>15</x:v>
      </x:c>
      <x:c r="F3069" s="2" t="str">
        <x:v>Deburr &amp; inspect</x:v>
      </x:c>
      <x:c r="G3069" s="9" t="str">
        <x:v>DB-01</x:v>
      </x:c>
      <x:c r="H3069" s="15" t="n">
        <x:v>288</x:v>
      </x:c>
      <x:c r="I3069" s="9" t="str">
        <x:v>P18</x:v>
      </x:c>
      <x:c r="J3069" s="11" t="n">
        <x:v>46310.73472222222</x:v>
      </x:c>
      <x:c r="K3069" s="15" t="n">
        <x:v>4</x:v>
      </x:c>
      <x:c r="L3069" s="15" t="n">
        <x:v>14</x:v>
      </x:c>
      <x:c r="M3069" s="13" t="n">
        <x:f>J3069+(K3069+L3069)/1440</x:f>
        <x:v>46310.74722222222</x:v>
      </x:c>
      <x:c r="N3069" s="13" t="n">
        <x:f>VLOOKUP(C3069,'MES orders'!$A$8:$H$127,5,FALSE)</x:f>
        <x:v>46310.666666666664</x:v>
      </x:c>
      <x:c r="O3069" s="16" t="n">
        <x:f>MAX(0,(M3069-N3069)*24)</x:f>
        <x:v>1.9333333333488554</x:v>
      </x:c>
      <x:c r="P3069" s="9" t="str">
        <x:v>No</x:v>
      </x:c>
      <x:c r="Q3069" s="15" t="n">
        <x:v>18</x:v>
      </x:c>
      <x:c r="R3069" s="13" t="n">
        <x:f>J3069+Q3069/1440</x:f>
        <x:v>46310.74722222222</x:v>
      </x:c>
      <x:c r="S3069" s="2" t="str">
        <x:f>VLOOKUP(C3069,'MES orders'!$A$8:$H$127,6,FALSE)</x:f>
        <x:v>High</x:v>
      </x:c>
      <x:c r="T3069" s="9" t="str"/>
    </x:row>
    <x:row r="3070" ht="22" customHeight="1">
      <x:c r="A3070" s="2" t="str">
        <x:v>L00353-030</x:v>
      </x:c>
      <x:c r="B3070" s="2" t="str">
        <x:v>L00353</x:v>
      </x:c>
      <x:c r="C3070" s="2" t="str">
        <x:v>SO-26071</x:v>
      </x:c>
      <x:c r="D3070" s="2" t="str">
        <x:v>D-L-AL</x:v>
      </x:c>
      <x:c r="E3070" s="14" t="n">
        <x:v>15</x:v>
      </x:c>
      <x:c r="F3070" s="2" t="str">
        <x:v>Wash &amp; dry</x:v>
      </x:c>
      <x:c r="G3070" s="9" t="str">
        <x:v>WS-01</x:v>
      </x:c>
      <x:c r="H3070" s="15" t="n">
        <x:v>280</x:v>
      </x:c>
      <x:c r="I3070" s="9" t="str">
        <x:v>P16</x:v>
      </x:c>
      <x:c r="J3070" s="11" t="n">
        <x:v>46310.73472222222</x:v>
      </x:c>
      <x:c r="K3070" s="15" t="n">
        <x:v>12</x:v>
      </x:c>
      <x:c r="L3070" s="15" t="n">
        <x:v>7</x:v>
      </x:c>
      <x:c r="M3070" s="13" t="n">
        <x:f>J3070+(K3070+L3070)/1440</x:f>
        <x:v>46310.74791666667</x:v>
      </x:c>
      <x:c r="N3070" s="13" t="n">
        <x:f>VLOOKUP(C3070,'MES orders'!$A$8:$H$127,5,FALSE)</x:f>
        <x:v>46310.666666666664</x:v>
      </x:c>
      <x:c r="O3070" s="16" t="n">
        <x:f>MAX(0,(M3070-N3070)*24)</x:f>
        <x:v>1.9500000000698492</x:v>
      </x:c>
      <x:c r="P3070" s="9" t="str">
        <x:v>No</x:v>
      </x:c>
      <x:c r="Q3070" s="15" t="n">
        <x:v>19</x:v>
      </x:c>
      <x:c r="R3070" s="13" t="n">
        <x:f>J3070+Q3070/1440</x:f>
        <x:v>46310.74791666667</x:v>
      </x:c>
      <x:c r="S3070" s="2" t="str">
        <x:f>VLOOKUP(C3070,'MES orders'!$A$8:$H$127,6,FALSE)</x:f>
        <x:v>High</x:v>
      </x:c>
      <x:c r="T3070" s="9" t="str"/>
    </x:row>
    <x:row r="3071" ht="22" customHeight="1">
      <x:c r="A3071" s="2" t="str">
        <x:v>L00392-010</x:v>
      </x:c>
      <x:c r="B3071" s="2" t="str">
        <x:v>L00392</x:v>
      </x:c>
      <x:c r="C3071" s="2" t="str">
        <x:v>SO-26079</x:v>
      </x:c>
      <x:c r="D3071" s="2" t="str">
        <x:v>R-C-AL</x:v>
      </x:c>
      <x:c r="E3071" s="14" t="n">
        <x:v>20</x:v>
      </x:c>
      <x:c r="F3071" s="2" t="str">
        <x:v>CNC machining</x:v>
      </x:c>
      <x:c r="G3071" s="9" t="str">
        <x:v>CNC-02</x:v>
      </x:c>
      <x:c r="H3071" s="15" t="n">
        <x:v>60</x:v>
      </x:c>
      <x:c r="I3071" s="9" t="str">
        <x:v>P15</x:v>
      </x:c>
      <x:c r="J3071" s="11" t="n">
        <x:v>46310.73611111111</x:v>
      </x:c>
      <x:c r="K3071" s="15" t="n">
        <x:v>18</x:v>
      </x:c>
      <x:c r="L3071" s="15" t="n">
        <x:v>38</x:v>
      </x:c>
      <x:c r="M3071" s="13" t="n">
        <x:f>J3071+(K3071+L3071)/1440</x:f>
        <x:v>46310.775</x:v>
      </x:c>
      <x:c r="N3071" s="13" t="n">
        <x:f>VLOOKUP(C3071,'MES orders'!$A$8:$H$127,5,FALSE)</x:f>
        <x:v>46310.666666666664</x:v>
      </x:c>
      <x:c r="O3071" s="16" t="n">
        <x:f>MAX(0,(M3071-N3071)*24)</x:f>
        <x:v>2.6000000000931323</x:v>
      </x:c>
      <x:c r="P3071" s="9" t="str">
        <x:v>No</x:v>
      </x:c>
      <x:c r="Q3071" s="15" t="n">
        <x:v>18</x:v>
      </x:c>
      <x:c r="R3071" s="13" t="n">
        <x:f>J3071+Q3071/1440</x:f>
        <x:v>46310.74861111111</x:v>
      </x:c>
      <x:c r="S3071" s="2" t="str">
        <x:f>VLOOKUP(C3071,'MES orders'!$A$8:$H$127,6,FALSE)</x:f>
        <x:v>Normal</x:v>
      </x:c>
      <x:c r="T3071" s="9" t="str"/>
    </x:row>
    <x:row r="3072" ht="22" customHeight="1">
      <x:c r="A3072" s="2" t="str">
        <x:v>L00313-020</x:v>
      </x:c>
      <x:c r="B3072" s="2" t="str">
        <x:v>L00313</x:v>
      </x:c>
      <x:c r="C3072" s="2" t="str">
        <x:v>SO-26063</x:v>
      </x:c>
      <x:c r="D3072" s="2" t="str">
        <x:v>D-S-AL</x:v>
      </x:c>
      <x:c r="E3072" s="14" t="n">
        <x:v>20</x:v>
      </x:c>
      <x:c r="F3072" s="2" t="str">
        <x:v>Deburr &amp; inspect</x:v>
      </x:c>
      <x:c r="G3072" s="9" t="str">
        <x:v>DB-02</x:v>
      </x:c>
      <x:c r="H3072" s="15" t="n">
        <x:v>201</x:v>
      </x:c>
      <x:c r="I3072" s="9" t="str">
        <x:v>P14</x:v>
      </x:c>
      <x:c r="J3072" s="11" t="n">
        <x:v>46310.736805555556</x:v>
      </x:c>
      <x:c r="K3072" s="15" t="n">
        <x:v>4</x:v>
      </x:c>
      <x:c r="L3072" s="15" t="n">
        <x:v>14</x:v>
      </x:c>
      <x:c r="M3072" s="13" t="n">
        <x:f>J3072+(K3072+L3072)/1440</x:f>
        <x:v>46310.74930555555</x:v>
      </x:c>
      <x:c r="N3072" s="13" t="n">
        <x:f>VLOOKUP(C3072,'MES orders'!$A$8:$H$127,5,FALSE)</x:f>
        <x:v>46310.666666666664</x:v>
      </x:c>
      <x:c r="O3072" s="16" t="n">
        <x:f>MAX(0,(M3072-N3072)*24)</x:f>
        <x:v>1.9833333333372138</x:v>
      </x:c>
      <x:c r="P3072" s="9" t="str">
        <x:v>No</x:v>
      </x:c>
      <x:c r="Q3072" s="15" t="n">
        <x:v>18</x:v>
      </x:c>
      <x:c r="R3072" s="13" t="n">
        <x:f>J3072+Q3072/1440</x:f>
        <x:v>46310.74930555555</x:v>
      </x:c>
      <x:c r="S3072" s="2" t="str">
        <x:f>VLOOKUP(C3072,'MES orders'!$A$8:$H$127,6,FALSE)</x:f>
        <x:v>Normal</x:v>
      </x:c>
      <x:c r="T3072" s="9" t="str"/>
    </x:row>
    <x:row r="3073" ht="22" customHeight="1">
      <x:c r="A3073" s="2" t="str">
        <x:v>L00235-070</x:v>
      </x:c>
      <x:c r="B3073" s="2" t="str">
        <x:v>L00235</x:v>
      </x:c>
      <x:c r="C3073" s="2" t="str">
        <x:v>SO-26047</x:v>
      </x:c>
      <x:c r="D3073" s="2" t="str">
        <x:v>S-L-AL</x:v>
      </x:c>
      <x:c r="E3073" s="14" t="n">
        <x:v>5</x:v>
      </x:c>
      <x:c r="F3073" s="2" t="str">
        <x:v>Final assembly</x:v>
      </x:c>
      <x:c r="G3073" s="9" t="str">
        <x:v>AS-01</x:v>
      </x:c>
      <x:c r="H3073" s="15" t="n">
        <x:v>241</x:v>
      </x:c>
      <x:c r="I3073" s="9" t="str">
        <x:v>P17</x:v>
      </x:c>
      <x:c r="J3073" s="11" t="n">
        <x:v>46310.739583333336</x:v>
      </x:c>
      <x:c r="K3073" s="15" t="n">
        <x:v>5</x:v>
      </x:c>
      <x:c r="L3073" s="15" t="n">
        <x:v>5</x:v>
      </x:c>
      <x:c r="M3073" s="13" t="n">
        <x:f>J3073+(K3073+L3073)/1440</x:f>
        <x:v>46310.74652777778</x:v>
      </x:c>
      <x:c r="N3073" s="13" t="n">
        <x:f>VLOOKUP(C3073,'MES orders'!$A$8:$H$127,5,FALSE)</x:f>
        <x:v>46310.666666666664</x:v>
      </x:c>
      <x:c r="O3073" s="16" t="n">
        <x:f>MAX(0,(M3073-N3073)*24)</x:f>
        <x:v>1.9166666668024845</x:v>
      </x:c>
      <x:c r="P3073" s="9" t="str">
        <x:v>No</x:v>
      </x:c>
      <x:c r="Q3073" s="15" t="n">
        <x:v>10</x:v>
      </x:c>
      <x:c r="R3073" s="13" t="n">
        <x:f>J3073+Q3073/1440</x:f>
        <x:v>46310.74652777778</x:v>
      </x:c>
      <x:c r="S3073" s="2" t="str">
        <x:f>VLOOKUP(C3073,'MES orders'!$A$8:$H$127,6,FALSE)</x:f>
        <x:v>Urgent</x:v>
      </x:c>
      <x:c r="T3073" s="9" t="str"/>
    </x:row>
    <x:row r="3074" ht="22" customHeight="1">
      <x:c r="A3074" s="2" t="str">
        <x:v>L00351-040</x:v>
      </x:c>
      <x:c r="B3074" s="2" t="str">
        <x:v>L00351</x:v>
      </x:c>
      <x:c r="C3074" s="2" t="str">
        <x:v>SO-26071</x:v>
      </x:c>
      <x:c r="D3074" s="2" t="str">
        <x:v>D-L-AL</x:v>
      </x:c>
      <x:c r="E3074" s="14" t="n">
        <x:v>15</x:v>
      </x:c>
      <x:c r="F3074" s="2" t="str">
        <x:v>Mechanical assembly</x:v>
      </x:c>
      <x:c r="G3074" s="9" t="str">
        <x:v>AS-01</x:v>
      </x:c>
      <x:c r="H3074" s="15" t="n">
        <x:v>242</x:v>
      </x:c>
      <x:c r="I3074" s="9" t="str">
        <x:v>P16</x:v>
      </x:c>
      <x:c r="J3074" s="11" t="n">
        <x:v>46310.770833333336</x:v>
      </x:c>
      <x:c r="K3074" s="15" t="n">
        <x:v>8</x:v>
      </x:c>
      <x:c r="L3074" s="15" t="n">
        <x:v>36</x:v>
      </x:c>
      <x:c r="M3074" s="13" t="n">
        <x:f>J3074+(K3074+L3074)/1440</x:f>
        <x:v>46310.80138888889</x:v>
      </x:c>
      <x:c r="N3074" s="13" t="n">
        <x:f>VLOOKUP(C3074,'MES orders'!$A$8:$H$127,5,FALSE)</x:f>
        <x:v>46310.666666666664</x:v>
      </x:c>
      <x:c r="O3074" s="16" t="n">
        <x:f>MAX(0,(M3074-N3074)*24)</x:f>
        <x:v>3.2333333333954215</x:v>
      </x:c>
      <x:c r="P3074" s="9" t="str">
        <x:v>No</x:v>
      </x:c>
      <x:c r="Q3074" s="15" t="n">
        <x:v>44</x:v>
      </x:c>
      <x:c r="R3074" s="13" t="n">
        <x:f>J3074+Q3074/1440</x:f>
        <x:v>46310.80138888889</x:v>
      </x:c>
      <x:c r="S3074" s="2" t="str">
        <x:f>VLOOKUP(C3074,'MES orders'!$A$8:$H$127,6,FALSE)</x:f>
        <x:v>High</x:v>
      </x:c>
      <x:c r="T3074" s="9" t="str"/>
    </x:row>
    <x:row r="3075" ht="22" customHeight="1">
      <x:c r="A3075" s="2" t="str">
        <x:v>L00352-040</x:v>
      </x:c>
      <x:c r="B3075" s="2" t="str">
        <x:v>L00352</x:v>
      </x:c>
      <x:c r="C3075" s="2" t="str">
        <x:v>SO-26071</x:v>
      </x:c>
      <x:c r="D3075" s="2" t="str">
        <x:v>D-L-AL</x:v>
      </x:c>
      <x:c r="E3075" s="14" t="n">
        <x:v>15</x:v>
      </x:c>
      <x:c r="F3075" s="2" t="str">
        <x:v>Mechanical assembly</x:v>
      </x:c>
      <x:c r="G3075" s="9" t="str">
        <x:v>AS-02</x:v>
      </x:c>
      <x:c r="H3075" s="15" t="n">
        <x:v>198</x:v>
      </x:c>
      <x:c r="I3075" s="9" t="str">
        <x:v>P17</x:v>
      </x:c>
      <x:c r="J3075" s="11" t="n">
        <x:v>46310.770833333336</x:v>
      </x:c>
      <x:c r="K3075" s="15" t="n">
        <x:v>8</x:v>
      </x:c>
      <x:c r="L3075" s="15" t="n">
        <x:v>36</x:v>
      </x:c>
      <x:c r="M3075" s="13" t="n">
        <x:f>J3075+(K3075+L3075)/1440</x:f>
        <x:v>46310.80138888889</x:v>
      </x:c>
      <x:c r="N3075" s="13" t="n">
        <x:f>VLOOKUP(C3075,'MES orders'!$A$8:$H$127,5,FALSE)</x:f>
        <x:v>46310.666666666664</x:v>
      </x:c>
      <x:c r="O3075" s="16" t="n">
        <x:f>MAX(0,(M3075-N3075)*24)</x:f>
        <x:v>3.2333333333954215</x:v>
      </x:c>
      <x:c r="P3075" s="9" t="str">
        <x:v>No</x:v>
      </x:c>
      <x:c r="Q3075" s="15" t="n">
        <x:v>44</x:v>
      </x:c>
      <x:c r="R3075" s="13" t="n">
        <x:f>J3075+Q3075/1440</x:f>
        <x:v>46310.80138888889</x:v>
      </x:c>
      <x:c r="S3075" s="2" t="str">
        <x:f>VLOOKUP(C3075,'MES orders'!$A$8:$H$127,6,FALSE)</x:f>
        <x:v>High</x:v>
      </x:c>
      <x:c r="T3075" s="9" t="str"/>
    </x:row>
    <x:row r="3076" ht="22" customHeight="1">
      <x:c r="A3076" s="2" t="str">
        <x:v>L00353-040</x:v>
      </x:c>
      <x:c r="B3076" s="2" t="str">
        <x:v>L00353</x:v>
      </x:c>
      <x:c r="C3076" s="2" t="str">
        <x:v>SO-26071</x:v>
      </x:c>
      <x:c r="D3076" s="2" t="str">
        <x:v>D-L-AL</x:v>
      </x:c>
      <x:c r="E3076" s="14" t="n">
        <x:v>15</x:v>
      </x:c>
      <x:c r="F3076" s="2" t="str">
        <x:v>Mechanical assembly</x:v>
      </x:c>
      <x:c r="G3076" s="9" t="str">
        <x:v>AS-03</x:v>
      </x:c>
      <x:c r="H3076" s="15" t="n">
        <x:v>163</x:v>
      </x:c>
      <x:c r="I3076" s="9" t="str">
        <x:v>P18</x:v>
      </x:c>
      <x:c r="J3076" s="11" t="n">
        <x:v>46310.770833333336</x:v>
      </x:c>
      <x:c r="K3076" s="15" t="n">
        <x:v>8</x:v>
      </x:c>
      <x:c r="L3076" s="15" t="n">
        <x:v>36</x:v>
      </x:c>
      <x:c r="M3076" s="13" t="n">
        <x:f>J3076+(K3076+L3076)/1440</x:f>
        <x:v>46310.80138888889</x:v>
      </x:c>
      <x:c r="N3076" s="13" t="n">
        <x:f>VLOOKUP(C3076,'MES orders'!$A$8:$H$127,5,FALSE)</x:f>
        <x:v>46310.666666666664</x:v>
      </x:c>
      <x:c r="O3076" s="16" t="n">
        <x:f>MAX(0,(M3076-N3076)*24)</x:f>
        <x:v>3.2333333333954215</x:v>
      </x:c>
      <x:c r="P3076" s="9" t="str">
        <x:v>No</x:v>
      </x:c>
      <x:c r="Q3076" s="15" t="n">
        <x:v>44</x:v>
      </x:c>
      <x:c r="R3076" s="13" t="n">
        <x:f>J3076+Q3076/1440</x:f>
        <x:v>46310.80138888889</x:v>
      </x:c>
      <x:c r="S3076" s="2" t="str">
        <x:f>VLOOKUP(C3076,'MES orders'!$A$8:$H$127,6,FALSE)</x:f>
        <x:v>High</x:v>
      </x:c>
      <x:c r="T3076" s="9" t="str"/>
    </x:row>
    <x:row r="3077" ht="22" customHeight="1">
      <x:c r="A3077" s="2" t="str">
        <x:v>L00114-020</x:v>
      </x:c>
      <x:c r="B3077" s="2" t="str">
        <x:v>L00114</x:v>
      </x:c>
      <x:c r="C3077" s="2" t="str">
        <x:v>SO-26023</x:v>
      </x:c>
      <x:c r="D3077" s="2" t="str">
        <x:v>R-L-AL</x:v>
      </x:c>
      <x:c r="E3077" s="14" t="n">
        <x:v>20</x:v>
      </x:c>
      <x:c r="F3077" s="2" t="str">
        <x:v>Deburr &amp; inspect</x:v>
      </x:c>
      <x:c r="G3077" s="9" t="str">
        <x:v>DB-01</x:v>
      </x:c>
      <x:c r="H3077" s="15" t="n">
        <x:v>289</x:v>
      </x:c>
      <x:c r="I3077" s="9" t="str">
        <x:v>P13</x:v>
      </x:c>
      <x:c r="J3077" s="11" t="n">
        <x:v>46310.770833333336</x:v>
      </x:c>
      <x:c r="K3077" s="15" t="n">
        <x:v>4</x:v>
      </x:c>
      <x:c r="L3077" s="15" t="n">
        <x:v>19</x:v>
      </x:c>
      <x:c r="M3077" s="13" t="n">
        <x:f>J3077+(K3077+L3077)/1440</x:f>
        <x:v>46310.78680555556</x:v>
      </x:c>
      <x:c r="N3077" s="13" t="n">
        <x:f>VLOOKUP(C3077,'MES orders'!$A$8:$H$127,5,FALSE)</x:f>
        <x:v>46310.666666666664</x:v>
      </x:c>
      <x:c r="O3077" s="16" t="n">
        <x:f>MAX(0,(M3077-N3077)*24)</x:f>
        <x:v>2.8833333334769122</x:v>
      </x:c>
      <x:c r="P3077" s="9" t="str">
        <x:v>No</x:v>
      </x:c>
      <x:c r="Q3077" s="15" t="n">
        <x:v>23</x:v>
      </x:c>
      <x:c r="R3077" s="13" t="n">
        <x:f>J3077+Q3077/1440</x:f>
        <x:v>46310.78680555556</x:v>
      </x:c>
      <x:c r="S3077" s="2" t="str">
        <x:f>VLOOKUP(C3077,'MES orders'!$A$8:$H$127,6,FALSE)</x:f>
        <x:v>Normal</x:v>
      </x:c>
      <x:c r="T3077" s="9" t="str"/>
    </x:row>
    <x:row r="3078" ht="22" customHeight="1">
      <x:c r="A3078" s="2" t="str">
        <x:v>L00115-020</x:v>
      </x:c>
      <x:c r="B3078" s="2" t="str">
        <x:v>L00115</x:v>
      </x:c>
      <x:c r="C3078" s="2" t="str">
        <x:v>SO-26023</x:v>
      </x:c>
      <x:c r="D3078" s="2" t="str">
        <x:v>R-L-AL</x:v>
      </x:c>
      <x:c r="E3078" s="14" t="n">
        <x:v>20</x:v>
      </x:c>
      <x:c r="F3078" s="2" t="str">
        <x:v>Deburr &amp; inspect</x:v>
      </x:c>
      <x:c r="G3078" s="9" t="str">
        <x:v>DB-02</x:v>
      </x:c>
      <x:c r="H3078" s="15" t="n">
        <x:v>202</x:v>
      </x:c>
      <x:c r="I3078" s="9" t="str">
        <x:v>P14</x:v>
      </x:c>
      <x:c r="J3078" s="11" t="n">
        <x:v>46310.770833333336</x:v>
      </x:c>
      <x:c r="K3078" s="15" t="n">
        <x:v>4</x:v>
      </x:c>
      <x:c r="L3078" s="15" t="n">
        <x:v>19</x:v>
      </x:c>
      <x:c r="M3078" s="13" t="n">
        <x:f>J3078+(K3078+L3078)/1440</x:f>
        <x:v>46310.78680555556</x:v>
      </x:c>
      <x:c r="N3078" s="13" t="n">
        <x:f>VLOOKUP(C3078,'MES orders'!$A$8:$H$127,5,FALSE)</x:f>
        <x:v>46310.666666666664</x:v>
      </x:c>
      <x:c r="O3078" s="16" t="n">
        <x:f>MAX(0,(M3078-N3078)*24)</x:f>
        <x:v>2.8833333334769122</x:v>
      </x:c>
      <x:c r="P3078" s="9" t="str">
        <x:v>No</x:v>
      </x:c>
      <x:c r="Q3078" s="15" t="n">
        <x:v>23</x:v>
      </x:c>
      <x:c r="R3078" s="13" t="n">
        <x:f>J3078+Q3078/1440</x:f>
        <x:v>46310.78680555556</x:v>
      </x:c>
      <x:c r="S3078" s="2" t="str">
        <x:f>VLOOKUP(C3078,'MES orders'!$A$8:$H$127,6,FALSE)</x:f>
        <x:v>Normal</x:v>
      </x:c>
      <x:c r="T3078" s="9" t="str"/>
    </x:row>
    <x:row r="3079" ht="22" customHeight="1">
      <x:c r="A3079" s="2" t="str">
        <x:v>L00355-050</x:v>
      </x:c>
      <x:c r="B3079" s="2" t="str">
        <x:v>L00355</x:v>
      </x:c>
      <x:c r="C3079" s="2" t="str">
        <x:v>SO-26071</x:v>
      </x:c>
      <x:c r="D3079" s="2" t="str">
        <x:v>D-L-AL</x:v>
      </x:c>
      <x:c r="E3079" s="14" t="n">
        <x:v>15</x:v>
      </x:c>
      <x:c r="F3079" s="2" t="str">
        <x:v>Final leak / function test</x:v>
      </x:c>
      <x:c r="G3079" s="9" t="str">
        <x:v>QA-01</x:v>
      </x:c>
      <x:c r="H3079" s="15" t="n">
        <x:v>120</x:v>
      </x:c>
      <x:c r="I3079" s="9" t="str">
        <x:v>P24</x:v>
      </x:c>
      <x:c r="J3079" s="11" t="n">
        <x:v>46310.770833333336</x:v>
      </x:c>
      <x:c r="K3079" s="15" t="n">
        <x:v>10</x:v>
      </x:c>
      <x:c r="L3079" s="15" t="n">
        <x:v>18</x:v>
      </x:c>
      <x:c r="M3079" s="13" t="n">
        <x:f>J3079+(K3079+L3079)/1440</x:f>
        <x:v>46310.79027777778</x:v>
      </x:c>
      <x:c r="N3079" s="13" t="n">
        <x:f>VLOOKUP(C3079,'MES orders'!$A$8:$H$127,5,FALSE)</x:f>
        <x:v>46310.666666666664</x:v>
      </x:c>
      <x:c r="O3079" s="16" t="n">
        <x:f>MAX(0,(M3079-N3079)*24)</x:f>
        <x:v>2.9666666667326353</x:v>
      </x:c>
      <x:c r="P3079" s="9" t="str">
        <x:v>No</x:v>
      </x:c>
      <x:c r="Q3079" s="15" t="n">
        <x:v>28</x:v>
      </x:c>
      <x:c r="R3079" s="13" t="n">
        <x:f>J3079+Q3079/1440</x:f>
        <x:v>46310.79027777778</x:v>
      </x:c>
      <x:c r="S3079" s="2" t="str">
        <x:f>VLOOKUP(C3079,'MES orders'!$A$8:$H$127,6,FALSE)</x:f>
        <x:v>High</x:v>
      </x:c>
      <x:c r="T3079" s="9" t="str"/>
    </x:row>
    <x:row r="3080" ht="22" customHeight="1">
      <x:c r="A3080" s="2" t="str">
        <x:v>L00235-080</x:v>
      </x:c>
      <x:c r="B3080" s="2" t="str">
        <x:v>L00235</x:v>
      </x:c>
      <x:c r="C3080" s="2" t="str">
        <x:v>SO-26047</x:v>
      </x:c>
      <x:c r="D3080" s="2" t="str">
        <x:v>S-L-AL</x:v>
      </x:c>
      <x:c r="E3080" s="14" t="n">
        <x:v>5</x:v>
      </x:c>
      <x:c r="F3080" s="2" t="str">
        <x:v>Final leak / function test</x:v>
      </x:c>
      <x:c r="G3080" s="9" t="str">
        <x:v>QA-02</x:v>
      </x:c>
      <x:c r="H3080" s="15" t="n">
        <x:v>228</x:v>
      </x:c>
      <x:c r="I3080" s="9" t="str">
        <x:v>P23</x:v>
      </x:c>
      <x:c r="J3080" s="11" t="n">
        <x:v>46310.770833333336</x:v>
      </x:c>
      <x:c r="K3080" s="15" t="n">
        <x:v>10</x:v>
      </x:c>
      <x:c r="L3080" s="15" t="n">
        <x:v>6</x:v>
      </x:c>
      <x:c r="M3080" s="13" t="n">
        <x:f>J3080+(K3080+L3080)/1440</x:f>
        <x:v>46310.78194444445</x:v>
      </x:c>
      <x:c r="N3080" s="13" t="n">
        <x:f>VLOOKUP(C3080,'MES orders'!$A$8:$H$127,5,FALSE)</x:f>
        <x:v>46310.666666666664</x:v>
      </x:c>
      <x:c r="O3080" s="16" t="n">
        <x:f>MAX(0,(M3080-N3080)*24)</x:f>
        <x:v>2.7666666667792015</x:v>
      </x:c>
      <x:c r="P3080" s="9" t="str">
        <x:v>No</x:v>
      </x:c>
      <x:c r="Q3080" s="15" t="n">
        <x:v>16</x:v>
      </x:c>
      <x:c r="R3080" s="13" t="n">
        <x:f>J3080+Q3080/1440</x:f>
        <x:v>46310.78194444445</x:v>
      </x:c>
      <x:c r="S3080" s="2" t="str">
        <x:f>VLOOKUP(C3080,'MES orders'!$A$8:$H$127,6,FALSE)</x:f>
        <x:v>Urgent</x:v>
      </x:c>
      <x:c r="T3080" s="9" t="str"/>
    </x:row>
    <x:row r="3081" ht="22" customHeight="1">
      <x:c r="A3081" s="2" t="str">
        <x:v>L00313-030</x:v>
      </x:c>
      <x:c r="B3081" s="2" t="str">
        <x:v>L00313</x:v>
      </x:c>
      <x:c r="C3081" s="2" t="str">
        <x:v>SO-26063</x:v>
      </x:c>
      <x:c r="D3081" s="2" t="str">
        <x:v>D-S-AL</x:v>
      </x:c>
      <x:c r="E3081" s="14" t="n">
        <x:v>20</x:v>
      </x:c>
      <x:c r="F3081" s="2" t="str">
        <x:v>Wash &amp; dry</x:v>
      </x:c>
      <x:c r="G3081" s="9" t="str">
        <x:v>WS-01</x:v>
      </x:c>
      <x:c r="H3081" s="15" t="n">
        <x:v>281</x:v>
      </x:c>
      <x:c r="I3081" s="9" t="str">
        <x:v>P15</x:v>
      </x:c>
      <x:c r="J3081" s="11" t="n">
        <x:v>46310.770833333336</x:v>
      </x:c>
      <x:c r="K3081" s="15" t="n">
        <x:v>12</x:v>
      </x:c>
      <x:c r="L3081" s="15" t="n">
        <x:v>7</x:v>
      </x:c>
      <x:c r="M3081" s="13" t="n">
        <x:f>J3081+(K3081+L3081)/1440</x:f>
        <x:v>46310.78402777778</x:v>
      </x:c>
      <x:c r="N3081" s="13" t="n">
        <x:f>VLOOKUP(C3081,'MES orders'!$A$8:$H$127,5,FALSE)</x:f>
        <x:v>46310.666666666664</x:v>
      </x:c>
      <x:c r="O3081" s="16" t="n">
        <x:f>MAX(0,(M3081-N3081)*24)</x:f>
        <x:v>2.81666666676756</x:v>
      </x:c>
      <x:c r="P3081" s="9" t="str">
        <x:v>No</x:v>
      </x:c>
      <x:c r="Q3081" s="15" t="n">
        <x:v>19</x:v>
      </x:c>
      <x:c r="R3081" s="13" t="n">
        <x:f>J3081+Q3081/1440</x:f>
        <x:v>46310.78402777778</x:v>
      </x:c>
      <x:c r="S3081" s="2" t="str">
        <x:f>VLOOKUP(C3081,'MES orders'!$A$8:$H$127,6,FALSE)</x:f>
        <x:v>Normal</x:v>
      </x:c>
      <x:c r="T3081" s="9" t="str"/>
    </x:row>
    <x:row r="3082" ht="22" customHeight="1">
      <x:c r="A3082" s="2" t="str">
        <x:v>L00313-040</x:v>
      </x:c>
      <x:c r="B3082" s="2" t="str">
        <x:v>L00313</x:v>
      </x:c>
      <x:c r="C3082" s="2" t="str">
        <x:v>SO-26063</x:v>
      </x:c>
      <x:c r="D3082" s="2" t="str">
        <x:v>D-S-AL</x:v>
      </x:c>
      <x:c r="E3082" s="14" t="n">
        <x:v>20</x:v>
      </x:c>
      <x:c r="F3082" s="2" t="str">
        <x:v>Mechanical assembly</x:v>
      </x:c>
      <x:c r="G3082" s="9" t="str">
        <x:v>AS-06</x:v>
      </x:c>
      <x:c r="H3082" s="15" t="n">
        <x:v>24</x:v>
      </x:c>
      <x:c r="I3082" s="9" t="str">
        <x:v>P15</x:v>
      </x:c>
      <x:c r="J3082" s="11" t="n">
        <x:v>46310.78402777778</x:v>
      </x:c>
      <x:c r="K3082" s="15" t="n">
        <x:v>8</x:v>
      </x:c>
      <x:c r="L3082" s="15" t="n">
        <x:v>36</x:v>
      </x:c>
      <x:c r="M3082" s="13" t="n">
        <x:f>J3082+(K3082+L3082)/1440</x:f>
        <x:v>46310.81458333333</x:v>
      </x:c>
      <x:c r="N3082" s="13" t="n">
        <x:f>VLOOKUP(C3082,'MES orders'!$A$8:$H$127,5,FALSE)</x:f>
        <x:v>46310.666666666664</x:v>
      </x:c>
      <x:c r="O3082" s="16" t="n">
        <x:f>MAX(0,(M3082-N3082)*24)</x:f>
        <x:v>3.550000000046566</x:v>
      </x:c>
      <x:c r="P3082" s="9" t="str">
        <x:v>No</x:v>
      </x:c>
      <x:c r="Q3082" s="15" t="n">
        <x:v>44</x:v>
      </x:c>
      <x:c r="R3082" s="13" t="n">
        <x:f>J3082+Q3082/1440</x:f>
        <x:v>46310.81458333333</x:v>
      </x:c>
      <x:c r="S3082" s="2" t="str">
        <x:f>VLOOKUP(C3082,'MES orders'!$A$8:$H$127,6,FALSE)</x:f>
        <x:v>Normal</x:v>
      </x:c>
      <x:c r="T3082" s="9" t="str"/>
    </x:row>
    <x:row r="3083" ht="22" customHeight="1">
      <x:c r="A3083" s="2" t="str">
        <x:v>L00314-020</x:v>
      </x:c>
      <x:c r="B3083" s="2" t="str">
        <x:v>L00314</x:v>
      </x:c>
      <x:c r="C3083" s="2" t="str">
        <x:v>SO-26063</x:v>
      </x:c>
      <x:c r="D3083" s="2" t="str">
        <x:v>D-S-AL</x:v>
      </x:c>
      <x:c r="E3083" s="14" t="n">
        <x:v>20</x:v>
      </x:c>
      <x:c r="F3083" s="2" t="str">
        <x:v>Deburr &amp; inspect</x:v>
      </x:c>
      <x:c r="G3083" s="9" t="str">
        <x:v>DB-01</x:v>
      </x:c>
      <x:c r="H3083" s="15" t="n">
        <x:v>290</x:v>
      </x:c>
      <x:c r="I3083" s="9" t="str">
        <x:v>P19</x:v>
      </x:c>
      <x:c r="J3083" s="11" t="n">
        <x:v>46310.78680555556</x:v>
      </x:c>
      <x:c r="K3083" s="15" t="n">
        <x:v>4</x:v>
      </x:c>
      <x:c r="L3083" s="15" t="n">
        <x:v>14</x:v>
      </x:c>
      <x:c r="M3083" s="13" t="n">
        <x:f>J3083+(K3083+L3083)/1440</x:f>
        <x:v>46310.799305555556</x:v>
      </x:c>
      <x:c r="N3083" s="13" t="n">
        <x:f>VLOOKUP(C3083,'MES orders'!$A$8:$H$127,5,FALSE)</x:f>
        <x:v>46310.666666666664</x:v>
      </x:c>
      <x:c r="O3083" s="16" t="n">
        <x:f>MAX(0,(M3083-N3083)*24)</x:f>
        <x:v>3.183333333407063</x:v>
      </x:c>
      <x:c r="P3083" s="9" t="str">
        <x:v>No</x:v>
      </x:c>
      <x:c r="Q3083" s="15" t="n">
        <x:v>18</x:v>
      </x:c>
      <x:c r="R3083" s="13" t="n">
        <x:f>J3083+Q3083/1440</x:f>
        <x:v>46310.799305555556</x:v>
      </x:c>
      <x:c r="S3083" s="2" t="str">
        <x:f>VLOOKUP(C3083,'MES orders'!$A$8:$H$127,6,FALSE)</x:f>
        <x:v>Normal</x:v>
      </x:c>
      <x:c r="T3083" s="9" t="str"/>
    </x:row>
    <x:row r="3084" ht="22" customHeight="1">
      <x:c r="A3084" s="2" t="str">
        <x:v>L00315-020</x:v>
      </x:c>
      <x:c r="B3084" s="2" t="str">
        <x:v>L00315</x:v>
      </x:c>
      <x:c r="C3084" s="2" t="str">
        <x:v>SO-26063</x:v>
      </x:c>
      <x:c r="D3084" s="2" t="str">
        <x:v>D-S-AL</x:v>
      </x:c>
      <x:c r="E3084" s="14" t="n">
        <x:v>20</x:v>
      </x:c>
      <x:c r="F3084" s="2" t="str">
        <x:v>Deburr &amp; inspect</x:v>
      </x:c>
      <x:c r="G3084" s="9" t="str">
        <x:v>DB-02</x:v>
      </x:c>
      <x:c r="H3084" s="15" t="n">
        <x:v>203</x:v>
      </x:c>
      <x:c r="I3084" s="9" t="str">
        <x:v>P20</x:v>
      </x:c>
      <x:c r="J3084" s="11" t="n">
        <x:v>46310.78680555556</x:v>
      </x:c>
      <x:c r="K3084" s="15" t="n">
        <x:v>4</x:v>
      </x:c>
      <x:c r="L3084" s="15" t="n">
        <x:v>14</x:v>
      </x:c>
      <x:c r="M3084" s="13" t="n">
        <x:f>J3084+(K3084+L3084)/1440</x:f>
        <x:v>46310.799305555556</x:v>
      </x:c>
      <x:c r="N3084" s="13" t="n">
        <x:f>VLOOKUP(C3084,'MES orders'!$A$8:$H$127,5,FALSE)</x:f>
        <x:v>46310.666666666664</x:v>
      </x:c>
      <x:c r="O3084" s="16" t="n">
        <x:f>MAX(0,(M3084-N3084)*24)</x:f>
        <x:v>3.183333333407063</x:v>
      </x:c>
      <x:c r="P3084" s="9" t="str">
        <x:v>No</x:v>
      </x:c>
      <x:c r="Q3084" s="15" t="n">
        <x:v>18</x:v>
      </x:c>
      <x:c r="R3084" s="13" t="n">
        <x:f>J3084+Q3084/1440</x:f>
        <x:v>46310.799305555556</x:v>
      </x:c>
      <x:c r="S3084" s="2" t="str">
        <x:f>VLOOKUP(C3084,'MES orders'!$A$8:$H$127,6,FALSE)</x:f>
        <x:v>Normal</x:v>
      </x:c>
      <x:c r="T3084" s="9" t="str"/>
    </x:row>
    <x:row r="3085" ht="22" customHeight="1">
      <x:c r="A3085" s="2" t="str">
        <x:v>L00114-030</x:v>
      </x:c>
      <x:c r="B3085" s="2" t="str">
        <x:v>L00114</x:v>
      </x:c>
      <x:c r="C3085" s="2" t="str">
        <x:v>SO-26023</x:v>
      </x:c>
      <x:c r="D3085" s="2" t="str">
        <x:v>R-L-AL</x:v>
      </x:c>
      <x:c r="E3085" s="14" t="n">
        <x:v>20</x:v>
      </x:c>
      <x:c r="F3085" s="2" t="str">
        <x:v>Wash &amp; dry</x:v>
      </x:c>
      <x:c r="G3085" s="9" t="str">
        <x:v>WS-01</x:v>
      </x:c>
      <x:c r="H3085" s="15" t="n">
        <x:v>282</x:v>
      </x:c>
      <x:c r="I3085" s="9" t="str">
        <x:v>P13</x:v>
      </x:c>
      <x:c r="J3085" s="11" t="n">
        <x:v>46310.78680555556</x:v>
      </x:c>
      <x:c r="K3085" s="15" t="n">
        <x:v>12</x:v>
      </x:c>
      <x:c r="L3085" s="15" t="n">
        <x:v>9</x:v>
      </x:c>
      <x:c r="M3085" s="13" t="n">
        <x:f>J3085+(K3085+L3085)/1440</x:f>
        <x:v>46310.80138888889</x:v>
      </x:c>
      <x:c r="N3085" s="13" t="n">
        <x:f>VLOOKUP(C3085,'MES orders'!$A$8:$H$127,5,FALSE)</x:f>
        <x:v>46310.666666666664</x:v>
      </x:c>
      <x:c r="O3085" s="16" t="n">
        <x:f>MAX(0,(M3085-N3085)*24)</x:f>
        <x:v>3.2333333333954215</x:v>
      </x:c>
      <x:c r="P3085" s="9" t="str">
        <x:v>No</x:v>
      </x:c>
      <x:c r="Q3085" s="15" t="n">
        <x:v>21</x:v>
      </x:c>
      <x:c r="R3085" s="13" t="n">
        <x:f>J3085+Q3085/1440</x:f>
        <x:v>46310.80138888889</x:v>
      </x:c>
      <x:c r="S3085" s="2" t="str">
        <x:f>VLOOKUP(C3085,'MES orders'!$A$8:$H$127,6,FALSE)</x:f>
        <x:v>Normal</x:v>
      </x:c>
      <x:c r="T3085" s="9" t="str"/>
    </x:row>
    <x:row r="3086" ht="22" customHeight="1">
      <x:c r="A3086" s="2" t="str">
        <x:v>L00115-030</x:v>
      </x:c>
      <x:c r="B3086" s="2" t="str">
        <x:v>L00115</x:v>
      </x:c>
      <x:c r="C3086" s="2" t="str">
        <x:v>SO-26023</x:v>
      </x:c>
      <x:c r="D3086" s="2" t="str">
        <x:v>R-L-AL</x:v>
      </x:c>
      <x:c r="E3086" s="14" t="n">
        <x:v>20</x:v>
      </x:c>
      <x:c r="F3086" s="2" t="str">
        <x:v>Wash &amp; dry</x:v>
      </x:c>
      <x:c r="G3086" s="9" t="str">
        <x:v>WS-02</x:v>
      </x:c>
      <x:c r="H3086" s="15" t="n">
        <x:v>207</x:v>
      </x:c>
      <x:c r="I3086" s="9" t="str">
        <x:v>P14</x:v>
      </x:c>
      <x:c r="J3086" s="11" t="n">
        <x:v>46310.78680555556</x:v>
      </x:c>
      <x:c r="K3086" s="15" t="n">
        <x:v>12</x:v>
      </x:c>
      <x:c r="L3086" s="15" t="n">
        <x:v>9</x:v>
      </x:c>
      <x:c r="M3086" s="13" t="n">
        <x:f>J3086+(K3086+L3086)/1440</x:f>
        <x:v>46310.80138888889</x:v>
      </x:c>
      <x:c r="N3086" s="13" t="n">
        <x:f>VLOOKUP(C3086,'MES orders'!$A$8:$H$127,5,FALSE)</x:f>
        <x:v>46310.666666666664</x:v>
      </x:c>
      <x:c r="O3086" s="16" t="n">
        <x:f>MAX(0,(M3086-N3086)*24)</x:f>
        <x:v>3.2333333333954215</x:v>
      </x:c>
      <x:c r="P3086" s="9" t="str">
        <x:v>No</x:v>
      </x:c>
      <x:c r="Q3086" s="15" t="n">
        <x:v>21</x:v>
      </x:c>
      <x:c r="R3086" s="13" t="n">
        <x:f>J3086+Q3086/1440</x:f>
        <x:v>46310.80138888889</x:v>
      </x:c>
      <x:c r="S3086" s="2" t="str">
        <x:f>VLOOKUP(C3086,'MES orders'!$A$8:$H$127,6,FALSE)</x:f>
        <x:v>Normal</x:v>
      </x:c>
      <x:c r="T3086" s="9" t="str"/>
    </x:row>
    <x:row r="3087" ht="22" customHeight="1">
      <x:c r="A3087" s="2" t="str">
        <x:v>L00114-040</x:v>
      </x:c>
      <x:c r="B3087" s="2" t="str">
        <x:v>L00114</x:v>
      </x:c>
      <x:c r="C3087" s="2" t="str">
        <x:v>SO-26023</x:v>
      </x:c>
      <x:c r="D3087" s="2" t="str">
        <x:v>R-L-AL</x:v>
      </x:c>
      <x:c r="E3087" s="14" t="n">
        <x:v>20</x:v>
      </x:c>
      <x:c r="F3087" s="2" t="str">
        <x:v>Mechanical assembly</x:v>
      </x:c>
      <x:c r="G3087" s="9" t="str">
        <x:v>AS-04</x:v>
      </x:c>
      <x:c r="H3087" s="15" t="n">
        <x:v>114</x:v>
      </x:c>
      <x:c r="I3087" s="9" t="str">
        <x:v>P13</x:v>
      </x:c>
      <x:c r="J3087" s="11" t="n">
        <x:v>46310.80138888889</x:v>
      </x:c>
      <x:c r="K3087" s="15" t="n">
        <x:v>8</x:v>
      </x:c>
      <x:c r="L3087" s="15" t="n">
        <x:v>49</x:v>
      </x:c>
      <x:c r="M3087" s="13" t="n">
        <x:f>J3087+(K3087+L3087)/1440</x:f>
        <x:v>46310.84097222222</x:v>
      </x:c>
      <x:c r="N3087" s="13" t="n">
        <x:f>VLOOKUP(C3087,'MES orders'!$A$8:$H$127,5,FALSE)</x:f>
        <x:v>46310.666666666664</x:v>
      </x:c>
      <x:c r="O3087" s="16" t="n">
        <x:f>MAX(0,(M3087-N3087)*24)</x:f>
        <x:v>4.183333333348855</x:v>
      </x:c>
      <x:c r="P3087" s="9" t="str">
        <x:v>No</x:v>
      </x:c>
      <x:c r="Q3087" s="15" t="n">
        <x:v>57</x:v>
      </x:c>
      <x:c r="R3087" s="13" t="n">
        <x:f>J3087+Q3087/1440</x:f>
        <x:v>46310.84097222222</x:v>
      </x:c>
      <x:c r="S3087" s="2" t="str">
        <x:f>VLOOKUP(C3087,'MES orders'!$A$8:$H$127,6,FALSE)</x:f>
        <x:v>Normal</x:v>
      </x:c>
      <x:c r="T3087" s="9" t="str"/>
    </x:row>
    <x:row r="3088" ht="22" customHeight="1">
      <x:c r="A3088" s="2" t="str">
        <x:v>L00115-040</x:v>
      </x:c>
      <x:c r="B3088" s="2" t="str">
        <x:v>L00115</x:v>
      </x:c>
      <x:c r="C3088" s="2" t="str">
        <x:v>SO-26023</x:v>
      </x:c>
      <x:c r="D3088" s="2" t="str">
        <x:v>R-L-AL</x:v>
      </x:c>
      <x:c r="E3088" s="14" t="n">
        <x:v>20</x:v>
      </x:c>
      <x:c r="F3088" s="2" t="str">
        <x:v>Mechanical assembly</x:v>
      </x:c>
      <x:c r="G3088" s="9" t="str">
        <x:v>AS-05</x:v>
      </x:c>
      <x:c r="H3088" s="15" t="n">
        <x:v>63</x:v>
      </x:c>
      <x:c r="I3088" s="9" t="str">
        <x:v>P14</x:v>
      </x:c>
      <x:c r="J3088" s="11" t="n">
        <x:v>46310.80138888889</x:v>
      </x:c>
      <x:c r="K3088" s="15" t="n">
        <x:v>8</x:v>
      </x:c>
      <x:c r="L3088" s="15" t="n">
        <x:v>49</x:v>
      </x:c>
      <x:c r="M3088" s="13" t="n">
        <x:f>J3088+(K3088+L3088)/1440</x:f>
        <x:v>46310.84097222222</x:v>
      </x:c>
      <x:c r="N3088" s="13" t="n">
        <x:f>VLOOKUP(C3088,'MES orders'!$A$8:$H$127,5,FALSE)</x:f>
        <x:v>46310.666666666664</x:v>
      </x:c>
      <x:c r="O3088" s="16" t="n">
        <x:f>MAX(0,(M3088-N3088)*24)</x:f>
        <x:v>4.183333333348855</x:v>
      </x:c>
      <x:c r="P3088" s="9" t="str">
        <x:v>No</x:v>
      </x:c>
      <x:c r="Q3088" s="15" t="n">
        <x:v>57</x:v>
      </x:c>
      <x:c r="R3088" s="13" t="n">
        <x:f>J3088+Q3088/1440</x:f>
        <x:v>46310.84097222222</x:v>
      </x:c>
      <x:c r="S3088" s="2" t="str">
        <x:f>VLOOKUP(C3088,'MES orders'!$A$8:$H$127,6,FALSE)</x:f>
        <x:v>Normal</x:v>
      </x:c>
      <x:c r="T3088" s="9" t="str"/>
    </x:row>
    <x:row r="3089" ht="22" customHeight="1">
      <x:c r="A3089" s="2" t="str">
        <x:v>L00111-020</x:v>
      </x:c>
      <x:c r="B3089" s="2" t="str">
        <x:v>L00111</x:v>
      </x:c>
      <x:c r="C3089" s="2" t="str">
        <x:v>SO-26023</x:v>
      </x:c>
      <x:c r="D3089" s="2" t="str">
        <x:v>R-L-AL</x:v>
      </x:c>
      <x:c r="E3089" s="14" t="n">
        <x:v>20</x:v>
      </x:c>
      <x:c r="F3089" s="2" t="str">
        <x:v>Deburr &amp; inspect</x:v>
      </x:c>
      <x:c r="G3089" s="9" t="str">
        <x:v>DB-01</x:v>
      </x:c>
      <x:c r="H3089" s="15" t="n">
        <x:v>291</x:v>
      </x:c>
      <x:c r="I3089" s="9" t="str">
        <x:v>P17</x:v>
      </x:c>
      <x:c r="J3089" s="11" t="n">
        <x:v>46310.80138888889</x:v>
      </x:c>
      <x:c r="K3089" s="15" t="n">
        <x:v>4</x:v>
      </x:c>
      <x:c r="L3089" s="15" t="n">
        <x:v>19</x:v>
      </x:c>
      <x:c r="M3089" s="13" t="n">
        <x:f>J3089+(K3089+L3089)/1440</x:f>
        <x:v>46310.81736111111</x:v>
      </x:c>
      <x:c r="N3089" s="13" t="n">
        <x:f>VLOOKUP(C3089,'MES orders'!$A$8:$H$127,5,FALSE)</x:f>
        <x:v>46310.666666666664</x:v>
      </x:c>
      <x:c r="O3089" s="16" t="n">
        <x:f>MAX(0,(M3089-N3089)*24)</x:f>
        <x:v>3.6166666667559184</x:v>
      </x:c>
      <x:c r="P3089" s="9" t="str">
        <x:v>No</x:v>
      </x:c>
      <x:c r="Q3089" s="15" t="n">
        <x:v>23</x:v>
      </x:c>
      <x:c r="R3089" s="13" t="n">
        <x:f>J3089+Q3089/1440</x:f>
        <x:v>46310.81736111111</x:v>
      </x:c>
      <x:c r="S3089" s="2" t="str">
        <x:f>VLOOKUP(C3089,'MES orders'!$A$8:$H$127,6,FALSE)</x:f>
        <x:v>Normal</x:v>
      </x:c>
      <x:c r="T3089" s="9" t="str"/>
    </x:row>
    <x:row r="3090" ht="22" customHeight="1">
      <x:c r="A3090" s="2" t="str">
        <x:v>L00112-020</x:v>
      </x:c>
      <x:c r="B3090" s="2" t="str">
        <x:v>L00112</x:v>
      </x:c>
      <x:c r="C3090" s="2" t="str">
        <x:v>SO-26023</x:v>
      </x:c>
      <x:c r="D3090" s="2" t="str">
        <x:v>R-L-AL</x:v>
      </x:c>
      <x:c r="E3090" s="14" t="n">
        <x:v>20</x:v>
      </x:c>
      <x:c r="F3090" s="2" t="str">
        <x:v>Deburr &amp; inspect</x:v>
      </x:c>
      <x:c r="G3090" s="9" t="str">
        <x:v>DB-02</x:v>
      </x:c>
      <x:c r="H3090" s="15" t="n">
        <x:v>204</x:v>
      </x:c>
      <x:c r="I3090" s="9" t="str">
        <x:v>P18</x:v>
      </x:c>
      <x:c r="J3090" s="11" t="n">
        <x:v>46310.80138888889</x:v>
      </x:c>
      <x:c r="K3090" s="15" t="n">
        <x:v>4</x:v>
      </x:c>
      <x:c r="L3090" s="15" t="n">
        <x:v>19</x:v>
      </x:c>
      <x:c r="M3090" s="13" t="n">
        <x:f>J3090+(K3090+L3090)/1440</x:f>
        <x:v>46310.81736111111</x:v>
      </x:c>
      <x:c r="N3090" s="13" t="n">
        <x:f>VLOOKUP(C3090,'MES orders'!$A$8:$H$127,5,FALSE)</x:f>
        <x:v>46310.666666666664</x:v>
      </x:c>
      <x:c r="O3090" s="16" t="n">
        <x:f>MAX(0,(M3090-N3090)*24)</x:f>
        <x:v>3.6166666667559184</x:v>
      </x:c>
      <x:c r="P3090" s="9" t="str">
        <x:v>No</x:v>
      </x:c>
      <x:c r="Q3090" s="15" t="n">
        <x:v>23</x:v>
      </x:c>
      <x:c r="R3090" s="13" t="n">
        <x:f>J3090+Q3090/1440</x:f>
        <x:v>46310.81736111111</x:v>
      </x:c>
      <x:c r="S3090" s="2" t="str">
        <x:f>VLOOKUP(C3090,'MES orders'!$A$8:$H$127,6,FALSE)</x:f>
        <x:v>Normal</x:v>
      </x:c>
      <x:c r="T3090" s="9" t="str"/>
    </x:row>
    <x:row r="3091" ht="22" customHeight="1">
      <x:c r="A3091" s="2" t="str">
        <x:v>L00351-050</x:v>
      </x:c>
      <x:c r="B3091" s="2" t="str">
        <x:v>L00351</x:v>
      </x:c>
      <x:c r="C3091" s="2" t="str">
        <x:v>SO-26071</x:v>
      </x:c>
      <x:c r="D3091" s="2" t="str">
        <x:v>D-L-AL</x:v>
      </x:c>
      <x:c r="E3091" s="14" t="n">
        <x:v>15</x:v>
      </x:c>
      <x:c r="F3091" s="2" t="str">
        <x:v>Final leak / function test</x:v>
      </x:c>
      <x:c r="G3091" s="9" t="str">
        <x:v>QA-01</x:v>
      </x:c>
      <x:c r="H3091" s="15" t="n">
        <x:v>121</x:v>
      </x:c>
      <x:c r="I3091" s="9" t="str">
        <x:v>P23</x:v>
      </x:c>
      <x:c r="J3091" s="11" t="n">
        <x:v>46310.80138888889</x:v>
      </x:c>
      <x:c r="K3091" s="15" t="n">
        <x:v>10</x:v>
      </x:c>
      <x:c r="L3091" s="15" t="n">
        <x:v>18</x:v>
      </x:c>
      <x:c r="M3091" s="13" t="n">
        <x:f>J3091+(K3091+L3091)/1440</x:f>
        <x:v>46310.82083333333</x:v>
      </x:c>
      <x:c r="N3091" s="13" t="n">
        <x:f>VLOOKUP(C3091,'MES orders'!$A$8:$H$127,5,FALSE)</x:f>
        <x:v>46310.666666666664</x:v>
      </x:c>
      <x:c r="O3091" s="16" t="n">
        <x:f>MAX(0,(M3091-N3091)*24)</x:f>
        <x:v>3.7000000000116415</x:v>
      </x:c>
      <x:c r="P3091" s="9" t="str">
        <x:v>No</x:v>
      </x:c>
      <x:c r="Q3091" s="15" t="n">
        <x:v>28</x:v>
      </x:c>
      <x:c r="R3091" s="13" t="n">
        <x:f>J3091+Q3091/1440</x:f>
        <x:v>46310.82083333333</x:v>
      </x:c>
      <x:c r="S3091" s="2" t="str">
        <x:f>VLOOKUP(C3091,'MES orders'!$A$8:$H$127,6,FALSE)</x:f>
        <x:v>High</x:v>
      </x:c>
      <x:c r="T3091" s="9" t="str"/>
    </x:row>
    <x:row r="3092" ht="22" customHeight="1">
      <x:c r="A3092" s="2" t="str">
        <x:v>L00352-050</x:v>
      </x:c>
      <x:c r="B3092" s="2" t="str">
        <x:v>L00352</x:v>
      </x:c>
      <x:c r="C3092" s="2" t="str">
        <x:v>SO-26071</x:v>
      </x:c>
      <x:c r="D3092" s="2" t="str">
        <x:v>D-L-AL</x:v>
      </x:c>
      <x:c r="E3092" s="14" t="n">
        <x:v>15</x:v>
      </x:c>
      <x:c r="F3092" s="2" t="str">
        <x:v>Final leak / function test</x:v>
      </x:c>
      <x:c r="G3092" s="9" t="str">
        <x:v>QA-02</x:v>
      </x:c>
      <x:c r="H3092" s="15" t="n">
        <x:v>229</x:v>
      </x:c>
      <x:c r="I3092" s="9" t="str">
        <x:v>P24</x:v>
      </x:c>
      <x:c r="J3092" s="11" t="n">
        <x:v>46310.80138888889</x:v>
      </x:c>
      <x:c r="K3092" s="15" t="n">
        <x:v>10</x:v>
      </x:c>
      <x:c r="L3092" s="15" t="n">
        <x:v>18</x:v>
      </x:c>
      <x:c r="M3092" s="13" t="n">
        <x:f>J3092+(K3092+L3092)/1440</x:f>
        <x:v>46310.82083333333</x:v>
      </x:c>
      <x:c r="N3092" s="13" t="n">
        <x:f>VLOOKUP(C3092,'MES orders'!$A$8:$H$127,5,FALSE)</x:f>
        <x:v>46310.666666666664</x:v>
      </x:c>
      <x:c r="O3092" s="16" t="n">
        <x:f>MAX(0,(M3092-N3092)*24)</x:f>
        <x:v>3.7000000000116415</x:v>
      </x:c>
      <x:c r="P3092" s="9" t="str">
        <x:v>No</x:v>
      </x:c>
      <x:c r="Q3092" s="15" t="n">
        <x:v>28</x:v>
      </x:c>
      <x:c r="R3092" s="13" t="n">
        <x:f>J3092+Q3092/1440</x:f>
        <x:v>46310.82083333333</x:v>
      </x:c>
      <x:c r="S3092" s="2" t="str">
        <x:f>VLOOKUP(C3092,'MES orders'!$A$8:$H$127,6,FALSE)</x:f>
        <x:v>High</x:v>
      </x:c>
      <x:c r="T3092" s="9" t="str"/>
    </x:row>
    <x:row r="3093" ht="22" customHeight="1">
      <x:c r="A3093" s="2" t="str">
        <x:v>L00354-030</x:v>
      </x:c>
      <x:c r="B3093" s="2" t="str">
        <x:v>L00354</x:v>
      </x:c>
      <x:c r="C3093" s="2" t="str">
        <x:v>SO-26071</x:v>
      </x:c>
      <x:c r="D3093" s="2" t="str">
        <x:v>D-L-AL</x:v>
      </x:c>
      <x:c r="E3093" s="14" t="n">
        <x:v>15</x:v>
      </x:c>
      <x:c r="F3093" s="2" t="str">
        <x:v>Wash &amp; dry</x:v>
      </x:c>
      <x:c r="G3093" s="9" t="str">
        <x:v>WS-01</x:v>
      </x:c>
      <x:c r="H3093" s="15" t="n">
        <x:v>283</x:v>
      </x:c>
      <x:c r="I3093" s="9" t="str">
        <x:v>P16</x:v>
      </x:c>
      <x:c r="J3093" s="11" t="n">
        <x:v>46310.80138888889</x:v>
      </x:c>
      <x:c r="K3093" s="15" t="n">
        <x:v>12</x:v>
      </x:c>
      <x:c r="L3093" s="15" t="n">
        <x:v>7</x:v>
      </x:c>
      <x:c r="M3093" s="13" t="n">
        <x:f>J3093+(K3093+L3093)/1440</x:f>
        <x:v>46310.81458333333</x:v>
      </x:c>
      <x:c r="N3093" s="13" t="n">
        <x:f>VLOOKUP(C3093,'MES orders'!$A$8:$H$127,5,FALSE)</x:f>
        <x:v>46310.666666666664</x:v>
      </x:c>
      <x:c r="O3093" s="16" t="n">
        <x:f>MAX(0,(M3093-N3093)*24)</x:f>
        <x:v>3.550000000046566</x:v>
      </x:c>
      <x:c r="P3093" s="9" t="str">
        <x:v>No</x:v>
      </x:c>
      <x:c r="Q3093" s="15" t="n">
        <x:v>19</x:v>
      </x:c>
      <x:c r="R3093" s="13" t="n">
        <x:f>J3093+Q3093/1440</x:f>
        <x:v>46310.81458333333</x:v>
      </x:c>
      <x:c r="S3093" s="2" t="str">
        <x:f>VLOOKUP(C3093,'MES orders'!$A$8:$H$127,6,FALSE)</x:f>
        <x:v>High</x:v>
      </x:c>
      <x:c r="T3093" s="9" t="str"/>
    </x:row>
    <x:row r="3094" ht="22" customHeight="1">
      <x:c r="A3094" s="2" t="str">
        <x:v>L00314-030</x:v>
      </x:c>
      <x:c r="B3094" s="2" t="str">
        <x:v>L00314</x:v>
      </x:c>
      <x:c r="C3094" s="2" t="str">
        <x:v>SO-26063</x:v>
      </x:c>
      <x:c r="D3094" s="2" t="str">
        <x:v>D-S-AL</x:v>
      </x:c>
      <x:c r="E3094" s="14" t="n">
        <x:v>20</x:v>
      </x:c>
      <x:c r="F3094" s="2" t="str">
        <x:v>Wash &amp; dry</x:v>
      </x:c>
      <x:c r="G3094" s="9" t="str">
        <x:v>WS-02</x:v>
      </x:c>
      <x:c r="H3094" s="15" t="n">
        <x:v>208</x:v>
      </x:c>
      <x:c r="I3094" s="9" t="str">
        <x:v>P19</x:v>
      </x:c>
      <x:c r="J3094" s="11" t="n">
        <x:v>46310.80138888889</x:v>
      </x:c>
      <x:c r="K3094" s="15" t="n">
        <x:v>12</x:v>
      </x:c>
      <x:c r="L3094" s="15" t="n">
        <x:v>7</x:v>
      </x:c>
      <x:c r="M3094" s="13" t="n">
        <x:f>J3094+(K3094+L3094)/1440</x:f>
        <x:v>46310.81458333333</x:v>
      </x:c>
      <x:c r="N3094" s="13" t="n">
        <x:f>VLOOKUP(C3094,'MES orders'!$A$8:$H$127,5,FALSE)</x:f>
        <x:v>46310.666666666664</x:v>
      </x:c>
      <x:c r="O3094" s="16" t="n">
        <x:f>MAX(0,(M3094-N3094)*24)</x:f>
        <x:v>3.550000000046566</x:v>
      </x:c>
      <x:c r="P3094" s="9" t="str">
        <x:v>No</x:v>
      </x:c>
      <x:c r="Q3094" s="15" t="n">
        <x:v>19</x:v>
      </x:c>
      <x:c r="R3094" s="13" t="n">
        <x:f>J3094+Q3094/1440</x:f>
        <x:v>46310.81458333333</x:v>
      </x:c>
      <x:c r="S3094" s="2" t="str">
        <x:f>VLOOKUP(C3094,'MES orders'!$A$8:$H$127,6,FALSE)</x:f>
        <x:v>Normal</x:v>
      </x:c>
      <x:c r="T3094" s="9" t="str"/>
    </x:row>
    <x:row r="3095" ht="22" customHeight="1">
      <x:c r="A3095" s="2" t="str">
        <x:v>L00354-040</x:v>
      </x:c>
      <x:c r="B3095" s="2" t="str">
        <x:v>L00354</x:v>
      </x:c>
      <x:c r="C3095" s="2" t="str">
        <x:v>SO-26071</x:v>
      </x:c>
      <x:c r="D3095" s="2" t="str">
        <x:v>D-L-AL</x:v>
      </x:c>
      <x:c r="E3095" s="14" t="n">
        <x:v>15</x:v>
      </x:c>
      <x:c r="F3095" s="2" t="str">
        <x:v>Mechanical assembly</x:v>
      </x:c>
      <x:c r="G3095" s="9" t="str">
        <x:v>AS-01</x:v>
      </x:c>
      <x:c r="H3095" s="15" t="n">
        <x:v>243</x:v>
      </x:c>
      <x:c r="I3095" s="9" t="str">
        <x:v>P16</x:v>
      </x:c>
      <x:c r="J3095" s="11" t="n">
        <x:v>46310.81458333333</x:v>
      </x:c>
      <x:c r="K3095" s="15" t="n">
        <x:v>8</x:v>
      </x:c>
      <x:c r="L3095" s="15" t="n">
        <x:v>36</x:v>
      </x:c>
      <x:c r="M3095" s="13" t="n">
        <x:f>J3095+(K3095+L3095)/1440</x:f>
        <x:v>46310.845138888886</x:v>
      </x:c>
      <x:c r="N3095" s="13" t="n">
        <x:f>VLOOKUP(C3095,'MES orders'!$A$8:$H$127,5,FALSE)</x:f>
        <x:v>46310.666666666664</x:v>
      </x:c>
      <x:c r="O3095" s="16" t="n">
        <x:f>MAX(0,(M3095-N3095)*24)</x:f>
        <x:v>4.283333333325572</x:v>
      </x:c>
      <x:c r="P3095" s="9" t="str">
        <x:v>No</x:v>
      </x:c>
      <x:c r="Q3095" s="15" t="n">
        <x:v>44</x:v>
      </x:c>
      <x:c r="R3095" s="13" t="n">
        <x:f>J3095+Q3095/1440</x:f>
        <x:v>46310.845138888886</x:v>
      </x:c>
      <x:c r="S3095" s="2" t="str">
        <x:f>VLOOKUP(C3095,'MES orders'!$A$8:$H$127,6,FALSE)</x:f>
        <x:v>High</x:v>
      </x:c>
      <x:c r="T3095" s="9" t="str"/>
    </x:row>
    <x:row r="3096" ht="22" customHeight="1">
      <x:c r="A3096" s="2" t="str">
        <x:v>L00314-040</x:v>
      </x:c>
      <x:c r="B3096" s="2" t="str">
        <x:v>L00314</x:v>
      </x:c>
      <x:c r="C3096" s="2" t="str">
        <x:v>SO-26063</x:v>
      </x:c>
      <x:c r="D3096" s="2" t="str">
        <x:v>D-S-AL</x:v>
      </x:c>
      <x:c r="E3096" s="14" t="n">
        <x:v>20</x:v>
      </x:c>
      <x:c r="F3096" s="2" t="str">
        <x:v>Mechanical assembly</x:v>
      </x:c>
      <x:c r="G3096" s="9" t="str">
        <x:v>AS-06</x:v>
      </x:c>
      <x:c r="H3096" s="15" t="n">
        <x:v>25</x:v>
      </x:c>
      <x:c r="I3096" s="9" t="str">
        <x:v>P15</x:v>
      </x:c>
      <x:c r="J3096" s="11" t="n">
        <x:v>46310.81458333333</x:v>
      </x:c>
      <x:c r="K3096" s="15" t="n">
        <x:v>8</x:v>
      </x:c>
      <x:c r="L3096" s="15" t="n">
        <x:v>36</x:v>
      </x:c>
      <x:c r="M3096" s="13" t="n">
        <x:f>J3096+(K3096+L3096)/1440</x:f>
        <x:v>46310.845138888886</x:v>
      </x:c>
      <x:c r="N3096" s="13" t="n">
        <x:f>VLOOKUP(C3096,'MES orders'!$A$8:$H$127,5,FALSE)</x:f>
        <x:v>46310.666666666664</x:v>
      </x:c>
      <x:c r="O3096" s="16" t="n">
        <x:f>MAX(0,(M3096-N3096)*24)</x:f>
        <x:v>4.283333333325572</x:v>
      </x:c>
      <x:c r="P3096" s="9" t="str">
        <x:v>No</x:v>
      </x:c>
      <x:c r="Q3096" s="15" t="n">
        <x:v>44</x:v>
      </x:c>
      <x:c r="R3096" s="13" t="n">
        <x:f>J3096+Q3096/1440</x:f>
        <x:v>46310.845138888886</x:v>
      </x:c>
      <x:c r="S3096" s="2" t="str">
        <x:f>VLOOKUP(C3096,'MES orders'!$A$8:$H$127,6,FALSE)</x:f>
        <x:v>Normal</x:v>
      </x:c>
      <x:c r="T3096" s="9" t="str"/>
    </x:row>
    <x:row r="3097" ht="22" customHeight="1">
      <x:c r="A3097" s="2" t="str">
        <x:v>L00111-030</x:v>
      </x:c>
      <x:c r="B3097" s="2" t="str">
        <x:v>L00111</x:v>
      </x:c>
      <x:c r="C3097" s="2" t="str">
        <x:v>SO-26023</x:v>
      </x:c>
      <x:c r="D3097" s="2" t="str">
        <x:v>R-L-AL</x:v>
      </x:c>
      <x:c r="E3097" s="14" t="n">
        <x:v>20</x:v>
      </x:c>
      <x:c r="F3097" s="2" t="str">
        <x:v>Wash &amp; dry</x:v>
      </x:c>
      <x:c r="G3097" s="9" t="str">
        <x:v>WS-01</x:v>
      </x:c>
      <x:c r="H3097" s="15" t="n">
        <x:v>284</x:v>
      </x:c>
      <x:c r="I3097" s="9" t="str">
        <x:v>P17</x:v>
      </x:c>
      <x:c r="J3097" s="11" t="n">
        <x:v>46310.81736111111</x:v>
      </x:c>
      <x:c r="K3097" s="15" t="n">
        <x:v>12</x:v>
      </x:c>
      <x:c r="L3097" s="15" t="n">
        <x:v>9</x:v>
      </x:c>
      <x:c r="M3097" s="13" t="n">
        <x:f>J3097+(K3097+L3097)/1440</x:f>
        <x:v>46310.83194444444</x:v>
      </x:c>
      <x:c r="N3097" s="13" t="n">
        <x:f>VLOOKUP(C3097,'MES orders'!$A$8:$H$127,5,FALSE)</x:f>
        <x:v>46310.666666666664</x:v>
      </x:c>
      <x:c r="O3097" s="16" t="n">
        <x:f>MAX(0,(M3097-N3097)*24)</x:f>
        <x:v>3.9666666666744277</x:v>
      </x:c>
      <x:c r="P3097" s="9" t="str">
        <x:v>No</x:v>
      </x:c>
      <x:c r="Q3097" s="15" t="n">
        <x:v>21</x:v>
      </x:c>
      <x:c r="R3097" s="13" t="n">
        <x:f>J3097+Q3097/1440</x:f>
        <x:v>46310.83194444444</x:v>
      </x:c>
      <x:c r="S3097" s="2" t="str">
        <x:f>VLOOKUP(C3097,'MES orders'!$A$8:$H$127,6,FALSE)</x:f>
        <x:v>Normal</x:v>
      </x:c>
      <x:c r="T3097" s="9" t="str"/>
    </x:row>
    <x:row r="3098" ht="22" customHeight="1">
      <x:c r="A3098" s="2" t="str">
        <x:v>L00112-030</x:v>
      </x:c>
      <x:c r="B3098" s="2" t="str">
        <x:v>L00112</x:v>
      </x:c>
      <x:c r="C3098" s="2" t="str">
        <x:v>SO-26023</x:v>
      </x:c>
      <x:c r="D3098" s="2" t="str">
        <x:v>R-L-AL</x:v>
      </x:c>
      <x:c r="E3098" s="14" t="n">
        <x:v>20</x:v>
      </x:c>
      <x:c r="F3098" s="2" t="str">
        <x:v>Wash &amp; dry</x:v>
      </x:c>
      <x:c r="G3098" s="9" t="str">
        <x:v>WS-02</x:v>
      </x:c>
      <x:c r="H3098" s="15" t="n">
        <x:v>209</x:v>
      </x:c>
      <x:c r="I3098" s="9" t="str">
        <x:v>P18</x:v>
      </x:c>
      <x:c r="J3098" s="11" t="n">
        <x:v>46310.81736111111</x:v>
      </x:c>
      <x:c r="K3098" s="15" t="n">
        <x:v>12</x:v>
      </x:c>
      <x:c r="L3098" s="15" t="n">
        <x:v>9</x:v>
      </x:c>
      <x:c r="M3098" s="13" t="n">
        <x:f>J3098+(K3098+L3098)/1440</x:f>
        <x:v>46310.83194444444</x:v>
      </x:c>
      <x:c r="N3098" s="13" t="n">
        <x:f>VLOOKUP(C3098,'MES orders'!$A$8:$H$127,5,FALSE)</x:f>
        <x:v>46310.666666666664</x:v>
      </x:c>
      <x:c r="O3098" s="16" t="n">
        <x:f>MAX(0,(M3098-N3098)*24)</x:f>
        <x:v>3.9666666666744277</x:v>
      </x:c>
      <x:c r="P3098" s="9" t="str">
        <x:v>No</x:v>
      </x:c>
      <x:c r="Q3098" s="15" t="n">
        <x:v>21</x:v>
      </x:c>
      <x:c r="R3098" s="13" t="n">
        <x:f>J3098+Q3098/1440</x:f>
        <x:v>46310.83194444444</x:v>
      </x:c>
      <x:c r="S3098" s="2" t="str">
        <x:f>VLOOKUP(C3098,'MES orders'!$A$8:$H$127,6,FALSE)</x:f>
        <x:v>Normal</x:v>
      </x:c>
      <x:c r="T3098" s="9" t="str"/>
    </x:row>
    <x:row r="3099" ht="22" customHeight="1">
      <x:c r="A3099" s="2" t="str">
        <x:v>L00353-050</x:v>
      </x:c>
      <x:c r="B3099" s="2" t="str">
        <x:v>L00353</x:v>
      </x:c>
      <x:c r="C3099" s="2" t="str">
        <x:v>SO-26071</x:v>
      </x:c>
      <x:c r="D3099" s="2" t="str">
        <x:v>D-L-AL</x:v>
      </x:c>
      <x:c r="E3099" s="14" t="n">
        <x:v>15</x:v>
      </x:c>
      <x:c r="F3099" s="2" t="str">
        <x:v>Final leak / function test</x:v>
      </x:c>
      <x:c r="G3099" s="9" t="str">
        <x:v>QA-01</x:v>
      </x:c>
      <x:c r="H3099" s="15" t="n">
        <x:v>122</x:v>
      </x:c>
      <x:c r="I3099" s="9" t="str">
        <x:v>P23</x:v>
      </x:c>
      <x:c r="J3099" s="11" t="n">
        <x:v>46310.82083333333</x:v>
      </x:c>
      <x:c r="K3099" s="15" t="n">
        <x:v>10</x:v>
      </x:c>
      <x:c r="L3099" s="15" t="n">
        <x:v>18</x:v>
      </x:c>
      <x:c r="M3099" s="13" t="n">
        <x:f>J3099+(K3099+L3099)/1440</x:f>
        <x:v>46310.840277777774</x:v>
      </x:c>
      <x:c r="N3099" s="13" t="n">
        <x:f>VLOOKUP(C3099,'MES orders'!$A$8:$H$127,5,FALSE)</x:f>
        <x:v>46310.666666666664</x:v>
      </x:c>
      <x:c r="O3099" s="16" t="n">
        <x:f>MAX(0,(M3099-N3099)*24)</x:f>
        <x:v>4.166666666627862</x:v>
      </x:c>
      <x:c r="P3099" s="9" t="str">
        <x:v>No</x:v>
      </x:c>
      <x:c r="Q3099" s="15" t="n">
        <x:v>28</x:v>
      </x:c>
      <x:c r="R3099" s="13" t="n">
        <x:f>J3099+Q3099/1440</x:f>
        <x:v>46310.840277777774</x:v>
      </x:c>
      <x:c r="S3099" s="2" t="str">
        <x:f>VLOOKUP(C3099,'MES orders'!$A$8:$H$127,6,FALSE)</x:f>
        <x:v>High</x:v>
      </x:c>
      <x:c r="T3099" s="9" t="str"/>
    </x:row>
    <x:row r="3100" ht="22" customHeight="1">
      <x:c r="A3100" s="2" t="str">
        <x:v>L00313-050</x:v>
      </x:c>
      <x:c r="B3100" s="2" t="str">
        <x:v>L00313</x:v>
      </x:c>
      <x:c r="C3100" s="2" t="str">
        <x:v>SO-26063</x:v>
      </x:c>
      <x:c r="D3100" s="2" t="str">
        <x:v>D-S-AL</x:v>
      </x:c>
      <x:c r="E3100" s="14" t="n">
        <x:v>20</x:v>
      </x:c>
      <x:c r="F3100" s="2" t="str">
        <x:v>Final leak / function test</x:v>
      </x:c>
      <x:c r="G3100" s="9" t="str">
        <x:v>QA-02</x:v>
      </x:c>
      <x:c r="H3100" s="15" t="n">
        <x:v>230</x:v>
      </x:c>
      <x:c r="I3100" s="9" t="str">
        <x:v>P24</x:v>
      </x:c>
      <x:c r="J3100" s="11" t="n">
        <x:v>46310.82083333333</x:v>
      </x:c>
      <x:c r="K3100" s="15" t="n">
        <x:v>10</x:v>
      </x:c>
      <x:c r="L3100" s="15" t="n">
        <x:v>18</x:v>
      </x:c>
      <x:c r="M3100" s="13" t="n">
        <x:f>J3100+(K3100+L3100)/1440</x:f>
        <x:v>46310.840277777774</x:v>
      </x:c>
      <x:c r="N3100" s="13" t="n">
        <x:f>VLOOKUP(C3100,'MES orders'!$A$8:$H$127,5,FALSE)</x:f>
        <x:v>46310.666666666664</x:v>
      </x:c>
      <x:c r="O3100" s="16" t="n">
        <x:f>MAX(0,(M3100-N3100)*24)</x:f>
        <x:v>4.166666666627862</x:v>
      </x:c>
      <x:c r="P3100" s="9" t="str">
        <x:v>No</x:v>
      </x:c>
      <x:c r="Q3100" s="15" t="n">
        <x:v>28</x:v>
      </x:c>
      <x:c r="R3100" s="13" t="n">
        <x:f>J3100+Q3100/1440</x:f>
        <x:v>46310.840277777774</x:v>
      </x:c>
      <x:c r="S3100" s="2" t="str">
        <x:f>VLOOKUP(C3100,'MES orders'!$A$8:$H$127,6,FALSE)</x:f>
        <x:v>Normal</x:v>
      </x:c>
      <x:c r="T3100" s="9" t="str"/>
    </x:row>
    <x:row r="3101" ht="22" customHeight="1">
      <x:c r="A3101" s="2" t="str">
        <x:v>L00111-040</x:v>
      </x:c>
      <x:c r="B3101" s="2" t="str">
        <x:v>L00111</x:v>
      </x:c>
      <x:c r="C3101" s="2" t="str">
        <x:v>SO-26023</x:v>
      </x:c>
      <x:c r="D3101" s="2" t="str">
        <x:v>R-L-AL</x:v>
      </x:c>
      <x:c r="E3101" s="14" t="n">
        <x:v>20</x:v>
      </x:c>
      <x:c r="F3101" s="2" t="str">
        <x:v>Mechanical assembly</x:v>
      </x:c>
      <x:c r="G3101" s="9" t="str">
        <x:v>AS-02</x:v>
      </x:c>
      <x:c r="H3101" s="15" t="n">
        <x:v>199</x:v>
      </x:c>
      <x:c r="I3101" s="9" t="str">
        <x:v>P17</x:v>
      </x:c>
      <x:c r="J3101" s="11" t="n">
        <x:v>46310.83194444444</x:v>
      </x:c>
      <x:c r="K3101" s="15" t="n">
        <x:v>8</x:v>
      </x:c>
      <x:c r="L3101" s="15" t="n">
        <x:v>49</x:v>
      </x:c>
      <x:c r="M3101" s="13" t="n">
        <x:f>J3101+(K3101+L3101)/1440</x:f>
        <x:v>46310.871527777774</x:v>
      </x:c>
      <x:c r="N3101" s="13" t="n">
        <x:f>VLOOKUP(C3101,'MES orders'!$A$8:$H$127,5,FALSE)</x:f>
        <x:v>46310.666666666664</x:v>
      </x:c>
      <x:c r="O3101" s="16" t="n">
        <x:f>MAX(0,(M3101-N3101)*24)</x:f>
        <x:v>4.916666666627862</x:v>
      </x:c>
      <x:c r="P3101" s="9" t="str">
        <x:v>No</x:v>
      </x:c>
      <x:c r="Q3101" s="15" t="n">
        <x:v>57</x:v>
      </x:c>
      <x:c r="R3101" s="13" t="n">
        <x:f>J3101+Q3101/1440</x:f>
        <x:v>46310.871527777774</x:v>
      </x:c>
      <x:c r="S3101" s="2" t="str">
        <x:f>VLOOKUP(C3101,'MES orders'!$A$8:$H$127,6,FALSE)</x:f>
        <x:v>Normal</x:v>
      </x:c>
      <x:c r="T3101" s="9" t="str"/>
    </x:row>
    <x:row r="3102" ht="22" customHeight="1">
      <x:c r="A3102" s="2" t="str">
        <x:v>L00112-040</x:v>
      </x:c>
      <x:c r="B3102" s="2" t="str">
        <x:v>L00112</x:v>
      </x:c>
      <x:c r="C3102" s="2" t="str">
        <x:v>SO-26023</x:v>
      </x:c>
      <x:c r="D3102" s="2" t="str">
        <x:v>R-L-AL</x:v>
      </x:c>
      <x:c r="E3102" s="14" t="n">
        <x:v>20</x:v>
      </x:c>
      <x:c r="F3102" s="2" t="str">
        <x:v>Mechanical assembly</x:v>
      </x:c>
      <x:c r="G3102" s="9" t="str">
        <x:v>AS-03</x:v>
      </x:c>
      <x:c r="H3102" s="15" t="n">
        <x:v>164</x:v>
      </x:c>
      <x:c r="I3102" s="9" t="str">
        <x:v>P18</x:v>
      </x:c>
      <x:c r="J3102" s="11" t="n">
        <x:v>46310.83194444444</x:v>
      </x:c>
      <x:c r="K3102" s="15" t="n">
        <x:v>8</x:v>
      </x:c>
      <x:c r="L3102" s="15" t="n">
        <x:v>49</x:v>
      </x:c>
      <x:c r="M3102" s="13" t="n">
        <x:f>J3102+(K3102+L3102)/1440</x:f>
        <x:v>46310.871527777774</x:v>
      </x:c>
      <x:c r="N3102" s="13" t="n">
        <x:f>VLOOKUP(C3102,'MES orders'!$A$8:$H$127,5,FALSE)</x:f>
        <x:v>46310.666666666664</x:v>
      </x:c>
      <x:c r="O3102" s="16" t="n">
        <x:f>MAX(0,(M3102-N3102)*24)</x:f>
        <x:v>4.916666666627862</x:v>
      </x:c>
      <x:c r="P3102" s="9" t="str">
        <x:v>No</x:v>
      </x:c>
      <x:c r="Q3102" s="15" t="n">
        <x:v>57</x:v>
      </x:c>
      <x:c r="R3102" s="13" t="n">
        <x:f>J3102+Q3102/1440</x:f>
        <x:v>46310.871527777774</x:v>
      </x:c>
      <x:c r="S3102" s="2" t="str">
        <x:f>VLOOKUP(C3102,'MES orders'!$A$8:$H$127,6,FALSE)</x:f>
        <x:v>Normal</x:v>
      </x:c>
      <x:c r="T3102" s="9" t="str"/>
    </x:row>
    <x:row r="3103" ht="22" customHeight="1">
      <x:c r="A3103" s="2" t="str">
        <x:v>L00114-050</x:v>
      </x:c>
      <x:c r="B3103" s="2" t="str">
        <x:v>L00114</x:v>
      </x:c>
      <x:c r="C3103" s="2" t="str">
        <x:v>SO-26023</x:v>
      </x:c>
      <x:c r="D3103" s="2" t="str">
        <x:v>R-L-AL</x:v>
      </x:c>
      <x:c r="E3103" s="14" t="n">
        <x:v>20</x:v>
      </x:c>
      <x:c r="F3103" s="2" t="str">
        <x:v>Valve adjustment</x:v>
      </x:c>
      <x:c r="G3103" s="9" t="str">
        <x:v>AS-05</x:v>
      </x:c>
      <x:c r="H3103" s="15" t="n">
        <x:v>64</x:v>
      </x:c>
      <x:c r="I3103" s="9" t="str">
        <x:v>P20</x:v>
      </x:c>
      <x:c r="J3103" s="11" t="n">
        <x:v>46310.84097222222</x:v>
      </x:c>
      <x:c r="K3103" s="15" t="n">
        <x:v>6</x:v>
      </x:c>
      <x:c r="L3103" s="15" t="n">
        <x:v>30</x:v>
      </x:c>
      <x:c r="M3103" s="13" t="n">
        <x:f>J3103+(K3103+L3103)/1440</x:f>
        <x:v>46310.86597222222</x:v>
      </x:c>
      <x:c r="N3103" s="13" t="n">
        <x:f>VLOOKUP(C3103,'MES orders'!$A$8:$H$127,5,FALSE)</x:f>
        <x:v>46310.666666666664</x:v>
      </x:c>
      <x:c r="O3103" s="16" t="n">
        <x:f>MAX(0,(M3103-N3103)*24)</x:f>
        <x:v>4.78333333338378</x:v>
      </x:c>
      <x:c r="P3103" s="9" t="str">
        <x:v>No</x:v>
      </x:c>
      <x:c r="Q3103" s="15" t="n">
        <x:v>36</x:v>
      </x:c>
      <x:c r="R3103" s="13" t="n">
        <x:f>J3103+Q3103/1440</x:f>
        <x:v>46310.86597222222</x:v>
      </x:c>
      <x:c r="S3103" s="2" t="str">
        <x:f>VLOOKUP(C3103,'MES orders'!$A$8:$H$127,6,FALSE)</x:f>
        <x:v>Normal</x:v>
      </x:c>
      <x:c r="T3103" s="9" t="str"/>
    </x:row>
    <x:row r="3104" ht="22" customHeight="1">
      <x:c r="A3104" s="2" t="str">
        <x:v>L00393-010</x:v>
      </x:c>
      <x:c r="B3104" s="2" t="str">
        <x:v>L00393</x:v>
      </x:c>
      <x:c r="C3104" s="2" t="str">
        <x:v>SO-26079</x:v>
      </x:c>
      <x:c r="D3104" s="2" t="str">
        <x:v>R-C-AL</x:v>
      </x:c>
      <x:c r="E3104" s="14" t="n">
        <x:v>20</x:v>
      </x:c>
      <x:c r="F3104" s="2" t="str">
        <x:v>CNC machining</x:v>
      </x:c>
      <x:c r="G3104" s="9" t="str">
        <x:v>CNC-01</x:v>
      </x:c>
      <x:c r="H3104" s="15" t="n">
        <x:v>84</x:v>
      </x:c>
      <x:c r="I3104" s="9" t="str">
        <x:v>P13</x:v>
      </x:c>
      <x:c r="J3104" s="11" t="n">
        <x:v>46310.84097222222</x:v>
      </x:c>
      <x:c r="K3104" s="15" t="n">
        <x:v>18</x:v>
      </x:c>
      <x:c r="L3104" s="15" t="n">
        <x:v>38</x:v>
      </x:c>
      <x:c r="M3104" s="13" t="n">
        <x:f>J3104+(K3104+L3104)/1440</x:f>
        <x:v>46310.87986111111</x:v>
      </x:c>
      <x:c r="N3104" s="13" t="n">
        <x:f>VLOOKUP(C3104,'MES orders'!$A$8:$H$127,5,FALSE)</x:f>
        <x:v>46310.666666666664</x:v>
      </x:c>
      <x:c r="O3104" s="16" t="n">
        <x:f>MAX(0,(M3104-N3104)*24)</x:f>
        <x:v>5.116666666755918</x:v>
      </x:c>
      <x:c r="P3104" s="9" t="str">
        <x:v>No</x:v>
      </x:c>
      <x:c r="Q3104" s="15" t="n">
        <x:v>18</x:v>
      </x:c>
      <x:c r="R3104" s="13" t="n">
        <x:f>J3104+Q3104/1440</x:f>
        <x:v>46310.85347222222</x:v>
      </x:c>
      <x:c r="S3104" s="2" t="str">
        <x:f>VLOOKUP(C3104,'MES orders'!$A$8:$H$127,6,FALSE)</x:f>
        <x:v>Normal</x:v>
      </x:c>
      <x:c r="T3104" s="9" t="str"/>
    </x:row>
    <x:row r="3105" ht="22" customHeight="1">
      <x:c r="A3105" s="2" t="str">
        <x:v>L00394-010</x:v>
      </x:c>
      <x:c r="B3105" s="2" t="str">
        <x:v>L00394</x:v>
      </x:c>
      <x:c r="C3105" s="2" t="str">
        <x:v>SO-26079</x:v>
      </x:c>
      <x:c r="D3105" s="2" t="str">
        <x:v>R-C-AL</x:v>
      </x:c>
      <x:c r="E3105" s="14" t="n">
        <x:v>20</x:v>
      </x:c>
      <x:c r="F3105" s="2" t="str">
        <x:v>CNC machining</x:v>
      </x:c>
      <x:c r="G3105" s="9" t="str">
        <x:v>CNC-02</x:v>
      </x:c>
      <x:c r="H3105" s="15" t="n">
        <x:v>61</x:v>
      </x:c>
      <x:c r="I3105" s="9" t="str">
        <x:v>P14</x:v>
      </x:c>
      <x:c r="J3105" s="11" t="n">
        <x:v>46310.84097222222</x:v>
      </x:c>
      <x:c r="K3105" s="15" t="n">
        <x:v>18</x:v>
      </x:c>
      <x:c r="L3105" s="15" t="n">
        <x:v>38</x:v>
      </x:c>
      <x:c r="M3105" s="13" t="n">
        <x:f>J3105+(K3105+L3105)/1440</x:f>
        <x:v>46310.87986111111</x:v>
      </x:c>
      <x:c r="N3105" s="13" t="n">
        <x:f>VLOOKUP(C3105,'MES orders'!$A$8:$H$127,5,FALSE)</x:f>
        <x:v>46310.666666666664</x:v>
      </x:c>
      <x:c r="O3105" s="16" t="n">
        <x:f>MAX(0,(M3105-N3105)*24)</x:f>
        <x:v>5.116666666755918</x:v>
      </x:c>
      <x:c r="P3105" s="9" t="str">
        <x:v>No</x:v>
      </x:c>
      <x:c r="Q3105" s="15" t="n">
        <x:v>18</x:v>
      </x:c>
      <x:c r="R3105" s="13" t="n">
        <x:f>J3105+Q3105/1440</x:f>
        <x:v>46310.85347222222</x:v>
      </x:c>
      <x:c r="S3105" s="2" t="str">
        <x:f>VLOOKUP(C3105,'MES orders'!$A$8:$H$127,6,FALSE)</x:f>
        <x:v>Normal</x:v>
      </x:c>
      <x:c r="T3105" s="9" t="str"/>
    </x:row>
    <x:row r="3106" ht="22" customHeight="1">
      <x:c r="A3106" s="2" t="str">
        <x:v>L00395-010</x:v>
      </x:c>
      <x:c r="B3106" s="2" t="str">
        <x:v>L00395</x:v>
      </x:c>
      <x:c r="C3106" s="2" t="str">
        <x:v>SO-26079</x:v>
      </x:c>
      <x:c r="D3106" s="2" t="str">
        <x:v>R-C-AL</x:v>
      </x:c>
      <x:c r="E3106" s="14" t="n">
        <x:v>20</x:v>
      </x:c>
      <x:c r="F3106" s="2" t="str">
        <x:v>CNC machining</x:v>
      </x:c>
      <x:c r="G3106" s="9" t="str">
        <x:v>CNC-03</x:v>
      </x:c>
      <x:c r="H3106" s="15" t="n">
        <x:v>99</x:v>
      </x:c>
      <x:c r="I3106" s="9" t="str">
        <x:v>P15</x:v>
      </x:c>
      <x:c r="J3106" s="11" t="n">
        <x:v>46310.845138888886</x:v>
      </x:c>
      <x:c r="K3106" s="15" t="n">
        <x:v>18</x:v>
      </x:c>
      <x:c r="L3106" s="15" t="n">
        <x:v>38</x:v>
      </x:c>
      <x:c r="M3106" s="13" t="n">
        <x:f>J3106+(K3106+L3106)/1440</x:f>
        <x:v>46310.88402777778</x:v>
      </x:c>
      <x:c r="N3106" s="13" t="n">
        <x:f>VLOOKUP(C3106,'MES orders'!$A$8:$H$127,5,FALSE)</x:f>
        <x:v>46310.666666666664</x:v>
      </x:c>
      <x:c r="O3106" s="16" t="n">
        <x:f>MAX(0,(M3106-N3106)*24)</x:f>
        <x:v>5.216666666732635</x:v>
      </x:c>
      <x:c r="P3106" s="9" t="str">
        <x:v>No</x:v>
      </x:c>
      <x:c r="Q3106" s="15" t="n">
        <x:v>18</x:v>
      </x:c>
      <x:c r="R3106" s="13" t="n">
        <x:f>J3106+Q3106/1440</x:f>
        <x:v>46310.85763888888</x:v>
      </x:c>
      <x:c r="S3106" s="2" t="str">
        <x:f>VLOOKUP(C3106,'MES orders'!$A$8:$H$127,6,FALSE)</x:f>
        <x:v>Normal</x:v>
      </x:c>
      <x:c r="T3106" s="9" t="str"/>
    </x:row>
    <x:row r="3107" ht="22" customHeight="1">
      <x:c r="A3107" s="2" t="str">
        <x:v>L00354-050</x:v>
      </x:c>
      <x:c r="B3107" s="2" t="str">
        <x:v>L00354</x:v>
      </x:c>
      <x:c r="C3107" s="2" t="str">
        <x:v>SO-26071</x:v>
      </x:c>
      <x:c r="D3107" s="2" t="str">
        <x:v>D-L-AL</x:v>
      </x:c>
      <x:c r="E3107" s="14" t="n">
        <x:v>15</x:v>
      </x:c>
      <x:c r="F3107" s="2" t="str">
        <x:v>Final leak / function test</x:v>
      </x:c>
      <x:c r="G3107" s="9" t="str">
        <x:v>QA-01</x:v>
      </x:c>
      <x:c r="H3107" s="15" t="n">
        <x:v>123</x:v>
      </x:c>
      <x:c r="I3107" s="9" t="str">
        <x:v>P23</x:v>
      </x:c>
      <x:c r="J3107" s="11" t="n">
        <x:v>46310.845138888886</x:v>
      </x:c>
      <x:c r="K3107" s="15" t="n">
        <x:v>10</x:v>
      </x:c>
      <x:c r="L3107" s="15" t="n">
        <x:v>18</x:v>
      </x:c>
      <x:c r="M3107" s="13" t="n">
        <x:f>J3107+(K3107+L3107)/1440</x:f>
        <x:v>46310.86458333333</x:v>
      </x:c>
      <x:c r="N3107" s="13" t="n">
        <x:f>VLOOKUP(C3107,'MES orders'!$A$8:$H$127,5,FALSE)</x:f>
        <x:v>46310.666666666664</x:v>
      </x:c>
      <x:c r="O3107" s="16" t="n">
        <x:f>MAX(0,(M3107-N3107)*24)</x:f>
        <x:v>4.749999999941792</x:v>
      </x:c>
      <x:c r="P3107" s="9" t="str">
        <x:v>No</x:v>
      </x:c>
      <x:c r="Q3107" s="15" t="n">
        <x:v>28</x:v>
      </x:c>
      <x:c r="R3107" s="13" t="n">
        <x:f>J3107+Q3107/1440</x:f>
        <x:v>46310.86458333333</x:v>
      </x:c>
      <x:c r="S3107" s="2" t="str">
        <x:f>VLOOKUP(C3107,'MES orders'!$A$8:$H$127,6,FALSE)</x:f>
        <x:v>High</x:v>
      </x:c>
      <x:c r="T3107" s="9" t="str"/>
    </x:row>
    <x:row r="3108" ht="22" customHeight="1">
      <x:c r="A3108" s="2" t="str">
        <x:v>L00314-050</x:v>
      </x:c>
      <x:c r="B3108" s="2" t="str">
        <x:v>L00314</x:v>
      </x:c>
      <x:c r="C3108" s="2" t="str">
        <x:v>SO-26063</x:v>
      </x:c>
      <x:c r="D3108" s="2" t="str">
        <x:v>D-S-AL</x:v>
      </x:c>
      <x:c r="E3108" s="14" t="n">
        <x:v>20</x:v>
      </x:c>
      <x:c r="F3108" s="2" t="str">
        <x:v>Final leak / function test</x:v>
      </x:c>
      <x:c r="G3108" s="9" t="str">
        <x:v>QA-02</x:v>
      </x:c>
      <x:c r="H3108" s="15" t="n">
        <x:v>231</x:v>
      </x:c>
      <x:c r="I3108" s="9" t="str">
        <x:v>P24</x:v>
      </x:c>
      <x:c r="J3108" s="11" t="n">
        <x:v>46310.845138888886</x:v>
      </x:c>
      <x:c r="K3108" s="15" t="n">
        <x:v>10</x:v>
      </x:c>
      <x:c r="L3108" s="15" t="n">
        <x:v>18</x:v>
      </x:c>
      <x:c r="M3108" s="13" t="n">
        <x:f>J3108+(K3108+L3108)/1440</x:f>
        <x:v>46310.86458333333</x:v>
      </x:c>
      <x:c r="N3108" s="13" t="n">
        <x:f>VLOOKUP(C3108,'MES orders'!$A$8:$H$127,5,FALSE)</x:f>
        <x:v>46310.666666666664</x:v>
      </x:c>
      <x:c r="O3108" s="16" t="n">
        <x:f>MAX(0,(M3108-N3108)*24)</x:f>
        <x:v>4.749999999941792</x:v>
      </x:c>
      <x:c r="P3108" s="9" t="str">
        <x:v>No</x:v>
      </x:c>
      <x:c r="Q3108" s="15" t="n">
        <x:v>28</x:v>
      </x:c>
      <x:c r="R3108" s="13" t="n">
        <x:f>J3108+Q3108/1440</x:f>
        <x:v>46310.86458333333</x:v>
      </x:c>
      <x:c r="S3108" s="2" t="str">
        <x:f>VLOOKUP(C3108,'MES orders'!$A$8:$H$127,6,FALSE)</x:f>
        <x:v>Normal</x:v>
      </x:c>
      <x:c r="T3108" s="9" t="str"/>
    </x:row>
    <x:row r="3109" ht="22" customHeight="1">
      <x:c r="A3109" s="2" t="str">
        <x:v>L00113-030</x:v>
      </x:c>
      <x:c r="B3109" s="2" t="str">
        <x:v>L00113</x:v>
      </x:c>
      <x:c r="C3109" s="2" t="str">
        <x:v>SO-26023</x:v>
      </x:c>
      <x:c r="D3109" s="2" t="str">
        <x:v>R-L-AL</x:v>
      </x:c>
      <x:c r="E3109" s="14" t="n">
        <x:v>20</x:v>
      </x:c>
      <x:c r="F3109" s="2" t="str">
        <x:v>Wash &amp; dry</x:v>
      </x:c>
      <x:c r="G3109" s="9" t="str">
        <x:v>WS-01</x:v>
      </x:c>
      <x:c r="H3109" s="15" t="n">
        <x:v>285</x:v>
      </x:c>
      <x:c r="I3109" s="9" t="str">
        <x:v>P16</x:v>
      </x:c>
      <x:c r="J3109" s="11" t="n">
        <x:v>46310.845138888886</x:v>
      </x:c>
      <x:c r="K3109" s="15" t="n">
        <x:v>12</x:v>
      </x:c>
      <x:c r="L3109" s="15" t="n">
        <x:v>9</x:v>
      </x:c>
      <x:c r="M3109" s="13" t="n">
        <x:f>J3109+(K3109+L3109)/1440</x:f>
        <x:v>46310.859722222216</x:v>
      </x:c>
      <x:c r="N3109" s="13" t="n">
        <x:f>VLOOKUP(C3109,'MES orders'!$A$8:$H$127,5,FALSE)</x:f>
        <x:v>46310.666666666664</x:v>
      </x:c>
      <x:c r="O3109" s="16" t="n">
        <x:f>MAX(0,(M3109-N3109)*24)</x:f>
        <x:v>4.633333333244082</x:v>
      </x:c>
      <x:c r="P3109" s="9" t="str">
        <x:v>No</x:v>
      </x:c>
      <x:c r="Q3109" s="15" t="n">
        <x:v>21</x:v>
      </x:c>
      <x:c r="R3109" s="13" t="n">
        <x:f>J3109+Q3109/1440</x:f>
        <x:v>46310.859722222216</x:v>
      </x:c>
      <x:c r="S3109" s="2" t="str">
        <x:f>VLOOKUP(C3109,'MES orders'!$A$8:$H$127,6,FALSE)</x:f>
        <x:v>Normal</x:v>
      </x:c>
      <x:c r="T3109" s="9" t="str"/>
    </x:row>
    <x:row r="3110" ht="22" customHeight="1">
      <x:c r="A3110" s="2" t="str">
        <x:v>L00431-010</x:v>
      </x:c>
      <x:c r="B3110" s="2" t="str">
        <x:v>L00431</x:v>
      </x:c>
      <x:c r="C3110" s="2" t="str">
        <x:v>SO-26087</x:v>
      </x:c>
      <x:c r="D3110" s="2" t="str">
        <x:v>R-S-AL</x:v>
      </x:c>
      <x:c r="E3110" s="14" t="n">
        <x:v>15</x:v>
      </x:c>
      <x:c r="F3110" s="2" t="str">
        <x:v>CNC machining</x:v>
      </x:c>
      <x:c r="G3110" s="9" t="str">
        <x:v>CNC-04</x:v>
      </x:c>
      <x:c r="H3110" s="15" t="n">
        <x:v>94</x:v>
      </x:c>
      <x:c r="I3110" s="9" t="str">
        <x:v>P13</x:v>
      </x:c>
      <x:c r="J3110" s="11" t="n">
        <x:v>46310.853472222225</x:v>
      </x:c>
      <x:c r="K3110" s="15" t="n">
        <x:v>18</x:v>
      </x:c>
      <x:c r="L3110" s="15" t="n">
        <x:v>36</x:v>
      </x:c>
      <x:c r="M3110" s="13" t="n">
        <x:f>J3110+(K3110+L3110)/1440</x:f>
        <x:v>46310.89097222222</x:v>
      </x:c>
      <x:c r="N3110" s="13" t="n">
        <x:f>VLOOKUP(C3110,'MES orders'!$A$8:$H$127,5,FALSE)</x:f>
        <x:v>46310.666666666664</x:v>
      </x:c>
      <x:c r="O3110" s="16" t="n">
        <x:f>MAX(0,(M3110-N3110)*24)</x:f>
        <x:v>5.383333333418705</x:v>
      </x:c>
      <x:c r="P3110" s="9" t="str">
        <x:v>No</x:v>
      </x:c>
      <x:c r="Q3110" s="15" t="n">
        <x:v>18</x:v>
      </x:c>
      <x:c r="R3110" s="13" t="n">
        <x:f>J3110+Q3110/1440</x:f>
        <x:v>46310.86597222222</x:v>
      </x:c>
      <x:c r="S3110" s="2" t="str">
        <x:f>VLOOKUP(C3110,'MES orders'!$A$8:$H$127,6,FALSE)</x:f>
        <x:v>Normal</x:v>
      </x:c>
      <x:c r="T3110" s="9" t="str"/>
    </x:row>
    <x:row r="3111" ht="22" customHeight="1">
      <x:c r="A3111" s="2" t="str">
        <x:v>L00432-010</x:v>
      </x:c>
      <x:c r="B3111" s="2" t="str">
        <x:v>L00432</x:v>
      </x:c>
      <x:c r="C3111" s="2" t="str">
        <x:v>SO-26087</x:v>
      </x:c>
      <x:c r="D3111" s="2" t="str">
        <x:v>R-S-AL</x:v>
      </x:c>
      <x:c r="E3111" s="14" t="n">
        <x:v>15</x:v>
      </x:c>
      <x:c r="F3111" s="2" t="str">
        <x:v>CNC machining</x:v>
      </x:c>
      <x:c r="G3111" s="9" t="str">
        <x:v>CNC-05</x:v>
      </x:c>
      <x:c r="H3111" s="15" t="n">
        <x:v>86</x:v>
      </x:c>
      <x:c r="I3111" s="9" t="str">
        <x:v>P14</x:v>
      </x:c>
      <x:c r="J3111" s="11" t="n">
        <x:v>46310.853472222225</x:v>
      </x:c>
      <x:c r="K3111" s="15" t="n">
        <x:v>18</x:v>
      </x:c>
      <x:c r="L3111" s="15" t="n">
        <x:v>36</x:v>
      </x:c>
      <x:c r="M3111" s="13" t="n">
        <x:f>J3111+(K3111+L3111)/1440</x:f>
        <x:v>46310.89097222222</x:v>
      </x:c>
      <x:c r="N3111" s="13" t="n">
        <x:f>VLOOKUP(C3111,'MES orders'!$A$8:$H$127,5,FALSE)</x:f>
        <x:v>46310.666666666664</x:v>
      </x:c>
      <x:c r="O3111" s="16" t="n">
        <x:f>MAX(0,(M3111-N3111)*24)</x:f>
        <x:v>5.383333333418705</x:v>
      </x:c>
      <x:c r="P3111" s="9" t="str">
        <x:v>No</x:v>
      </x:c>
      <x:c r="Q3111" s="15" t="n">
        <x:v>18</x:v>
      </x:c>
      <x:c r="R3111" s="13" t="n">
        <x:f>J3111+Q3111/1440</x:f>
        <x:v>46310.86597222222</x:v>
      </x:c>
      <x:c r="S3111" s="2" t="str">
        <x:f>VLOOKUP(C3111,'MES orders'!$A$8:$H$127,6,FALSE)</x:f>
        <x:v>Normal</x:v>
      </x:c>
      <x:c r="T3111" s="9" t="str"/>
    </x:row>
    <x:row r="3112" ht="22" customHeight="1">
      <x:c r="A3112" s="2" t="str">
        <x:v>L00433-010</x:v>
      </x:c>
      <x:c r="B3112" s="2" t="str">
        <x:v>L00433</x:v>
      </x:c>
      <x:c r="C3112" s="2" t="str">
        <x:v>SO-26087</x:v>
      </x:c>
      <x:c r="D3112" s="2" t="str">
        <x:v>R-S-AL</x:v>
      </x:c>
      <x:c r="E3112" s="14" t="n">
        <x:v>15</x:v>
      </x:c>
      <x:c r="F3112" s="2" t="str">
        <x:v>CNC machining</x:v>
      </x:c>
      <x:c r="G3112" s="9" t="str">
        <x:v>CNC-06</x:v>
      </x:c>
      <x:c r="H3112" s="15" t="n">
        <x:v>79</x:v>
      </x:c>
      <x:c r="I3112" s="9" t="str">
        <x:v>P15</x:v>
      </x:c>
      <x:c r="J3112" s="11" t="n">
        <x:v>46310.85763888889</x:v>
      </x:c>
      <x:c r="K3112" s="15" t="n">
        <x:v>18</x:v>
      </x:c>
      <x:c r="L3112" s="15" t="n">
        <x:v>36</x:v>
      </x:c>
      <x:c r="M3112" s="13" t="n">
        <x:f>J3112+(K3112+L3112)/1440</x:f>
        <x:v>46310.89513888889</x:v>
      </x:c>
      <x:c r="N3112" s="13" t="n">
        <x:f>VLOOKUP(C3112,'MES orders'!$A$8:$H$127,5,FALSE)</x:f>
        <x:v>46310.666666666664</x:v>
      </x:c>
      <x:c r="O3112" s="16" t="n">
        <x:f>MAX(0,(M3112-N3112)*24)</x:f>
        <x:v>5.4833333333954215</x:v>
      </x:c>
      <x:c r="P3112" s="9" t="str">
        <x:v>No</x:v>
      </x:c>
      <x:c r="Q3112" s="15" t="n">
        <x:v>18</x:v>
      </x:c>
      <x:c r="R3112" s="13" t="n">
        <x:f>J3112+Q3112/1440</x:f>
        <x:v>46310.87013888889</x:v>
      </x:c>
      <x:c r="S3112" s="2" t="str">
        <x:f>VLOOKUP(C3112,'MES orders'!$A$8:$H$127,6,FALSE)</x:f>
        <x:v>Normal</x:v>
      </x:c>
      <x:c r="T3112" s="9" t="str"/>
    </x:row>
    <x:row r="3113" ht="22" customHeight="1">
      <x:c r="A3113" s="2" t="str">
        <x:v>L00113-040</x:v>
      </x:c>
      <x:c r="B3113" s="2" t="str">
        <x:v>L00113</x:v>
      </x:c>
      <x:c r="C3113" s="2" t="str">
        <x:v>SO-26023</x:v>
      </x:c>
      <x:c r="D3113" s="2" t="str">
        <x:v>R-L-AL</x:v>
      </x:c>
      <x:c r="E3113" s="14" t="n">
        <x:v>20</x:v>
      </x:c>
      <x:c r="F3113" s="2" t="str">
        <x:v>Mechanical assembly</x:v>
      </x:c>
      <x:c r="G3113" s="9" t="str">
        <x:v>AS-04</x:v>
      </x:c>
      <x:c r="H3113" s="15" t="n">
        <x:v>115</x:v>
      </x:c>
      <x:c r="I3113" s="9" t="str">
        <x:v>P16</x:v>
      </x:c>
      <x:c r="J3113" s="11" t="n">
        <x:v>46310.85972222222</x:v>
      </x:c>
      <x:c r="K3113" s="15" t="n">
        <x:v>8</x:v>
      </x:c>
      <x:c r="L3113" s="15" t="n">
        <x:v>49</x:v>
      </x:c>
      <x:c r="M3113" s="13" t="n">
        <x:f>J3113+(K3113+L3113)/1440</x:f>
        <x:v>46310.899305555555</x:v>
      </x:c>
      <x:c r="N3113" s="13" t="n">
        <x:f>VLOOKUP(C3113,'MES orders'!$A$8:$H$127,5,FALSE)</x:f>
        <x:v>46310.666666666664</x:v>
      </x:c>
      <x:c r="O3113" s="16" t="n">
        <x:f>MAX(0,(M3113-N3113)*24)</x:f>
        <x:v>5.583333333372138</x:v>
      </x:c>
      <x:c r="P3113" s="9" t="str">
        <x:v>No</x:v>
      </x:c>
      <x:c r="Q3113" s="15" t="n">
        <x:v>57</x:v>
      </x:c>
      <x:c r="R3113" s="13" t="n">
        <x:f>J3113+Q3113/1440</x:f>
        <x:v>46310.899305555555</x:v>
      </x:c>
      <x:c r="S3113" s="2" t="str">
        <x:f>VLOOKUP(C3113,'MES orders'!$A$8:$H$127,6,FALSE)</x:f>
        <x:v>Normal</x:v>
      </x:c>
      <x:c r="T3113" s="9" t="str"/>
    </x:row>
    <x:row r="3114" ht="22" customHeight="1">
      <x:c r="A3114" s="2" t="str">
        <x:v>L00115-050</x:v>
      </x:c>
      <x:c r="B3114" s="2" t="str">
        <x:v>L00115</x:v>
      </x:c>
      <x:c r="C3114" s="2" t="str">
        <x:v>SO-26023</x:v>
      </x:c>
      <x:c r="D3114" s="2" t="str">
        <x:v>R-L-AL</x:v>
      </x:c>
      <x:c r="E3114" s="14" t="n">
        <x:v>20</x:v>
      </x:c>
      <x:c r="F3114" s="2" t="str">
        <x:v>Valve adjustment</x:v>
      </x:c>
      <x:c r="G3114" s="9" t="str">
        <x:v>AS-05</x:v>
      </x:c>
      <x:c r="H3114" s="15" t="n">
        <x:v>65</x:v>
      </x:c>
      <x:c r="I3114" s="9" t="str">
        <x:v>P20</x:v>
      </x:c>
      <x:c r="J3114" s="11" t="n">
        <x:v>46310.86597222222</x:v>
      </x:c>
      <x:c r="K3114" s="15" t="n">
        <x:v>6</x:v>
      </x:c>
      <x:c r="L3114" s="15" t="n">
        <x:v>30</x:v>
      </x:c>
      <x:c r="M3114" s="13" t="n">
        <x:f>J3114+(K3114+L3114)/1440</x:f>
        <x:v>46310.89097222222</x:v>
      </x:c>
      <x:c r="N3114" s="13" t="n">
        <x:f>VLOOKUP(C3114,'MES orders'!$A$8:$H$127,5,FALSE)</x:f>
        <x:v>46310.666666666664</x:v>
      </x:c>
      <x:c r="O3114" s="16" t="n">
        <x:f>MAX(0,(M3114-N3114)*24)</x:f>
        <x:v>5.383333333418705</x:v>
      </x:c>
      <x:c r="P3114" s="9" t="str">
        <x:v>No</x:v>
      </x:c>
      <x:c r="Q3114" s="15" t="n">
        <x:v>36</x:v>
      </x:c>
      <x:c r="R3114" s="13" t="n">
        <x:f>J3114+Q3114/1440</x:f>
        <x:v>46310.89097222222</x:v>
      </x:c>
      <x:c r="S3114" s="2" t="str">
        <x:f>VLOOKUP(C3114,'MES orders'!$A$8:$H$127,6,FALSE)</x:f>
        <x:v>Normal</x:v>
      </x:c>
      <x:c r="T3114" s="9" t="str"/>
    </x:row>
    <x:row r="3115" ht="22" customHeight="1">
      <x:c r="A3115" s="2" t="str">
        <x:v>L00114-060</x:v>
      </x:c>
      <x:c r="B3115" s="2" t="str">
        <x:v>L00114</x:v>
      </x:c>
      <x:c r="C3115" s="2" t="str">
        <x:v>SO-26023</x:v>
      </x:c>
      <x:c r="D3115" s="2" t="str">
        <x:v>R-L-AL</x:v>
      </x:c>
      <x:c r="E3115" s="14" t="n">
        <x:v>20</x:v>
      </x:c>
      <x:c r="F3115" s="2" t="str">
        <x:v>Final leak / function test</x:v>
      </x:c>
      <x:c r="G3115" s="9" t="str">
        <x:v>QA-02</x:v>
      </x:c>
      <x:c r="H3115" s="15" t="n">
        <x:v>232</x:v>
      </x:c>
      <x:c r="I3115" s="9" t="str">
        <x:v>P23</x:v>
      </x:c>
      <x:c r="J3115" s="11" t="n">
        <x:v>46310.86597222222</x:v>
      </x:c>
      <x:c r="K3115" s="15" t="n">
        <x:v>10</x:v>
      </x:c>
      <x:c r="L3115" s="15" t="n">
        <x:v>24</x:v>
      </x:c>
      <x:c r="M3115" s="13" t="n">
        <x:f>J3115+(K3115+L3115)/1440</x:f>
        <x:v>46310.88958333333</x:v>
      </x:c>
      <x:c r="N3115" s="13" t="n">
        <x:f>VLOOKUP(C3115,'MES orders'!$A$8:$H$127,5,FALSE)</x:f>
        <x:v>46310.666666666664</x:v>
      </x:c>
      <x:c r="O3115" s="16" t="n">
        <x:f>MAX(0,(M3115-N3115)*24)</x:f>
        <x:v>5.349999999976717</x:v>
      </x:c>
      <x:c r="P3115" s="9" t="str">
        <x:v>No</x:v>
      </x:c>
      <x:c r="Q3115" s="15" t="n">
        <x:v>34</x:v>
      </x:c>
      <x:c r="R3115" s="13" t="n">
        <x:f>J3115+Q3115/1440</x:f>
        <x:v>46310.88958333333</x:v>
      </x:c>
      <x:c r="S3115" s="2" t="str">
        <x:f>VLOOKUP(C3115,'MES orders'!$A$8:$H$127,6,FALSE)</x:f>
        <x:v>Normal</x:v>
      </x:c>
      <x:c r="T3115" s="9" t="str"/>
    </x:row>
    <x:row r="3116" ht="22" customHeight="1">
      <x:c r="A3116" s="2" t="str">
        <x:v>L00111-050</x:v>
      </x:c>
      <x:c r="B3116" s="2" t="str">
        <x:v>L00111</x:v>
      </x:c>
      <x:c r="C3116" s="2" t="str">
        <x:v>SO-26023</x:v>
      </x:c>
      <x:c r="D3116" s="2" t="str">
        <x:v>R-L-AL</x:v>
      </x:c>
      <x:c r="E3116" s="14" t="n">
        <x:v>20</x:v>
      </x:c>
      <x:c r="F3116" s="2" t="str">
        <x:v>Valve adjustment</x:v>
      </x:c>
      <x:c r="G3116" s="9" t="str">
        <x:v>AS-01</x:v>
      </x:c>
      <x:c r="H3116" s="15" t="n">
        <x:v>244</x:v>
      </x:c>
      <x:c r="I3116" s="9" t="str">
        <x:v>P17</x:v>
      </x:c>
      <x:c r="J3116" s="11" t="n">
        <x:v>46310.87152777778</x:v>
      </x:c>
      <x:c r="K3116" s="15" t="n">
        <x:v>6</x:v>
      </x:c>
      <x:c r="L3116" s="15" t="n">
        <x:v>30</x:v>
      </x:c>
      <x:c r="M3116" s="13" t="n">
        <x:f>J3116+(K3116+L3116)/1440</x:f>
        <x:v>46310.89652777778</x:v>
      </x:c>
      <x:c r="N3116" s="13" t="n">
        <x:f>VLOOKUP(C3116,'MES orders'!$A$8:$H$127,5,FALSE)</x:f>
        <x:v>46310.666666666664</x:v>
      </x:c>
      <x:c r="O3116" s="16" t="n">
        <x:f>MAX(0,(M3116-N3116)*24)</x:f>
        <x:v>5.516666666837409</x:v>
      </x:c>
      <x:c r="P3116" s="9" t="str">
        <x:v>No</x:v>
      </x:c>
      <x:c r="Q3116" s="15" t="n">
        <x:v>36</x:v>
      </x:c>
      <x:c r="R3116" s="13" t="n">
        <x:f>J3116+Q3116/1440</x:f>
        <x:v>46310.89652777778</x:v>
      </x:c>
      <x:c r="S3116" s="2" t="str">
        <x:f>VLOOKUP(C3116,'MES orders'!$A$8:$H$127,6,FALSE)</x:f>
        <x:v>Normal</x:v>
      </x:c>
      <x:c r="T3116" s="9" t="str"/>
    </x:row>
    <x:row r="3117" ht="22" customHeight="1">
      <x:c r="A3117" s="2" t="str">
        <x:v>L00112-050</x:v>
      </x:c>
      <x:c r="B3117" s="2" t="str">
        <x:v>L00112</x:v>
      </x:c>
      <x:c r="C3117" s="2" t="str">
        <x:v>SO-26023</x:v>
      </x:c>
      <x:c r="D3117" s="2" t="str">
        <x:v>R-L-AL</x:v>
      </x:c>
      <x:c r="E3117" s="14" t="n">
        <x:v>20</x:v>
      </x:c>
      <x:c r="F3117" s="2" t="str">
        <x:v>Valve adjustment</x:v>
      </x:c>
      <x:c r="G3117" s="9" t="str">
        <x:v>AS-02</x:v>
      </x:c>
      <x:c r="H3117" s="15" t="n">
        <x:v>200</x:v>
      </x:c>
      <x:c r="I3117" s="9" t="str">
        <x:v>P18</x:v>
      </x:c>
      <x:c r="J3117" s="11" t="n">
        <x:v>46310.87152777778</x:v>
      </x:c>
      <x:c r="K3117" s="15" t="n">
        <x:v>6</x:v>
      </x:c>
      <x:c r="L3117" s="15" t="n">
        <x:v>30</x:v>
      </x:c>
      <x:c r="M3117" s="13" t="n">
        <x:f>J3117+(K3117+L3117)/1440</x:f>
        <x:v>46310.89652777778</x:v>
      </x:c>
      <x:c r="N3117" s="13" t="n">
        <x:f>VLOOKUP(C3117,'MES orders'!$A$8:$H$127,5,FALSE)</x:f>
        <x:v>46310.666666666664</x:v>
      </x:c>
      <x:c r="O3117" s="16" t="n">
        <x:f>MAX(0,(M3117-N3117)*24)</x:f>
        <x:v>5.516666666837409</x:v>
      </x:c>
      <x:c r="P3117" s="9" t="str">
        <x:v>No</x:v>
      </x:c>
      <x:c r="Q3117" s="15" t="n">
        <x:v>36</x:v>
      </x:c>
      <x:c r="R3117" s="13" t="n">
        <x:f>J3117+Q3117/1440</x:f>
        <x:v>46310.89652777778</x:v>
      </x:c>
      <x:c r="S3117" s="2" t="str">
        <x:f>VLOOKUP(C3117,'MES orders'!$A$8:$H$127,6,FALSE)</x:f>
        <x:v>Normal</x:v>
      </x:c>
      <x:c r="T3117" s="9" t="str"/>
    </x:row>
    <x:row r="3118" ht="22" customHeight="1">
      <x:c r="A3118" s="2" t="str">
        <x:v>L00551-010</x:v>
      </x:c>
      <x:c r="B3118" s="2" t="str">
        <x:v>L00551</x:v>
      </x:c>
      <x:c r="C3118" s="2" t="str">
        <x:v>SO-26111</x:v>
      </x:c>
      <x:c r="D3118" s="2" t="str">
        <x:v>S-S-AL</x:v>
      </x:c>
      <x:c r="E3118" s="14" t="n">
        <x:v>10</x:v>
      </x:c>
      <x:c r="F3118" s="2" t="str">
        <x:v>CNC machining</x:v>
      </x:c>
      <x:c r="G3118" s="9" t="str">
        <x:v>CNC-01</x:v>
      </x:c>
      <x:c r="H3118" s="15" t="n">
        <x:v>85</x:v>
      </x:c>
      <x:c r="I3118" s="9" t="str">
        <x:v>P15</x:v>
      </x:c>
      <x:c r="J3118" s="11" t="n">
        <x:v>46310.87986111111</x:v>
      </x:c>
      <x:c r="K3118" s="15" t="n">
        <x:v>18</x:v>
      </x:c>
      <x:c r="L3118" s="15" t="n">
        <x:v>24</x:v>
      </x:c>
      <x:c r="M3118" s="13" t="n">
        <x:f>J3118+(K3118+L3118)/1440</x:f>
        <x:v>46310.90902777778</x:v>
      </x:c>
      <x:c r="N3118" s="13" t="n">
        <x:f>VLOOKUP(C3118,'MES orders'!$A$8:$H$127,5,FALSE)</x:f>
        <x:v>46310.666666666664</x:v>
      </x:c>
      <x:c r="O3118" s="16" t="n">
        <x:f>MAX(0,(M3118-N3118)*24)</x:f>
        <x:v>5.81666666676756</x:v>
      </x:c>
      <x:c r="P3118" s="9" t="str">
        <x:v>No</x:v>
      </x:c>
      <x:c r="Q3118" s="15" t="n">
        <x:v>18</x:v>
      </x:c>
      <x:c r="R3118" s="13" t="n">
        <x:f>J3118+Q3118/1440</x:f>
        <x:v>46310.89236111111</x:v>
      </x:c>
      <x:c r="S3118" s="2" t="str">
        <x:f>VLOOKUP(C3118,'MES orders'!$A$8:$H$127,6,FALSE)</x:f>
        <x:v>Normal</x:v>
      </x:c>
      <x:c r="T3118" s="9" t="str"/>
    </x:row>
    <x:row r="3119" ht="22" customHeight="1">
      <x:c r="A3119" s="2" t="str">
        <x:v>L00393-020</x:v>
      </x:c>
      <x:c r="B3119" s="2" t="str">
        <x:v>L00393</x:v>
      </x:c>
      <x:c r="C3119" s="2" t="str">
        <x:v>SO-26079</x:v>
      </x:c>
      <x:c r="D3119" s="2" t="str">
        <x:v>R-C-AL</x:v>
      </x:c>
      <x:c r="E3119" s="14" t="n">
        <x:v>20</x:v>
      </x:c>
      <x:c r="F3119" s="2" t="str">
        <x:v>Deburr &amp; inspect</x:v>
      </x:c>
      <x:c r="G3119" s="9" t="str">
        <x:v>DB-01</x:v>
      </x:c>
      <x:c r="H3119" s="15" t="n">
        <x:v>292</x:v>
      </x:c>
      <x:c r="I3119" s="9" t="str">
        <x:v>P13</x:v>
      </x:c>
      <x:c r="J3119" s="11" t="n">
        <x:v>46310.87986111111</x:v>
      </x:c>
      <x:c r="K3119" s="15" t="n">
        <x:v>4</x:v>
      </x:c>
      <x:c r="L3119" s="15" t="n">
        <x:v>11</x:v>
      </x:c>
      <x:c r="M3119" s="13" t="n">
        <x:f>J3119+(K3119+L3119)/1440</x:f>
        <x:v>46310.89027777778</x:v>
      </x:c>
      <x:c r="N3119" s="13" t="n">
        <x:f>VLOOKUP(C3119,'MES orders'!$A$8:$H$127,5,FALSE)</x:f>
        <x:v>46310.666666666664</x:v>
      </x:c>
      <x:c r="O3119" s="16" t="n">
        <x:f>MAX(0,(M3119-N3119)*24)</x:f>
        <x:v>5.366666666697711</x:v>
      </x:c>
      <x:c r="P3119" s="9" t="str">
        <x:v>No</x:v>
      </x:c>
      <x:c r="Q3119" s="15" t="n">
        <x:v>15</x:v>
      </x:c>
      <x:c r="R3119" s="13" t="n">
        <x:f>J3119+Q3119/1440</x:f>
        <x:v>46310.89027777778</x:v>
      </x:c>
      <x:c r="S3119" s="2" t="str">
        <x:f>VLOOKUP(C3119,'MES orders'!$A$8:$H$127,6,FALSE)</x:f>
        <x:v>Normal</x:v>
      </x:c>
      <x:c r="T3119" s="9" t="str"/>
    </x:row>
    <x:row r="3120" ht="22" customHeight="1">
      <x:c r="A3120" s="2" t="str">
        <x:v>L00394-020</x:v>
      </x:c>
      <x:c r="B3120" s="2" t="str">
        <x:v>L00394</x:v>
      </x:c>
      <x:c r="C3120" s="2" t="str">
        <x:v>SO-26079</x:v>
      </x:c>
      <x:c r="D3120" s="2" t="str">
        <x:v>R-C-AL</x:v>
      </x:c>
      <x:c r="E3120" s="14" t="n">
        <x:v>20</x:v>
      </x:c>
      <x:c r="F3120" s="2" t="str">
        <x:v>Deburr &amp; inspect</x:v>
      </x:c>
      <x:c r="G3120" s="9" t="str">
        <x:v>DB-02</x:v>
      </x:c>
      <x:c r="H3120" s="15" t="n">
        <x:v>205</x:v>
      </x:c>
      <x:c r="I3120" s="9" t="str">
        <x:v>P14</x:v>
      </x:c>
      <x:c r="J3120" s="11" t="n">
        <x:v>46310.87986111111</x:v>
      </x:c>
      <x:c r="K3120" s="15" t="n">
        <x:v>4</x:v>
      </x:c>
      <x:c r="L3120" s="15" t="n">
        <x:v>11</x:v>
      </x:c>
      <x:c r="M3120" s="13" t="n">
        <x:f>J3120+(K3120+L3120)/1440</x:f>
        <x:v>46310.89027777778</x:v>
      </x:c>
      <x:c r="N3120" s="13" t="n">
        <x:f>VLOOKUP(C3120,'MES orders'!$A$8:$H$127,5,FALSE)</x:f>
        <x:v>46310.666666666664</x:v>
      </x:c>
      <x:c r="O3120" s="16" t="n">
        <x:f>MAX(0,(M3120-N3120)*24)</x:f>
        <x:v>5.366666666697711</x:v>
      </x:c>
      <x:c r="P3120" s="9" t="str">
        <x:v>No</x:v>
      </x:c>
      <x:c r="Q3120" s="15" t="n">
        <x:v>15</x:v>
      </x:c>
      <x:c r="R3120" s="13" t="n">
        <x:f>J3120+Q3120/1440</x:f>
        <x:v>46310.89027777778</x:v>
      </x:c>
      <x:c r="S3120" s="2" t="str">
        <x:f>VLOOKUP(C3120,'MES orders'!$A$8:$H$127,6,FALSE)</x:f>
        <x:v>Normal</x:v>
      </x:c>
      <x:c r="T3120" s="9" t="str"/>
    </x:row>
    <x:row r="3121" ht="22" customHeight="1">
      <x:c r="A3121" s="2" t="str">
        <x:v>L00276-010</x:v>
      </x:c>
      <x:c r="B3121" s="2" t="str">
        <x:v>L00276</x:v>
      </x:c>
      <x:c r="C3121" s="2" t="str">
        <x:v>SO-26056</x:v>
      </x:c>
      <x:c r="D3121" s="2" t="str">
        <x:v>R-C-SS</x:v>
      </x:c>
      <x:c r="E3121" s="14" t="n">
        <x:v>5</x:v>
      </x:c>
      <x:c r="F3121" s="2" t="str">
        <x:v>CNC machining</x:v>
      </x:c>
      <x:c r="G3121" s="9" t="str">
        <x:v>CNC-03</x:v>
      </x:c>
      <x:c r="H3121" s="15" t="n">
        <x:v>100</x:v>
      </x:c>
      <x:c r="I3121" s="9" t="str">
        <x:v>P14</x:v>
      </x:c>
      <x:c r="J3121" s="11" t="n">
        <x:v>46310.89027777778</x:v>
      </x:c>
      <x:c r="K3121" s="15" t="n">
        <x:v>18</x:v>
      </x:c>
      <x:c r="L3121" s="15" t="n">
        <x:v>12</x:v>
      </x:c>
      <x:c r="M3121" s="13" t="n">
        <x:f>J3121+(K3121+L3121)/1440</x:f>
        <x:v>46310.91111111111</x:v>
      </x:c>
      <x:c r="N3121" s="13" t="n">
        <x:f>VLOOKUP(C3121,'MES orders'!$A$8:$H$127,5,FALSE)</x:f>
        <x:v>46311.666666666664</x:v>
      </x:c>
      <x:c r="O3121" s="16" t="n">
        <x:f>MAX(0,(M3121-N3121)*24)</x:f>
        <x:v>0</x:v>
      </x:c>
      <x:c r="P3121" s="9" t="str">
        <x:v>No</x:v>
      </x:c>
      <x:c r="Q3121" s="15" t="n">
        <x:v>18</x:v>
      </x:c>
      <x:c r="R3121" s="13" t="n">
        <x:f>J3121+Q3121/1440</x:f>
        <x:v>46310.902777777774</x:v>
      </x:c>
      <x:c r="S3121" s="2" t="str">
        <x:f>VLOOKUP(C3121,'MES orders'!$A$8:$H$127,6,FALSE)</x:f>
        <x:v>Normal</x:v>
      </x:c>
      <x:c r="T3121" s="9" t="str"/>
    </x:row>
    <x:row r="3122" ht="22" customHeight="1">
      <x:c r="A3122" s="2" t="str">
        <x:v>L00393-030</x:v>
      </x:c>
      <x:c r="B3122" s="2" t="str">
        <x:v>L00393</x:v>
      </x:c>
      <x:c r="C3122" s="2" t="str">
        <x:v>SO-26079</x:v>
      </x:c>
      <x:c r="D3122" s="2" t="str">
        <x:v>R-C-AL</x:v>
      </x:c>
      <x:c r="E3122" s="14" t="n">
        <x:v>20</x:v>
      </x:c>
      <x:c r="F3122" s="2" t="str">
        <x:v>Wash &amp; dry</x:v>
      </x:c>
      <x:c r="G3122" s="9" t="str">
        <x:v>WS-02</x:v>
      </x:c>
      <x:c r="H3122" s="15" t="n">
        <x:v>210</x:v>
      </x:c>
      <x:c r="I3122" s="9" t="str">
        <x:v>P13</x:v>
      </x:c>
      <x:c r="J3122" s="11" t="n">
        <x:v>46310.89027777778</x:v>
      </x:c>
      <x:c r="K3122" s="15" t="n">
        <x:v>12</x:v>
      </x:c>
      <x:c r="L3122" s="15" t="n">
        <x:v>6</x:v>
      </x:c>
      <x:c r="M3122" s="13" t="n">
        <x:f>J3122+(K3122+L3122)/1440</x:f>
        <x:v>46310.902777777774</x:v>
      </x:c>
      <x:c r="N3122" s="13" t="n">
        <x:f>VLOOKUP(C3122,'MES orders'!$A$8:$H$127,5,FALSE)</x:f>
        <x:v>46310.666666666664</x:v>
      </x:c>
      <x:c r="O3122" s="16" t="n">
        <x:f>MAX(0,(M3122-N3122)*24)</x:f>
        <x:v>5.666666666627862</x:v>
      </x:c>
      <x:c r="P3122" s="9" t="str">
        <x:v>No</x:v>
      </x:c>
      <x:c r="Q3122" s="15" t="n">
        <x:v>18</x:v>
      </x:c>
      <x:c r="R3122" s="13" t="n">
        <x:f>J3122+Q3122/1440</x:f>
        <x:v>46310.902777777774</x:v>
      </x:c>
      <x:c r="S3122" s="2" t="str">
        <x:f>VLOOKUP(C3122,'MES orders'!$A$8:$H$127,6,FALSE)</x:f>
        <x:v>Normal</x:v>
      </x:c>
      <x:c r="T3122" s="9" t="str"/>
    </x:row>
    <x:row r="3123" ht="22" customHeight="1">
      <x:c r="A3123" s="2" t="str">
        <x:v>L00115-060</x:v>
      </x:c>
      <x:c r="B3123" s="2" t="str">
        <x:v>L00115</x:v>
      </x:c>
      <x:c r="C3123" s="2" t="str">
        <x:v>SO-26023</x:v>
      </x:c>
      <x:c r="D3123" s="2" t="str">
        <x:v>R-L-AL</x:v>
      </x:c>
      <x:c r="E3123" s="14" t="n">
        <x:v>20</x:v>
      </x:c>
      <x:c r="F3123" s="2" t="str">
        <x:v>Final leak / function test</x:v>
      </x:c>
      <x:c r="G3123" s="9" t="str">
        <x:v>QA-02</x:v>
      </x:c>
      <x:c r="H3123" s="15" t="n">
        <x:v>233</x:v>
      </x:c>
      <x:c r="I3123" s="9" t="str">
        <x:v>P23</x:v>
      </x:c>
      <x:c r="J3123" s="11" t="n">
        <x:v>46310.89097222222</x:v>
      </x:c>
      <x:c r="K3123" s="15" t="n">
        <x:v>10</x:v>
      </x:c>
      <x:c r="L3123" s="15" t="n">
        <x:v>24</x:v>
      </x:c>
      <x:c r="M3123" s="13" t="n">
        <x:f>J3123+(K3123+L3123)/1440</x:f>
        <x:v>46310.91458333333</x:v>
      </x:c>
      <x:c r="N3123" s="13" t="n">
        <x:f>VLOOKUP(C3123,'MES orders'!$A$8:$H$127,5,FALSE)</x:f>
        <x:v>46310.666666666664</x:v>
      </x:c>
      <x:c r="O3123" s="16" t="n">
        <x:f>MAX(0,(M3123-N3123)*24)</x:f>
        <x:v>5.9500000000116415</x:v>
      </x:c>
      <x:c r="P3123" s="9" t="str">
        <x:v>No</x:v>
      </x:c>
      <x:c r="Q3123" s="15" t="n">
        <x:v>34</x:v>
      </x:c>
      <x:c r="R3123" s="13" t="n">
        <x:f>J3123+Q3123/1440</x:f>
        <x:v>46310.91458333333</x:v>
      </x:c>
      <x:c r="S3123" s="2" t="str">
        <x:f>VLOOKUP(C3123,'MES orders'!$A$8:$H$127,6,FALSE)</x:f>
        <x:v>Normal</x:v>
      </x:c>
      <x:c r="T3123" s="9" t="str"/>
    </x:row>
    <x:row r="3124" ht="22" customHeight="1">
      <x:c r="A3124" s="2" t="str">
        <x:v>L00277-010</x:v>
      </x:c>
      <x:c r="B3124" s="2" t="str">
        <x:v>L00277</x:v>
      </x:c>
      <x:c r="C3124" s="2" t="str">
        <x:v>SO-26056</x:v>
      </x:c>
      <x:c r="D3124" s="2" t="str">
        <x:v>R-C-SS</x:v>
      </x:c>
      <x:c r="E3124" s="14" t="n">
        <x:v>5</x:v>
      </x:c>
      <x:c r="F3124" s="2" t="str">
        <x:v>CNC machining</x:v>
      </x:c>
      <x:c r="G3124" s="9" t="str">
        <x:v>CNC-04</x:v>
      </x:c>
      <x:c r="H3124" s="15" t="n">
        <x:v>95</x:v>
      </x:c>
      <x:c r="I3124" s="9" t="str">
        <x:v>P15</x:v>
      </x:c>
      <x:c r="J3124" s="11" t="n">
        <x:v>46310.89236111111</x:v>
      </x:c>
      <x:c r="K3124" s="15" t="n">
        <x:v>18</x:v>
      </x:c>
      <x:c r="L3124" s="15" t="n">
        <x:v>12</x:v>
      </x:c>
      <x:c r="M3124" s="13" t="n">
        <x:f>J3124+(K3124+L3124)/1440</x:f>
        <x:v>46310.913194444445</x:v>
      </x:c>
      <x:c r="N3124" s="13" t="n">
        <x:f>VLOOKUP(C3124,'MES orders'!$A$8:$H$127,5,FALSE)</x:f>
        <x:v>46311.666666666664</x:v>
      </x:c>
      <x:c r="O3124" s="16" t="n">
        <x:f>MAX(0,(M3124-N3124)*24)</x:f>
        <x:v>0</x:v>
      </x:c>
      <x:c r="P3124" s="9" t="str">
        <x:v>No</x:v>
      </x:c>
      <x:c r="Q3124" s="15" t="n">
        <x:v>18</x:v>
      </x:c>
      <x:c r="R3124" s="13" t="n">
        <x:f>J3124+Q3124/1440</x:f>
        <x:v>46310.90486111111</x:v>
      </x:c>
      <x:c r="S3124" s="2" t="str">
        <x:f>VLOOKUP(C3124,'MES orders'!$A$8:$H$127,6,FALSE)</x:f>
        <x:v>Normal</x:v>
      </x:c>
      <x:c r="T3124" s="9" t="str"/>
    </x:row>
    <x:row r="3125" ht="22" customHeight="1">
      <x:c r="A3125" s="2" t="str">
        <x:v>L00391-020</x:v>
      </x:c>
      <x:c r="B3125" s="2" t="str">
        <x:v>L00391</x:v>
      </x:c>
      <x:c r="C3125" s="2" t="str">
        <x:v>SO-26079</x:v>
      </x:c>
      <x:c r="D3125" s="2" t="str">
        <x:v>R-C-AL</x:v>
      </x:c>
      <x:c r="E3125" s="14" t="n">
        <x:v>20</x:v>
      </x:c>
      <x:c r="F3125" s="2" t="str">
        <x:v>Deburr &amp; inspect</x:v>
      </x:c>
      <x:c r="G3125" s="9" t="str">
        <x:v>DB-01</x:v>
      </x:c>
      <x:c r="H3125" s="15" t="n">
        <x:v>293</x:v>
      </x:c>
      <x:c r="I3125" s="9" t="str">
        <x:v>P18</x:v>
      </x:c>
      <x:c r="J3125" s="11" t="n">
        <x:v>46310.896527777775</x:v>
      </x:c>
      <x:c r="K3125" s="15" t="n">
        <x:v>4</x:v>
      </x:c>
      <x:c r="L3125" s="15" t="n">
        <x:v>11</x:v>
      </x:c>
      <x:c r="M3125" s="13" t="n">
        <x:f>J3125+(K3125+L3125)/1440</x:f>
        <x:v>46310.90694444444</x:v>
      </x:c>
      <x:c r="N3125" s="13" t="n">
        <x:f>VLOOKUP(C3125,'MES orders'!$A$8:$H$127,5,FALSE)</x:f>
        <x:v>46310.666666666664</x:v>
      </x:c>
      <x:c r="O3125" s="16" t="n">
        <x:f>MAX(0,(M3125-N3125)*24)</x:f>
        <x:v>5.7666666666045785</x:v>
      </x:c>
      <x:c r="P3125" s="9" t="str">
        <x:v>No</x:v>
      </x:c>
      <x:c r="Q3125" s="15" t="n">
        <x:v>15</x:v>
      </x:c>
      <x:c r="R3125" s="13" t="n">
        <x:f>J3125+Q3125/1440</x:f>
        <x:v>46310.90694444444</x:v>
      </x:c>
      <x:c r="S3125" s="2" t="str">
        <x:f>VLOOKUP(C3125,'MES orders'!$A$8:$H$127,6,FALSE)</x:f>
        <x:v>Normal</x:v>
      </x:c>
      <x:c r="T3125" s="9" t="str"/>
    </x:row>
    <x:row r="3126" ht="22" customHeight="1">
      <x:c r="A3126" s="2" t="str">
        <x:v>L00315-030</x:v>
      </x:c>
      <x:c r="B3126" s="2" t="str">
        <x:v>L00315</x:v>
      </x:c>
      <x:c r="C3126" s="2" t="str">
        <x:v>SO-26063</x:v>
      </x:c>
      <x:c r="D3126" s="2" t="str">
        <x:v>D-S-AL</x:v>
      </x:c>
      <x:c r="E3126" s="14" t="n">
        <x:v>20</x:v>
      </x:c>
      <x:c r="F3126" s="2" t="str">
        <x:v>Wash &amp; dry</x:v>
      </x:c>
      <x:c r="G3126" s="9" t="str">
        <x:v>WS-01</x:v>
      </x:c>
      <x:c r="H3126" s="15" t="n">
        <x:v>286</x:v>
      </x:c>
      <x:c r="I3126" s="9" t="str">
        <x:v>P17</x:v>
      </x:c>
      <x:c r="J3126" s="11" t="n">
        <x:v>46310.896527777775</x:v>
      </x:c>
      <x:c r="K3126" s="15" t="n">
        <x:v>12</x:v>
      </x:c>
      <x:c r="L3126" s="15" t="n">
        <x:v>7</x:v>
      </x:c>
      <x:c r="M3126" s="13" t="n">
        <x:f>J3126+(K3126+L3126)/1440</x:f>
        <x:v>46310.90972222222</x:v>
      </x:c>
      <x:c r="N3126" s="13" t="n">
        <x:f>VLOOKUP(C3126,'MES orders'!$A$8:$H$127,5,FALSE)</x:f>
        <x:v>46310.666666666664</x:v>
      </x:c>
      <x:c r="O3126" s="16" t="n">
        <x:f>MAX(0,(M3126-N3126)*24)</x:f>
        <x:v>5.833333333313931</x:v>
      </x:c>
      <x:c r="P3126" s="9" t="str">
        <x:v>No</x:v>
      </x:c>
      <x:c r="Q3126" s="15" t="n">
        <x:v>19</x:v>
      </x:c>
      <x:c r="R3126" s="13" t="n">
        <x:f>J3126+Q3126/1440</x:f>
        <x:v>46310.90972222222</x:v>
      </x:c>
      <x:c r="S3126" s="2" t="str">
        <x:f>VLOOKUP(C3126,'MES orders'!$A$8:$H$127,6,FALSE)</x:f>
        <x:v>Normal</x:v>
      </x:c>
      <x:c r="T3126" s="9" t="str"/>
    </x:row>
    <x:row r="3127" ht="22" customHeight="1">
      <x:c r="A3127" s="2" t="str">
        <x:v>L00392-020</x:v>
      </x:c>
      <x:c r="B3127" s="2" t="str">
        <x:v>L00392</x:v>
      </x:c>
      <x:c r="C3127" s="2" t="str">
        <x:v>SO-26079</x:v>
      </x:c>
      <x:c r="D3127" s="2" t="str">
        <x:v>R-C-AL</x:v>
      </x:c>
      <x:c r="E3127" s="14" t="n">
        <x:v>20</x:v>
      </x:c>
      <x:c r="F3127" s="2" t="str">
        <x:v>Deburr &amp; inspect</x:v>
      </x:c>
      <x:c r="G3127" s="9" t="str">
        <x:v>DB-02</x:v>
      </x:c>
      <x:c r="H3127" s="15" t="n">
        <x:v>206</x:v>
      </x:c>
      <x:c r="I3127" s="9" t="str">
        <x:v>P16</x:v>
      </x:c>
      <x:c r="J3127" s="11" t="n">
        <x:v>46310.899305555555</x:v>
      </x:c>
      <x:c r="K3127" s="15" t="n">
        <x:v>4</x:v>
      </x:c>
      <x:c r="L3127" s="15" t="n">
        <x:v>11</x:v>
      </x:c>
      <x:c r="M3127" s="13" t="n">
        <x:f>J3127+(K3127+L3127)/1440</x:f>
        <x:v>46310.90972222222</x:v>
      </x:c>
      <x:c r="N3127" s="13" t="n">
        <x:f>VLOOKUP(C3127,'MES orders'!$A$8:$H$127,5,FALSE)</x:f>
        <x:v>46310.666666666664</x:v>
      </x:c>
      <x:c r="O3127" s="16" t="n">
        <x:f>MAX(0,(M3127-N3127)*24)</x:f>
        <x:v>5.833333333313931</x:v>
      </x:c>
      <x:c r="P3127" s="9" t="str">
        <x:v>No</x:v>
      </x:c>
      <x:c r="Q3127" s="15" t="n">
        <x:v>15</x:v>
      </x:c>
      <x:c r="R3127" s="13" t="n">
        <x:f>J3127+Q3127/1440</x:f>
        <x:v>46310.90972222222</x:v>
      </x:c>
      <x:c r="S3127" s="2" t="str">
        <x:f>VLOOKUP(C3127,'MES orders'!$A$8:$H$127,6,FALSE)</x:f>
        <x:v>Normal</x:v>
      </x:c>
      <x:c r="T3127" s="9" t="str"/>
    </x:row>
    <x:row r="3128" ht="22" customHeight="1">
      <x:c r="A3128" s="2" t="str">
        <x:v>L00394-030</x:v>
      </x:c>
      <x:c r="B3128" s="2" t="str">
        <x:v>L00394</x:v>
      </x:c>
      <x:c r="C3128" s="2" t="str">
        <x:v>SO-26079</x:v>
      </x:c>
      <x:c r="D3128" s="2" t="str">
        <x:v>R-C-AL</x:v>
      </x:c>
      <x:c r="E3128" s="14" t="n">
        <x:v>20</x:v>
      </x:c>
      <x:c r="F3128" s="2" t="str">
        <x:v>Wash &amp; dry</x:v>
      </x:c>
      <x:c r="G3128" s="9" t="str">
        <x:v>WS-02</x:v>
      </x:c>
      <x:c r="H3128" s="15" t="n">
        <x:v>211</x:v>
      </x:c>
      <x:c r="I3128" s="9" t="str">
        <x:v>P13</x:v>
      </x:c>
      <x:c r="J3128" s="11" t="n">
        <x:v>46310.90277777778</x:v>
      </x:c>
      <x:c r="K3128" s="15" t="n">
        <x:v>12</x:v>
      </x:c>
      <x:c r="L3128" s="15" t="n">
        <x:v>6</x:v>
      </x:c>
      <x:c r="M3128" s="13" t="n">
        <x:f>J3128+(K3128+L3128)/1440</x:f>
        <x:v>46310.91527777778</x:v>
      </x:c>
      <x:c r="N3128" s="13" t="n">
        <x:f>VLOOKUP(C3128,'MES orders'!$A$8:$H$127,5,FALSE)</x:f>
        <x:v>46310.666666666664</x:v>
      </x:c>
      <x:c r="O3128" s="16" t="n">
        <x:f>MAX(0,(M3128-N3128)*24)</x:f>
        <x:v>5.966666666732635</x:v>
      </x:c>
      <x:c r="P3128" s="9" t="str">
        <x:v>No</x:v>
      </x:c>
      <x:c r="Q3128" s="15" t="n">
        <x:v>18</x:v>
      </x:c>
      <x:c r="R3128" s="13" t="n">
        <x:f>J3128+Q3128/1440</x:f>
        <x:v>46310.91527777778</x:v>
      </x:c>
      <x:c r="S3128" s="2" t="str">
        <x:f>VLOOKUP(C3128,'MES orders'!$A$8:$H$127,6,FALSE)</x:f>
        <x:v>Normal</x:v>
      </x:c>
      <x:c r="T3128" s="9" t="str"/>
    </x:row>
    <x:row r="3129" ht="22" customHeight="1">
      <x:c r="A3129" s="2" t="str">
        <x:v>L00431-020</x:v>
      </x:c>
      <x:c r="B3129" s="2" t="str">
        <x:v>L00431</x:v>
      </x:c>
      <x:c r="C3129" s="2" t="str">
        <x:v>SO-26087</x:v>
      </x:c>
      <x:c r="D3129" s="2" t="str">
        <x:v>R-S-AL</x:v>
      </x:c>
      <x:c r="E3129" s="14" t="n">
        <x:v>15</x:v>
      </x:c>
      <x:c r="F3129" s="2" t="str">
        <x:v>Deburr &amp; inspect</x:v>
      </x:c>
      <x:c r="G3129" s="9" t="str">
        <x:v>DB-01</x:v>
      </x:c>
      <x:c r="H3129" s="15" t="n">
        <x:v>294</x:v>
      </x:c>
      <x:c r="I3129" s="9" t="str">
        <x:v>P18</x:v>
      </x:c>
      <x:c r="J3129" s="11" t="n">
        <x:v>46310.90694444445</x:v>
      </x:c>
      <x:c r="K3129" s="15" t="n">
        <x:v>4</x:v>
      </x:c>
      <x:c r="L3129" s="15" t="n">
        <x:v>10</x:v>
      </x:c>
      <x:c r="M3129" s="13" t="n">
        <x:f>J3129+(K3129+L3129)/1440</x:f>
        <x:v>46310.91666666667</x:v>
      </x:c>
      <x:c r="N3129" s="13" t="n">
        <x:f>VLOOKUP(C3129,'MES orders'!$A$8:$H$127,5,FALSE)</x:f>
        <x:v>46310.666666666664</x:v>
      </x:c>
      <x:c r="O3129" s="16" t="n">
        <x:f>MAX(0,(M3129-N3129)*24)</x:f>
        <x:v>6.000000000174623</x:v>
      </x:c>
      <x:c r="P3129" s="9" t="str">
        <x:v>No</x:v>
      </x:c>
      <x:c r="Q3129" s="15" t="n">
        <x:v>14</x:v>
      </x:c>
      <x:c r="R3129" s="13" t="n">
        <x:f>J3129+Q3129/1440</x:f>
        <x:v>46310.91666666667</x:v>
      </x:c>
      <x:c r="S3129" s="2" t="str">
        <x:f>VLOOKUP(C3129,'MES orders'!$A$8:$H$127,6,FALSE)</x:f>
        <x:v>Normal</x:v>
      </x:c>
      <x:c r="T3129" s="9" t="str"/>
    </x:row>
    <x:row r="3130" ht="22" customHeight="1">
      <x:c r="A3130" s="2" t="str">
        <x:v>L00276-020</x:v>
      </x:c>
      <x:c r="B3130" s="2" t="str">
        <x:v>L00276</x:v>
      </x:c>
      <x:c r="C3130" s="2" t="str">
        <x:v>SO-26056</x:v>
      </x:c>
      <x:c r="D3130" s="2" t="str">
        <x:v>R-C-SS</x:v>
      </x:c>
      <x:c r="E3130" s="14" t="n">
        <x:v>5</x:v>
      </x:c>
      <x:c r="F3130" s="2" t="str">
        <x:v>Deburr &amp; inspect</x:v>
      </x:c>
      <x:c r="G3130" s="9" t="str">
        <x:v>DB-02</x:v>
      </x:c>
      <x:c r="H3130" s="15" t="n">
        <x:v>207</x:v>
      </x:c>
      <x:c r="I3130" s="9" t="str">
        <x:v>P16</x:v>
      </x:c>
      <x:c r="J3130" s="11" t="n">
        <x:v>46310.91111111111</x:v>
      </x:c>
      <x:c r="K3130" s="15" t="n">
        <x:v>4</x:v>
      </x:c>
      <x:c r="L3130" s="15" t="n">
        <x:v>3</x:v>
      </x:c>
      <x:c r="M3130" s="13" t="n">
        <x:f>J3130+(K3130+L3130)/1440</x:f>
        <x:v>46310.915972222225</x:v>
      </x:c>
      <x:c r="N3130" s="13" t="n">
        <x:f>VLOOKUP(C3130,'MES orders'!$A$8:$H$127,5,FALSE)</x:f>
        <x:v>46311.666666666664</x:v>
      </x:c>
      <x:c r="O3130" s="16" t="n">
        <x:f>MAX(0,(M3130-N3130)*24)</x:f>
        <x:v>0</x:v>
      </x:c>
      <x:c r="P3130" s="9" t="str">
        <x:v>No</x:v>
      </x:c>
      <x:c r="Q3130" s="15" t="n">
        <x:v>7</x:v>
      </x:c>
      <x:c r="R3130" s="13" t="n">
        <x:f>J3130+Q3130/1440</x:f>
        <x:v>46310.915972222225</x:v>
      </x:c>
      <x:c r="S3130" s="2" t="str">
        <x:f>VLOOKUP(C3130,'MES orders'!$A$8:$H$127,6,FALSE)</x:f>
        <x:v>Normal</x:v>
      </x:c>
      <x:c r="T3130" s="9" t="str"/>
    </x:row>
    <x:row r="3131" ht="22" customHeight="1">
      <x:c r="A3131" s="2" t="str">
        <x:v>L00113-050</x:v>
      </x:c>
      <x:c r="B3131" s="2" t="str">
        <x:v>L00113</x:v>
      </x:c>
      <x:c r="C3131" s="2" t="str">
        <x:v>SO-26023</x:v>
      </x:c>
      <x:c r="D3131" s="2" t="str">
        <x:v>R-L-AL</x:v>
      </x:c>
      <x:c r="E3131" s="14" t="n">
        <x:v>20</x:v>
      </x:c>
      <x:c r="F3131" s="2" t="str">
        <x:v>Valve adjustment</x:v>
      </x:c>
      <x:c r="G3131" s="9" t="str">
        <x:v>AS-01</x:v>
      </x:c>
      <x:c r="H3131" s="15" t="n">
        <x:v>245</x:v>
      </x:c>
      <x:c r="I3131" s="9" t="str">
        <x:v>P05</x:v>
      </x:c>
      <x:c r="J3131" s="11" t="n">
        <x:v>46311.25</x:v>
      </x:c>
      <x:c r="K3131" s="15" t="n">
        <x:v>6</x:v>
      </x:c>
      <x:c r="L3131" s="15" t="n">
        <x:v>30</x:v>
      </x:c>
      <x:c r="M3131" s="13" t="n">
        <x:f>J3131+(K3131+L3131)/1440</x:f>
        <x:v>46311.275</x:v>
      </x:c>
      <x:c r="N3131" s="13" t="n">
        <x:f>VLOOKUP(C3131,'MES orders'!$A$8:$H$127,5,FALSE)</x:f>
        <x:v>46310.666666666664</x:v>
      </x:c>
      <x:c r="O3131" s="16" t="n">
        <x:f>MAX(0,(M3131-N3131)*24)</x:f>
        <x:v>14.600000000093132</x:v>
      </x:c>
      <x:c r="P3131" s="9" t="str">
        <x:v>No</x:v>
      </x:c>
      <x:c r="Q3131" s="15" t="n">
        <x:v>36</x:v>
      </x:c>
      <x:c r="R3131" s="13" t="n">
        <x:f>J3131+Q3131/1440</x:f>
        <x:v>46311.275</x:v>
      </x:c>
      <x:c r="S3131" s="2" t="str">
        <x:f>VLOOKUP(C3131,'MES orders'!$A$8:$H$127,6,FALSE)</x:f>
        <x:v>Normal</x:v>
      </x:c>
      <x:c r="T3131" s="9" t="str"/>
    </x:row>
    <x:row r="3132" ht="22" customHeight="1">
      <x:c r="A3132" s="2" t="str">
        <x:v>L00315-040</x:v>
      </x:c>
      <x:c r="B3132" s="2" t="str">
        <x:v>L00315</x:v>
      </x:c>
      <x:c r="C3132" s="2" t="str">
        <x:v>SO-26063</x:v>
      </x:c>
      <x:c r="D3132" s="2" t="str">
        <x:v>D-S-AL</x:v>
      </x:c>
      <x:c r="E3132" s="14" t="n">
        <x:v>20</x:v>
      </x:c>
      <x:c r="F3132" s="2" t="str">
        <x:v>Mechanical assembly</x:v>
      </x:c>
      <x:c r="G3132" s="9" t="str">
        <x:v>AS-02</x:v>
      </x:c>
      <x:c r="H3132" s="15" t="n">
        <x:v>201</x:v>
      </x:c>
      <x:c r="I3132" s="9" t="str">
        <x:v>P04</x:v>
      </x:c>
      <x:c r="J3132" s="11" t="n">
        <x:v>46311.25</x:v>
      </x:c>
      <x:c r="K3132" s="15" t="n">
        <x:v>8</x:v>
      </x:c>
      <x:c r="L3132" s="15" t="n">
        <x:v>36</x:v>
      </x:c>
      <x:c r="M3132" s="13" t="n">
        <x:f>J3132+(K3132+L3132)/1440</x:f>
        <x:v>46311.28055555555</x:v>
      </x:c>
      <x:c r="N3132" s="13" t="n">
        <x:f>VLOOKUP(C3132,'MES orders'!$A$8:$H$127,5,FALSE)</x:f>
        <x:v>46310.666666666664</x:v>
      </x:c>
      <x:c r="O3132" s="16" t="n">
        <x:f>MAX(0,(M3132-N3132)*24)</x:f>
        <x:v>14.733333333337214</x:v>
      </x:c>
      <x:c r="P3132" s="9" t="str">
        <x:v>No</x:v>
      </x:c>
      <x:c r="Q3132" s="15" t="n">
        <x:v>44</x:v>
      </x:c>
      <x:c r="R3132" s="13" t="n">
        <x:f>J3132+Q3132/1440</x:f>
        <x:v>46311.28055555555</x:v>
      </x:c>
      <x:c r="S3132" s="2" t="str">
        <x:f>VLOOKUP(C3132,'MES orders'!$A$8:$H$127,6,FALSE)</x:f>
        <x:v>Normal</x:v>
      </x:c>
      <x:c r="T3132" s="9" t="str"/>
    </x:row>
    <x:row r="3133" ht="22" customHeight="1">
      <x:c r="A3133" s="2" t="str">
        <x:v>L00432-020</x:v>
      </x:c>
      <x:c r="B3133" s="2" t="str">
        <x:v>L00432</x:v>
      </x:c>
      <x:c r="C3133" s="2" t="str">
        <x:v>SO-26087</x:v>
      </x:c>
      <x:c r="D3133" s="2" t="str">
        <x:v>R-S-AL</x:v>
      </x:c>
      <x:c r="E3133" s="14" t="n">
        <x:v>15</x:v>
      </x:c>
      <x:c r="F3133" s="2" t="str">
        <x:v>Deburr &amp; inspect</x:v>
      </x:c>
      <x:c r="G3133" s="9" t="str">
        <x:v>DB-01</x:v>
      </x:c>
      <x:c r="H3133" s="15" t="n">
        <x:v>295</x:v>
      </x:c>
      <x:c r="I3133" s="9" t="str">
        <x:v>P02</x:v>
      </x:c>
      <x:c r="J3133" s="11" t="n">
        <x:v>46311.25</x:v>
      </x:c>
      <x:c r="K3133" s="15" t="n">
        <x:v>4</x:v>
      </x:c>
      <x:c r="L3133" s="15" t="n">
        <x:v>10</x:v>
      </x:c>
      <x:c r="M3133" s="13" t="n">
        <x:f>J3133+(K3133+L3133)/1440</x:f>
        <x:v>46311.259722222225</x:v>
      </x:c>
      <x:c r="N3133" s="13" t="n">
        <x:f>VLOOKUP(C3133,'MES orders'!$A$8:$H$127,5,FALSE)</x:f>
        <x:v>46310.666666666664</x:v>
      </x:c>
      <x:c r="O3133" s="16" t="n">
        <x:f>MAX(0,(M3133-N3133)*24)</x:f>
        <x:v>14.23333333345363</x:v>
      </x:c>
      <x:c r="P3133" s="9" t="str">
        <x:v>No</x:v>
      </x:c>
      <x:c r="Q3133" s="15" t="n">
        <x:v>14</x:v>
      </x:c>
      <x:c r="R3133" s="13" t="n">
        <x:f>J3133+Q3133/1440</x:f>
        <x:v>46311.259722222225</x:v>
      </x:c>
      <x:c r="S3133" s="2" t="str">
        <x:f>VLOOKUP(C3133,'MES orders'!$A$8:$H$127,6,FALSE)</x:f>
        <x:v>Normal</x:v>
      </x:c>
      <x:c r="T3133" s="9" t="str"/>
    </x:row>
    <x:row r="3134" ht="22" customHeight="1">
      <x:c r="A3134" s="2" t="str">
        <x:v>L00433-020</x:v>
      </x:c>
      <x:c r="B3134" s="2" t="str">
        <x:v>L00433</x:v>
      </x:c>
      <x:c r="C3134" s="2" t="str">
        <x:v>SO-26087</x:v>
      </x:c>
      <x:c r="D3134" s="2" t="str">
        <x:v>R-S-AL</x:v>
      </x:c>
      <x:c r="E3134" s="14" t="n">
        <x:v>15</x:v>
      </x:c>
      <x:c r="F3134" s="2" t="str">
        <x:v>Deburr &amp; inspect</x:v>
      </x:c>
      <x:c r="G3134" s="9" t="str">
        <x:v>DB-02</x:v>
      </x:c>
      <x:c r="H3134" s="15" t="n">
        <x:v>208</x:v>
      </x:c>
      <x:c r="I3134" s="9" t="str">
        <x:v>P03</x:v>
      </x:c>
      <x:c r="J3134" s="11" t="n">
        <x:v>46311.25</x:v>
      </x:c>
      <x:c r="K3134" s="15" t="n">
        <x:v>4</x:v>
      </x:c>
      <x:c r="L3134" s="15" t="n">
        <x:v>10</x:v>
      </x:c>
      <x:c r="M3134" s="13" t="n">
        <x:f>J3134+(K3134+L3134)/1440</x:f>
        <x:v>46311.259722222225</x:v>
      </x:c>
      <x:c r="N3134" s="13" t="n">
        <x:f>VLOOKUP(C3134,'MES orders'!$A$8:$H$127,5,FALSE)</x:f>
        <x:v>46310.666666666664</x:v>
      </x:c>
      <x:c r="O3134" s="16" t="n">
        <x:f>MAX(0,(M3134-N3134)*24)</x:f>
        <x:v>14.23333333345363</x:v>
      </x:c>
      <x:c r="P3134" s="9" t="str">
        <x:v>No</x:v>
      </x:c>
      <x:c r="Q3134" s="15" t="n">
        <x:v>14</x:v>
      </x:c>
      <x:c r="R3134" s="13" t="n">
        <x:f>J3134+Q3134/1440</x:f>
        <x:v>46311.259722222225</x:v>
      </x:c>
      <x:c r="S3134" s="2" t="str">
        <x:f>VLOOKUP(C3134,'MES orders'!$A$8:$H$127,6,FALSE)</x:f>
        <x:v>Normal</x:v>
      </x:c>
      <x:c r="T3134" s="9" t="str"/>
    </x:row>
    <x:row r="3135" ht="22" customHeight="1">
      <x:c r="A3135" s="2" t="str">
        <x:v>L00111-060</x:v>
      </x:c>
      <x:c r="B3135" s="2" t="str">
        <x:v>L00111</x:v>
      </x:c>
      <x:c r="C3135" s="2" t="str">
        <x:v>SO-26023</x:v>
      </x:c>
      <x:c r="D3135" s="2" t="str">
        <x:v>R-L-AL</x:v>
      </x:c>
      <x:c r="E3135" s="14" t="n">
        <x:v>20</x:v>
      </x:c>
      <x:c r="F3135" s="2" t="str">
        <x:v>Final leak / function test</x:v>
      </x:c>
      <x:c r="G3135" s="9" t="str">
        <x:v>QA-02</x:v>
      </x:c>
      <x:c r="H3135" s="15" t="n">
        <x:v>234</x:v>
      </x:c>
      <x:c r="I3135" s="9" t="str">
        <x:v>P11</x:v>
      </x:c>
      <x:c r="J3135" s="11" t="n">
        <x:v>46311.25</x:v>
      </x:c>
      <x:c r="K3135" s="15" t="n">
        <x:v>10</x:v>
      </x:c>
      <x:c r="L3135" s="15" t="n">
        <x:v>24</x:v>
      </x:c>
      <x:c r="M3135" s="13" t="n">
        <x:f>J3135+(K3135+L3135)/1440</x:f>
        <x:v>46311.27361111111</x:v>
      </x:c>
      <x:c r="N3135" s="13" t="n">
        <x:f>VLOOKUP(C3135,'MES orders'!$A$8:$H$127,5,FALSE)</x:f>
        <x:v>46310.666666666664</x:v>
      </x:c>
      <x:c r="O3135" s="16" t="n">
        <x:f>MAX(0,(M3135-N3135)*24)</x:f>
        <x:v>14.566666666651145</x:v>
      </x:c>
      <x:c r="P3135" s="9" t="str">
        <x:v>No</x:v>
      </x:c>
      <x:c r="Q3135" s="15" t="n">
        <x:v>34</x:v>
      </x:c>
      <x:c r="R3135" s="13" t="n">
        <x:f>J3135+Q3135/1440</x:f>
        <x:v>46311.27361111111</x:v>
      </x:c>
      <x:c r="S3135" s="2" t="str">
        <x:f>VLOOKUP(C3135,'MES orders'!$A$8:$H$127,6,FALSE)</x:f>
        <x:v>Normal</x:v>
      </x:c>
      <x:c r="T3135" s="9" t="str"/>
    </x:row>
    <x:row r="3136" ht="22" customHeight="1">
      <x:c r="A3136" s="2" t="str">
        <x:v>L00112-060</x:v>
      </x:c>
      <x:c r="B3136" s="2" t="str">
        <x:v>L00112</x:v>
      </x:c>
      <x:c r="C3136" s="2" t="str">
        <x:v>SO-26023</x:v>
      </x:c>
      <x:c r="D3136" s="2" t="str">
        <x:v>R-L-AL</x:v>
      </x:c>
      <x:c r="E3136" s="14" t="n">
        <x:v>20</x:v>
      </x:c>
      <x:c r="F3136" s="2" t="str">
        <x:v>Final leak / function test</x:v>
      </x:c>
      <x:c r="G3136" s="9" t="str">
        <x:v>QA-03</x:v>
      </x:c>
      <x:c r="H3136" s="15" t="n">
        <x:v>136</x:v>
      </x:c>
      <x:c r="I3136" s="9" t="str">
        <x:v>P12</x:v>
      </x:c>
      <x:c r="J3136" s="11" t="n">
        <x:v>46311.25</x:v>
      </x:c>
      <x:c r="K3136" s="15" t="n">
        <x:v>10</x:v>
      </x:c>
      <x:c r="L3136" s="15" t="n">
        <x:v>24</x:v>
      </x:c>
      <x:c r="M3136" s="13" t="n">
        <x:f>J3136+(K3136+L3136)/1440</x:f>
        <x:v>46311.27361111111</x:v>
      </x:c>
      <x:c r="N3136" s="13" t="n">
        <x:f>VLOOKUP(C3136,'MES orders'!$A$8:$H$127,5,FALSE)</x:f>
        <x:v>46310.666666666664</x:v>
      </x:c>
      <x:c r="O3136" s="16" t="n">
        <x:f>MAX(0,(M3136-N3136)*24)</x:f>
        <x:v>14.566666666651145</x:v>
      </x:c>
      <x:c r="P3136" s="9" t="str">
        <x:v>No</x:v>
      </x:c>
      <x:c r="Q3136" s="15" t="n">
        <x:v>34</x:v>
      </x:c>
      <x:c r="R3136" s="13" t="n">
        <x:f>J3136+Q3136/1440</x:f>
        <x:v>46311.27361111111</x:v>
      </x:c>
      <x:c r="S3136" s="2" t="str">
        <x:f>VLOOKUP(C3136,'MES orders'!$A$8:$H$127,6,FALSE)</x:f>
        <x:v>Normal</x:v>
      </x:c>
      <x:c r="T3136" s="9" t="str"/>
    </x:row>
    <x:row r="3137" ht="22" customHeight="1">
      <x:c r="A3137" s="2" t="str">
        <x:v>L00391-030</x:v>
      </x:c>
      <x:c r="B3137" s="2" t="str">
        <x:v>L00391</x:v>
      </x:c>
      <x:c r="C3137" s="2" t="str">
        <x:v>SO-26079</x:v>
      </x:c>
      <x:c r="D3137" s="2" t="str">
        <x:v>R-C-AL</x:v>
      </x:c>
      <x:c r="E3137" s="14" t="n">
        <x:v>20</x:v>
      </x:c>
      <x:c r="F3137" s="2" t="str">
        <x:v>Wash &amp; dry</x:v>
      </x:c>
      <x:c r="G3137" s="9" t="str">
        <x:v>WS-01</x:v>
      </x:c>
      <x:c r="H3137" s="15" t="n">
        <x:v>287</x:v>
      </x:c>
      <x:c r="I3137" s="9" t="str">
        <x:v>P06</x:v>
      </x:c>
      <x:c r="J3137" s="11" t="n">
        <x:v>46311.25</x:v>
      </x:c>
      <x:c r="K3137" s="15" t="n">
        <x:v>12</x:v>
      </x:c>
      <x:c r="L3137" s="15" t="n">
        <x:v>6</x:v>
      </x:c>
      <x:c r="M3137" s="13" t="n">
        <x:f>J3137+(K3137+L3137)/1440</x:f>
        <x:v>46311.2625</x:v>
      </x:c>
      <x:c r="N3137" s="13" t="n">
        <x:f>VLOOKUP(C3137,'MES orders'!$A$8:$H$127,5,FALSE)</x:f>
        <x:v>46310.666666666664</x:v>
      </x:c>
      <x:c r="O3137" s="16" t="n">
        <x:f>MAX(0,(M3137-N3137)*24)</x:f>
        <x:v>14.299999999988358</x:v>
      </x:c>
      <x:c r="P3137" s="9" t="str">
        <x:v>No</x:v>
      </x:c>
      <x:c r="Q3137" s="15" t="n">
        <x:v>18</x:v>
      </x:c>
      <x:c r="R3137" s="13" t="n">
        <x:f>J3137+Q3137/1440</x:f>
        <x:v>46311.2625</x:v>
      </x:c>
      <x:c r="S3137" s="2" t="str">
        <x:f>VLOOKUP(C3137,'MES orders'!$A$8:$H$127,6,FALSE)</x:f>
        <x:v>Normal</x:v>
      </x:c>
      <x:c r="T3137" s="9" t="str"/>
    </x:row>
    <x:row r="3138" ht="22" customHeight="1">
      <x:c r="A3138" s="2" t="str">
        <x:v>L00431-030</x:v>
      </x:c>
      <x:c r="B3138" s="2" t="str">
        <x:v>L00431</x:v>
      </x:c>
      <x:c r="C3138" s="2" t="str">
        <x:v>SO-26087</x:v>
      </x:c>
      <x:c r="D3138" s="2" t="str">
        <x:v>R-S-AL</x:v>
      </x:c>
      <x:c r="E3138" s="14" t="n">
        <x:v>15</x:v>
      </x:c>
      <x:c r="F3138" s="2" t="str">
        <x:v>Wash &amp; dry</x:v>
      </x:c>
      <x:c r="G3138" s="9" t="str">
        <x:v>WS-02</x:v>
      </x:c>
      <x:c r="H3138" s="15" t="n">
        <x:v>212</x:v>
      </x:c>
      <x:c r="I3138" s="9" t="str">
        <x:v>P01</x:v>
      </x:c>
      <x:c r="J3138" s="11" t="n">
        <x:v>46311.25</x:v>
      </x:c>
      <x:c r="K3138" s="15" t="n">
        <x:v>12</x:v>
      </x:c>
      <x:c r="L3138" s="15" t="n">
        <x:v>5</x:v>
      </x:c>
      <x:c r="M3138" s="13" t="n">
        <x:f>J3138+(K3138+L3138)/1440</x:f>
        <x:v>46311.26180555556</x:v>
      </x:c>
      <x:c r="N3138" s="13" t="n">
        <x:f>VLOOKUP(C3138,'MES orders'!$A$8:$H$127,5,FALSE)</x:f>
        <x:v>46310.666666666664</x:v>
      </x:c>
      <x:c r="O3138" s="16" t="n">
        <x:f>MAX(0,(M3138-N3138)*24)</x:f>
        <x:v>14.283333333441988</x:v>
      </x:c>
      <x:c r="P3138" s="9" t="str">
        <x:v>No</x:v>
      </x:c>
      <x:c r="Q3138" s="15" t="n">
        <x:v>17</x:v>
      </x:c>
      <x:c r="R3138" s="13" t="n">
        <x:f>J3138+Q3138/1440</x:f>
        <x:v>46311.26180555556</x:v>
      </x:c>
      <x:c r="S3138" s="2" t="str">
        <x:f>VLOOKUP(C3138,'MES orders'!$A$8:$H$127,6,FALSE)</x:f>
        <x:v>Normal</x:v>
      </x:c>
      <x:c r="T3138" s="9" t="str"/>
    </x:row>
    <x:row r="3139" ht="22" customHeight="1">
      <x:c r="A3139" s="2" t="str">
        <x:v>L00434-010</x:v>
      </x:c>
      <x:c r="B3139" s="2" t="str">
        <x:v>L00434</x:v>
      </x:c>
      <x:c r="C3139" s="2" t="str">
        <x:v>SO-26087</x:v>
      </x:c>
      <x:c r="D3139" s="2" t="str">
        <x:v>R-S-AL</x:v>
      </x:c>
      <x:c r="E3139" s="14" t="n">
        <x:v>15</x:v>
      </x:c>
      <x:c r="F3139" s="2" t="str">
        <x:v>CNC machining</x:v>
      </x:c>
      <x:c r="G3139" s="9" t="str">
        <x:v>CNC-01</x:v>
      </x:c>
      <x:c r="H3139" s="15" t="n">
        <x:v>86</x:v>
      </x:c>
      <x:c r="I3139" s="9" t="str">
        <x:v>P03</x:v>
      </x:c>
      <x:c r="J3139" s="11" t="n">
        <x:v>46311.259722222225</x:v>
      </x:c>
      <x:c r="K3139" s="15" t="n">
        <x:v>18</x:v>
      </x:c>
      <x:c r="L3139" s="15" t="n">
        <x:v>36</x:v>
      </x:c>
      <x:c r="M3139" s="13" t="n">
        <x:f>J3139+(K3139+L3139)/1440</x:f>
        <x:v>46311.29722222222</x:v>
      </x:c>
      <x:c r="N3139" s="13" t="n">
        <x:f>VLOOKUP(C3139,'MES orders'!$A$8:$H$127,5,FALSE)</x:f>
        <x:v>46310.666666666664</x:v>
      </x:c>
      <x:c r="O3139" s="16" t="n">
        <x:f>MAX(0,(M3139-N3139)*24)</x:f>
        <x:v>15.133333333418705</x:v>
      </x:c>
      <x:c r="P3139" s="9" t="str">
        <x:v>No</x:v>
      </x:c>
      <x:c r="Q3139" s="15" t="n">
        <x:v>18</x:v>
      </x:c>
      <x:c r="R3139" s="13" t="n">
        <x:f>J3139+Q3139/1440</x:f>
        <x:v>46311.27222222222</x:v>
      </x:c>
      <x:c r="S3139" s="2" t="str">
        <x:f>VLOOKUP(C3139,'MES orders'!$A$8:$H$127,6,FALSE)</x:f>
        <x:v>Normal</x:v>
      </x:c>
      <x:c r="T3139" s="9" t="str"/>
    </x:row>
    <x:row r="3140" ht="22" customHeight="1">
      <x:c r="A3140" s="2" t="str">
        <x:v>L00432-030</x:v>
      </x:c>
      <x:c r="B3140" s="2" t="str">
        <x:v>L00432</x:v>
      </x:c>
      <x:c r="C3140" s="2" t="str">
        <x:v>SO-26087</x:v>
      </x:c>
      <x:c r="D3140" s="2" t="str">
        <x:v>R-S-AL</x:v>
      </x:c>
      <x:c r="E3140" s="14" t="n">
        <x:v>15</x:v>
      </x:c>
      <x:c r="F3140" s="2" t="str">
        <x:v>Wash &amp; dry</x:v>
      </x:c>
      <x:c r="G3140" s="9" t="str">
        <x:v>WS-02</x:v>
      </x:c>
      <x:c r="H3140" s="15" t="n">
        <x:v>213</x:v>
      </x:c>
      <x:c r="I3140" s="9" t="str">
        <x:v>P01</x:v>
      </x:c>
      <x:c r="J3140" s="11" t="n">
        <x:v>46311.26180555556</x:v>
      </x:c>
      <x:c r="K3140" s="15" t="n">
        <x:v>12</x:v>
      </x:c>
      <x:c r="L3140" s="15" t="n">
        <x:v>5</x:v>
      </x:c>
      <x:c r="M3140" s="13" t="n">
        <x:f>J3140+(K3140+L3140)/1440</x:f>
        <x:v>46311.273611111115</x:v>
      </x:c>
      <x:c r="N3140" s="13" t="n">
        <x:f>VLOOKUP(C3140,'MES orders'!$A$8:$H$127,5,FALSE)</x:f>
        <x:v>46310.666666666664</x:v>
      </x:c>
      <x:c r="O3140" s="16" t="n">
        <x:f>MAX(0,(M3140-N3140)*24)</x:f>
        <x:v>14.566666666825768</x:v>
      </x:c>
      <x:c r="P3140" s="9" t="str">
        <x:v>No</x:v>
      </x:c>
      <x:c r="Q3140" s="15" t="n">
        <x:v>17</x:v>
      </x:c>
      <x:c r="R3140" s="13" t="n">
        <x:f>J3140+Q3140/1440</x:f>
        <x:v>46311.273611111115</x:v>
      </x:c>
      <x:c r="S3140" s="2" t="str">
        <x:f>VLOOKUP(C3140,'MES orders'!$A$8:$H$127,6,FALSE)</x:f>
        <x:v>Normal</x:v>
      </x:c>
      <x:c r="T3140" s="9" t="str"/>
    </x:row>
    <x:row r="3141" ht="22" customHeight="1">
      <x:c r="A3141" s="2" t="str">
        <x:v>L00391-040</x:v>
      </x:c>
      <x:c r="B3141" s="2" t="str">
        <x:v>L00391</x:v>
      </x:c>
      <x:c r="C3141" s="2" t="str">
        <x:v>SO-26079</x:v>
      </x:c>
      <x:c r="D3141" s="2" t="str">
        <x:v>R-C-AL</x:v>
      </x:c>
      <x:c r="E3141" s="14" t="n">
        <x:v>20</x:v>
      </x:c>
      <x:c r="F3141" s="2" t="str">
        <x:v>Mechanical assembly</x:v>
      </x:c>
      <x:c r="G3141" s="9" t="str">
        <x:v>AS-03</x:v>
      </x:c>
      <x:c r="H3141" s="15" t="n">
        <x:v>165</x:v>
      </x:c>
      <x:c r="I3141" s="9" t="str">
        <x:v>P06</x:v>
      </x:c>
      <x:c r="J3141" s="11" t="n">
        <x:v>46311.2625</x:v>
      </x:c>
      <x:c r="K3141" s="15" t="n">
        <x:v>8</x:v>
      </x:c>
      <x:c r="L3141" s="15" t="n">
        <x:v>29</x:v>
      </x:c>
      <x:c r="M3141" s="13" t="n">
        <x:f>J3141+(K3141+L3141)/1440</x:f>
        <x:v>46311.28819444444</x:v>
      </x:c>
      <x:c r="N3141" s="13" t="n">
        <x:f>VLOOKUP(C3141,'MES orders'!$A$8:$H$127,5,FALSE)</x:f>
        <x:v>46310.666666666664</x:v>
      </x:c>
      <x:c r="O3141" s="16" t="n">
        <x:f>MAX(0,(M3141-N3141)*24)</x:f>
        <x:v>14.916666666569654</x:v>
      </x:c>
      <x:c r="P3141" s="9" t="str">
        <x:v>No</x:v>
      </x:c>
      <x:c r="Q3141" s="15" t="n">
        <x:v>37</x:v>
      </x:c>
      <x:c r="R3141" s="13" t="n">
        <x:f>J3141+Q3141/1440</x:f>
        <x:v>46311.28819444444</x:v>
      </x:c>
      <x:c r="S3141" s="2" t="str">
        <x:f>VLOOKUP(C3141,'MES orders'!$A$8:$H$127,6,FALSE)</x:f>
        <x:v>Normal</x:v>
      </x:c>
      <x:c r="T3141" s="9" t="str"/>
    </x:row>
    <x:row r="3142" ht="22" customHeight="1">
      <x:c r="A3142" s="2" t="str">
        <x:v>L00433-030</x:v>
      </x:c>
      <x:c r="B3142" s="2" t="str">
        <x:v>L00433</x:v>
      </x:c>
      <x:c r="C3142" s="2" t="str">
        <x:v>SO-26087</x:v>
      </x:c>
      <x:c r="D3142" s="2" t="str">
        <x:v>R-S-AL</x:v>
      </x:c>
      <x:c r="E3142" s="14" t="n">
        <x:v>15</x:v>
      </x:c>
      <x:c r="F3142" s="2" t="str">
        <x:v>Wash &amp; dry</x:v>
      </x:c>
      <x:c r="G3142" s="9" t="str">
        <x:v>WS-01</x:v>
      </x:c>
      <x:c r="H3142" s="15" t="n">
        <x:v>288</x:v>
      </x:c>
      <x:c r="I3142" s="9" t="str">
        <x:v>P02</x:v>
      </x:c>
      <x:c r="J3142" s="11" t="n">
        <x:v>46311.2625</x:v>
      </x:c>
      <x:c r="K3142" s="15" t="n">
        <x:v>12</x:v>
      </x:c>
      <x:c r="L3142" s="15" t="n">
        <x:v>5</x:v>
      </x:c>
      <x:c r="M3142" s="13" t="n">
        <x:f>J3142+(K3142+L3142)/1440</x:f>
        <x:v>46311.274305555555</x:v>
      </x:c>
      <x:c r="N3142" s="13" t="n">
        <x:f>VLOOKUP(C3142,'MES orders'!$A$8:$H$127,5,FALSE)</x:f>
        <x:v>46310.666666666664</x:v>
      </x:c>
      <x:c r="O3142" s="16" t="n">
        <x:f>MAX(0,(M3142-N3142)*24)</x:f>
        <x:v>14.583333333372138</x:v>
      </x:c>
      <x:c r="P3142" s="9" t="str">
        <x:v>No</x:v>
      </x:c>
      <x:c r="Q3142" s="15" t="n">
        <x:v>17</x:v>
      </x:c>
      <x:c r="R3142" s="13" t="n">
        <x:f>J3142+Q3142/1440</x:f>
        <x:v>46311.274305555555</x:v>
      </x:c>
      <x:c r="S3142" s="2" t="str">
        <x:f>VLOOKUP(C3142,'MES orders'!$A$8:$H$127,6,FALSE)</x:f>
        <x:v>Normal</x:v>
      </x:c>
      <x:c r="T3142" s="9" t="str"/>
    </x:row>
    <x:row r="3143" ht="22" customHeight="1">
      <x:c r="A3143" s="2" t="str">
        <x:v>L00435-010</x:v>
      </x:c>
      <x:c r="B3143" s="2" t="str">
        <x:v>L00435</x:v>
      </x:c>
      <x:c r="C3143" s="2" t="str">
        <x:v>SO-26087</x:v>
      </x:c>
      <x:c r="D3143" s="2" t="str">
        <x:v>R-S-AL</x:v>
      </x:c>
      <x:c r="E3143" s="14" t="n">
        <x:v>15</x:v>
      </x:c>
      <x:c r="F3143" s="2" t="str">
        <x:v>CNC machining</x:v>
      </x:c>
      <x:c r="G3143" s="9" t="str">
        <x:v>CNC-02</x:v>
      </x:c>
      <x:c r="H3143" s="15" t="n">
        <x:v>62</x:v>
      </x:c>
      <x:c r="I3143" s="9" t="str">
        <x:v>P03</x:v>
      </x:c>
      <x:c r="J3143" s="11" t="n">
        <x:v>46311.27222222222</x:v>
      </x:c>
      <x:c r="K3143" s="15" t="n">
        <x:v>18</x:v>
      </x:c>
      <x:c r="L3143" s="15" t="n">
        <x:v>36</x:v>
      </x:c>
      <x:c r="M3143" s="13" t="n">
        <x:f>J3143+(K3143+L3143)/1440</x:f>
        <x:v>46311.30972222222</x:v>
      </x:c>
      <x:c r="N3143" s="13" t="n">
        <x:f>VLOOKUP(C3143,'MES orders'!$A$8:$H$127,5,FALSE)</x:f>
        <x:v>46310.666666666664</x:v>
      </x:c>
      <x:c r="O3143" s="16" t="n">
        <x:f>MAX(0,(M3143-N3143)*24)</x:f>
        <x:v>15.433333333348855</x:v>
      </x:c>
      <x:c r="P3143" s="9" t="str">
        <x:v>No</x:v>
      </x:c>
      <x:c r="Q3143" s="15" t="n">
        <x:v>18</x:v>
      </x:c>
      <x:c r="R3143" s="13" t="n">
        <x:f>J3143+Q3143/1440</x:f>
        <x:v>46311.28472222222</x:v>
      </x:c>
      <x:c r="S3143" s="2" t="str">
        <x:f>VLOOKUP(C3143,'MES orders'!$A$8:$H$127,6,FALSE)</x:f>
        <x:v>Normal</x:v>
      </x:c>
      <x:c r="T3143" s="9" t="str"/>
    </x:row>
    <x:row r="3144" ht="22" customHeight="1">
      <x:c r="A3144" s="2" t="str">
        <x:v>L00432-040</x:v>
      </x:c>
      <x:c r="B3144" s="2" t="str">
        <x:v>L00432</x:v>
      </x:c>
      <x:c r="C3144" s="2" t="str">
        <x:v>SO-26087</x:v>
      </x:c>
      <x:c r="D3144" s="2" t="str">
        <x:v>R-S-AL</x:v>
      </x:c>
      <x:c r="E3144" s="14" t="n">
        <x:v>15</x:v>
      </x:c>
      <x:c r="F3144" s="2" t="str">
        <x:v>Mechanical assembly</x:v>
      </x:c>
      <x:c r="G3144" s="9" t="str">
        <x:v>AS-04</x:v>
      </x:c>
      <x:c r="H3144" s="15" t="n">
        <x:v>116</x:v>
      </x:c>
      <x:c r="I3144" s="9" t="str">
        <x:v>P01</x:v>
      </x:c>
      <x:c r="J3144" s="11" t="n">
        <x:v>46311.27361111111</x:v>
      </x:c>
      <x:c r="K3144" s="15" t="n">
        <x:v>8</x:v>
      </x:c>
      <x:c r="L3144" s="15" t="n">
        <x:v>27</x:v>
      </x:c>
      <x:c r="M3144" s="13" t="n">
        <x:f>J3144+(K3144+L3144)/1440</x:f>
        <x:v>46311.29791666666</x:v>
      </x:c>
      <x:c r="N3144" s="13" t="n">
        <x:f>VLOOKUP(C3144,'MES orders'!$A$8:$H$127,5,FALSE)</x:f>
        <x:v>46310.666666666664</x:v>
      </x:c>
      <x:c r="O3144" s="16" t="n">
        <x:f>MAX(0,(M3144-N3144)*24)</x:f>
        <x:v>15.149999999965075</x:v>
      </x:c>
      <x:c r="P3144" s="9" t="str">
        <x:v>No</x:v>
      </x:c>
      <x:c r="Q3144" s="15" t="n">
        <x:v>35</x:v>
      </x:c>
      <x:c r="R3144" s="13" t="n">
        <x:f>J3144+Q3144/1440</x:f>
        <x:v>46311.29791666666</x:v>
      </x:c>
      <x:c r="S3144" s="2" t="str">
        <x:f>VLOOKUP(C3144,'MES orders'!$A$8:$H$127,6,FALSE)</x:f>
        <x:v>Normal</x:v>
      </x:c>
      <x:c r="T3144" s="9" t="str"/>
    </x:row>
    <x:row r="3145" ht="22" customHeight="1">
      <x:c r="A3145" s="2" t="str">
        <x:v>L00433-040</x:v>
      </x:c>
      <x:c r="B3145" s="2" t="str">
        <x:v>L00433</x:v>
      </x:c>
      <x:c r="C3145" s="2" t="str">
        <x:v>SO-26087</x:v>
      </x:c>
      <x:c r="D3145" s="2" t="str">
        <x:v>R-S-AL</x:v>
      </x:c>
      <x:c r="E3145" s="14" t="n">
        <x:v>15</x:v>
      </x:c>
      <x:c r="F3145" s="2" t="str">
        <x:v>Mechanical assembly</x:v>
      </x:c>
      <x:c r="G3145" s="9" t="str">
        <x:v>AS-05</x:v>
      </x:c>
      <x:c r="H3145" s="15" t="n">
        <x:v>66</x:v>
      </x:c>
      <x:c r="I3145" s="9" t="str">
        <x:v>P02</x:v>
      </x:c>
      <x:c r="J3145" s="11" t="n">
        <x:v>46311.274305555555</x:v>
      </x:c>
      <x:c r="K3145" s="15" t="n">
        <x:v>8</x:v>
      </x:c>
      <x:c r="L3145" s="15" t="n">
        <x:v>27</x:v>
      </x:c>
      <x:c r="M3145" s="13" t="n">
        <x:f>J3145+(K3145+L3145)/1440</x:f>
        <x:v>46311.29861111111</x:v>
      </x:c>
      <x:c r="N3145" s="13" t="n">
        <x:f>VLOOKUP(C3145,'MES orders'!$A$8:$H$127,5,FALSE)</x:f>
        <x:v>46310.666666666664</x:v>
      </x:c>
      <x:c r="O3145" s="16" t="n">
        <x:f>MAX(0,(M3145-N3145)*24)</x:f>
        <x:v>15.16666666668607</x:v>
      </x:c>
      <x:c r="P3145" s="9" t="str">
        <x:v>No</x:v>
      </x:c>
      <x:c r="Q3145" s="15" t="n">
        <x:v>35</x:v>
      </x:c>
      <x:c r="R3145" s="13" t="n">
        <x:f>J3145+Q3145/1440</x:f>
        <x:v>46311.29861111111</x:v>
      </x:c>
      <x:c r="S3145" s="2" t="str">
        <x:f>VLOOKUP(C3145,'MES orders'!$A$8:$H$127,6,FALSE)</x:f>
        <x:v>Normal</x:v>
      </x:c>
      <x:c r="T3145" s="9" t="str"/>
    </x:row>
    <x:row r="3146" ht="22" customHeight="1">
      <x:c r="A3146" s="2" t="str">
        <x:v>L00113-060</x:v>
      </x:c>
      <x:c r="B3146" s="2" t="str">
        <x:v>L00113</x:v>
      </x:c>
      <x:c r="C3146" s="2" t="str">
        <x:v>SO-26023</x:v>
      </x:c>
      <x:c r="D3146" s="2" t="str">
        <x:v>R-L-AL</x:v>
      </x:c>
      <x:c r="E3146" s="14" t="n">
        <x:v>20</x:v>
      </x:c>
      <x:c r="F3146" s="2" t="str">
        <x:v>Final leak / function test</x:v>
      </x:c>
      <x:c r="G3146" s="9" t="str">
        <x:v>QA-02</x:v>
      </x:c>
      <x:c r="H3146" s="15" t="n">
        <x:v>235</x:v>
      </x:c>
      <x:c r="I3146" s="9" t="str">
        <x:v>P11</x:v>
      </x:c>
      <x:c r="J3146" s="11" t="n">
        <x:v>46311.275</x:v>
      </x:c>
      <x:c r="K3146" s="15" t="n">
        <x:v>10</x:v>
      </x:c>
      <x:c r="L3146" s="15" t="n">
        <x:v>24</x:v>
      </x:c>
      <x:c r="M3146" s="13" t="n">
        <x:f>J3146+(K3146+L3146)/1440</x:f>
        <x:v>46311.29861111111</x:v>
      </x:c>
      <x:c r="N3146" s="13" t="n">
        <x:f>VLOOKUP(C3146,'MES orders'!$A$8:$H$127,5,FALSE)</x:f>
        <x:v>46310.666666666664</x:v>
      </x:c>
      <x:c r="O3146" s="16" t="n">
        <x:f>MAX(0,(M3146-N3146)*24)</x:f>
        <x:v>15.16666666668607</x:v>
      </x:c>
      <x:c r="P3146" s="9" t="str">
        <x:v>No</x:v>
      </x:c>
      <x:c r="Q3146" s="15" t="n">
        <x:v>34</x:v>
      </x:c>
      <x:c r="R3146" s="13" t="n">
        <x:f>J3146+Q3146/1440</x:f>
        <x:v>46311.29861111111</x:v>
      </x:c>
      <x:c r="S3146" s="2" t="str">
        <x:f>VLOOKUP(C3146,'MES orders'!$A$8:$H$127,6,FALSE)</x:f>
        <x:v>Normal</x:v>
      </x:c>
      <x:c r="T3146" s="9" t="str"/>
    </x:row>
    <x:row r="3147" ht="22" customHeight="1">
      <x:c r="A3147" s="2" t="str">
        <x:v>L00392-030</x:v>
      </x:c>
      <x:c r="B3147" s="2" t="str">
        <x:v>L00392</x:v>
      </x:c>
      <x:c r="C3147" s="2" t="str">
        <x:v>SO-26079</x:v>
      </x:c>
      <x:c r="D3147" s="2" t="str">
        <x:v>R-C-AL</x:v>
      </x:c>
      <x:c r="E3147" s="14" t="n">
        <x:v>20</x:v>
      </x:c>
      <x:c r="F3147" s="2" t="str">
        <x:v>Wash &amp; dry</x:v>
      </x:c>
      <x:c r="G3147" s="9" t="str">
        <x:v>WS-01</x:v>
      </x:c>
      <x:c r="H3147" s="15" t="n">
        <x:v>289</x:v>
      </x:c>
      <x:c r="I3147" s="9" t="str">
        <x:v>P05</x:v>
      </x:c>
      <x:c r="J3147" s="11" t="n">
        <x:v>46311.275</x:v>
      </x:c>
      <x:c r="K3147" s="15" t="n">
        <x:v>12</x:v>
      </x:c>
      <x:c r="L3147" s="15" t="n">
        <x:v>6</x:v>
      </x:c>
      <x:c r="M3147" s="13" t="n">
        <x:f>J3147+(K3147+L3147)/1440</x:f>
        <x:v>46311.2875</x:v>
      </x:c>
      <x:c r="N3147" s="13" t="n">
        <x:f>VLOOKUP(C3147,'MES orders'!$A$8:$H$127,5,FALSE)</x:f>
        <x:v>46310.666666666664</x:v>
      </x:c>
      <x:c r="O3147" s="16" t="n">
        <x:f>MAX(0,(M3147-N3147)*24)</x:f>
        <x:v>14.900000000023283</x:v>
      </x:c>
      <x:c r="P3147" s="9" t="str">
        <x:v>No</x:v>
      </x:c>
      <x:c r="Q3147" s="15" t="n">
        <x:v>18</x:v>
      </x:c>
      <x:c r="R3147" s="13" t="n">
        <x:f>J3147+Q3147/1440</x:f>
        <x:v>46311.2875</x:v>
      </x:c>
      <x:c r="S3147" s="2" t="str">
        <x:f>VLOOKUP(C3147,'MES orders'!$A$8:$H$127,6,FALSE)</x:f>
        <x:v>Normal</x:v>
      </x:c>
      <x:c r="T3147" s="9" t="str"/>
    </x:row>
    <x:row r="3148" ht="22" customHeight="1">
      <x:c r="A3148" s="2" t="str">
        <x:v>L00277-020</x:v>
      </x:c>
      <x:c r="B3148" s="2" t="str">
        <x:v>L00277</x:v>
      </x:c>
      <x:c r="C3148" s="2" t="str">
        <x:v>SO-26056</x:v>
      </x:c>
      <x:c r="D3148" s="2" t="str">
        <x:v>R-C-SS</x:v>
      </x:c>
      <x:c r="E3148" s="14" t="n">
        <x:v>5</x:v>
      </x:c>
      <x:c r="F3148" s="2" t="str">
        <x:v>Deburr &amp; inspect</x:v>
      </x:c>
      <x:c r="G3148" s="9" t="str">
        <x:v>DB-01</x:v>
      </x:c>
      <x:c r="H3148" s="15" t="n">
        <x:v>296</x:v>
      </x:c>
      <x:c r="I3148" s="9" t="str">
        <x:v>P04</x:v>
      </x:c>
      <x:c r="J3148" s="11" t="n">
        <x:v>46311.28055555555</x:v>
      </x:c>
      <x:c r="K3148" s="15" t="n">
        <x:v>4</x:v>
      </x:c>
      <x:c r="L3148" s="15" t="n">
        <x:v>3</x:v>
      </x:c>
      <x:c r="M3148" s="13" t="n">
        <x:f>J3148+(K3148+L3148)/1440</x:f>
        <x:v>46311.285416666666</x:v>
      </x:c>
      <x:c r="N3148" s="13" t="n">
        <x:f>VLOOKUP(C3148,'MES orders'!$A$8:$H$127,5,FALSE)</x:f>
        <x:v>46311.666666666664</x:v>
      </x:c>
      <x:c r="O3148" s="16" t="n">
        <x:f>MAX(0,(M3148-N3148)*24)</x:f>
        <x:v>0</x:v>
      </x:c>
      <x:c r="P3148" s="9" t="str">
        <x:v>No</x:v>
      </x:c>
      <x:c r="Q3148" s="15" t="n">
        <x:v>7</x:v>
      </x:c>
      <x:c r="R3148" s="13" t="n">
        <x:f>J3148+Q3148/1440</x:f>
        <x:v>46311.285416666666</x:v>
      </x:c>
      <x:c r="S3148" s="2" t="str">
        <x:f>VLOOKUP(C3148,'MES orders'!$A$8:$H$127,6,FALSE)</x:f>
        <x:v>Normal</x:v>
      </x:c>
      <x:c r="T3148" s="9" t="str"/>
    </x:row>
    <x:row r="3149" ht="22" customHeight="1">
      <x:c r="A3149" s="2" t="str">
        <x:v>L00315-050</x:v>
      </x:c>
      <x:c r="B3149" s="2" t="str">
        <x:v>L00315</x:v>
      </x:c>
      <x:c r="C3149" s="2" t="str">
        <x:v>SO-26063</x:v>
      </x:c>
      <x:c r="D3149" s="2" t="str">
        <x:v>D-S-AL</x:v>
      </x:c>
      <x:c r="E3149" s="14" t="n">
        <x:v>20</x:v>
      </x:c>
      <x:c r="F3149" s="2" t="str">
        <x:v>Final leak / function test</x:v>
      </x:c>
      <x:c r="G3149" s="9" t="str">
        <x:v>QA-01</x:v>
      </x:c>
      <x:c r="H3149" s="15" t="n">
        <x:v>124</x:v>
      </x:c>
      <x:c r="I3149" s="9" t="str">
        <x:v>P12</x:v>
      </x:c>
      <x:c r="J3149" s="11" t="n">
        <x:v>46311.28055555555</x:v>
      </x:c>
      <x:c r="K3149" s="15" t="n">
        <x:v>10</x:v>
      </x:c>
      <x:c r="L3149" s="15" t="n">
        <x:v>18</x:v>
      </x:c>
      <x:c r="M3149" s="13" t="n">
        <x:f>J3149+(K3149+L3149)/1440</x:f>
        <x:v>46311.299999999996</x:v>
      </x:c>
      <x:c r="N3149" s="13" t="n">
        <x:f>VLOOKUP(C3149,'MES orders'!$A$8:$H$127,5,FALSE)</x:f>
        <x:v>46310.666666666664</x:v>
      </x:c>
      <x:c r="O3149" s="16" t="n">
        <x:f>MAX(0,(M3149-N3149)*24)</x:f>
        <x:v>15.199999999953434</x:v>
      </x:c>
      <x:c r="P3149" s="9" t="str">
        <x:v>No</x:v>
      </x:c>
      <x:c r="Q3149" s="15" t="n">
        <x:v>28</x:v>
      </x:c>
      <x:c r="R3149" s="13" t="n">
        <x:f>J3149+Q3149/1440</x:f>
        <x:v>46311.299999999996</x:v>
      </x:c>
      <x:c r="S3149" s="2" t="str">
        <x:f>VLOOKUP(C3149,'MES orders'!$A$8:$H$127,6,FALSE)</x:f>
        <x:v>Normal</x:v>
      </x:c>
      <x:c r="T3149" s="9" t="str"/>
    </x:row>
    <x:row r="3150" ht="22" customHeight="1">
      <x:c r="A3150" s="2" t="str">
        <x:v>L00471-010</x:v>
      </x:c>
      <x:c r="B3150" s="2" t="str">
        <x:v>L00471</x:v>
      </x:c>
      <x:c r="C3150" s="2" t="str">
        <x:v>SO-26095</x:v>
      </x:c>
      <x:c r="D3150" s="2" t="str">
        <x:v>R-L-AL</x:v>
      </x:c>
      <x:c r="E3150" s="14" t="n">
        <x:v>20</x:v>
      </x:c>
      <x:c r="F3150" s="2" t="str">
        <x:v>CNC machining</x:v>
      </x:c>
      <x:c r="G3150" s="9" t="str">
        <x:v>CNC-03</x:v>
      </x:c>
      <x:c r="H3150" s="15" t="n">
        <x:v>101</x:v>
      </x:c>
      <x:c r="I3150" s="9" t="str">
        <x:v>P03</x:v>
      </x:c>
      <x:c r="J3150" s="11" t="n">
        <x:v>46311.28472222222</x:v>
      </x:c>
      <x:c r="K3150" s="15" t="n">
        <x:v>18</x:v>
      </x:c>
      <x:c r="L3150" s="15" t="n">
        <x:v>65</x:v>
      </x:c>
      <x:c r="M3150" s="13" t="n">
        <x:f>J3150+(K3150+L3150)/1440</x:f>
        <x:v>46311.34236111111</x:v>
      </x:c>
      <x:c r="N3150" s="13" t="n">
        <x:f>VLOOKUP(C3150,'MES orders'!$A$8:$H$127,5,FALSE)</x:f>
        <x:v>46310.666666666664</x:v>
      </x:c>
      <x:c r="O3150" s="16" t="n">
        <x:f>MAX(0,(M3150-N3150)*24)</x:f>
        <x:v>16.21666666661622</x:v>
      </x:c>
      <x:c r="P3150" s="9" t="str">
        <x:v>No</x:v>
      </x:c>
      <x:c r="Q3150" s="15" t="n">
        <x:v>18</x:v>
      </x:c>
      <x:c r="R3150" s="13" t="n">
        <x:f>J3150+Q3150/1440</x:f>
        <x:v>46311.297222222216</x:v>
      </x:c>
      <x:c r="S3150" s="2" t="str">
        <x:f>VLOOKUP(C3150,'MES orders'!$A$8:$H$127,6,FALSE)</x:f>
        <x:v>Normal</x:v>
      </x:c>
      <x:c r="T3150" s="9" t="str"/>
    </x:row>
    <x:row r="3151" ht="22" customHeight="1">
      <x:c r="A3151" s="2" t="str">
        <x:v>L00277-030</x:v>
      </x:c>
      <x:c r="B3151" s="2" t="str">
        <x:v>L00277</x:v>
      </x:c>
      <x:c r="C3151" s="2" t="str">
        <x:v>SO-26056</x:v>
      </x:c>
      <x:c r="D3151" s="2" t="str">
        <x:v>R-C-SS</x:v>
      </x:c>
      <x:c r="E3151" s="14" t="n">
        <x:v>5</x:v>
      </x:c>
      <x:c r="F3151" s="2" t="str">
        <x:v>Wash &amp; dry</x:v>
      </x:c>
      <x:c r="G3151" s="9" t="str">
        <x:v>WS-02</x:v>
      </x:c>
      <x:c r="H3151" s="15" t="n">
        <x:v>214</x:v>
      </x:c>
      <x:c r="I3151" s="9" t="str">
        <x:v>P07</x:v>
      </x:c>
      <x:c r="J3151" s="11" t="n">
        <x:v>46311.285416666666</x:v>
      </x:c>
      <x:c r="K3151" s="15" t="n">
        <x:v>12</x:v>
      </x:c>
      <x:c r="L3151" s="15" t="n">
        <x:v>1</x:v>
      </x:c>
      <x:c r="M3151" s="13" t="n">
        <x:f>J3151+(K3151+L3151)/1440</x:f>
        <x:v>46311.294444444444</x:v>
      </x:c>
      <x:c r="N3151" s="13" t="n">
        <x:f>VLOOKUP(C3151,'MES orders'!$A$8:$H$127,5,FALSE)</x:f>
        <x:v>46311.666666666664</x:v>
      </x:c>
      <x:c r="O3151" s="16" t="n">
        <x:f>MAX(0,(M3151-N3151)*24)</x:f>
        <x:v>0</x:v>
      </x:c>
      <x:c r="P3151" s="9" t="str">
        <x:v>No</x:v>
      </x:c>
      <x:c r="Q3151" s="15" t="n">
        <x:v>13</x:v>
      </x:c>
      <x:c r="R3151" s="13" t="n">
        <x:f>J3151+Q3151/1440</x:f>
        <x:v>46311.294444444444</x:v>
      </x:c>
      <x:c r="S3151" s="2" t="str">
        <x:f>VLOOKUP(C3151,'MES orders'!$A$8:$H$127,6,FALSE)</x:f>
        <x:v>Normal</x:v>
      </x:c>
      <x:c r="T3151" s="9" t="str"/>
    </x:row>
    <x:row r="3152" ht="22" customHeight="1">
      <x:c r="A3152" s="2" t="str">
        <x:v>L00392-040</x:v>
      </x:c>
      <x:c r="B3152" s="2" t="str">
        <x:v>L00392</x:v>
      </x:c>
      <x:c r="C3152" s="2" t="str">
        <x:v>SO-26079</x:v>
      </x:c>
      <x:c r="D3152" s="2" t="str">
        <x:v>R-C-AL</x:v>
      </x:c>
      <x:c r="E3152" s="14" t="n">
        <x:v>20</x:v>
      </x:c>
      <x:c r="F3152" s="2" t="str">
        <x:v>Mechanical assembly</x:v>
      </x:c>
      <x:c r="G3152" s="9" t="str">
        <x:v>AS-02</x:v>
      </x:c>
      <x:c r="H3152" s="15" t="n">
        <x:v>202</x:v>
      </x:c>
      <x:c r="I3152" s="9" t="str">
        <x:v>P04</x:v>
      </x:c>
      <x:c r="J3152" s="11" t="n">
        <x:v>46311.2875</x:v>
      </x:c>
      <x:c r="K3152" s="15" t="n">
        <x:v>8</x:v>
      </x:c>
      <x:c r="L3152" s="15" t="n">
        <x:v>29</x:v>
      </x:c>
      <x:c r="M3152" s="13" t="n">
        <x:f>J3152+(K3152+L3152)/1440</x:f>
        <x:v>46311.31319444444</x:v>
      </x:c>
      <x:c r="N3152" s="13" t="n">
        <x:f>VLOOKUP(C3152,'MES orders'!$A$8:$H$127,5,FALSE)</x:f>
        <x:v>46310.666666666664</x:v>
      </x:c>
      <x:c r="O3152" s="16" t="n">
        <x:f>MAX(0,(M3152-N3152)*24)</x:f>
        <x:v>15.516666666604578</x:v>
      </x:c>
      <x:c r="P3152" s="9" t="str">
        <x:v>No</x:v>
      </x:c>
      <x:c r="Q3152" s="15" t="n">
        <x:v>37</x:v>
      </x:c>
      <x:c r="R3152" s="13" t="n">
        <x:f>J3152+Q3152/1440</x:f>
        <x:v>46311.31319444444</x:v>
      </x:c>
      <x:c r="S3152" s="2" t="str">
        <x:f>VLOOKUP(C3152,'MES orders'!$A$8:$H$127,6,FALSE)</x:f>
        <x:v>Normal</x:v>
      </x:c>
      <x:c r="T3152" s="9" t="str"/>
    </x:row>
    <x:row r="3153" ht="22" customHeight="1">
      <x:c r="A3153" s="2" t="str">
        <x:v>L00391-050</x:v>
      </x:c>
      <x:c r="B3153" s="2" t="str">
        <x:v>L00391</x:v>
      </x:c>
      <x:c r="C3153" s="2" t="str">
        <x:v>SO-26079</x:v>
      </x:c>
      <x:c r="D3153" s="2" t="str">
        <x:v>R-C-AL</x:v>
      </x:c>
      <x:c r="E3153" s="14" t="n">
        <x:v>20</x:v>
      </x:c>
      <x:c r="F3153" s="2" t="str">
        <x:v>Valve adjustment</x:v>
      </x:c>
      <x:c r="G3153" s="9" t="str">
        <x:v>AS-01</x:v>
      </x:c>
      <x:c r="H3153" s="15" t="n">
        <x:v>246</x:v>
      </x:c>
      <x:c r="I3153" s="9" t="str">
        <x:v>P05</x:v>
      </x:c>
      <x:c r="J3153" s="11" t="n">
        <x:v>46311.288194444445</x:v>
      </x:c>
      <x:c r="K3153" s="15" t="n">
        <x:v>6</x:v>
      </x:c>
      <x:c r="L3153" s="15" t="n">
        <x:v>18</x:v>
      </x:c>
      <x:c r="M3153" s="13" t="n">
        <x:f>J3153+(K3153+L3153)/1440</x:f>
        <x:v>46311.304861111115</x:v>
      </x:c>
      <x:c r="N3153" s="13" t="n">
        <x:f>VLOOKUP(C3153,'MES orders'!$A$8:$H$127,5,FALSE)</x:f>
        <x:v>46310.666666666664</x:v>
      </x:c>
      <x:c r="O3153" s="16" t="n">
        <x:f>MAX(0,(M3153-N3153)*24)</x:f>
        <x:v>15.316666666825768</x:v>
      </x:c>
      <x:c r="P3153" s="9" t="str">
        <x:v>No</x:v>
      </x:c>
      <x:c r="Q3153" s="15" t="n">
        <x:v>24</x:v>
      </x:c>
      <x:c r="R3153" s="13" t="n">
        <x:f>J3153+Q3153/1440</x:f>
        <x:v>46311.304861111115</x:v>
      </x:c>
      <x:c r="S3153" s="2" t="str">
        <x:f>VLOOKUP(C3153,'MES orders'!$A$8:$H$127,6,FALSE)</x:f>
        <x:v>Normal</x:v>
      </x:c>
      <x:c r="T3153" s="9" t="str"/>
    </x:row>
    <x:row r="3154" ht="22" customHeight="1">
      <x:c r="A3154" s="2" t="str">
        <x:v>L00393-040</x:v>
      </x:c>
      <x:c r="B3154" s="2" t="str">
        <x:v>L00393</x:v>
      </x:c>
      <x:c r="C3154" s="2" t="str">
        <x:v>SO-26079</x:v>
      </x:c>
      <x:c r="D3154" s="2" t="str">
        <x:v>R-C-AL</x:v>
      </x:c>
      <x:c r="E3154" s="14" t="n">
        <x:v>20</x:v>
      </x:c>
      <x:c r="F3154" s="2" t="str">
        <x:v>Mechanical assembly</x:v>
      </x:c>
      <x:c r="G3154" s="9" t="str">
        <x:v>AS-03</x:v>
      </x:c>
      <x:c r="H3154" s="15" t="n">
        <x:v>166</x:v>
      </x:c>
      <x:c r="I3154" s="9" t="str">
        <x:v>P06</x:v>
      </x:c>
      <x:c r="J3154" s="11" t="n">
        <x:v>46311.288194444445</x:v>
      </x:c>
      <x:c r="K3154" s="15" t="n">
        <x:v>8</x:v>
      </x:c>
      <x:c r="L3154" s="15" t="n">
        <x:v>29</x:v>
      </x:c>
      <x:c r="M3154" s="13" t="n">
        <x:f>J3154+(K3154+L3154)/1440</x:f>
        <x:v>46311.313888888886</x:v>
      </x:c>
      <x:c r="N3154" s="13" t="n">
        <x:f>VLOOKUP(C3154,'MES orders'!$A$8:$H$127,5,FALSE)</x:f>
        <x:v>46310.666666666664</x:v>
      </x:c>
      <x:c r="O3154" s="16" t="n">
        <x:f>MAX(0,(M3154-N3154)*24)</x:f>
        <x:v>15.533333333325572</x:v>
      </x:c>
      <x:c r="P3154" s="9" t="str">
        <x:v>No</x:v>
      </x:c>
      <x:c r="Q3154" s="15" t="n">
        <x:v>37</x:v>
      </x:c>
      <x:c r="R3154" s="13" t="n">
        <x:f>J3154+Q3154/1440</x:f>
        <x:v>46311.313888888886</x:v>
      </x:c>
      <x:c r="S3154" s="2" t="str">
        <x:f>VLOOKUP(C3154,'MES orders'!$A$8:$H$127,6,FALSE)</x:f>
        <x:v>Normal</x:v>
      </x:c>
      <x:c r="T3154" s="9" t="str"/>
    </x:row>
    <x:row r="3155" ht="22" customHeight="1">
      <x:c r="A3155" s="2" t="str">
        <x:v>L00277-040</x:v>
      </x:c>
      <x:c r="B3155" s="2" t="str">
        <x:v>L00277</x:v>
      </x:c>
      <x:c r="C3155" s="2" t="str">
        <x:v>SO-26056</x:v>
      </x:c>
      <x:c r="D3155" s="2" t="str">
        <x:v>R-C-SS</x:v>
      </x:c>
      <x:c r="E3155" s="14" t="n">
        <x:v>5</x:v>
      </x:c>
      <x:c r="F3155" s="2" t="str">
        <x:v>Mechanical assembly</x:v>
      </x:c>
      <x:c r="G3155" s="9" t="str">
        <x:v>AS-06</x:v>
      </x:c>
      <x:c r="H3155" s="15" t="n">
        <x:v>26</x:v>
      </x:c>
      <x:c r="I3155" s="9" t="str">
        <x:v>P07</x:v>
      </x:c>
      <x:c r="J3155" s="11" t="n">
        <x:v>46311.294444444444</x:v>
      </x:c>
      <x:c r="K3155" s="15" t="n">
        <x:v>8</x:v>
      </x:c>
      <x:c r="L3155" s="15" t="n">
        <x:v>7</x:v>
      </x:c>
      <x:c r="M3155" s="13" t="n">
        <x:f>J3155+(K3155+L3155)/1440</x:f>
        <x:v>46311.30486111111</x:v>
      </x:c>
      <x:c r="N3155" s="13" t="n">
        <x:f>VLOOKUP(C3155,'MES orders'!$A$8:$H$127,5,FALSE)</x:f>
        <x:v>46311.666666666664</x:v>
      </x:c>
      <x:c r="O3155" s="16" t="n">
        <x:f>MAX(0,(M3155-N3155)*24)</x:f>
        <x:v>0</x:v>
      </x:c>
      <x:c r="P3155" s="9" t="str">
        <x:v>No</x:v>
      </x:c>
      <x:c r="Q3155" s="15" t="n">
        <x:v>15</x:v>
      </x:c>
      <x:c r="R3155" s="13" t="n">
        <x:f>J3155+Q3155/1440</x:f>
        <x:v>46311.30486111111</x:v>
      </x:c>
      <x:c r="S3155" s="2" t="str">
        <x:f>VLOOKUP(C3155,'MES orders'!$A$8:$H$127,6,FALSE)</x:f>
        <x:v>Normal</x:v>
      </x:c>
      <x:c r="T3155" s="9" t="str"/>
    </x:row>
    <x:row r="3156" ht="22" customHeight="1">
      <x:c r="A3156" s="2" t="str">
        <x:v>L00472-010</x:v>
      </x:c>
      <x:c r="B3156" s="2" t="str">
        <x:v>L00472</x:v>
      </x:c>
      <x:c r="C3156" s="2" t="str">
        <x:v>SO-26095</x:v>
      </x:c>
      <x:c r="D3156" s="2" t="str">
        <x:v>R-L-AL</x:v>
      </x:c>
      <x:c r="E3156" s="14" t="n">
        <x:v>20</x:v>
      </x:c>
      <x:c r="F3156" s="2" t="str">
        <x:v>CNC machining</x:v>
      </x:c>
      <x:c r="G3156" s="9" t="str">
        <x:v>CNC-04</x:v>
      </x:c>
      <x:c r="H3156" s="15" t="n">
        <x:v>96</x:v>
      </x:c>
      <x:c r="I3156" s="9" t="str">
        <x:v>P03</x:v>
      </x:c>
      <x:c r="J3156" s="11" t="n">
        <x:v>46311.29722222222</x:v>
      </x:c>
      <x:c r="K3156" s="15" t="n">
        <x:v>18</x:v>
      </x:c>
      <x:c r="L3156" s="15" t="n">
        <x:v>65</x:v>
      </x:c>
      <x:c r="M3156" s="13" t="n">
        <x:f>J3156+(K3156+L3156)/1440</x:f>
        <x:v>46311.35486111111</x:v>
      </x:c>
      <x:c r="N3156" s="13" t="n">
        <x:f>VLOOKUP(C3156,'MES orders'!$A$8:$H$127,5,FALSE)</x:f>
        <x:v>46310.666666666664</x:v>
      </x:c>
      <x:c r="O3156" s="16" t="n">
        <x:f>MAX(0,(M3156-N3156)*24)</x:f>
        <x:v>16.516666666720994</x:v>
      </x:c>
      <x:c r="P3156" s="9" t="str">
        <x:v>No</x:v>
      </x:c>
      <x:c r="Q3156" s="15" t="n">
        <x:v>18</x:v>
      </x:c>
      <x:c r="R3156" s="13" t="n">
        <x:f>J3156+Q3156/1440</x:f>
        <x:v>46311.30972222222</x:v>
      </x:c>
      <x:c r="S3156" s="2" t="str">
        <x:f>VLOOKUP(C3156,'MES orders'!$A$8:$H$127,6,FALSE)</x:f>
        <x:v>Normal</x:v>
      </x:c>
      <x:c r="T3156" s="9" t="str"/>
    </x:row>
    <x:row r="3157" ht="22" customHeight="1">
      <x:c r="A3157" s="2" t="str">
        <x:v>L00473-010</x:v>
      </x:c>
      <x:c r="B3157" s="2" t="str">
        <x:v>L00473</x:v>
      </x:c>
      <x:c r="C3157" s="2" t="str">
        <x:v>SO-26095</x:v>
      </x:c>
      <x:c r="D3157" s="2" t="str">
        <x:v>R-L-AL</x:v>
      </x:c>
      <x:c r="E3157" s="14" t="n">
        <x:v>20</x:v>
      </x:c>
      <x:c r="F3157" s="2" t="str">
        <x:v>CNC machining</x:v>
      </x:c>
      <x:c r="G3157" s="9" t="str">
        <x:v>CNC-05</x:v>
      </x:c>
      <x:c r="H3157" s="15" t="n">
        <x:v>87</x:v>
      </x:c>
      <x:c r="I3157" s="9" t="str">
        <x:v>P02</x:v>
      </x:c>
      <x:c r="J3157" s="11" t="n">
        <x:v>46311.29861111111</x:v>
      </x:c>
      <x:c r="K3157" s="15" t="n">
        <x:v>18</x:v>
      </x:c>
      <x:c r="L3157" s="15" t="n">
        <x:v>65</x:v>
      </x:c>
      <x:c r="M3157" s="13" t="n">
        <x:f>J3157+(K3157+L3157)/1440</x:f>
        <x:v>46311.35625</x:v>
      </x:c>
      <x:c r="N3157" s="13" t="n">
        <x:f>VLOOKUP(C3157,'MES orders'!$A$8:$H$127,5,FALSE)</x:f>
        <x:v>46310.666666666664</x:v>
      </x:c>
      <x:c r="O3157" s="16" t="n">
        <x:f>MAX(0,(M3157-N3157)*24)</x:f>
        <x:v>16.54999999998836</x:v>
      </x:c>
      <x:c r="P3157" s="9" t="str">
        <x:v>No</x:v>
      </x:c>
      <x:c r="Q3157" s="15" t="n">
        <x:v>18</x:v>
      </x:c>
      <x:c r="R3157" s="13" t="n">
        <x:f>J3157+Q3157/1440</x:f>
        <x:v>46311.31111111111</x:v>
      </x:c>
      <x:c r="S3157" s="2" t="str">
        <x:f>VLOOKUP(C3157,'MES orders'!$A$8:$H$127,6,FALSE)</x:f>
        <x:v>Normal</x:v>
      </x:c>
      <x:c r="T3157" s="9" t="str"/>
    </x:row>
    <x:row r="3158" ht="22" customHeight="1">
      <x:c r="A3158" s="2" t="str">
        <x:v>L00277-050</x:v>
      </x:c>
      <x:c r="B3158" s="2" t="str">
        <x:v>L00277</x:v>
      </x:c>
      <x:c r="C3158" s="2" t="str">
        <x:v>SO-26056</x:v>
      </x:c>
      <x:c r="D3158" s="2" t="str">
        <x:v>R-C-SS</x:v>
      </x:c>
      <x:c r="E3158" s="14" t="n">
        <x:v>5</x:v>
      </x:c>
      <x:c r="F3158" s="2" t="str">
        <x:v>Valve adjustment</x:v>
      </x:c>
      <x:c r="G3158" s="9" t="str">
        <x:v>AS-01</x:v>
      </x:c>
      <x:c r="H3158" s="15" t="n">
        <x:v>247</x:v>
      </x:c>
      <x:c r="I3158" s="9" t="str">
        <x:v>P08</x:v>
      </x:c>
      <x:c r="J3158" s="11" t="n">
        <x:v>46311.30486111111</x:v>
      </x:c>
      <x:c r="K3158" s="15" t="n">
        <x:v>6</x:v>
      </x:c>
      <x:c r="L3158" s="15" t="n">
        <x:v>4</x:v>
      </x:c>
      <x:c r="M3158" s="13" t="n">
        <x:f>J3158+(K3158+L3158)/1440</x:f>
        <x:v>46311.31180555555</x:v>
      </x:c>
      <x:c r="N3158" s="13" t="n">
        <x:f>VLOOKUP(C3158,'MES orders'!$A$8:$H$127,5,FALSE)</x:f>
        <x:v>46311.666666666664</x:v>
      </x:c>
      <x:c r="O3158" s="16" t="n">
        <x:f>MAX(0,(M3158-N3158)*24)</x:f>
        <x:v>0</x:v>
      </x:c>
      <x:c r="P3158" s="9" t="str">
        <x:v>No</x:v>
      </x:c>
      <x:c r="Q3158" s="15" t="n">
        <x:v>10</x:v>
      </x:c>
      <x:c r="R3158" s="13" t="n">
        <x:f>J3158+Q3158/1440</x:f>
        <x:v>46311.31180555555</x:v>
      </x:c>
      <x:c r="S3158" s="2" t="str">
        <x:f>VLOOKUP(C3158,'MES orders'!$A$8:$H$127,6,FALSE)</x:f>
        <x:v>Normal</x:v>
      </x:c>
      <x:c r="T3158" s="9" t="str"/>
    </x:row>
    <x:row r="3159" ht="22" customHeight="1">
      <x:c r="A3159" s="2" t="str">
        <x:v>L00551-020</x:v>
      </x:c>
      <x:c r="B3159" s="2" t="str">
        <x:v>L00551</x:v>
      </x:c>
      <x:c r="C3159" s="2" t="str">
        <x:v>SO-26111</x:v>
      </x:c>
      <x:c r="D3159" s="2" t="str">
        <x:v>S-S-AL</x:v>
      </x:c>
      <x:c r="E3159" s="14" t="n">
        <x:v>10</x:v>
      </x:c>
      <x:c r="F3159" s="2" t="str">
        <x:v>Deburr &amp; inspect</x:v>
      </x:c>
      <x:c r="G3159" s="9" t="str">
        <x:v>DB-02</x:v>
      </x:c>
      <x:c r="H3159" s="15" t="n">
        <x:v>209</x:v>
      </x:c>
      <x:c r="I3159" s="9" t="str">
        <x:v>P05</x:v>
      </x:c>
      <x:c r="J3159" s="11" t="n">
        <x:v>46311.30486111111</x:v>
      </x:c>
      <x:c r="K3159" s="15" t="n">
        <x:v>4</x:v>
      </x:c>
      <x:c r="L3159" s="15" t="n">
        <x:v>7</x:v>
      </x:c>
      <x:c r="M3159" s="13" t="n">
        <x:f>J3159+(K3159+L3159)/1440</x:f>
        <x:v>46311.3125</x:v>
      </x:c>
      <x:c r="N3159" s="13" t="n">
        <x:f>VLOOKUP(C3159,'MES orders'!$A$8:$H$127,5,FALSE)</x:f>
        <x:v>46310.666666666664</x:v>
      </x:c>
      <x:c r="O3159" s="16" t="n">
        <x:f>MAX(0,(M3159-N3159)*24)</x:f>
        <x:v>15.500000000058208</x:v>
      </x:c>
      <x:c r="P3159" s="9" t="str">
        <x:v>No</x:v>
      </x:c>
      <x:c r="Q3159" s="15" t="n">
        <x:v>11</x:v>
      </x:c>
      <x:c r="R3159" s="13" t="n">
        <x:f>J3159+Q3159/1440</x:f>
        <x:v>46311.3125</x:v>
      </x:c>
      <x:c r="S3159" s="2" t="str">
        <x:f>VLOOKUP(C3159,'MES orders'!$A$8:$H$127,6,FALSE)</x:f>
        <x:v>Normal</x:v>
      </x:c>
      <x:c r="T3159" s="9" t="str"/>
    </x:row>
    <x:row r="3160" ht="22" customHeight="1">
      <x:c r="A3160" s="2" t="str">
        <x:v>L00391-060</x:v>
      </x:c>
      <x:c r="B3160" s="2" t="str">
        <x:v>L00391</x:v>
      </x:c>
      <x:c r="C3160" s="2" t="str">
        <x:v>SO-26079</x:v>
      </x:c>
      <x:c r="D3160" s="2" t="str">
        <x:v>R-C-AL</x:v>
      </x:c>
      <x:c r="E3160" s="14" t="n">
        <x:v>20</x:v>
      </x:c>
      <x:c r="F3160" s="2" t="str">
        <x:v>Final leak / function test</x:v>
      </x:c>
      <x:c r="G3160" s="9" t="str">
        <x:v>QA-02</x:v>
      </x:c>
      <x:c r="H3160" s="15" t="n">
        <x:v>236</x:v>
      </x:c>
      <x:c r="I3160" s="9" t="str">
        <x:v>P11</x:v>
      </x:c>
      <x:c r="J3160" s="11" t="n">
        <x:v>46311.30486111111</x:v>
      </x:c>
      <x:c r="K3160" s="15" t="n">
        <x:v>10</x:v>
      </x:c>
      <x:c r="L3160" s="15" t="n">
        <x:v>14</x:v>
      </x:c>
      <x:c r="M3160" s="13" t="n">
        <x:f>J3160+(K3160+L3160)/1440</x:f>
        <x:v>46311.32152777778</x:v>
      </x:c>
      <x:c r="N3160" s="13" t="n">
        <x:f>VLOOKUP(C3160,'MES orders'!$A$8:$H$127,5,FALSE)</x:f>
        <x:v>46310.666666666664</x:v>
      </x:c>
      <x:c r="O3160" s="16" t="n">
        <x:f>MAX(0,(M3160-N3160)*24)</x:f>
        <x:v>15.716666666732635</x:v>
      </x:c>
      <x:c r="P3160" s="9" t="str">
        <x:v>No</x:v>
      </x:c>
      <x:c r="Q3160" s="15" t="n">
        <x:v>24</x:v>
      </x:c>
      <x:c r="R3160" s="13" t="n">
        <x:f>J3160+Q3160/1440</x:f>
        <x:v>46311.32152777778</x:v>
      </x:c>
      <x:c r="S3160" s="2" t="str">
        <x:f>VLOOKUP(C3160,'MES orders'!$A$8:$H$127,6,FALSE)</x:f>
        <x:v>Normal</x:v>
      </x:c>
      <x:c r="T3160" s="9" t="str"/>
    </x:row>
    <x:row r="3161" ht="22" customHeight="1">
      <x:c r="A3161" s="2" t="str">
        <x:v>L00474-010</x:v>
      </x:c>
      <x:c r="B3161" s="2" t="str">
        <x:v>L00474</x:v>
      </x:c>
      <x:c r="C3161" s="2" t="str">
        <x:v>SO-26095</x:v>
      </x:c>
      <x:c r="D3161" s="2" t="str">
        <x:v>R-L-AL</x:v>
      </x:c>
      <x:c r="E3161" s="14" t="n">
        <x:v>20</x:v>
      </x:c>
      <x:c r="F3161" s="2" t="str">
        <x:v>CNC machining</x:v>
      </x:c>
      <x:c r="G3161" s="9" t="str">
        <x:v>CNC-06</x:v>
      </x:c>
      <x:c r="H3161" s="15" t="n">
        <x:v>80</x:v>
      </x:c>
      <x:c r="I3161" s="9" t="str">
        <x:v>P03</x:v>
      </x:c>
      <x:c r="J3161" s="11" t="n">
        <x:v>46311.30972222222</x:v>
      </x:c>
      <x:c r="K3161" s="15" t="n">
        <x:v>18</x:v>
      </x:c>
      <x:c r="L3161" s="15" t="n">
        <x:v>65</x:v>
      </x:c>
      <x:c r="M3161" s="13" t="n">
        <x:f>J3161+(K3161+L3161)/1440</x:f>
        <x:v>46311.36736111111</x:v>
      </x:c>
      <x:c r="N3161" s="13" t="n">
        <x:f>VLOOKUP(C3161,'MES orders'!$A$8:$H$127,5,FALSE)</x:f>
        <x:v>46310.666666666664</x:v>
      </x:c>
      <x:c r="O3161" s="16" t="n">
        <x:f>MAX(0,(M3161-N3161)*24)</x:f>
        <x:v>16.816666666651145</x:v>
      </x:c>
      <x:c r="P3161" s="9" t="str">
        <x:v>No</x:v>
      </x:c>
      <x:c r="Q3161" s="15" t="n">
        <x:v>18</x:v>
      </x:c>
      <x:c r="R3161" s="13" t="n">
        <x:f>J3161+Q3161/1440</x:f>
        <x:v>46311.32222222222</x:v>
      </x:c>
      <x:c r="S3161" s="2" t="str">
        <x:f>VLOOKUP(C3161,'MES orders'!$A$8:$H$127,6,FALSE)</x:f>
        <x:v>Normal</x:v>
      </x:c>
      <x:c r="T3161" s="9" t="str"/>
    </x:row>
    <x:row r="3162" ht="22" customHeight="1">
      <x:c r="A3162" s="2" t="str">
        <x:v>L00435-020</x:v>
      </x:c>
      <x:c r="B3162" s="2" t="str">
        <x:v>L00435</x:v>
      </x:c>
      <x:c r="C3162" s="2" t="str">
        <x:v>SO-26087</x:v>
      </x:c>
      <x:c r="D3162" s="2" t="str">
        <x:v>R-S-AL</x:v>
      </x:c>
      <x:c r="E3162" s="14" t="n">
        <x:v>15</x:v>
      </x:c>
      <x:c r="F3162" s="2" t="str">
        <x:v>Deburr &amp; inspect</x:v>
      </x:c>
      <x:c r="G3162" s="9" t="str">
        <x:v>DB-01</x:v>
      </x:c>
      <x:c r="H3162" s="15" t="n">
        <x:v>297</x:v>
      </x:c>
      <x:c r="I3162" s="9" t="str">
        <x:v>P01</x:v>
      </x:c>
      <x:c r="J3162" s="11" t="n">
        <x:v>46311.30972222222</x:v>
      </x:c>
      <x:c r="K3162" s="15" t="n">
        <x:v>4</x:v>
      </x:c>
      <x:c r="L3162" s="15" t="n">
        <x:v>10</x:v>
      </x:c>
      <x:c r="M3162" s="13" t="n">
        <x:f>J3162+(K3162+L3162)/1440</x:f>
        <x:v>46311.319444444445</x:v>
      </x:c>
      <x:c r="N3162" s="13" t="n">
        <x:f>VLOOKUP(C3162,'MES orders'!$A$8:$H$127,5,FALSE)</x:f>
        <x:v>46310.666666666664</x:v>
      </x:c>
      <x:c r="O3162" s="16" t="n">
        <x:f>MAX(0,(M3162-N3162)*24)</x:f>
        <x:v>15.666666666744277</x:v>
      </x:c>
      <x:c r="P3162" s="9" t="str">
        <x:v>No</x:v>
      </x:c>
      <x:c r="Q3162" s="15" t="n">
        <x:v>14</x:v>
      </x:c>
      <x:c r="R3162" s="13" t="n">
        <x:f>J3162+Q3162/1440</x:f>
        <x:v>46311.319444444445</x:v>
      </x:c>
      <x:c r="S3162" s="2" t="str">
        <x:f>VLOOKUP(C3162,'MES orders'!$A$8:$H$127,6,FALSE)</x:f>
        <x:v>Normal</x:v>
      </x:c>
      <x:c r="T3162" s="9" t="str"/>
    </x:row>
    <x:row r="3163" ht="22" customHeight="1">
      <x:c r="A3163" s="2" t="str">
        <x:v>L00511-010</x:v>
      </x:c>
      <x:c r="B3163" s="2" t="str">
        <x:v>L00511</x:v>
      </x:c>
      <x:c r="C3163" s="2" t="str">
        <x:v>SO-26103</x:v>
      </x:c>
      <x:c r="D3163" s="2" t="str">
        <x:v>S-C-AL</x:v>
      </x:c>
      <x:c r="E3163" s="14" t="n">
        <x:v>25</x:v>
      </x:c>
      <x:c r="F3163" s="2" t="str">
        <x:v>CNC machining</x:v>
      </x:c>
      <x:c r="G3163" s="9" t="str">
        <x:v>CNC-01</x:v>
      </x:c>
      <x:c r="H3163" s="15" t="n">
        <x:v>87</x:v>
      </x:c>
      <x:c r="I3163" s="9" t="str">
        <x:v>P02</x:v>
      </x:c>
      <x:c r="J3163" s="11" t="n">
        <x:v>46311.311111111114</x:v>
      </x:c>
      <x:c r="K3163" s="15" t="n">
        <x:v>18</x:v>
      </x:c>
      <x:c r="L3163" s="15" t="n">
        <x:v>48</x:v>
      </x:c>
      <x:c r="M3163" s="13" t="n">
        <x:f>J3163+(K3163+L3163)/1440</x:f>
        <x:v>46311.356944444444</x:v>
      </x:c>
      <x:c r="N3163" s="13" t="n">
        <x:f>VLOOKUP(C3163,'MES orders'!$A$8:$H$127,5,FALSE)</x:f>
        <x:v>46310.666666666664</x:v>
      </x:c>
      <x:c r="O3163" s="16" t="n">
        <x:f>MAX(0,(M3163-N3163)*24)</x:f>
        <x:v>16.566666666709352</x:v>
      </x:c>
      <x:c r="P3163" s="9" t="str">
        <x:v>No</x:v>
      </x:c>
      <x:c r="Q3163" s="15" t="n">
        <x:v>18</x:v>
      </x:c>
      <x:c r="R3163" s="13" t="n">
        <x:f>J3163+Q3163/1440</x:f>
        <x:v>46311.32361111111</x:v>
      </x:c>
      <x:c r="S3163" s="2" t="str">
        <x:f>VLOOKUP(C3163,'MES orders'!$A$8:$H$127,6,FALSE)</x:f>
        <x:v>Normal</x:v>
      </x:c>
      <x:c r="T3163" s="9" t="str"/>
    </x:row>
    <x:row r="3164" ht="22" customHeight="1">
      <x:c r="A3164" s="2" t="str">
        <x:v>L00277-060</x:v>
      </x:c>
      <x:c r="B3164" s="2" t="str">
        <x:v>L00277</x:v>
      </x:c>
      <x:c r="C3164" s="2" t="str">
        <x:v>SO-26056</x:v>
      </x:c>
      <x:c r="D3164" s="2" t="str">
        <x:v>R-C-SS</x:v>
      </x:c>
      <x:c r="E3164" s="14" t="n">
        <x:v>5</x:v>
      </x:c>
      <x:c r="F3164" s="2" t="str">
        <x:v>Final leak / function test</x:v>
      </x:c>
      <x:c r="G3164" s="9" t="str">
        <x:v>QA-03</x:v>
      </x:c>
      <x:c r="H3164" s="15" t="n">
        <x:v>137</x:v>
      </x:c>
      <x:c r="I3164" s="9" t="str">
        <x:v>P12</x:v>
      </x:c>
      <x:c r="J3164" s="11" t="n">
        <x:v>46311.31180555555</x:v>
      </x:c>
      <x:c r="K3164" s="15" t="n">
        <x:v>10</x:v>
      </x:c>
      <x:c r="L3164" s="15" t="n">
        <x:v>4</x:v>
      </x:c>
      <x:c r="M3164" s="13" t="n">
        <x:f>J3164+(K3164+L3164)/1440</x:f>
        <x:v>46311.32152777778</x:v>
      </x:c>
      <x:c r="N3164" s="13" t="n">
        <x:f>VLOOKUP(C3164,'MES orders'!$A$8:$H$127,5,FALSE)</x:f>
        <x:v>46311.666666666664</x:v>
      </x:c>
      <x:c r="O3164" s="16" t="n">
        <x:f>MAX(0,(M3164-N3164)*24)</x:f>
        <x:v>0</x:v>
      </x:c>
      <x:c r="P3164" s="9" t="str">
        <x:v>No</x:v>
      </x:c>
      <x:c r="Q3164" s="15" t="n">
        <x:v>14</x:v>
      </x:c>
      <x:c r="R3164" s="13" t="n">
        <x:f>J3164+Q3164/1440</x:f>
        <x:v>46311.32152777778</x:v>
      </x:c>
      <x:c r="S3164" s="2" t="str">
        <x:f>VLOOKUP(C3164,'MES orders'!$A$8:$H$127,6,FALSE)</x:f>
        <x:v>Normal</x:v>
      </x:c>
      <x:c r="T3164" s="9" t="str"/>
    </x:row>
    <x:row r="3165" ht="22" customHeight="1">
      <x:c r="A3165" s="2" t="str">
        <x:v>L00551-030</x:v>
      </x:c>
      <x:c r="B3165" s="2" t="str">
        <x:v>L00551</x:v>
      </x:c>
      <x:c r="C3165" s="2" t="str">
        <x:v>SO-26111</x:v>
      </x:c>
      <x:c r="D3165" s="2" t="str">
        <x:v>S-S-AL</x:v>
      </x:c>
      <x:c r="E3165" s="14" t="n">
        <x:v>10</x:v>
      </x:c>
      <x:c r="F3165" s="2" t="str">
        <x:v>Wash &amp; dry</x:v>
      </x:c>
      <x:c r="G3165" s="9" t="str">
        <x:v>WS-01</x:v>
      </x:c>
      <x:c r="H3165" s="15" t="n">
        <x:v>290</x:v>
      </x:c>
      <x:c r="I3165" s="9" t="str">
        <x:v>P07</x:v>
      </x:c>
      <x:c r="J3165" s="11" t="n">
        <x:v>46311.3125</x:v>
      </x:c>
      <x:c r="K3165" s="15" t="n">
        <x:v>12</x:v>
      </x:c>
      <x:c r="L3165" s="15" t="n">
        <x:v>4</x:v>
      </x:c>
      <x:c r="M3165" s="13" t="n">
        <x:f>J3165+(K3165+L3165)/1440</x:f>
        <x:v>46311.32361111111</x:v>
      </x:c>
      <x:c r="N3165" s="13" t="n">
        <x:f>VLOOKUP(C3165,'MES orders'!$A$8:$H$127,5,FALSE)</x:f>
        <x:v>46310.666666666664</x:v>
      </x:c>
      <x:c r="O3165" s="16" t="n">
        <x:f>MAX(0,(M3165-N3165)*24)</x:f>
        <x:v>15.766666666720994</x:v>
      </x:c>
      <x:c r="P3165" s="9" t="str">
        <x:v>No</x:v>
      </x:c>
      <x:c r="Q3165" s="15" t="n">
        <x:v>16</x:v>
      </x:c>
      <x:c r="R3165" s="13" t="n">
        <x:f>J3165+Q3165/1440</x:f>
        <x:v>46311.32361111111</x:v>
      </x:c>
      <x:c r="S3165" s="2" t="str">
        <x:f>VLOOKUP(C3165,'MES orders'!$A$8:$H$127,6,FALSE)</x:f>
        <x:v>Normal</x:v>
      </x:c>
      <x:c r="T3165" s="9" t="str"/>
    </x:row>
    <x:row r="3166" ht="22" customHeight="1">
      <x:c r="A3166" s="2" t="str">
        <x:v>L00392-050</x:v>
      </x:c>
      <x:c r="B3166" s="2" t="str">
        <x:v>L00392</x:v>
      </x:c>
      <x:c r="C3166" s="2" t="str">
        <x:v>SO-26079</x:v>
      </x:c>
      <x:c r="D3166" s="2" t="str">
        <x:v>R-C-AL</x:v>
      </x:c>
      <x:c r="E3166" s="14" t="n">
        <x:v>20</x:v>
      </x:c>
      <x:c r="F3166" s="2" t="str">
        <x:v>Valve adjustment</x:v>
      </x:c>
      <x:c r="G3166" s="9" t="str">
        <x:v>AS-01</x:v>
      </x:c>
      <x:c r="H3166" s="15" t="n">
        <x:v>248</x:v>
      </x:c>
      <x:c r="I3166" s="9" t="str">
        <x:v>P05</x:v>
      </x:c>
      <x:c r="J3166" s="11" t="n">
        <x:v>46311.31319444445</x:v>
      </x:c>
      <x:c r="K3166" s="15" t="n">
        <x:v>6</x:v>
      </x:c>
      <x:c r="L3166" s="15" t="n">
        <x:v>18</x:v>
      </x:c>
      <x:c r="M3166" s="13" t="n">
        <x:f>J3166+(K3166+L3166)/1440</x:f>
        <x:v>46311.32986111112</x:v>
      </x:c>
      <x:c r="N3166" s="13" t="n">
        <x:f>VLOOKUP(C3166,'MES orders'!$A$8:$H$127,5,FALSE)</x:f>
        <x:v>46310.666666666664</x:v>
      </x:c>
      <x:c r="O3166" s="16" t="n">
        <x:f>MAX(0,(M3166-N3166)*24)</x:f>
        <x:v>15.916666666860692</x:v>
      </x:c>
      <x:c r="P3166" s="9" t="str">
        <x:v>No</x:v>
      </x:c>
      <x:c r="Q3166" s="15" t="n">
        <x:v>24</x:v>
      </x:c>
      <x:c r="R3166" s="13" t="n">
        <x:f>J3166+Q3166/1440</x:f>
        <x:v>46311.32986111112</x:v>
      </x:c>
      <x:c r="S3166" s="2" t="str">
        <x:f>VLOOKUP(C3166,'MES orders'!$A$8:$H$127,6,FALSE)</x:f>
        <x:v>Normal</x:v>
      </x:c>
      <x:c r="T3166" s="9" t="str"/>
    </x:row>
    <x:row r="3167" ht="22" customHeight="1">
      <x:c r="A3167" s="2" t="str">
        <x:v>L00394-040</x:v>
      </x:c>
      <x:c r="B3167" s="2" t="str">
        <x:v>L00394</x:v>
      </x:c>
      <x:c r="C3167" s="2" t="str">
        <x:v>SO-26079</x:v>
      </x:c>
      <x:c r="D3167" s="2" t="str">
        <x:v>R-C-AL</x:v>
      </x:c>
      <x:c r="E3167" s="14" t="n">
        <x:v>20</x:v>
      </x:c>
      <x:c r="F3167" s="2" t="str">
        <x:v>Mechanical assembly</x:v>
      </x:c>
      <x:c r="G3167" s="9" t="str">
        <x:v>AS-04</x:v>
      </x:c>
      <x:c r="H3167" s="15" t="n">
        <x:v>117</x:v>
      </x:c>
      <x:c r="I3167" s="9" t="str">
        <x:v>P04</x:v>
      </x:c>
      <x:c r="J3167" s="11" t="n">
        <x:v>46311.31319444445</x:v>
      </x:c>
      <x:c r="K3167" s="15" t="n">
        <x:v>8</x:v>
      </x:c>
      <x:c r="L3167" s="15" t="n">
        <x:v>29</x:v>
      </x:c>
      <x:c r="M3167" s="13" t="n">
        <x:f>J3167+(K3167+L3167)/1440</x:f>
        <x:v>46311.33888888889</x:v>
      </x:c>
      <x:c r="N3167" s="13" t="n">
        <x:f>VLOOKUP(C3167,'MES orders'!$A$8:$H$127,5,FALSE)</x:f>
        <x:v>46310.666666666664</x:v>
      </x:c>
      <x:c r="O3167" s="16" t="n">
        <x:f>MAX(0,(M3167-N3167)*24)</x:f>
        <x:v>16.133333333360497</x:v>
      </x:c>
      <x:c r="P3167" s="9" t="str">
        <x:v>No</x:v>
      </x:c>
      <x:c r="Q3167" s="15" t="n">
        <x:v>37</x:v>
      </x:c>
      <x:c r="R3167" s="13" t="n">
        <x:f>J3167+Q3167/1440</x:f>
        <x:v>46311.33888888889</x:v>
      </x:c>
      <x:c r="S3167" s="2" t="str">
        <x:f>VLOOKUP(C3167,'MES orders'!$A$8:$H$127,6,FALSE)</x:f>
        <x:v>Normal</x:v>
      </x:c>
      <x:c r="T3167" s="9" t="str"/>
    </x:row>
    <x:row r="3168" ht="22" customHeight="1">
      <x:c r="A3168" s="2" t="str">
        <x:v>L00393-050</x:v>
      </x:c>
      <x:c r="B3168" s="2" t="str">
        <x:v>L00393</x:v>
      </x:c>
      <x:c r="C3168" s="2" t="str">
        <x:v>SO-26079</x:v>
      </x:c>
      <x:c r="D3168" s="2" t="str">
        <x:v>R-C-AL</x:v>
      </x:c>
      <x:c r="E3168" s="14" t="n">
        <x:v>20</x:v>
      </x:c>
      <x:c r="F3168" s="2" t="str">
        <x:v>Valve adjustment</x:v>
      </x:c>
      <x:c r="G3168" s="9" t="str">
        <x:v>AS-02</x:v>
      </x:c>
      <x:c r="H3168" s="15" t="n">
        <x:v>203</x:v>
      </x:c>
      <x:c r="I3168" s="9" t="str">
        <x:v>P06</x:v>
      </x:c>
      <x:c r="J3168" s="11" t="n">
        <x:v>46311.313888888886</x:v>
      </x:c>
      <x:c r="K3168" s="15" t="n">
        <x:v>6</x:v>
      </x:c>
      <x:c r="L3168" s="15" t="n">
        <x:v>18</x:v>
      </x:c>
      <x:c r="M3168" s="13" t="n">
        <x:f>J3168+(K3168+L3168)/1440</x:f>
        <x:v>46311.330555555556</x:v>
      </x:c>
      <x:c r="N3168" s="13" t="n">
        <x:f>VLOOKUP(C3168,'MES orders'!$A$8:$H$127,5,FALSE)</x:f>
        <x:v>46310.666666666664</x:v>
      </x:c>
      <x:c r="O3168" s="16" t="n">
        <x:f>MAX(0,(M3168-N3168)*24)</x:f>
        <x:v>15.933333333407063</x:v>
      </x:c>
      <x:c r="P3168" s="9" t="str">
        <x:v>No</x:v>
      </x:c>
      <x:c r="Q3168" s="15" t="n">
        <x:v>24</x:v>
      </x:c>
      <x:c r="R3168" s="13" t="n">
        <x:f>J3168+Q3168/1440</x:f>
        <x:v>46311.330555555556</x:v>
      </x:c>
      <x:c r="S3168" s="2" t="str">
        <x:f>VLOOKUP(C3168,'MES orders'!$A$8:$H$127,6,FALSE)</x:f>
        <x:v>Normal</x:v>
      </x:c>
      <x:c r="T3168" s="9" t="str"/>
    </x:row>
    <x:row r="3169" ht="22" customHeight="1">
      <x:c r="A3169" s="2" t="str">
        <x:v>L00512-010</x:v>
      </x:c>
      <x:c r="B3169" s="2" t="str">
        <x:v>L00512</x:v>
      </x:c>
      <x:c r="C3169" s="2" t="str">
        <x:v>SO-26103</x:v>
      </x:c>
      <x:c r="D3169" s="2" t="str">
        <x:v>S-C-AL</x:v>
      </x:c>
      <x:c r="E3169" s="14" t="n">
        <x:v>25</x:v>
      </x:c>
      <x:c r="F3169" s="2" t="str">
        <x:v>CNC machining</x:v>
      </x:c>
      <x:c r="G3169" s="9" t="str">
        <x:v>CNC-02</x:v>
      </x:c>
      <x:c r="H3169" s="15" t="n">
        <x:v>63</x:v>
      </x:c>
      <x:c r="I3169" s="9" t="str">
        <x:v>P01</x:v>
      </x:c>
      <x:c r="J3169" s="11" t="n">
        <x:v>46311.319444444445</x:v>
      </x:c>
      <x:c r="K3169" s="15" t="n">
        <x:v>18</x:v>
      </x:c>
      <x:c r="L3169" s="15" t="n">
        <x:v>48</x:v>
      </x:c>
      <x:c r="M3169" s="13" t="n">
        <x:f>J3169+(K3169+L3169)/1440</x:f>
        <x:v>46311.365277777775</x:v>
      </x:c>
      <x:c r="N3169" s="13" t="n">
        <x:f>VLOOKUP(C3169,'MES orders'!$A$8:$H$127,5,FALSE)</x:f>
        <x:v>46310.666666666664</x:v>
      </x:c>
      <x:c r="O3169" s="16" t="n">
        <x:f>MAX(0,(M3169-N3169)*24)</x:f>
        <x:v>16.766666666662786</x:v>
      </x:c>
      <x:c r="P3169" s="9" t="str">
        <x:v>No</x:v>
      </x:c>
      <x:c r="Q3169" s="15" t="n">
        <x:v>18</x:v>
      </x:c>
      <x:c r="R3169" s="13" t="n">
        <x:f>J3169+Q3169/1440</x:f>
        <x:v>46311.33194444444</x:v>
      </x:c>
      <x:c r="S3169" s="2" t="str">
        <x:f>VLOOKUP(C3169,'MES orders'!$A$8:$H$127,6,FALSE)</x:f>
        <x:v>Normal</x:v>
      </x:c>
      <x:c r="T3169" s="9" t="str"/>
    </x:row>
    <x:row r="3170" ht="22" customHeight="1">
      <x:c r="A3170" s="2" t="str">
        <x:v>L00551-040</x:v>
      </x:c>
      <x:c r="B3170" s="2" t="str">
        <x:v>L00551</x:v>
      </x:c>
      <x:c r="C3170" s="2" t="str">
        <x:v>SO-26111</x:v>
      </x:c>
      <x:c r="D3170" s="2" t="str">
        <x:v>S-S-AL</x:v>
      </x:c>
      <x:c r="E3170" s="14" t="n">
        <x:v>10</x:v>
      </x:c>
      <x:c r="F3170" s="2" t="str">
        <x:v>Mechanical preassembly</x:v>
      </x:c>
      <x:c r="G3170" s="9" t="str">
        <x:v>AS-03</x:v>
      </x:c>
      <x:c r="H3170" s="15" t="n">
        <x:v>167</x:v>
      </x:c>
      <x:c r="I3170" s="9" t="str">
        <x:v>P02</x:v>
      </x:c>
      <x:c r="J3170" s="11" t="n">
        <x:v>46311.32361111111</x:v>
      </x:c>
      <x:c r="K3170" s="15" t="n">
        <x:v>6</x:v>
      </x:c>
      <x:c r="L3170" s="15" t="n">
        <x:v>11</x:v>
      </x:c>
      <x:c r="M3170" s="13" t="n">
        <x:f>J3170+(K3170+L3170)/1440</x:f>
        <x:v>46311.33541666667</x:v>
      </x:c>
      <x:c r="N3170" s="13" t="n">
        <x:f>VLOOKUP(C3170,'MES orders'!$A$8:$H$127,5,FALSE)</x:f>
        <x:v>46310.666666666664</x:v>
      </x:c>
      <x:c r="O3170" s="16" t="n">
        <x:f>MAX(0,(M3170-N3170)*24)</x:f>
        <x:v>16.050000000104774</x:v>
      </x:c>
      <x:c r="P3170" s="9" t="str">
        <x:v>No</x:v>
      </x:c>
      <x:c r="Q3170" s="15" t="n">
        <x:v>17</x:v>
      </x:c>
      <x:c r="R3170" s="13" t="n">
        <x:f>J3170+Q3170/1440</x:f>
        <x:v>46311.33541666667</x:v>
      </x:c>
      <x:c r="S3170" s="2" t="str">
        <x:f>VLOOKUP(C3170,'MES orders'!$A$8:$H$127,6,FALSE)</x:f>
        <x:v>Normal</x:v>
      </x:c>
      <x:c r="T3170" s="9" t="str"/>
    </x:row>
    <x:row r="3171" ht="22" customHeight="1">
      <x:c r="A3171" s="2" t="str">
        <x:v>L00392-060</x:v>
      </x:c>
      <x:c r="B3171" s="2" t="str">
        <x:v>L00392</x:v>
      </x:c>
      <x:c r="C3171" s="2" t="str">
        <x:v>SO-26079</x:v>
      </x:c>
      <x:c r="D3171" s="2" t="str">
        <x:v>R-C-AL</x:v>
      </x:c>
      <x:c r="E3171" s="14" t="n">
        <x:v>20</x:v>
      </x:c>
      <x:c r="F3171" s="2" t="str">
        <x:v>Final leak / function test</x:v>
      </x:c>
      <x:c r="G3171" s="9" t="str">
        <x:v>QA-02</x:v>
      </x:c>
      <x:c r="H3171" s="15" t="n">
        <x:v>237</x:v>
      </x:c>
      <x:c r="I3171" s="9" t="str">
        <x:v>P11</x:v>
      </x:c>
      <x:c r="J3171" s="11" t="n">
        <x:v>46311.32986111111</x:v>
      </x:c>
      <x:c r="K3171" s="15" t="n">
        <x:v>10</x:v>
      </x:c>
      <x:c r="L3171" s="15" t="n">
        <x:v>14</x:v>
      </x:c>
      <x:c r="M3171" s="13" t="n">
        <x:f>J3171+(K3171+L3171)/1440</x:f>
        <x:v>46311.34652777778</x:v>
      </x:c>
      <x:c r="N3171" s="13" t="n">
        <x:f>VLOOKUP(C3171,'MES orders'!$A$8:$H$127,5,FALSE)</x:f>
        <x:v>46310.666666666664</x:v>
      </x:c>
      <x:c r="O3171" s="16" t="n">
        <x:f>MAX(0,(M3171-N3171)*24)</x:f>
        <x:v>16.31666666676756</x:v>
      </x:c>
      <x:c r="P3171" s="9" t="str">
        <x:v>No</x:v>
      </x:c>
      <x:c r="Q3171" s="15" t="n">
        <x:v>24</x:v>
      </x:c>
      <x:c r="R3171" s="13" t="n">
        <x:f>J3171+Q3171/1440</x:f>
        <x:v>46311.34652777778</x:v>
      </x:c>
      <x:c r="S3171" s="2" t="str">
        <x:f>VLOOKUP(C3171,'MES orders'!$A$8:$H$127,6,FALSE)</x:f>
        <x:v>Normal</x:v>
      </x:c>
      <x:c r="T3171" s="9" t="str"/>
    </x:row>
    <x:row r="3172" ht="22" customHeight="1">
      <x:c r="A3172" s="2" t="str">
        <x:v>L00276-030</x:v>
      </x:c>
      <x:c r="B3172" s="2" t="str">
        <x:v>L00276</x:v>
      </x:c>
      <x:c r="C3172" s="2" t="str">
        <x:v>SO-26056</x:v>
      </x:c>
      <x:c r="D3172" s="2" t="str">
        <x:v>R-C-SS</x:v>
      </x:c>
      <x:c r="E3172" s="14" t="n">
        <x:v>5</x:v>
      </x:c>
      <x:c r="F3172" s="2" t="str">
        <x:v>Wash &amp; dry</x:v>
      </x:c>
      <x:c r="G3172" s="9" t="str">
        <x:v>WS-01</x:v>
      </x:c>
      <x:c r="H3172" s="15" t="n">
        <x:v>291</x:v>
      </x:c>
      <x:c r="I3172" s="9" t="str">
        <x:v>P05</x:v>
      </x:c>
      <x:c r="J3172" s="11" t="n">
        <x:v>46311.32986111111</x:v>
      </x:c>
      <x:c r="K3172" s="15" t="n">
        <x:v>12</x:v>
      </x:c>
      <x:c r="L3172" s="15" t="n">
        <x:v>1</x:v>
      </x:c>
      <x:c r="M3172" s="13" t="n">
        <x:f>J3172+(K3172+L3172)/1440</x:f>
        <x:v>46311.33888888889</x:v>
      </x:c>
      <x:c r="N3172" s="13" t="n">
        <x:f>VLOOKUP(C3172,'MES orders'!$A$8:$H$127,5,FALSE)</x:f>
        <x:v>46311.666666666664</x:v>
      </x:c>
      <x:c r="O3172" s="16" t="n">
        <x:f>MAX(0,(M3172-N3172)*24)</x:f>
        <x:v>0</x:v>
      </x:c>
      <x:c r="P3172" s="9" t="str">
        <x:v>No</x:v>
      </x:c>
      <x:c r="Q3172" s="15" t="n">
        <x:v>13</x:v>
      </x:c>
      <x:c r="R3172" s="13" t="n">
        <x:f>J3172+Q3172/1440</x:f>
        <x:v>46311.33888888889</x:v>
      </x:c>
      <x:c r="S3172" s="2" t="str">
        <x:f>VLOOKUP(C3172,'MES orders'!$A$8:$H$127,6,FALSE)</x:f>
        <x:v>Normal</x:v>
      </x:c>
      <x:c r="T3172" s="9" t="str"/>
    </x:row>
    <x:row r="3173" ht="22" customHeight="1">
      <x:c r="A3173" s="2" t="str">
        <x:v>L00395-020</x:v>
      </x:c>
      <x:c r="B3173" s="2" t="str">
        <x:v>L00395</x:v>
      </x:c>
      <x:c r="C3173" s="2" t="str">
        <x:v>SO-26079</x:v>
      </x:c>
      <x:c r="D3173" s="2" t="str">
        <x:v>R-C-AL</x:v>
      </x:c>
      <x:c r="E3173" s="14" t="n">
        <x:v>20</x:v>
      </x:c>
      <x:c r="F3173" s="2" t="str">
        <x:v>Deburr &amp; inspect</x:v>
      </x:c>
      <x:c r="G3173" s="9" t="str">
        <x:v>DB-01</x:v>
      </x:c>
      <x:c r="H3173" s="15" t="n">
        <x:v>298</x:v>
      </x:c>
      <x:c r="I3173" s="9" t="str">
        <x:v>P06</x:v>
      </x:c>
      <x:c r="J3173" s="11" t="n">
        <x:v>46311.330555555556</x:v>
      </x:c>
      <x:c r="K3173" s="15" t="n">
        <x:v>4</x:v>
      </x:c>
      <x:c r="L3173" s="15" t="n">
        <x:v>11</x:v>
      </x:c>
      <x:c r="M3173" s="13" t="n">
        <x:f>J3173+(K3173+L3173)/1440</x:f>
        <x:v>46311.34097222222</x:v>
      </x:c>
      <x:c r="N3173" s="13" t="n">
        <x:f>VLOOKUP(C3173,'MES orders'!$A$8:$H$127,5,FALSE)</x:f>
        <x:v>46310.666666666664</x:v>
      </x:c>
      <x:c r="O3173" s="16" t="n">
        <x:f>MAX(0,(M3173-N3173)*24)</x:f>
        <x:v>16.183333333348855</x:v>
      </x:c>
      <x:c r="P3173" s="9" t="str">
        <x:v>No</x:v>
      </x:c>
      <x:c r="Q3173" s="15" t="n">
        <x:v>15</x:v>
      </x:c>
      <x:c r="R3173" s="13" t="n">
        <x:f>J3173+Q3173/1440</x:f>
        <x:v>46311.34097222222</x:v>
      </x:c>
      <x:c r="S3173" s="2" t="str">
        <x:f>VLOOKUP(C3173,'MES orders'!$A$8:$H$127,6,FALSE)</x:f>
        <x:v>Normal</x:v>
      </x:c>
      <x:c r="T3173" s="9" t="str"/>
    </x:row>
    <x:row r="3174" ht="22" customHeight="1">
      <x:c r="A3174" s="2" t="str">
        <x:v>L00393-060</x:v>
      </x:c>
      <x:c r="B3174" s="2" t="str">
        <x:v>L00393</x:v>
      </x:c>
      <x:c r="C3174" s="2" t="str">
        <x:v>SO-26079</x:v>
      </x:c>
      <x:c r="D3174" s="2" t="str">
        <x:v>R-C-AL</x:v>
      </x:c>
      <x:c r="E3174" s="14" t="n">
        <x:v>20</x:v>
      </x:c>
      <x:c r="F3174" s="2" t="str">
        <x:v>Final leak / function test</x:v>
      </x:c>
      <x:c r="G3174" s="9" t="str">
        <x:v>QA-03</x:v>
      </x:c>
      <x:c r="H3174" s="15" t="n">
        <x:v>138</x:v>
      </x:c>
      <x:c r="I3174" s="9" t="str">
        <x:v>P12</x:v>
      </x:c>
      <x:c r="J3174" s="11" t="n">
        <x:v>46311.330555555556</x:v>
      </x:c>
      <x:c r="K3174" s="15" t="n">
        <x:v>10</x:v>
      </x:c>
      <x:c r="L3174" s="15" t="n">
        <x:v>14</x:v>
      </x:c>
      <x:c r="M3174" s="13" t="n">
        <x:f>J3174+(K3174+L3174)/1440</x:f>
        <x:v>46311.347222222226</x:v>
      </x:c>
      <x:c r="N3174" s="13" t="n">
        <x:f>VLOOKUP(C3174,'MES orders'!$A$8:$H$127,5,FALSE)</x:f>
        <x:v>46310.666666666664</x:v>
      </x:c>
      <x:c r="O3174" s="16" t="n">
        <x:f>MAX(0,(M3174-N3174)*24)</x:f>
        <x:v>16.333333333488554</x:v>
      </x:c>
      <x:c r="P3174" s="9" t="str">
        <x:v>No</x:v>
      </x:c>
      <x:c r="Q3174" s="15" t="n">
        <x:v>24</x:v>
      </x:c>
      <x:c r="R3174" s="13" t="n">
        <x:f>J3174+Q3174/1440</x:f>
        <x:v>46311.347222222226</x:v>
      </x:c>
      <x:c r="S3174" s="2" t="str">
        <x:f>VLOOKUP(C3174,'MES orders'!$A$8:$H$127,6,FALSE)</x:f>
        <x:v>Normal</x:v>
      </x:c>
      <x:c r="T3174" s="9" t="str"/>
    </x:row>
    <x:row r="3175" ht="22" customHeight="1">
      <x:c r="A3175" s="2" t="str">
        <x:v>L00551-050</x:v>
      </x:c>
      <x:c r="B3175" s="2" t="str">
        <x:v>L00551</x:v>
      </x:c>
      <x:c r="C3175" s="2" t="str">
        <x:v>SO-26111</x:v>
      </x:c>
      <x:c r="D3175" s="2" t="str">
        <x:v>S-S-AL</x:v>
      </x:c>
      <x:c r="E3175" s="14" t="n">
        <x:v>10</x:v>
      </x:c>
      <x:c r="F3175" s="2" t="str">
        <x:v>Sensor installation</x:v>
      </x:c>
      <x:c r="G3175" s="9" t="str">
        <x:v>EL-01</x:v>
      </x:c>
      <x:c r="H3175" s="15" t="n">
        <x:v>106</x:v>
      </x:c>
      <x:c r="I3175" s="9" t="str">
        <x:v>P07</x:v>
      </x:c>
      <x:c r="J3175" s="11" t="n">
        <x:v>46311.33541666667</x:v>
      </x:c>
      <x:c r="K3175" s="15" t="n">
        <x:v>8</x:v>
      </x:c>
      <x:c r="L3175" s="15" t="n">
        <x:v>12</x:v>
      </x:c>
      <x:c r="M3175" s="13" t="n">
        <x:f>J3175+(K3175+L3175)/1440</x:f>
        <x:v>46311.34930555556</x:v>
      </x:c>
      <x:c r="N3175" s="13" t="n">
        <x:f>VLOOKUP(C3175,'MES orders'!$A$8:$H$127,5,FALSE)</x:f>
        <x:v>46310.666666666664</x:v>
      </x:c>
      <x:c r="O3175" s="16" t="n">
        <x:f>MAX(0,(M3175-N3175)*24)</x:f>
        <x:v>16.383333333476912</x:v>
      </x:c>
      <x:c r="P3175" s="9" t="str">
        <x:v>No</x:v>
      </x:c>
      <x:c r="Q3175" s="15" t="n">
        <x:v>20</x:v>
      </x:c>
      <x:c r="R3175" s="13" t="n">
        <x:f>J3175+Q3175/1440</x:f>
        <x:v>46311.34930555556</x:v>
      </x:c>
      <x:c r="S3175" s="2" t="str">
        <x:f>VLOOKUP(C3175,'MES orders'!$A$8:$H$127,6,FALSE)</x:f>
        <x:v>Normal</x:v>
      </x:c>
      <x:c r="T3175" s="9" t="str"/>
    </x:row>
    <x:row r="3176" ht="22" customHeight="1">
      <x:c r="A3176" s="2" t="str">
        <x:v>L00394-050</x:v>
      </x:c>
      <x:c r="B3176" s="2" t="str">
        <x:v>L00394</x:v>
      </x:c>
      <x:c r="C3176" s="2" t="str">
        <x:v>SO-26079</x:v>
      </x:c>
      <x:c r="D3176" s="2" t="str">
        <x:v>R-C-AL</x:v>
      </x:c>
      <x:c r="E3176" s="14" t="n">
        <x:v>20</x:v>
      </x:c>
      <x:c r="F3176" s="2" t="str">
        <x:v>Valve adjustment</x:v>
      </x:c>
      <x:c r="G3176" s="9" t="str">
        <x:v>AS-01</x:v>
      </x:c>
      <x:c r="H3176" s="15" t="n">
        <x:v>249</x:v>
      </x:c>
      <x:c r="I3176" s="9" t="str">
        <x:v>P05</x:v>
      </x:c>
      <x:c r="J3176" s="11" t="n">
        <x:v>46311.33888888889</x:v>
      </x:c>
      <x:c r="K3176" s="15" t="n">
        <x:v>6</x:v>
      </x:c>
      <x:c r="L3176" s="15" t="n">
        <x:v>18</x:v>
      </x:c>
      <x:c r="M3176" s="13" t="n">
        <x:f>J3176+(K3176+L3176)/1440</x:f>
        <x:v>46311.35555555556</x:v>
      </x:c>
      <x:c r="N3176" s="13" t="n">
        <x:f>VLOOKUP(C3176,'MES orders'!$A$8:$H$127,5,FALSE)</x:f>
        <x:v>46310.666666666664</x:v>
      </x:c>
      <x:c r="O3176" s="16" t="n">
        <x:f>MAX(0,(M3176-N3176)*24)</x:f>
        <x:v>16.533333333441988</x:v>
      </x:c>
      <x:c r="P3176" s="9" t="str">
        <x:v>No</x:v>
      </x:c>
      <x:c r="Q3176" s="15" t="n">
        <x:v>24</x:v>
      </x:c>
      <x:c r="R3176" s="13" t="n">
        <x:f>J3176+Q3176/1440</x:f>
        <x:v>46311.35555555556</x:v>
      </x:c>
      <x:c r="S3176" s="2" t="str">
        <x:f>VLOOKUP(C3176,'MES orders'!$A$8:$H$127,6,FALSE)</x:f>
        <x:v>Normal</x:v>
      </x:c>
      <x:c r="T3176" s="9" t="str"/>
    </x:row>
    <x:row r="3177" ht="22" customHeight="1">
      <x:c r="A3177" s="2" t="str">
        <x:v>L00276-040</x:v>
      </x:c>
      <x:c r="B3177" s="2" t="str">
        <x:v>L00276</x:v>
      </x:c>
      <x:c r="C3177" s="2" t="str">
        <x:v>SO-26056</x:v>
      </x:c>
      <x:c r="D3177" s="2" t="str">
        <x:v>R-C-SS</x:v>
      </x:c>
      <x:c r="E3177" s="14" t="n">
        <x:v>5</x:v>
      </x:c>
      <x:c r="F3177" s="2" t="str">
        <x:v>Mechanical assembly</x:v>
      </x:c>
      <x:c r="G3177" s="9" t="str">
        <x:v>AS-02</x:v>
      </x:c>
      <x:c r="H3177" s="15" t="n">
        <x:v>204</x:v>
      </x:c>
      <x:c r="I3177" s="9" t="str">
        <x:v>P02</x:v>
      </x:c>
      <x:c r="J3177" s="11" t="n">
        <x:v>46311.33888888889</x:v>
      </x:c>
      <x:c r="K3177" s="15" t="n">
        <x:v>8</x:v>
      </x:c>
      <x:c r="L3177" s="15" t="n">
        <x:v>7</x:v>
      </x:c>
      <x:c r="M3177" s="13" t="n">
        <x:f>J3177+(K3177+L3177)/1440</x:f>
        <x:v>46311.34930555555</x:v>
      </x:c>
      <x:c r="N3177" s="13" t="n">
        <x:f>VLOOKUP(C3177,'MES orders'!$A$8:$H$127,5,FALSE)</x:f>
        <x:v>46311.666666666664</x:v>
      </x:c>
      <x:c r="O3177" s="16" t="n">
        <x:f>MAX(0,(M3177-N3177)*24)</x:f>
        <x:v>0</x:v>
      </x:c>
      <x:c r="P3177" s="9" t="str">
        <x:v>No</x:v>
      </x:c>
      <x:c r="Q3177" s="15" t="n">
        <x:v>15</x:v>
      </x:c>
      <x:c r="R3177" s="13" t="n">
        <x:f>J3177+Q3177/1440</x:f>
        <x:v>46311.34930555555</x:v>
      </x:c>
      <x:c r="S3177" s="2" t="str">
        <x:f>VLOOKUP(C3177,'MES orders'!$A$8:$H$127,6,FALSE)</x:f>
        <x:v>Normal</x:v>
      </x:c>
      <x:c r="T3177" s="9" t="str"/>
    </x:row>
    <x:row r="3178" ht="22" customHeight="1">
      <x:c r="A3178" s="2" t="str">
        <x:v>L00431-040</x:v>
      </x:c>
      <x:c r="B3178" s="2" t="str">
        <x:v>L00431</x:v>
      </x:c>
      <x:c r="C3178" s="2" t="str">
        <x:v>SO-26087</x:v>
      </x:c>
      <x:c r="D3178" s="2" t="str">
        <x:v>R-S-AL</x:v>
      </x:c>
      <x:c r="E3178" s="14" t="n">
        <x:v>15</x:v>
      </x:c>
      <x:c r="F3178" s="2" t="str">
        <x:v>Mechanical assembly</x:v>
      </x:c>
      <x:c r="G3178" s="9" t="str">
        <x:v>AS-03</x:v>
      </x:c>
      <x:c r="H3178" s="15" t="n">
        <x:v>168</x:v>
      </x:c>
      <x:c r="I3178" s="9" t="str">
        <x:v>P06</x:v>
      </x:c>
      <x:c r="J3178" s="11" t="n">
        <x:v>46311.34097222222</x:v>
      </x:c>
      <x:c r="K3178" s="15" t="n">
        <x:v>8</x:v>
      </x:c>
      <x:c r="L3178" s="15" t="n">
        <x:v>27</x:v>
      </x:c>
      <x:c r="M3178" s="13" t="n">
        <x:f>J3178+(K3178+L3178)/1440</x:f>
        <x:v>46311.365277777775</x:v>
      </x:c>
      <x:c r="N3178" s="13" t="n">
        <x:f>VLOOKUP(C3178,'MES orders'!$A$8:$H$127,5,FALSE)</x:f>
        <x:v>46310.666666666664</x:v>
      </x:c>
      <x:c r="O3178" s="16" t="n">
        <x:f>MAX(0,(M3178-N3178)*24)</x:f>
        <x:v>16.766666666662786</x:v>
      </x:c>
      <x:c r="P3178" s="9" t="str">
        <x:v>No</x:v>
      </x:c>
      <x:c r="Q3178" s="15" t="n">
        <x:v>35</x:v>
      </x:c>
      <x:c r="R3178" s="13" t="n">
        <x:f>J3178+Q3178/1440</x:f>
        <x:v>46311.365277777775</x:v>
      </x:c>
      <x:c r="S3178" s="2" t="str">
        <x:f>VLOOKUP(C3178,'MES orders'!$A$8:$H$127,6,FALSE)</x:f>
        <x:v>Normal</x:v>
      </x:c>
      <x:c r="T3178" s="9" t="str"/>
    </x:row>
    <x:row r="3179" ht="22" customHeight="1">
      <x:c r="A3179" s="2" t="str">
        <x:v>L00395-030</x:v>
      </x:c>
      <x:c r="B3179" s="2" t="str">
        <x:v>L00395</x:v>
      </x:c>
      <x:c r="C3179" s="2" t="str">
        <x:v>SO-26079</x:v>
      </x:c>
      <x:c r="D3179" s="2" t="str">
        <x:v>R-C-AL</x:v>
      </x:c>
      <x:c r="E3179" s="14" t="n">
        <x:v>20</x:v>
      </x:c>
      <x:c r="F3179" s="2" t="str">
        <x:v>Wash &amp; dry</x:v>
      </x:c>
      <x:c r="G3179" s="9" t="str">
        <x:v>WS-01</x:v>
      </x:c>
      <x:c r="H3179" s="15" t="n">
        <x:v>292</x:v>
      </x:c>
      <x:c r="I3179" s="9" t="str">
        <x:v>P04</x:v>
      </x:c>
      <x:c r="J3179" s="11" t="n">
        <x:v>46311.34097222222</x:v>
      </x:c>
      <x:c r="K3179" s="15" t="n">
        <x:v>12</x:v>
      </x:c>
      <x:c r="L3179" s="15" t="n">
        <x:v>6</x:v>
      </x:c>
      <x:c r="M3179" s="13" t="n">
        <x:f>J3179+(K3179+L3179)/1440</x:f>
        <x:v>46311.35347222222</x:v>
      </x:c>
      <x:c r="N3179" s="13" t="n">
        <x:f>VLOOKUP(C3179,'MES orders'!$A$8:$H$127,5,FALSE)</x:f>
        <x:v>46310.666666666664</x:v>
      </x:c>
      <x:c r="O3179" s="16" t="n">
        <x:f>MAX(0,(M3179-N3179)*24)</x:f>
        <x:v>16.483333333279006</x:v>
      </x:c>
      <x:c r="P3179" s="9" t="str">
        <x:v>No</x:v>
      </x:c>
      <x:c r="Q3179" s="15" t="n">
        <x:v>18</x:v>
      </x:c>
      <x:c r="R3179" s="13" t="n">
        <x:f>J3179+Q3179/1440</x:f>
        <x:v>46311.35347222222</x:v>
      </x:c>
      <x:c r="S3179" s="2" t="str">
        <x:f>VLOOKUP(C3179,'MES orders'!$A$8:$H$127,6,FALSE)</x:f>
        <x:v>Normal</x:v>
      </x:c>
      <x:c r="T3179" s="9" t="str"/>
    </x:row>
    <x:row r="3180" ht="22" customHeight="1">
      <x:c r="A3180" s="2" t="str">
        <x:v>L00475-010</x:v>
      </x:c>
      <x:c r="B3180" s="2" t="str">
        <x:v>L00475</x:v>
      </x:c>
      <x:c r="C3180" s="2" t="str">
        <x:v>SO-26095</x:v>
      </x:c>
      <x:c r="D3180" s="2" t="str">
        <x:v>R-L-AL</x:v>
      </x:c>
      <x:c r="E3180" s="14" t="n">
        <x:v>20</x:v>
      </x:c>
      <x:c r="F3180" s="2" t="str">
        <x:v>CNC machining</x:v>
      </x:c>
      <x:c r="G3180" s="9" t="str">
        <x:v>CNC-03</x:v>
      </x:c>
      <x:c r="H3180" s="15" t="n">
        <x:v>102</x:v>
      </x:c>
      <x:c r="I3180" s="9" t="str">
        <x:v>P01</x:v>
      </x:c>
      <x:c r="J3180" s="11" t="n">
        <x:v>46311.342361111114</x:v>
      </x:c>
      <x:c r="K3180" s="15" t="n">
        <x:v>18</x:v>
      </x:c>
      <x:c r="L3180" s="15" t="n">
        <x:v>65</x:v>
      </x:c>
      <x:c r="M3180" s="13" t="n">
        <x:f>J3180+(K3180+L3180)/1440</x:f>
        <x:v>46311.4</x:v>
      </x:c>
      <x:c r="N3180" s="13" t="n">
        <x:f>VLOOKUP(C3180,'MES orders'!$A$8:$H$127,5,FALSE)</x:f>
        <x:v>46310.666666666664</x:v>
      </x:c>
      <x:c r="O3180" s="16" t="n">
        <x:f>MAX(0,(M3180-N3180)*24)</x:f>
        <x:v>17.600000000093132</x:v>
      </x:c>
      <x:c r="P3180" s="9" t="str">
        <x:v>No</x:v>
      </x:c>
      <x:c r="Q3180" s="15" t="n">
        <x:v>18</x:v>
      </x:c>
      <x:c r="R3180" s="13" t="n">
        <x:f>J3180+Q3180/1440</x:f>
        <x:v>46311.35486111111</x:v>
      </x:c>
      <x:c r="S3180" s="2" t="str">
        <x:f>VLOOKUP(C3180,'MES orders'!$A$8:$H$127,6,FALSE)</x:f>
        <x:v>Normal</x:v>
      </x:c>
      <x:c r="T3180" s="9" t="str"/>
    </x:row>
    <x:row r="3181" ht="22" customHeight="1">
      <x:c r="A3181" s="2" t="str">
        <x:v>L00551-060</x:v>
      </x:c>
      <x:c r="B3181" s="2" t="str">
        <x:v>L00551</x:v>
      </x:c>
      <x:c r="C3181" s="2" t="str">
        <x:v>SO-26111</x:v>
      </x:c>
      <x:c r="D3181" s="2" t="str">
        <x:v>S-S-AL</x:v>
      </x:c>
      <x:c r="E3181" s="14" t="n">
        <x:v>10</x:v>
      </x:c>
      <x:c r="F3181" s="2" t="str">
        <x:v>Sensor calibration</x:v>
      </x:c>
      <x:c r="G3181" s="9" t="str">
        <x:v>CAL-01</x:v>
      </x:c>
      <x:c r="H3181" s="15" t="n">
        <x:v>156</x:v>
      </x:c>
      <x:c r="I3181" s="9" t="str">
        <x:v>P09</x:v>
      </x:c>
      <x:c r="J3181" s="11" t="n">
        <x:v>46311.34930555556</x:v>
      </x:c>
      <x:c r="K3181" s="15" t="n">
        <x:v>10</x:v>
      </x:c>
      <x:c r="L3181" s="15" t="n">
        <x:v>13</x:v>
      </x:c>
      <x:c r="M3181" s="13" t="n">
        <x:f>J3181+(K3181+L3181)/1440</x:f>
        <x:v>46311.36527777778</x:v>
      </x:c>
      <x:c r="N3181" s="13" t="n">
        <x:f>VLOOKUP(C3181,'MES orders'!$A$8:$H$127,5,FALSE)</x:f>
        <x:v>46310.666666666664</x:v>
      </x:c>
      <x:c r="O3181" s="16" t="n">
        <x:f>MAX(0,(M3181-N3181)*24)</x:f>
        <x:v>16.76666666683741</x:v>
      </x:c>
      <x:c r="P3181" s="9" t="str">
        <x:v>No</x:v>
      </x:c>
      <x:c r="Q3181" s="15" t="n">
        <x:v>23</x:v>
      </x:c>
      <x:c r="R3181" s="13" t="n">
        <x:f>J3181+Q3181/1440</x:f>
        <x:v>46311.36527777778</x:v>
      </x:c>
      <x:c r="S3181" s="2" t="str">
        <x:f>VLOOKUP(C3181,'MES orders'!$A$8:$H$127,6,FALSE)</x:f>
        <x:v>Normal</x:v>
      </x:c>
      <x:c r="T3181" s="9" t="str"/>
    </x:row>
    <x:row r="3182" ht="22" customHeight="1">
      <x:c r="A3182" s="2" t="str">
        <x:v>L00395-040</x:v>
      </x:c>
      <x:c r="B3182" s="2" t="str">
        <x:v>L00395</x:v>
      </x:c>
      <x:c r="C3182" s="2" t="str">
        <x:v>SO-26079</x:v>
      </x:c>
      <x:c r="D3182" s="2" t="str">
        <x:v>R-C-AL</x:v>
      </x:c>
      <x:c r="E3182" s="14" t="n">
        <x:v>20</x:v>
      </x:c>
      <x:c r="F3182" s="2" t="str">
        <x:v>Mechanical assembly</x:v>
      </x:c>
      <x:c r="G3182" s="9" t="str">
        <x:v>AS-02</x:v>
      </x:c>
      <x:c r="H3182" s="15" t="n">
        <x:v>205</x:v>
      </x:c>
      <x:c r="I3182" s="9" t="str">
        <x:v>P04</x:v>
      </x:c>
      <x:c r="J3182" s="11" t="n">
        <x:v>46311.353472222225</x:v>
      </x:c>
      <x:c r="K3182" s="15" t="n">
        <x:v>8</x:v>
      </x:c>
      <x:c r="L3182" s="15" t="n">
        <x:v>29</x:v>
      </x:c>
      <x:c r="M3182" s="13" t="n">
        <x:f>J3182+(K3182+L3182)/1440</x:f>
        <x:v>46311.379166666666</x:v>
      </x:c>
      <x:c r="N3182" s="13" t="n">
        <x:f>VLOOKUP(C3182,'MES orders'!$A$8:$H$127,5,FALSE)</x:f>
        <x:v>46310.666666666664</x:v>
      </x:c>
      <x:c r="O3182" s="16" t="n">
        <x:f>MAX(0,(M3182-N3182)*24)</x:f>
        <x:v>17.100000000034925</x:v>
      </x:c>
      <x:c r="P3182" s="9" t="str">
        <x:v>No</x:v>
      </x:c>
      <x:c r="Q3182" s="15" t="n">
        <x:v>37</x:v>
      </x:c>
      <x:c r="R3182" s="13" t="n">
        <x:f>J3182+Q3182/1440</x:f>
        <x:v>46311.379166666666</x:v>
      </x:c>
      <x:c r="S3182" s="2" t="str">
        <x:f>VLOOKUP(C3182,'MES orders'!$A$8:$H$127,6,FALSE)</x:f>
        <x:v>Normal</x:v>
      </x:c>
      <x:c r="T3182" s="9" t="str"/>
    </x:row>
    <x:row r="3183" ht="22" customHeight="1">
      <x:c r="A3183" s="2" t="str">
        <x:v>L00513-010</x:v>
      </x:c>
      <x:c r="B3183" s="2" t="str">
        <x:v>L00513</x:v>
      </x:c>
      <x:c r="C3183" s="2" t="str">
        <x:v>SO-26103</x:v>
      </x:c>
      <x:c r="D3183" s="2" t="str">
        <x:v>S-C-AL</x:v>
      </x:c>
      <x:c r="E3183" s="14" t="n">
        <x:v>25</x:v>
      </x:c>
      <x:c r="F3183" s="2" t="str">
        <x:v>CNC machining</x:v>
      </x:c>
      <x:c r="G3183" s="9" t="str">
        <x:v>CNC-04</x:v>
      </x:c>
      <x:c r="H3183" s="15" t="n">
        <x:v>97</x:v>
      </x:c>
      <x:c r="I3183" s="9" t="str">
        <x:v>P02</x:v>
      </x:c>
      <x:c r="J3183" s="11" t="n">
        <x:v>46311.35486111111</x:v>
      </x:c>
      <x:c r="K3183" s="15" t="n">
        <x:v>18</x:v>
      </x:c>
      <x:c r="L3183" s="15" t="n">
        <x:v>48</x:v>
      </x:c>
      <x:c r="M3183" s="13" t="n">
        <x:f>J3183+(K3183+L3183)/1440</x:f>
        <x:v>46311.40069444444</x:v>
      </x:c>
      <x:c r="N3183" s="13" t="n">
        <x:f>VLOOKUP(C3183,'MES orders'!$A$8:$H$127,5,FALSE)</x:f>
        <x:v>46310.666666666664</x:v>
      </x:c>
      <x:c r="O3183" s="16" t="n">
        <x:f>MAX(0,(M3183-N3183)*24)</x:f>
        <x:v>17.616666666639503</x:v>
      </x:c>
      <x:c r="P3183" s="9" t="str">
        <x:v>No</x:v>
      </x:c>
      <x:c r="Q3183" s="15" t="n">
        <x:v>18</x:v>
      </x:c>
      <x:c r="R3183" s="13" t="n">
        <x:f>J3183+Q3183/1440</x:f>
        <x:v>46311.36736111111</x:v>
      </x:c>
      <x:c r="S3183" s="2" t="str">
        <x:f>VLOOKUP(C3183,'MES orders'!$A$8:$H$127,6,FALSE)</x:f>
        <x:v>Normal</x:v>
      </x:c>
      <x:c r="T3183" s="9" t="str"/>
    </x:row>
    <x:row r="3184" ht="22" customHeight="1">
      <x:c r="A3184" s="2" t="str">
        <x:v>L00432-050</x:v>
      </x:c>
      <x:c r="B3184" s="2" t="str">
        <x:v>L00432</x:v>
      </x:c>
      <x:c r="C3184" s="2" t="str">
        <x:v>SO-26087</x:v>
      </x:c>
      <x:c r="D3184" s="2" t="str">
        <x:v>R-S-AL</x:v>
      </x:c>
      <x:c r="E3184" s="14" t="n">
        <x:v>15</x:v>
      </x:c>
      <x:c r="F3184" s="2" t="str">
        <x:v>Valve adjustment</x:v>
      </x:c>
      <x:c r="G3184" s="9" t="str">
        <x:v>AS-01</x:v>
      </x:c>
      <x:c r="H3184" s="15" t="n">
        <x:v>250</x:v>
      </x:c>
      <x:c r="I3184" s="9" t="str">
        <x:v>P05</x:v>
      </x:c>
      <x:c r="J3184" s="11" t="n">
        <x:v>46311.35555555556</x:v>
      </x:c>
      <x:c r="K3184" s="15" t="n">
        <x:v>6</x:v>
      </x:c>
      <x:c r="L3184" s="15" t="n">
        <x:v>16</x:v>
      </x:c>
      <x:c r="M3184" s="13" t="n">
        <x:f>J3184+(K3184+L3184)/1440</x:f>
        <x:v>46311.370833333334</x:v>
      </x:c>
      <x:c r="N3184" s="13" t="n">
        <x:f>VLOOKUP(C3184,'MES orders'!$A$8:$H$127,5,FALSE)</x:f>
        <x:v>46310.666666666664</x:v>
      </x:c>
      <x:c r="O3184" s="16" t="n">
        <x:f>MAX(0,(M3184-N3184)*24)</x:f>
        <x:v>16.90000000008149</x:v>
      </x:c>
      <x:c r="P3184" s="9" t="str">
        <x:v>No</x:v>
      </x:c>
      <x:c r="Q3184" s="15" t="n">
        <x:v>22</x:v>
      </x:c>
      <x:c r="R3184" s="13" t="n">
        <x:f>J3184+Q3184/1440</x:f>
        <x:v>46311.370833333334</x:v>
      </x:c>
      <x:c r="S3184" s="2" t="str">
        <x:f>VLOOKUP(C3184,'MES orders'!$A$8:$H$127,6,FALSE)</x:f>
        <x:v>Normal</x:v>
      </x:c>
      <x:c r="T3184" s="9" t="str"/>
    </x:row>
    <x:row r="3185" ht="22" customHeight="1">
      <x:c r="A3185" s="2" t="str">
        <x:v>L00394-060</x:v>
      </x:c>
      <x:c r="B3185" s="2" t="str">
        <x:v>L00394</x:v>
      </x:c>
      <x:c r="C3185" s="2" t="str">
        <x:v>SO-26079</x:v>
      </x:c>
      <x:c r="D3185" s="2" t="str">
        <x:v>R-C-AL</x:v>
      </x:c>
      <x:c r="E3185" s="14" t="n">
        <x:v>20</x:v>
      </x:c>
      <x:c r="F3185" s="2" t="str">
        <x:v>Final leak / function test</x:v>
      </x:c>
      <x:c r="G3185" s="9" t="str">
        <x:v>QA-02</x:v>
      </x:c>
      <x:c r="H3185" s="15" t="n">
        <x:v>238</x:v>
      </x:c>
      <x:c r="I3185" s="9" t="str">
        <x:v>P11</x:v>
      </x:c>
      <x:c r="J3185" s="11" t="n">
        <x:v>46311.35555555556</x:v>
      </x:c>
      <x:c r="K3185" s="15" t="n">
        <x:v>10</x:v>
      </x:c>
      <x:c r="L3185" s="15" t="n">
        <x:v>14</x:v>
      </x:c>
      <x:c r="M3185" s="13" t="n">
        <x:f>J3185+(K3185+L3185)/1440</x:f>
        <x:v>46311.37222222223</x:v>
      </x:c>
      <x:c r="N3185" s="13" t="n">
        <x:f>VLOOKUP(C3185,'MES orders'!$A$8:$H$127,5,FALSE)</x:f>
        <x:v>46310.666666666664</x:v>
      </x:c>
      <x:c r="O3185" s="16" t="n">
        <x:f>MAX(0,(M3185-N3185)*24)</x:f>
        <x:v>16.93333333352348</x:v>
      </x:c>
      <x:c r="P3185" s="9" t="str">
        <x:v>No</x:v>
      </x:c>
      <x:c r="Q3185" s="15" t="n">
        <x:v>24</x:v>
      </x:c>
      <x:c r="R3185" s="13" t="n">
        <x:f>J3185+Q3185/1440</x:f>
        <x:v>46311.37222222223</x:v>
      </x:c>
      <x:c r="S3185" s="2" t="str">
        <x:f>VLOOKUP(C3185,'MES orders'!$A$8:$H$127,6,FALSE)</x:f>
        <x:v>Normal</x:v>
      </x:c>
      <x:c r="T3185" s="9" t="str"/>
    </x:row>
    <x:row r="3186" ht="22" customHeight="1">
      <x:c r="A3186" s="2" t="str">
        <x:v>L00514-010</x:v>
      </x:c>
      <x:c r="B3186" s="2" t="str">
        <x:v>L00514</x:v>
      </x:c>
      <x:c r="C3186" s="2" t="str">
        <x:v>SO-26103</x:v>
      </x:c>
      <x:c r="D3186" s="2" t="str">
        <x:v>S-C-AL</x:v>
      </x:c>
      <x:c r="E3186" s="14" t="n">
        <x:v>25</x:v>
      </x:c>
      <x:c r="F3186" s="2" t="str">
        <x:v>CNC machining</x:v>
      </x:c>
      <x:c r="G3186" s="9" t="str">
        <x:v>CNC-05</x:v>
      </x:c>
      <x:c r="H3186" s="15" t="n">
        <x:v>88</x:v>
      </x:c>
      <x:c r="I3186" s="9" t="str">
        <x:v>P03</x:v>
      </x:c>
      <x:c r="J3186" s="11" t="n">
        <x:v>46311.35625</x:v>
      </x:c>
      <x:c r="K3186" s="15" t="n">
        <x:v>18</x:v>
      </x:c>
      <x:c r="L3186" s="15" t="n">
        <x:v>48</x:v>
      </x:c>
      <x:c r="M3186" s="13" t="n">
        <x:f>J3186+(K3186+L3186)/1440</x:f>
        <x:v>46311.40208333333</x:v>
      </x:c>
      <x:c r="N3186" s="13" t="n">
        <x:f>VLOOKUP(C3186,'MES orders'!$A$8:$H$127,5,FALSE)</x:f>
        <x:v>46310.666666666664</x:v>
      </x:c>
      <x:c r="O3186" s="16" t="n">
        <x:f>MAX(0,(M3186-N3186)*24)</x:f>
        <x:v>17.649999999906868</x:v>
      </x:c>
      <x:c r="P3186" s="9" t="str">
        <x:v>No</x:v>
      </x:c>
      <x:c r="Q3186" s="15" t="n">
        <x:v>18</x:v>
      </x:c>
      <x:c r="R3186" s="13" t="n">
        <x:f>J3186+Q3186/1440</x:f>
        <x:v>46311.368749999994</x:v>
      </x:c>
      <x:c r="S3186" s="2" t="str">
        <x:f>VLOOKUP(C3186,'MES orders'!$A$8:$H$127,6,FALSE)</x:f>
        <x:v>Normal</x:v>
      </x:c>
      <x:c r="T3186" s="9" t="str"/>
    </x:row>
    <x:row r="3187" ht="22" customHeight="1">
      <x:c r="A3187" s="2" t="str">
        <x:v>L00473-020</x:v>
      </x:c>
      <x:c r="B3187" s="2" t="str">
        <x:v>L00473</x:v>
      </x:c>
      <x:c r="C3187" s="2" t="str">
        <x:v>SO-26095</x:v>
      </x:c>
      <x:c r="D3187" s="2" t="str">
        <x:v>R-L-AL</x:v>
      </x:c>
      <x:c r="E3187" s="14" t="n">
        <x:v>20</x:v>
      </x:c>
      <x:c r="F3187" s="2" t="str">
        <x:v>Deburr &amp; inspect</x:v>
      </x:c>
      <x:c r="G3187" s="9" t="str">
        <x:v>DB-01</x:v>
      </x:c>
      <x:c r="H3187" s="15" t="n">
        <x:v>299</x:v>
      </x:c>
      <x:c r="I3187" s="9" t="str">
        <x:v>P01</x:v>
      </x:c>
      <x:c r="J3187" s="11" t="n">
        <x:v>46311.35625</x:v>
      </x:c>
      <x:c r="K3187" s="15" t="n">
        <x:v>4</x:v>
      </x:c>
      <x:c r="L3187" s="15" t="n">
        <x:v>19</x:v>
      </x:c>
      <x:c r="M3187" s="13" t="n">
        <x:f>J3187+(K3187+L3187)/1440</x:f>
        <x:v>46311.37222222222</x:v>
      </x:c>
      <x:c r="N3187" s="13" t="n">
        <x:f>VLOOKUP(C3187,'MES orders'!$A$8:$H$127,5,FALSE)</x:f>
        <x:v>46310.666666666664</x:v>
      </x:c>
      <x:c r="O3187" s="16" t="n">
        <x:f>MAX(0,(M3187-N3187)*24)</x:f>
        <x:v>16.933333333348855</x:v>
      </x:c>
      <x:c r="P3187" s="9" t="str">
        <x:v>No</x:v>
      </x:c>
      <x:c r="Q3187" s="15" t="n">
        <x:v>23</x:v>
      </x:c>
      <x:c r="R3187" s="13" t="n">
        <x:f>J3187+Q3187/1440</x:f>
        <x:v>46311.37222222222</x:v>
      </x:c>
      <x:c r="S3187" s="2" t="str">
        <x:f>VLOOKUP(C3187,'MES orders'!$A$8:$H$127,6,FALSE)</x:f>
        <x:v>Normal</x:v>
      </x:c>
      <x:c r="T3187" s="9" t="str"/>
    </x:row>
    <x:row r="3188" ht="22" customHeight="1">
      <x:c r="A3188" s="2" t="str">
        <x:v>L00431-050</x:v>
      </x:c>
      <x:c r="B3188" s="2" t="str">
        <x:v>L00431</x:v>
      </x:c>
      <x:c r="C3188" s="2" t="str">
        <x:v>SO-26087</x:v>
      </x:c>
      <x:c r="D3188" s="2" t="str">
        <x:v>R-S-AL</x:v>
      </x:c>
      <x:c r="E3188" s="14" t="n">
        <x:v>15</x:v>
      </x:c>
      <x:c r="F3188" s="2" t="str">
        <x:v>Valve adjustment</x:v>
      </x:c>
      <x:c r="G3188" s="9" t="str">
        <x:v>AS-03</x:v>
      </x:c>
      <x:c r="H3188" s="15" t="n">
        <x:v>169</x:v>
      </x:c>
      <x:c r="I3188" s="9" t="str">
        <x:v>P06</x:v>
      </x:c>
      <x:c r="J3188" s="11" t="n">
        <x:v>46311.365277777775</x:v>
      </x:c>
      <x:c r="K3188" s="15" t="n">
        <x:v>6</x:v>
      </x:c>
      <x:c r="L3188" s="15" t="n">
        <x:v>16</x:v>
      </x:c>
      <x:c r="M3188" s="13" t="n">
        <x:f>J3188+(K3188+L3188)/1440</x:f>
        <x:v>46311.38055555555</x:v>
      </x:c>
      <x:c r="N3188" s="13" t="n">
        <x:f>VLOOKUP(C3188,'MES orders'!$A$8:$H$127,5,FALSE)</x:f>
        <x:v>46310.666666666664</x:v>
      </x:c>
      <x:c r="O3188" s="16" t="n">
        <x:f>MAX(0,(M3188-N3188)*24)</x:f>
        <x:v>17.13333333330229</x:v>
      </x:c>
      <x:c r="P3188" s="9" t="str">
        <x:v>No</x:v>
      </x:c>
      <x:c r="Q3188" s="15" t="n">
        <x:v>22</x:v>
      </x:c>
      <x:c r="R3188" s="13" t="n">
        <x:f>J3188+Q3188/1440</x:f>
        <x:v>46311.38055555555</x:v>
      </x:c>
      <x:c r="S3188" s="2" t="str">
        <x:f>VLOOKUP(C3188,'MES orders'!$A$8:$H$127,6,FALSE)</x:f>
        <x:v>Normal</x:v>
      </x:c>
      <x:c r="T3188" s="9" t="str"/>
    </x:row>
    <x:row r="3189" ht="22" customHeight="1">
      <x:c r="A3189" s="2" t="str">
        <x:v>L00474-020</x:v>
      </x:c>
      <x:c r="B3189" s="2" t="str">
        <x:v>L00474</x:v>
      </x:c>
      <x:c r="C3189" s="2" t="str">
        <x:v>SO-26095</x:v>
      </x:c>
      <x:c r="D3189" s="2" t="str">
        <x:v>R-L-AL</x:v>
      </x:c>
      <x:c r="E3189" s="14" t="n">
        <x:v>20</x:v>
      </x:c>
      <x:c r="F3189" s="2" t="str">
        <x:v>Deburr &amp; inspect</x:v>
      </x:c>
      <x:c r="G3189" s="9" t="str">
        <x:v>DB-02</x:v>
      </x:c>
      <x:c r="H3189" s="15" t="n">
        <x:v>210</x:v>
      </x:c>
      <x:c r="I3189" s="9" t="str">
        <x:v>P02</x:v>
      </x:c>
      <x:c r="J3189" s="11" t="n">
        <x:v>46311.36736111111</x:v>
      </x:c>
      <x:c r="K3189" s="15" t="n">
        <x:v>4</x:v>
      </x:c>
      <x:c r="L3189" s="15" t="n">
        <x:v>19</x:v>
      </x:c>
      <x:c r="M3189" s="13" t="n">
        <x:f>J3189+(K3189+L3189)/1440</x:f>
        <x:v>46311.38333333333</x:v>
      </x:c>
      <x:c r="N3189" s="13" t="n">
        <x:f>VLOOKUP(C3189,'MES orders'!$A$8:$H$127,5,FALSE)</x:f>
        <x:v>46310.666666666664</x:v>
      </x:c>
      <x:c r="O3189" s="16" t="n">
        <x:f>MAX(0,(M3189-N3189)*24)</x:f>
        <x:v>17.20000000001164</x:v>
      </x:c>
      <x:c r="P3189" s="9" t="str">
        <x:v>No</x:v>
      </x:c>
      <x:c r="Q3189" s="15" t="n">
        <x:v>23</x:v>
      </x:c>
      <x:c r="R3189" s="13" t="n">
        <x:f>J3189+Q3189/1440</x:f>
        <x:v>46311.38333333333</x:v>
      </x:c>
      <x:c r="S3189" s="2" t="str">
        <x:f>VLOOKUP(C3189,'MES orders'!$A$8:$H$127,6,FALSE)</x:f>
        <x:v>Normal</x:v>
      </x:c>
      <x:c r="T3189" s="9" t="str"/>
    </x:row>
    <x:row r="3190" ht="22" customHeight="1">
      <x:c r="A3190" s="2" t="str">
        <x:v>L00515-010</x:v>
      </x:c>
      <x:c r="B3190" s="2" t="str">
        <x:v>L00515</x:v>
      </x:c>
      <x:c r="C3190" s="2" t="str">
        <x:v>SO-26103</x:v>
      </x:c>
      <x:c r="D3190" s="2" t="str">
        <x:v>S-C-AL</x:v>
      </x:c>
      <x:c r="E3190" s="14" t="n">
        <x:v>25</x:v>
      </x:c>
      <x:c r="F3190" s="2" t="str">
        <x:v>CNC machining</x:v>
      </x:c>
      <x:c r="G3190" s="9" t="str">
        <x:v>CNC-01</x:v>
      </x:c>
      <x:c r="H3190" s="15" t="n">
        <x:v>88</x:v>
      </x:c>
      <x:c r="I3190" s="9" t="str">
        <x:v>P03</x:v>
      </x:c>
      <x:c r="J3190" s="11" t="n">
        <x:v>46311.36875</x:v>
      </x:c>
      <x:c r="K3190" s="15" t="n">
        <x:v>18</x:v>
      </x:c>
      <x:c r="L3190" s="15" t="n">
        <x:v>48</x:v>
      </x:c>
      <x:c r="M3190" s="13" t="n">
        <x:f>J3190+(K3190+L3190)/1440</x:f>
        <x:v>46311.41458333333</x:v>
      </x:c>
      <x:c r="N3190" s="13" t="n">
        <x:f>VLOOKUP(C3190,'MES orders'!$A$8:$H$127,5,FALSE)</x:f>
        <x:v>46310.666666666664</x:v>
      </x:c>
      <x:c r="O3190" s="16" t="n">
        <x:f>MAX(0,(M3190-N3190)*24)</x:f>
        <x:v>17.95000000001164</x:v>
      </x:c>
      <x:c r="P3190" s="9" t="str">
        <x:v>No</x:v>
      </x:c>
      <x:c r="Q3190" s="15" t="n">
        <x:v>18</x:v>
      </x:c>
      <x:c r="R3190" s="13" t="n">
        <x:f>J3190+Q3190/1440</x:f>
        <x:v>46311.38125</x:v>
      </x:c>
      <x:c r="S3190" s="2" t="str">
        <x:f>VLOOKUP(C3190,'MES orders'!$A$8:$H$127,6,FALSE)</x:f>
        <x:v>Normal</x:v>
      </x:c>
      <x:c r="T3190" s="9" t="str"/>
    </x:row>
    <x:row r="3191" ht="22" customHeight="1">
      <x:c r="A3191" s="2" t="str">
        <x:v>L00276-050</x:v>
      </x:c>
      <x:c r="B3191" s="2" t="str">
        <x:v>L00276</x:v>
      </x:c>
      <x:c r="C3191" s="2" t="str">
        <x:v>SO-26056</x:v>
      </x:c>
      <x:c r="D3191" s="2" t="str">
        <x:v>R-C-SS</x:v>
      </x:c>
      <x:c r="E3191" s="14" t="n">
        <x:v>5</x:v>
      </x:c>
      <x:c r="F3191" s="2" t="str">
        <x:v>Valve adjustment</x:v>
      </x:c>
      <x:c r="G3191" s="9" t="str">
        <x:v>AS-01</x:v>
      </x:c>
      <x:c r="H3191" s="15" t="n">
        <x:v>251</x:v>
      </x:c>
      <x:c r="I3191" s="9" t="str">
        <x:v>P05</x:v>
      </x:c>
      <x:c r="J3191" s="11" t="n">
        <x:v>46311.370833333334</x:v>
      </x:c>
      <x:c r="K3191" s="15" t="n">
        <x:v>6</x:v>
      </x:c>
      <x:c r="L3191" s="15" t="n">
        <x:v>4</x:v>
      </x:c>
      <x:c r="M3191" s="13" t="n">
        <x:f>J3191+(K3191+L3191)/1440</x:f>
        <x:v>46311.37777777778</x:v>
      </x:c>
      <x:c r="N3191" s="13" t="n">
        <x:f>VLOOKUP(C3191,'MES orders'!$A$8:$H$127,5,FALSE)</x:f>
        <x:v>46311.666666666664</x:v>
      </x:c>
      <x:c r="O3191" s="16" t="n">
        <x:f>MAX(0,(M3191-N3191)*24)</x:f>
        <x:v>0</x:v>
      </x:c>
      <x:c r="P3191" s="9" t="str">
        <x:v>No</x:v>
      </x:c>
      <x:c r="Q3191" s="15" t="n">
        <x:v>10</x:v>
      </x:c>
      <x:c r="R3191" s="13" t="n">
        <x:f>J3191+Q3191/1440</x:f>
        <x:v>46311.37777777778</x:v>
      </x:c>
      <x:c r="S3191" s="2" t="str">
        <x:f>VLOOKUP(C3191,'MES orders'!$A$8:$H$127,6,FALSE)</x:f>
        <x:v>Normal</x:v>
      </x:c>
      <x:c r="T3191" s="9" t="str"/>
    </x:row>
    <x:row r="3192" ht="22" customHeight="1">
      <x:c r="A3192" s="2" t="str">
        <x:v>L00432-060</x:v>
      </x:c>
      <x:c r="B3192" s="2" t="str">
        <x:v>L00432</x:v>
      </x:c>
      <x:c r="C3192" s="2" t="str">
        <x:v>SO-26087</x:v>
      </x:c>
      <x:c r="D3192" s="2" t="str">
        <x:v>R-S-AL</x:v>
      </x:c>
      <x:c r="E3192" s="14" t="n">
        <x:v>15</x:v>
      </x:c>
      <x:c r="F3192" s="2" t="str">
        <x:v>Final leak / function test</x:v>
      </x:c>
      <x:c r="G3192" s="9" t="str">
        <x:v>QA-02</x:v>
      </x:c>
      <x:c r="H3192" s="15" t="n">
        <x:v>239</x:v>
      </x:c>
      <x:c r="I3192" s="9" t="str">
        <x:v>P11</x:v>
      </x:c>
      <x:c r="J3192" s="11" t="n">
        <x:v>46311.37222222222</x:v>
      </x:c>
      <x:c r="K3192" s="15" t="n">
        <x:v>10</x:v>
      </x:c>
      <x:c r="L3192" s="15" t="n">
        <x:v>14</x:v>
      </x:c>
      <x:c r="M3192" s="13" t="n">
        <x:f>J3192+(K3192+L3192)/1440</x:f>
        <x:v>46311.38888888889</x:v>
      </x:c>
      <x:c r="N3192" s="13" t="n">
        <x:f>VLOOKUP(C3192,'MES orders'!$A$8:$H$127,5,FALSE)</x:f>
        <x:v>46310.666666666664</x:v>
      </x:c>
      <x:c r="O3192" s="16" t="n">
        <x:f>MAX(0,(M3192-N3192)*24)</x:f>
        <x:v>17.333333333430346</x:v>
      </x:c>
      <x:c r="P3192" s="9" t="str">
        <x:v>No</x:v>
      </x:c>
      <x:c r="Q3192" s="15" t="n">
        <x:v>24</x:v>
      </x:c>
      <x:c r="R3192" s="13" t="n">
        <x:f>J3192+Q3192/1440</x:f>
        <x:v>46311.38888888889</x:v>
      </x:c>
      <x:c r="S3192" s="2" t="str">
        <x:f>VLOOKUP(C3192,'MES orders'!$A$8:$H$127,6,FALSE)</x:f>
        <x:v>Normal</x:v>
      </x:c>
      <x:c r="T3192" s="9" t="str"/>
    </x:row>
    <x:row r="3193" ht="22" customHeight="1">
      <x:c r="A3193" s="2" t="str">
        <x:v>L00473-030</x:v>
      </x:c>
      <x:c r="B3193" s="2" t="str">
        <x:v>L00473</x:v>
      </x:c>
      <x:c r="C3193" s="2" t="str">
        <x:v>SO-26095</x:v>
      </x:c>
      <x:c r="D3193" s="2" t="str">
        <x:v>R-L-AL</x:v>
      </x:c>
      <x:c r="E3193" s="14" t="n">
        <x:v>20</x:v>
      </x:c>
      <x:c r="F3193" s="2" t="str">
        <x:v>Wash &amp; dry</x:v>
      </x:c>
      <x:c r="G3193" s="9" t="str">
        <x:v>WS-01</x:v>
      </x:c>
      <x:c r="H3193" s="15" t="n">
        <x:v>293</x:v>
      </x:c>
      <x:c r="I3193" s="9" t="str">
        <x:v>P01</x:v>
      </x:c>
      <x:c r="J3193" s="11" t="n">
        <x:v>46311.37222222222</x:v>
      </x:c>
      <x:c r="K3193" s="15" t="n">
        <x:v>12</x:v>
      </x:c>
      <x:c r="L3193" s="15" t="n">
        <x:v>9</x:v>
      </x:c>
      <x:c r="M3193" s="13" t="n">
        <x:f>J3193+(K3193+L3193)/1440</x:f>
        <x:v>46311.38680555555</x:v>
      </x:c>
      <x:c r="N3193" s="13" t="n">
        <x:f>VLOOKUP(C3193,'MES orders'!$A$8:$H$127,5,FALSE)</x:f>
        <x:v>46310.666666666664</x:v>
      </x:c>
      <x:c r="O3193" s="16" t="n">
        <x:f>MAX(0,(M3193-N3193)*24)</x:f>
        <x:v>17.283333333267365</x:v>
      </x:c>
      <x:c r="P3193" s="9" t="str">
        <x:v>No</x:v>
      </x:c>
      <x:c r="Q3193" s="15" t="n">
        <x:v>21</x:v>
      </x:c>
      <x:c r="R3193" s="13" t="n">
        <x:f>J3193+Q3193/1440</x:f>
        <x:v>46311.38680555555</x:v>
      </x:c>
      <x:c r="S3193" s="2" t="str">
        <x:f>VLOOKUP(C3193,'MES orders'!$A$8:$H$127,6,FALSE)</x:f>
        <x:v>Normal</x:v>
      </x:c>
      <x:c r="T3193" s="9" t="str"/>
    </x:row>
    <x:row r="3194" ht="22" customHeight="1">
      <x:c r="A3194" s="2" t="str">
        <x:v>L00395-050</x:v>
      </x:c>
      <x:c r="B3194" s="2" t="str">
        <x:v>L00395</x:v>
      </x:c>
      <x:c r="C3194" s="2" t="str">
        <x:v>SO-26079</x:v>
      </x:c>
      <x:c r="D3194" s="2" t="str">
        <x:v>R-C-AL</x:v>
      </x:c>
      <x:c r="E3194" s="14" t="n">
        <x:v>20</x:v>
      </x:c>
      <x:c r="F3194" s="2" t="str">
        <x:v>Valve adjustment</x:v>
      </x:c>
      <x:c r="G3194" s="9" t="str">
        <x:v>AS-01</x:v>
      </x:c>
      <x:c r="H3194" s="15" t="n">
        <x:v>252</x:v>
      </x:c>
      <x:c r="I3194" s="9" t="str">
        <x:v>P05</x:v>
      </x:c>
      <x:c r="J3194" s="11" t="n">
        <x:v>46311.379166666666</x:v>
      </x:c>
      <x:c r="K3194" s="15" t="n">
        <x:v>6</x:v>
      </x:c>
      <x:c r="L3194" s="15" t="n">
        <x:v>18</x:v>
      </x:c>
      <x:c r="M3194" s="13" t="n">
        <x:f>J3194+(K3194+L3194)/1440</x:f>
        <x:v>46311.395833333336</x:v>
      </x:c>
      <x:c r="N3194" s="13" t="n">
        <x:f>VLOOKUP(C3194,'MES orders'!$A$8:$H$127,5,FALSE)</x:f>
        <x:v>46310.666666666664</x:v>
      </x:c>
      <x:c r="O3194" s="16" t="n">
        <x:f>MAX(0,(M3194-N3194)*24)</x:f>
        <x:v>17.500000000116415</x:v>
      </x:c>
      <x:c r="P3194" s="9" t="str">
        <x:v>No</x:v>
      </x:c>
      <x:c r="Q3194" s="15" t="n">
        <x:v>24</x:v>
      </x:c>
      <x:c r="R3194" s="13" t="n">
        <x:f>J3194+Q3194/1440</x:f>
        <x:v>46311.395833333336</x:v>
      </x:c>
      <x:c r="S3194" s="2" t="str">
        <x:f>VLOOKUP(C3194,'MES orders'!$A$8:$H$127,6,FALSE)</x:f>
        <x:v>Normal</x:v>
      </x:c>
      <x:c r="T3194" s="9" t="str"/>
    </x:row>
    <x:row r="3195" ht="22" customHeight="1">
      <x:c r="A3195" s="2" t="str">
        <x:v>L00434-020</x:v>
      </x:c>
      <x:c r="B3195" s="2" t="str">
        <x:v>L00434</x:v>
      </x:c>
      <x:c r="C3195" s="2" t="str">
        <x:v>SO-26087</x:v>
      </x:c>
      <x:c r="D3195" s="2" t="str">
        <x:v>R-S-AL</x:v>
      </x:c>
      <x:c r="E3195" s="14" t="n">
        <x:v>15</x:v>
      </x:c>
      <x:c r="F3195" s="2" t="str">
        <x:v>Deburr &amp; inspect</x:v>
      </x:c>
      <x:c r="G3195" s="9" t="str">
        <x:v>DB-01</x:v>
      </x:c>
      <x:c r="H3195" s="15" t="n">
        <x:v>300</x:v>
      </x:c>
      <x:c r="I3195" s="9" t="str">
        <x:v>P04</x:v>
      </x:c>
      <x:c r="J3195" s="11" t="n">
        <x:v>46311.379166666666</x:v>
      </x:c>
      <x:c r="K3195" s="15" t="n">
        <x:v>4</x:v>
      </x:c>
      <x:c r="L3195" s="15" t="n">
        <x:v>10</x:v>
      </x:c>
      <x:c r="M3195" s="13" t="n">
        <x:f>J3195+(K3195+L3195)/1440</x:f>
        <x:v>46311.38888888889</x:v>
      </x:c>
      <x:c r="N3195" s="13" t="n">
        <x:f>VLOOKUP(C3195,'MES orders'!$A$8:$H$127,5,FALSE)</x:f>
        <x:v>46310.666666666664</x:v>
      </x:c>
      <x:c r="O3195" s="16" t="n">
        <x:f>MAX(0,(M3195-N3195)*24)</x:f>
        <x:v>17.333333333430346</x:v>
      </x:c>
      <x:c r="P3195" s="9" t="str">
        <x:v>No</x:v>
      </x:c>
      <x:c r="Q3195" s="15" t="n">
        <x:v>14</x:v>
      </x:c>
      <x:c r="R3195" s="13" t="n">
        <x:f>J3195+Q3195/1440</x:f>
        <x:v>46311.38888888889</x:v>
      </x:c>
      <x:c r="S3195" s="2" t="str">
        <x:f>VLOOKUP(C3195,'MES orders'!$A$8:$H$127,6,FALSE)</x:f>
        <x:v>Normal</x:v>
      </x:c>
      <x:c r="T3195" s="9" t="str"/>
    </x:row>
    <x:row r="3196" ht="22" customHeight="1">
      <x:c r="A3196" s="2" t="str">
        <x:v>L00433-050</x:v>
      </x:c>
      <x:c r="B3196" s="2" t="str">
        <x:v>L00433</x:v>
      </x:c>
      <x:c r="C3196" s="2" t="str">
        <x:v>SO-26087</x:v>
      </x:c>
      <x:c r="D3196" s="2" t="str">
        <x:v>R-S-AL</x:v>
      </x:c>
      <x:c r="E3196" s="14" t="n">
        <x:v>15</x:v>
      </x:c>
      <x:c r="F3196" s="2" t="str">
        <x:v>Valve adjustment</x:v>
      </x:c>
      <x:c r="G3196" s="9" t="str">
        <x:v>AS-02</x:v>
      </x:c>
      <x:c r="H3196" s="15" t="n">
        <x:v>206</x:v>
      </x:c>
      <x:c r="I3196" s="9" t="str">
        <x:v>P06</x:v>
      </x:c>
      <x:c r="J3196" s="11" t="n">
        <x:v>46311.38055555556</x:v>
      </x:c>
      <x:c r="K3196" s="15" t="n">
        <x:v>6</x:v>
      </x:c>
      <x:c r="L3196" s="15" t="n">
        <x:v>16</x:v>
      </x:c>
      <x:c r="M3196" s="13" t="n">
        <x:f>J3196+(K3196+L3196)/1440</x:f>
        <x:v>46311.395833333336</x:v>
      </x:c>
      <x:c r="N3196" s="13" t="n">
        <x:f>VLOOKUP(C3196,'MES orders'!$A$8:$H$127,5,FALSE)</x:f>
        <x:v>46310.666666666664</x:v>
      </x:c>
      <x:c r="O3196" s="16" t="n">
        <x:f>MAX(0,(M3196-N3196)*24)</x:f>
        <x:v>17.500000000116415</x:v>
      </x:c>
      <x:c r="P3196" s="9" t="str">
        <x:v>No</x:v>
      </x:c>
      <x:c r="Q3196" s="15" t="n">
        <x:v>22</x:v>
      </x:c>
      <x:c r="R3196" s="13" t="n">
        <x:f>J3196+Q3196/1440</x:f>
        <x:v>46311.395833333336</x:v>
      </x:c>
      <x:c r="S3196" s="2" t="str">
        <x:f>VLOOKUP(C3196,'MES orders'!$A$8:$H$127,6,FALSE)</x:f>
        <x:v>Normal</x:v>
      </x:c>
      <x:c r="T3196" s="9" t="str"/>
    </x:row>
    <x:row r="3197" ht="22" customHeight="1">
      <x:c r="A3197" s="2" t="str">
        <x:v>L00431-060</x:v>
      </x:c>
      <x:c r="B3197" s="2" t="str">
        <x:v>L00431</x:v>
      </x:c>
      <x:c r="C3197" s="2" t="str">
        <x:v>SO-26087</x:v>
      </x:c>
      <x:c r="D3197" s="2" t="str">
        <x:v>R-S-AL</x:v>
      </x:c>
      <x:c r="E3197" s="14" t="n">
        <x:v>15</x:v>
      </x:c>
      <x:c r="F3197" s="2" t="str">
        <x:v>Final leak / function test</x:v>
      </x:c>
      <x:c r="G3197" s="9" t="str">
        <x:v>QA-03</x:v>
      </x:c>
      <x:c r="H3197" s="15" t="n">
        <x:v>139</x:v>
      </x:c>
      <x:c r="I3197" s="9" t="str">
        <x:v>P12</x:v>
      </x:c>
      <x:c r="J3197" s="11" t="n">
        <x:v>46311.38055555556</x:v>
      </x:c>
      <x:c r="K3197" s="15" t="n">
        <x:v>10</x:v>
      </x:c>
      <x:c r="L3197" s="15" t="n">
        <x:v>14</x:v>
      </x:c>
      <x:c r="M3197" s="13" t="n">
        <x:f>J3197+(K3197+L3197)/1440</x:f>
        <x:v>46311.39722222223</x:v>
      </x:c>
      <x:c r="N3197" s="13" t="n">
        <x:f>VLOOKUP(C3197,'MES orders'!$A$8:$H$127,5,FALSE)</x:f>
        <x:v>46310.666666666664</x:v>
      </x:c>
      <x:c r="O3197" s="16" t="n">
        <x:f>MAX(0,(M3197-N3197)*24)</x:f>
        <x:v>17.533333333558403</x:v>
      </x:c>
      <x:c r="P3197" s="9" t="str">
        <x:v>No</x:v>
      </x:c>
      <x:c r="Q3197" s="15" t="n">
        <x:v>24</x:v>
      </x:c>
      <x:c r="R3197" s="13" t="n">
        <x:f>J3197+Q3197/1440</x:f>
        <x:v>46311.39722222223</x:v>
      </x:c>
      <x:c r="S3197" s="2" t="str">
        <x:f>VLOOKUP(C3197,'MES orders'!$A$8:$H$127,6,FALSE)</x:f>
        <x:v>Normal</x:v>
      </x:c>
      <x:c r="T3197" s="9" t="str"/>
    </x:row>
    <x:row r="3198" ht="22" customHeight="1">
      <x:c r="A3198" s="2" t="str">
        <x:v>L00552-010</x:v>
      </x:c>
      <x:c r="B3198" s="2" t="str">
        <x:v>L00552</x:v>
      </x:c>
      <x:c r="C3198" s="2" t="str">
        <x:v>SO-26111</x:v>
      </x:c>
      <x:c r="D3198" s="2" t="str">
        <x:v>S-S-AL</x:v>
      </x:c>
      <x:c r="E3198" s="14" t="n">
        <x:v>10</x:v>
      </x:c>
      <x:c r="F3198" s="2" t="str">
        <x:v>CNC machining</x:v>
      </x:c>
      <x:c r="G3198" s="9" t="str">
        <x:v>CNC-02</x:v>
      </x:c>
      <x:c r="H3198" s="15" t="n">
        <x:v>64</x:v>
      </x:c>
      <x:c r="I3198" s="9" t="str">
        <x:v>P03</x:v>
      </x:c>
      <x:c r="J3198" s="11" t="n">
        <x:v>46311.38125</x:v>
      </x:c>
      <x:c r="K3198" s="15" t="n">
        <x:v>18</x:v>
      </x:c>
      <x:c r="L3198" s="15" t="n">
        <x:v>24</x:v>
      </x:c>
      <x:c r="M3198" s="13" t="n">
        <x:f>J3198+(K3198+L3198)/1440</x:f>
        <x:v>46311.410416666666</x:v>
      </x:c>
      <x:c r="N3198" s="13" t="n">
        <x:f>VLOOKUP(C3198,'MES orders'!$A$8:$H$127,5,FALSE)</x:f>
        <x:v>46310.666666666664</x:v>
      </x:c>
      <x:c r="O3198" s="16" t="n">
        <x:f>MAX(0,(M3198-N3198)*24)</x:f>
        <x:v>17.850000000034925</x:v>
      </x:c>
      <x:c r="P3198" s="9" t="str">
        <x:v>No</x:v>
      </x:c>
      <x:c r="Q3198" s="15" t="n">
        <x:v>18</x:v>
      </x:c>
      <x:c r="R3198" s="13" t="n">
        <x:f>J3198+Q3198/1440</x:f>
        <x:v>46311.393749999996</x:v>
      </x:c>
      <x:c r="S3198" s="2" t="str">
        <x:f>VLOOKUP(C3198,'MES orders'!$A$8:$H$127,6,FALSE)</x:f>
        <x:v>Normal</x:v>
      </x:c>
      <x:c r="T3198" s="9" t="str"/>
    </x:row>
    <x:row r="3199" ht="22" customHeight="1">
      <x:c r="A3199" s="2" t="str">
        <x:v>L00511-020</x:v>
      </x:c>
      <x:c r="B3199" s="2" t="str">
        <x:v>L00511</x:v>
      </x:c>
      <x:c r="C3199" s="2" t="str">
        <x:v>SO-26103</x:v>
      </x:c>
      <x:c r="D3199" s="2" t="str">
        <x:v>S-C-AL</x:v>
      </x:c>
      <x:c r="E3199" s="14" t="n">
        <x:v>25</x:v>
      </x:c>
      <x:c r="F3199" s="2" t="str">
        <x:v>Deburr &amp; inspect</x:v>
      </x:c>
      <x:c r="G3199" s="9" t="str">
        <x:v>DB-02</x:v>
      </x:c>
      <x:c r="H3199" s="15" t="n">
        <x:v>211</x:v>
      </x:c>
      <x:c r="I3199" s="9" t="str">
        <x:v>P02</x:v>
      </x:c>
      <x:c r="J3199" s="11" t="n">
        <x:v>46311.38333333333</x:v>
      </x:c>
      <x:c r="K3199" s="15" t="n">
        <x:v>4</x:v>
      </x:c>
      <x:c r="L3199" s="15" t="n">
        <x:v>14</x:v>
      </x:c>
      <x:c r="M3199" s="13" t="n">
        <x:f>J3199+(K3199+L3199)/1440</x:f>
        <x:v>46311.39583333333</x:v>
      </x:c>
      <x:c r="N3199" s="13" t="n">
        <x:f>VLOOKUP(C3199,'MES orders'!$A$8:$H$127,5,FALSE)</x:f>
        <x:v>46310.666666666664</x:v>
      </x:c>
      <x:c r="O3199" s="16" t="n">
        <x:f>MAX(0,(M3199-N3199)*24)</x:f>
        <x:v>17.499999999941792</x:v>
      </x:c>
      <x:c r="P3199" s="9" t="str">
        <x:v>No</x:v>
      </x:c>
      <x:c r="Q3199" s="15" t="n">
        <x:v>18</x:v>
      </x:c>
      <x:c r="R3199" s="13" t="n">
        <x:f>J3199+Q3199/1440</x:f>
        <x:v>46311.39583333333</x:v>
      </x:c>
      <x:c r="S3199" s="2" t="str">
        <x:f>VLOOKUP(C3199,'MES orders'!$A$8:$H$127,6,FALSE)</x:f>
        <x:v>Normal</x:v>
      </x:c>
      <x:c r="T3199" s="9" t="str"/>
    </x:row>
    <x:row r="3200" ht="22" customHeight="1">
      <x:c r="A3200" s="2" t="str">
        <x:v>L00553-010</x:v>
      </x:c>
      <x:c r="B3200" s="2" t="str">
        <x:v>L00553</x:v>
      </x:c>
      <x:c r="C3200" s="2" t="str">
        <x:v>SO-26111</x:v>
      </x:c>
      <x:c r="D3200" s="2" t="str">
        <x:v>S-S-AL</x:v>
      </x:c>
      <x:c r="E3200" s="14" t="n">
        <x:v>10</x:v>
      </x:c>
      <x:c r="F3200" s="2" t="str">
        <x:v>CNC machining</x:v>
      </x:c>
      <x:c r="G3200" s="9" t="str">
        <x:v>CNC-06</x:v>
      </x:c>
      <x:c r="H3200" s="15" t="n">
        <x:v>81</x:v>
      </x:c>
      <x:c r="I3200" s="9" t="str">
        <x:v>P01</x:v>
      </x:c>
      <x:c r="J3200" s="11" t="n">
        <x:v>46311.38680555556</x:v>
      </x:c>
      <x:c r="K3200" s="15" t="n">
        <x:v>18</x:v>
      </x:c>
      <x:c r="L3200" s="15" t="n">
        <x:v>24</x:v>
      </x:c>
      <x:c r="M3200" s="13" t="n">
        <x:f>J3200+(K3200+L3200)/1440</x:f>
        <x:v>46311.415972222225</x:v>
      </x:c>
      <x:c r="N3200" s="13" t="n">
        <x:f>VLOOKUP(C3200,'MES orders'!$A$8:$H$127,5,FALSE)</x:f>
        <x:v>46310.666666666664</x:v>
      </x:c>
      <x:c r="O3200" s="16" t="n">
        <x:f>MAX(0,(M3200-N3200)*24)</x:f>
        <x:v>17.98333333345363</x:v>
      </x:c>
      <x:c r="P3200" s="9" t="str">
        <x:v>No</x:v>
      </x:c>
      <x:c r="Q3200" s="15" t="n">
        <x:v>18</x:v>
      </x:c>
      <x:c r="R3200" s="13" t="n">
        <x:f>J3200+Q3200/1440</x:f>
        <x:v>46311.399305555555</x:v>
      </x:c>
      <x:c r="S3200" s="2" t="str">
        <x:f>VLOOKUP(C3200,'MES orders'!$A$8:$H$127,6,FALSE)</x:f>
        <x:v>Normal</x:v>
      </x:c>
      <x:c r="T3200" s="9" t="str"/>
    </x:row>
    <x:row r="3201" ht="22" customHeight="1">
      <x:c r="A3201" s="2" t="str">
        <x:v>L00434-030</x:v>
      </x:c>
      <x:c r="B3201" s="2" t="str">
        <x:v>L00434</x:v>
      </x:c>
      <x:c r="C3201" s="2" t="str">
        <x:v>SO-26087</x:v>
      </x:c>
      <x:c r="D3201" s="2" t="str">
        <x:v>R-S-AL</x:v>
      </x:c>
      <x:c r="E3201" s="14" t="n">
        <x:v>15</x:v>
      </x:c>
      <x:c r="F3201" s="2" t="str">
        <x:v>Wash &amp; dry</x:v>
      </x:c>
      <x:c r="G3201" s="9" t="str">
        <x:v>WS-01</x:v>
      </x:c>
      <x:c r="H3201" s="15" t="n">
        <x:v>294</x:v>
      </x:c>
      <x:c r="I3201" s="9" t="str">
        <x:v>P04</x:v>
      </x:c>
      <x:c r="J3201" s="11" t="n">
        <x:v>46311.38888888889</x:v>
      </x:c>
      <x:c r="K3201" s="15" t="n">
        <x:v>12</x:v>
      </x:c>
      <x:c r="L3201" s="15" t="n">
        <x:v>5</x:v>
      </x:c>
      <x:c r="M3201" s="13" t="n">
        <x:f>J3201+(K3201+L3201)/1440</x:f>
        <x:v>46311.40069444445</x:v>
      </x:c>
      <x:c r="N3201" s="13" t="n">
        <x:f>VLOOKUP(C3201,'MES orders'!$A$8:$H$127,5,FALSE)</x:f>
        <x:v>46310.666666666664</x:v>
      </x:c>
      <x:c r="O3201" s="16" t="n">
        <x:f>MAX(0,(M3201-N3201)*24)</x:f>
        <x:v>17.616666666814126</x:v>
      </x:c>
      <x:c r="P3201" s="9" t="str">
        <x:v>No</x:v>
      </x:c>
      <x:c r="Q3201" s="15" t="n">
        <x:v>17</x:v>
      </x:c>
      <x:c r="R3201" s="13" t="n">
        <x:f>J3201+Q3201/1440</x:f>
        <x:v>46311.40069444445</x:v>
      </x:c>
      <x:c r="S3201" s="2" t="str">
        <x:f>VLOOKUP(C3201,'MES orders'!$A$8:$H$127,6,FALSE)</x:f>
        <x:v>Normal</x:v>
      </x:c>
      <x:c r="T3201" s="9" t="str"/>
    </x:row>
    <x:row r="3202" ht="22" customHeight="1">
      <x:c r="A3202" s="2" t="str">
        <x:v>L00471-020</x:v>
      </x:c>
      <x:c r="B3202" s="2" t="str">
        <x:v>L00471</x:v>
      </x:c>
      <x:c r="C3202" s="2" t="str">
        <x:v>SO-26095</x:v>
      </x:c>
      <x:c r="D3202" s="2" t="str">
        <x:v>R-L-AL</x:v>
      </x:c>
      <x:c r="E3202" s="14" t="n">
        <x:v>20</x:v>
      </x:c>
      <x:c r="F3202" s="2" t="str">
        <x:v>Deburr &amp; inspect</x:v>
      </x:c>
      <x:c r="G3202" s="9" t="str">
        <x:v>DB-01</x:v>
      </x:c>
      <x:c r="H3202" s="15" t="n">
        <x:v>301</x:v>
      </x:c>
      <x:c r="I3202" s="9" t="str">
        <x:v>P06</x:v>
      </x:c>
      <x:c r="J3202" s="11" t="n">
        <x:v>46311.395833333336</x:v>
      </x:c>
      <x:c r="K3202" s="15" t="n">
        <x:v>4</x:v>
      </x:c>
      <x:c r="L3202" s="15" t="n">
        <x:v>19</x:v>
      </x:c>
      <x:c r="M3202" s="13" t="n">
        <x:f>J3202+(K3202+L3202)/1440</x:f>
        <x:v>46311.41180555556</x:v>
      </x:c>
      <x:c r="N3202" s="13" t="n">
        <x:f>VLOOKUP(C3202,'MES orders'!$A$8:$H$127,5,FALSE)</x:f>
        <x:v>46310.666666666664</x:v>
      </x:c>
      <x:c r="O3202" s="16" t="n">
        <x:f>MAX(0,(M3202-N3202)*24)</x:f>
        <x:v>17.883333333476912</x:v>
      </x:c>
      <x:c r="P3202" s="9" t="str">
        <x:v>No</x:v>
      </x:c>
      <x:c r="Q3202" s="15" t="n">
        <x:v>23</x:v>
      </x:c>
      <x:c r="R3202" s="13" t="n">
        <x:f>J3202+Q3202/1440</x:f>
        <x:v>46311.41180555556</x:v>
      </x:c>
      <x:c r="S3202" s="2" t="str">
        <x:f>VLOOKUP(C3202,'MES orders'!$A$8:$H$127,6,FALSE)</x:f>
        <x:v>Normal</x:v>
      </x:c>
      <x:c r="T3202" s="9" t="str"/>
    </x:row>
    <x:row r="3203" ht="22" customHeight="1">
      <x:c r="A3203" s="2" t="str">
        <x:v>L00395-060</x:v>
      </x:c>
      <x:c r="B3203" s="2" t="str">
        <x:v>L00395</x:v>
      </x:c>
      <x:c r="C3203" s="2" t="str">
        <x:v>SO-26079</x:v>
      </x:c>
      <x:c r="D3203" s="2" t="str">
        <x:v>R-C-AL</x:v>
      </x:c>
      <x:c r="E3203" s="14" t="n">
        <x:v>20</x:v>
      </x:c>
      <x:c r="F3203" s="2" t="str">
        <x:v>Final leak / function test</x:v>
      </x:c>
      <x:c r="G3203" s="9" t="str">
        <x:v>QA-02</x:v>
      </x:c>
      <x:c r="H3203" s="15" t="n">
        <x:v>240</x:v>
      </x:c>
      <x:c r="I3203" s="9" t="str">
        <x:v>P11</x:v>
      </x:c>
      <x:c r="J3203" s="11" t="n">
        <x:v>46311.395833333336</x:v>
      </x:c>
      <x:c r="K3203" s="15" t="n">
        <x:v>10</x:v>
      </x:c>
      <x:c r="L3203" s="15" t="n">
        <x:v>14</x:v>
      </x:c>
      <x:c r="M3203" s="13" t="n">
        <x:f>J3203+(K3203+L3203)/1440</x:f>
        <x:v>46311.412500000006</x:v>
      </x:c>
      <x:c r="N3203" s="13" t="n">
        <x:f>VLOOKUP(C3203,'MES orders'!$A$8:$H$127,5,FALSE)</x:f>
        <x:v>46310.666666666664</x:v>
      </x:c>
      <x:c r="O3203" s="16" t="n">
        <x:f>MAX(0,(M3203-N3203)*24)</x:f>
        <x:v>17.900000000197906</x:v>
      </x:c>
      <x:c r="P3203" s="9" t="str">
        <x:v>No</x:v>
      </x:c>
      <x:c r="Q3203" s="15" t="n">
        <x:v>24</x:v>
      </x:c>
      <x:c r="R3203" s="13" t="n">
        <x:f>J3203+Q3203/1440</x:f>
        <x:v>46311.412500000006</x:v>
      </x:c>
      <x:c r="S3203" s="2" t="str">
        <x:f>VLOOKUP(C3203,'MES orders'!$A$8:$H$127,6,FALSE)</x:f>
        <x:v>Normal</x:v>
      </x:c>
      <x:c r="T3203" s="9" t="str"/>
    </x:row>
    <x:row r="3204" ht="22" customHeight="1">
      <x:c r="A3204" s="2" t="str">
        <x:v>L00435-030</x:v>
      </x:c>
      <x:c r="B3204" s="2" t="str">
        <x:v>L00435</x:v>
      </x:c>
      <x:c r="C3204" s="2" t="str">
        <x:v>SO-26087</x:v>
      </x:c>
      <x:c r="D3204" s="2" t="str">
        <x:v>R-S-AL</x:v>
      </x:c>
      <x:c r="E3204" s="14" t="n">
        <x:v>15</x:v>
      </x:c>
      <x:c r="F3204" s="2" t="str">
        <x:v>Wash &amp; dry</x:v>
      </x:c>
      <x:c r="G3204" s="9" t="str">
        <x:v>WS-02</x:v>
      </x:c>
      <x:c r="H3204" s="15" t="n">
        <x:v>215</x:v>
      </x:c>
      <x:c r="I3204" s="9" t="str">
        <x:v>P05</x:v>
      </x:c>
      <x:c r="J3204" s="11" t="n">
        <x:v>46311.395833333336</x:v>
      </x:c>
      <x:c r="K3204" s="15" t="n">
        <x:v>12</x:v>
      </x:c>
      <x:c r="L3204" s="15" t="n">
        <x:v>5</x:v>
      </x:c>
      <x:c r="M3204" s="13" t="n">
        <x:f>J3204+(K3204+L3204)/1440</x:f>
        <x:v>46311.40763888889</x:v>
      </x:c>
      <x:c r="N3204" s="13" t="n">
        <x:f>VLOOKUP(C3204,'MES orders'!$A$8:$H$127,5,FALSE)</x:f>
        <x:v>46310.666666666664</x:v>
      </x:c>
      <x:c r="O3204" s="16" t="n">
        <x:f>MAX(0,(M3204-N3204)*24)</x:f>
        <x:v>17.783333333500195</x:v>
      </x:c>
      <x:c r="P3204" s="9" t="str">
        <x:v>No</x:v>
      </x:c>
      <x:c r="Q3204" s="15" t="n">
        <x:v>17</x:v>
      </x:c>
      <x:c r="R3204" s="13" t="n">
        <x:f>J3204+Q3204/1440</x:f>
        <x:v>46311.40763888889</x:v>
      </x:c>
      <x:c r="S3204" s="2" t="str">
        <x:f>VLOOKUP(C3204,'MES orders'!$A$8:$H$127,6,FALSE)</x:f>
        <x:v>Normal</x:v>
      </x:c>
      <x:c r="T3204" s="9" t="str"/>
    </x:row>
    <x:row r="3205" ht="22" customHeight="1">
      <x:c r="A3205" s="2" t="str">
        <x:v>L00433-060</x:v>
      </x:c>
      <x:c r="B3205" s="2" t="str">
        <x:v>L00433</x:v>
      </x:c>
      <x:c r="C3205" s="2" t="str">
        <x:v>SO-26087</x:v>
      </x:c>
      <x:c r="D3205" s="2" t="str">
        <x:v>R-S-AL</x:v>
      </x:c>
      <x:c r="E3205" s="14" t="n">
        <x:v>15</x:v>
      </x:c>
      <x:c r="F3205" s="2" t="str">
        <x:v>Final leak / function test</x:v>
      </x:c>
      <x:c r="G3205" s="9" t="str">
        <x:v>QA-03</x:v>
      </x:c>
      <x:c r="H3205" s="15" t="n">
        <x:v>140</x:v>
      </x:c>
      <x:c r="I3205" s="9" t="str">
        <x:v>P12</x:v>
      </x:c>
      <x:c r="J3205" s="11" t="n">
        <x:v>46311.39722222222</x:v>
      </x:c>
      <x:c r="K3205" s="15" t="n">
        <x:v>10</x:v>
      </x:c>
      <x:c r="L3205" s="15" t="n">
        <x:v>14</x:v>
      </x:c>
      <x:c r="M3205" s="13" t="n">
        <x:f>J3205+(K3205+L3205)/1440</x:f>
        <x:v>46311.41388888889</x:v>
      </x:c>
      <x:c r="N3205" s="13" t="n">
        <x:f>VLOOKUP(C3205,'MES orders'!$A$8:$H$127,5,FALSE)</x:f>
        <x:v>46310.666666666664</x:v>
      </x:c>
      <x:c r="O3205" s="16" t="n">
        <x:f>MAX(0,(M3205-N3205)*24)</x:f>
        <x:v>17.93333333346527</x:v>
      </x:c>
      <x:c r="P3205" s="9" t="str">
        <x:v>No</x:v>
      </x:c>
      <x:c r="Q3205" s="15" t="n">
        <x:v>24</x:v>
      </x:c>
      <x:c r="R3205" s="13" t="n">
        <x:f>J3205+Q3205/1440</x:f>
        <x:v>46311.41388888889</x:v>
      </x:c>
      <x:c r="S3205" s="2" t="str">
        <x:f>VLOOKUP(C3205,'MES orders'!$A$8:$H$127,6,FALSE)</x:f>
        <x:v>Normal</x:v>
      </x:c>
      <x:c r="T3205" s="9" t="str"/>
    </x:row>
    <x:row r="3206" ht="22" customHeight="1">
      <x:c r="A3206" s="2" t="str">
        <x:v>L00554-010</x:v>
      </x:c>
      <x:c r="B3206" s="2" t="str">
        <x:v>L00554</x:v>
      </x:c>
      <x:c r="C3206" s="2" t="str">
        <x:v>SO-26111</x:v>
      </x:c>
      <x:c r="D3206" s="2" t="str">
        <x:v>S-S-AL</x:v>
      </x:c>
      <x:c r="E3206" s="14" t="n">
        <x:v>10</x:v>
      </x:c>
      <x:c r="F3206" s="2" t="str">
        <x:v>CNC machining</x:v>
      </x:c>
      <x:c r="G3206" s="9" t="str">
        <x:v>CNC-03</x:v>
      </x:c>
      <x:c r="H3206" s="15" t="n">
        <x:v>103</x:v>
      </x:c>
      <x:c r="I3206" s="9" t="str">
        <x:v>P02</x:v>
      </x:c>
      <x:c r="J3206" s="11" t="n">
        <x:v>46311.4</x:v>
      </x:c>
      <x:c r="K3206" s="15" t="n">
        <x:v>18</x:v>
      </x:c>
      <x:c r="L3206" s="15" t="n">
        <x:v>24</x:v>
      </x:c>
      <x:c r="M3206" s="13" t="n">
        <x:f>J3206+(K3206+L3206)/1440</x:f>
        <x:v>46311.42916666667</x:v>
      </x:c>
      <x:c r="N3206" s="13" t="n">
        <x:f>VLOOKUP(C3206,'MES orders'!$A$8:$H$127,5,FALSE)</x:f>
        <x:v>46310.666666666664</x:v>
      </x:c>
      <x:c r="O3206" s="16" t="n">
        <x:f>MAX(0,(M3206-N3206)*24)</x:f>
        <x:v>18.300000000104774</x:v>
      </x:c>
      <x:c r="P3206" s="9" t="str">
        <x:v>No</x:v>
      </x:c>
      <x:c r="Q3206" s="15" t="n">
        <x:v>18</x:v>
      </x:c>
      <x:c r="R3206" s="13" t="n">
        <x:f>J3206+Q3206/1440</x:f>
        <x:v>46311.4125</x:v>
      </x:c>
      <x:c r="S3206" s="2" t="str">
        <x:f>VLOOKUP(C3206,'MES orders'!$A$8:$H$127,6,FALSE)</x:f>
        <x:v>Normal</x:v>
      </x:c>
      <x:c r="T3206" s="9" t="str"/>
    </x:row>
    <x:row r="3207" ht="22" customHeight="1">
      <x:c r="A3207" s="2" t="str">
        <x:v>L00555-010</x:v>
      </x:c>
      <x:c r="B3207" s="2" t="str">
        <x:v>L00555</x:v>
      </x:c>
      <x:c r="C3207" s="2" t="str">
        <x:v>SO-26111</x:v>
      </x:c>
      <x:c r="D3207" s="2" t="str">
        <x:v>S-S-AL</x:v>
      </x:c>
      <x:c r="E3207" s="14" t="n">
        <x:v>10</x:v>
      </x:c>
      <x:c r="F3207" s="2" t="str">
        <x:v>CNC machining</x:v>
      </x:c>
      <x:c r="G3207" s="9" t="str">
        <x:v>CNC-04</x:v>
      </x:c>
      <x:c r="H3207" s="15" t="n">
        <x:v>98</x:v>
      </x:c>
      <x:c r="I3207" s="9" t="str">
        <x:v>P03</x:v>
      </x:c>
      <x:c r="J3207" s="11" t="n">
        <x:v>46311.40069444444</x:v>
      </x:c>
      <x:c r="K3207" s="15" t="n">
        <x:v>18</x:v>
      </x:c>
      <x:c r="L3207" s="15" t="n">
        <x:v>24</x:v>
      </x:c>
      <x:c r="M3207" s="13" t="n">
        <x:f>J3207+(K3207+L3207)/1440</x:f>
        <x:v>46311.42986111111</x:v>
      </x:c>
      <x:c r="N3207" s="13" t="n">
        <x:f>VLOOKUP(C3207,'MES orders'!$A$8:$H$127,5,FALSE)</x:f>
        <x:v>46310.666666666664</x:v>
      </x:c>
      <x:c r="O3207" s="16" t="n">
        <x:f>MAX(0,(M3207-N3207)*24)</x:f>
        <x:v>18.316666666651145</x:v>
      </x:c>
      <x:c r="P3207" s="9" t="str">
        <x:v>No</x:v>
      </x:c>
      <x:c r="Q3207" s="15" t="n">
        <x:v>18</x:v>
      </x:c>
      <x:c r="R3207" s="13" t="n">
        <x:f>J3207+Q3207/1440</x:f>
        <x:v>46311.41319444444</x:v>
      </x:c>
      <x:c r="S3207" s="2" t="str">
        <x:f>VLOOKUP(C3207,'MES orders'!$A$8:$H$127,6,FALSE)</x:f>
        <x:v>Normal</x:v>
      </x:c>
      <x:c r="T3207" s="9" t="str"/>
    </x:row>
    <x:row r="3208" ht="22" customHeight="1">
      <x:c r="A3208" s="2" t="str">
        <x:v>L00472-020</x:v>
      </x:c>
      <x:c r="B3208" s="2" t="str">
        <x:v>L00472</x:v>
      </x:c>
      <x:c r="C3208" s="2" t="str">
        <x:v>SO-26095</x:v>
      </x:c>
      <x:c r="D3208" s="2" t="str">
        <x:v>R-L-AL</x:v>
      </x:c>
      <x:c r="E3208" s="14" t="n">
        <x:v>20</x:v>
      </x:c>
      <x:c r="F3208" s="2" t="str">
        <x:v>Deburr &amp; inspect</x:v>
      </x:c>
      <x:c r="G3208" s="9" t="str">
        <x:v>DB-02</x:v>
      </x:c>
      <x:c r="H3208" s="15" t="n">
        <x:v>212</x:v>
      </x:c>
      <x:c r="I3208" s="9" t="str">
        <x:v>P04</x:v>
      </x:c>
      <x:c r="J3208" s="11" t="n">
        <x:v>46311.40069444444</x:v>
      </x:c>
      <x:c r="K3208" s="15" t="n">
        <x:v>4</x:v>
      </x:c>
      <x:c r="L3208" s="15" t="n">
        <x:v>19</x:v>
      </x:c>
      <x:c r="M3208" s="13" t="n">
        <x:f>J3208+(K3208+L3208)/1440</x:f>
        <x:v>46311.416666666664</x:v>
      </x:c>
      <x:c r="N3208" s="13" t="n">
        <x:f>VLOOKUP(C3208,'MES orders'!$A$8:$H$127,5,FALSE)</x:f>
        <x:v>46310.666666666664</x:v>
      </x:c>
      <x:c r="O3208" s="16" t="n">
        <x:f>MAX(0,(M3208-N3208)*24)</x:f>
        <x:v>18</x:v>
      </x:c>
      <x:c r="P3208" s="9" t="str">
        <x:v>No</x:v>
      </x:c>
      <x:c r="Q3208" s="15" t="n">
        <x:v>23</x:v>
      </x:c>
      <x:c r="R3208" s="13" t="n">
        <x:f>J3208+Q3208/1440</x:f>
        <x:v>46311.416666666664</x:v>
      </x:c>
      <x:c r="S3208" s="2" t="str">
        <x:f>VLOOKUP(C3208,'MES orders'!$A$8:$H$127,6,FALSE)</x:f>
        <x:v>Normal</x:v>
      </x:c>
      <x:c r="T3208" s="9" t="str"/>
    </x:row>
    <x:row r="3209" ht="22" customHeight="1">
      <x:c r="A3209" s="2" t="str">
        <x:v>L00511-030</x:v>
      </x:c>
      <x:c r="B3209" s="2" t="str">
        <x:v>L00511</x:v>
      </x:c>
      <x:c r="C3209" s="2" t="str">
        <x:v>SO-26103</x:v>
      </x:c>
      <x:c r="D3209" s="2" t="str">
        <x:v>S-C-AL</x:v>
      </x:c>
      <x:c r="E3209" s="14" t="n">
        <x:v>25</x:v>
      </x:c>
      <x:c r="F3209" s="2" t="str">
        <x:v>Wash &amp; dry</x:v>
      </x:c>
      <x:c r="G3209" s="9" t="str">
        <x:v>WS-01</x:v>
      </x:c>
      <x:c r="H3209" s="15" t="n">
        <x:v>295</x:v>
      </x:c>
      <x:c r="I3209" s="9" t="str">
        <x:v>P01</x:v>
      </x:c>
      <x:c r="J3209" s="11" t="n">
        <x:v>46311.40069444444</x:v>
      </x:c>
      <x:c r="K3209" s="15" t="n">
        <x:v>12</x:v>
      </x:c>
      <x:c r="L3209" s="15" t="n">
        <x:v>7</x:v>
      </x:c>
      <x:c r="M3209" s="13" t="n">
        <x:f>J3209+(K3209+L3209)/1440</x:f>
        <x:v>46311.413888888885</x:v>
      </x:c>
      <x:c r="N3209" s="13" t="n">
        <x:f>VLOOKUP(C3209,'MES orders'!$A$8:$H$127,5,FALSE)</x:f>
        <x:v>46310.666666666664</x:v>
      </x:c>
      <x:c r="O3209" s="16" t="n">
        <x:f>MAX(0,(M3209-N3209)*24)</x:f>
        <x:v>17.933333333290648</x:v>
      </x:c>
      <x:c r="P3209" s="9" t="str">
        <x:v>No</x:v>
      </x:c>
      <x:c r="Q3209" s="15" t="n">
        <x:v>19</x:v>
      </x:c>
      <x:c r="R3209" s="13" t="n">
        <x:f>J3209+Q3209/1440</x:f>
        <x:v>46311.413888888885</x:v>
      </x:c>
      <x:c r="S3209" s="2" t="str">
        <x:f>VLOOKUP(C3209,'MES orders'!$A$8:$H$127,6,FALSE)</x:f>
        <x:v>Normal</x:v>
      </x:c>
      <x:c r="T3209" s="9" t="str"/>
    </x:row>
    <x:row r="3210" ht="22" customHeight="1">
      <x:c r="A3210" s="2" t="str">
        <x:v>L00551-070</x:v>
      </x:c>
      <x:c r="B3210" s="2" t="str">
        <x:v>L00551</x:v>
      </x:c>
      <x:c r="C3210" s="2" t="str">
        <x:v>SO-26111</x:v>
      </x:c>
      <x:c r="D3210" s="2" t="str">
        <x:v>S-S-AL</x:v>
      </x:c>
      <x:c r="E3210" s="14" t="n">
        <x:v>10</x:v>
      </x:c>
      <x:c r="F3210" s="2" t="str">
        <x:v>Final assembly</x:v>
      </x:c>
      <x:c r="G3210" s="9" t="str">
        <x:v>AS-01</x:v>
      </x:c>
      <x:c r="H3210" s="15" t="n">
        <x:v>253</x:v>
      </x:c>
      <x:c r="I3210" s="9" t="str">
        <x:v>P05</x:v>
      </x:c>
      <x:c r="J3210" s="11" t="n">
        <x:v>46311.407638888886</x:v>
      </x:c>
      <x:c r="K3210" s="15" t="n">
        <x:v>5</x:v>
      </x:c>
      <x:c r="L3210" s="15" t="n">
        <x:v>8</x:v>
      </x:c>
      <x:c r="M3210" s="13" t="n">
        <x:f>J3210+(K3210+L3210)/1440</x:f>
        <x:v>46311.416666666664</x:v>
      </x:c>
      <x:c r="N3210" s="13" t="n">
        <x:f>VLOOKUP(C3210,'MES orders'!$A$8:$H$127,5,FALSE)</x:f>
        <x:v>46310.666666666664</x:v>
      </x:c>
      <x:c r="O3210" s="16" t="n">
        <x:f>MAX(0,(M3210-N3210)*24)</x:f>
        <x:v>18</x:v>
      </x:c>
      <x:c r="P3210" s="9" t="str">
        <x:v>No</x:v>
      </x:c>
      <x:c r="Q3210" s="15" t="n">
        <x:v>13</x:v>
      </x:c>
      <x:c r="R3210" s="13" t="n">
        <x:f>J3210+Q3210/1440</x:f>
        <x:v>46311.416666666664</x:v>
      </x:c>
      <x:c r="S3210" s="2" t="str">
        <x:f>VLOOKUP(C3210,'MES orders'!$A$8:$H$127,6,FALSE)</x:f>
        <x:v>Normal</x:v>
      </x:c>
      <x:c r="T3210" s="9" t="str"/>
    </x:row>
    <x:row r="3211" ht="22" customHeight="1">
      <x:c r="A3211" s="2" t="str">
        <x:v>L00434-040</x:v>
      </x:c>
      <x:c r="B3211" s="2" t="str">
        <x:v>L00434</x:v>
      </x:c>
      <x:c r="C3211" s="2" t="str">
        <x:v>SO-26087</x:v>
      </x:c>
      <x:c r="D3211" s="2" t="str">
        <x:v>R-S-AL</x:v>
      </x:c>
      <x:c r="E3211" s="14" t="n">
        <x:v>15</x:v>
      </x:c>
      <x:c r="F3211" s="2" t="str">
        <x:v>Mechanical assembly</x:v>
      </x:c>
      <x:c r="G3211" s="9" t="str">
        <x:v>AS-01</x:v>
      </x:c>
      <x:c r="H3211" s="15" t="n">
        <x:v>254</x:v>
      </x:c>
      <x:c r="I3211" s="9" t="str">
        <x:v>P04</x:v>
      </x:c>
      <x:c r="J3211" s="11" t="n">
        <x:v>46311.4375</x:v>
      </x:c>
      <x:c r="K3211" s="15" t="n">
        <x:v>8</x:v>
      </x:c>
      <x:c r="L3211" s="15" t="n">
        <x:v>27</x:v>
      </x:c>
      <x:c r="M3211" s="13" t="n">
        <x:f>J3211+(K3211+L3211)/1440</x:f>
        <x:v>46311.461805555555</x:v>
      </x:c>
      <x:c r="N3211" s="13" t="n">
        <x:f>VLOOKUP(C3211,'MES orders'!$A$8:$H$127,5,FALSE)</x:f>
        <x:v>46310.666666666664</x:v>
      </x:c>
      <x:c r="O3211" s="16" t="n">
        <x:f>MAX(0,(M3211-N3211)*24)</x:f>
        <x:v>19.08333333337214</x:v>
      </x:c>
      <x:c r="P3211" s="9" t="str">
        <x:v>No</x:v>
      </x:c>
      <x:c r="Q3211" s="15" t="n">
        <x:v>35</x:v>
      </x:c>
      <x:c r="R3211" s="13" t="n">
        <x:f>J3211+Q3211/1440</x:f>
        <x:v>46311.461805555555</x:v>
      </x:c>
      <x:c r="S3211" s="2" t="str">
        <x:f>VLOOKUP(C3211,'MES orders'!$A$8:$H$127,6,FALSE)</x:f>
        <x:v>Normal</x:v>
      </x:c>
      <x:c r="T3211" s="9" t="str"/>
    </x:row>
    <x:row r="3212" ht="22" customHeight="1">
      <x:c r="A3212" s="2" t="str">
        <x:v>L00435-040</x:v>
      </x:c>
      <x:c r="B3212" s="2" t="str">
        <x:v>L00435</x:v>
      </x:c>
      <x:c r="C3212" s="2" t="str">
        <x:v>SO-26087</x:v>
      </x:c>
      <x:c r="D3212" s="2" t="str">
        <x:v>R-S-AL</x:v>
      </x:c>
      <x:c r="E3212" s="14" t="n">
        <x:v>15</x:v>
      </x:c>
      <x:c r="F3212" s="2" t="str">
        <x:v>Mechanical assembly</x:v>
      </x:c>
      <x:c r="G3212" s="9" t="str">
        <x:v>AS-02</x:v>
      </x:c>
      <x:c r="H3212" s="15" t="n">
        <x:v>207</x:v>
      </x:c>
      <x:c r="I3212" s="9" t="str">
        <x:v>P05</x:v>
      </x:c>
      <x:c r="J3212" s="11" t="n">
        <x:v>46311.4375</x:v>
      </x:c>
      <x:c r="K3212" s="15" t="n">
        <x:v>8</x:v>
      </x:c>
      <x:c r="L3212" s="15" t="n">
        <x:v>27</x:v>
      </x:c>
      <x:c r="M3212" s="13" t="n">
        <x:f>J3212+(K3212+L3212)/1440</x:f>
        <x:v>46311.461805555555</x:v>
      </x:c>
      <x:c r="N3212" s="13" t="n">
        <x:f>VLOOKUP(C3212,'MES orders'!$A$8:$H$127,5,FALSE)</x:f>
        <x:v>46310.666666666664</x:v>
      </x:c>
      <x:c r="O3212" s="16" t="n">
        <x:f>MAX(0,(M3212-N3212)*24)</x:f>
        <x:v>19.08333333337214</x:v>
      </x:c>
      <x:c r="P3212" s="9" t="str">
        <x:v>No</x:v>
      </x:c>
      <x:c r="Q3212" s="15" t="n">
        <x:v>35</x:v>
      </x:c>
      <x:c r="R3212" s="13" t="n">
        <x:f>J3212+Q3212/1440</x:f>
        <x:v>46311.461805555555</x:v>
      </x:c>
      <x:c r="S3212" s="2" t="str">
        <x:f>VLOOKUP(C3212,'MES orders'!$A$8:$H$127,6,FALSE)</x:f>
        <x:v>Normal</x:v>
      </x:c>
      <x:c r="T3212" s="9" t="str"/>
    </x:row>
    <x:row r="3213" ht="22" customHeight="1">
      <x:c r="A3213" s="2" t="str">
        <x:v>L00511-040</x:v>
      </x:c>
      <x:c r="B3213" s="2" t="str">
        <x:v>L00511</x:v>
      </x:c>
      <x:c r="C3213" s="2" t="str">
        <x:v>SO-26103</x:v>
      </x:c>
      <x:c r="D3213" s="2" t="str">
        <x:v>S-C-AL</x:v>
      </x:c>
      <x:c r="E3213" s="14" t="n">
        <x:v>25</x:v>
      </x:c>
      <x:c r="F3213" s="2" t="str">
        <x:v>Mechanical preassembly</x:v>
      </x:c>
      <x:c r="G3213" s="9" t="str">
        <x:v>AS-03</x:v>
      </x:c>
      <x:c r="H3213" s="15" t="n">
        <x:v>170</x:v>
      </x:c>
      <x:c r="I3213" s="9" t="str">
        <x:v>P02</x:v>
      </x:c>
      <x:c r="J3213" s="11" t="n">
        <x:v>46311.4375</x:v>
      </x:c>
      <x:c r="K3213" s="15" t="n">
        <x:v>6</x:v>
      </x:c>
      <x:c r="L3213" s="15" t="n">
        <x:v>22</x:v>
      </x:c>
      <x:c r="M3213" s="13" t="n">
        <x:f>J3213+(K3213+L3213)/1440</x:f>
        <x:v>46311.45694444444</x:v>
      </x:c>
      <x:c r="N3213" s="13" t="n">
        <x:f>VLOOKUP(C3213,'MES orders'!$A$8:$H$127,5,FALSE)</x:f>
        <x:v>46310.666666666664</x:v>
      </x:c>
      <x:c r="O3213" s="16" t="n">
        <x:f>MAX(0,(M3213-N3213)*24)</x:f>
        <x:v>18.966666666674428</x:v>
      </x:c>
      <x:c r="P3213" s="9" t="str">
        <x:v>No</x:v>
      </x:c>
      <x:c r="Q3213" s="15" t="n">
        <x:v>28</x:v>
      </x:c>
      <x:c r="R3213" s="13" t="n">
        <x:f>J3213+Q3213/1440</x:f>
        <x:v>46311.45694444444</x:v>
      </x:c>
      <x:c r="S3213" s="2" t="str">
        <x:f>VLOOKUP(C3213,'MES orders'!$A$8:$H$127,6,FALSE)</x:f>
        <x:v>Normal</x:v>
      </x:c>
      <x:c r="T3213" s="9" t="str"/>
    </x:row>
    <x:row r="3214" ht="22" customHeight="1">
      <x:c r="A3214" s="2" t="str">
        <x:v>L00475-020</x:v>
      </x:c>
      <x:c r="B3214" s="2" t="str">
        <x:v>L00475</x:v>
      </x:c>
      <x:c r="C3214" s="2" t="str">
        <x:v>SO-26095</x:v>
      </x:c>
      <x:c r="D3214" s="2" t="str">
        <x:v>R-L-AL</x:v>
      </x:c>
      <x:c r="E3214" s="14" t="n">
        <x:v>20</x:v>
      </x:c>
      <x:c r="F3214" s="2" t="str">
        <x:v>Deburr &amp; inspect</x:v>
      </x:c>
      <x:c r="G3214" s="9" t="str">
        <x:v>DB-01</x:v>
      </x:c>
      <x:c r="H3214" s="15" t="n">
        <x:v>302</x:v>
      </x:c>
      <x:c r="I3214" s="9" t="str">
        <x:v>P01</x:v>
      </x:c>
      <x:c r="J3214" s="11" t="n">
        <x:v>46311.4375</x:v>
      </x:c>
      <x:c r="K3214" s="15" t="n">
        <x:v>4</x:v>
      </x:c>
      <x:c r="L3214" s="15" t="n">
        <x:v>19</x:v>
      </x:c>
      <x:c r="M3214" s="13" t="n">
        <x:f>J3214+(K3214+L3214)/1440</x:f>
        <x:v>46311.45347222222</x:v>
      </x:c>
      <x:c r="N3214" s="13" t="n">
        <x:f>VLOOKUP(C3214,'MES orders'!$A$8:$H$127,5,FALSE)</x:f>
        <x:v>46310.666666666664</x:v>
      </x:c>
      <x:c r="O3214" s="16" t="n">
        <x:f>MAX(0,(M3214-N3214)*24)</x:f>
        <x:v>18.883333333418705</x:v>
      </x:c>
      <x:c r="P3214" s="9" t="str">
        <x:v>No</x:v>
      </x:c>
      <x:c r="Q3214" s="15" t="n">
        <x:v>23</x:v>
      </x:c>
      <x:c r="R3214" s="13" t="n">
        <x:f>J3214+Q3214/1440</x:f>
        <x:v>46311.45347222222</x:v>
      </x:c>
      <x:c r="S3214" s="2" t="str">
        <x:f>VLOOKUP(C3214,'MES orders'!$A$8:$H$127,6,FALSE)</x:f>
        <x:v>Normal</x:v>
      </x:c>
      <x:c r="T3214" s="9" t="str"/>
    </x:row>
    <x:row r="3215" ht="22" customHeight="1">
      <x:c r="A3215" s="2" t="str">
        <x:v>L00512-020</x:v>
      </x:c>
      <x:c r="B3215" s="2" t="str">
        <x:v>L00512</x:v>
      </x:c>
      <x:c r="C3215" s="2" t="str">
        <x:v>SO-26103</x:v>
      </x:c>
      <x:c r="D3215" s="2" t="str">
        <x:v>S-C-AL</x:v>
      </x:c>
      <x:c r="E3215" s="14" t="n">
        <x:v>25</x:v>
      </x:c>
      <x:c r="F3215" s="2" t="str">
        <x:v>Deburr &amp; inspect</x:v>
      </x:c>
      <x:c r="G3215" s="9" t="str">
        <x:v>DB-02</x:v>
      </x:c>
      <x:c r="H3215" s="15" t="n">
        <x:v>213</x:v>
      </x:c>
      <x:c r="I3215" s="9" t="str">
        <x:v>P03</x:v>
      </x:c>
      <x:c r="J3215" s="11" t="n">
        <x:v>46311.4375</x:v>
      </x:c>
      <x:c r="K3215" s="15" t="n">
        <x:v>4</x:v>
      </x:c>
      <x:c r="L3215" s="15" t="n">
        <x:v>14</x:v>
      </x:c>
      <x:c r="M3215" s="13" t="n">
        <x:f>J3215+(K3215+L3215)/1440</x:f>
        <x:v>46311.45</x:v>
      </x:c>
      <x:c r="N3215" s="13" t="n">
        <x:f>VLOOKUP(C3215,'MES orders'!$A$8:$H$127,5,FALSE)</x:f>
        <x:v>46310.666666666664</x:v>
      </x:c>
      <x:c r="O3215" s="16" t="n">
        <x:f>MAX(0,(M3215-N3215)*24)</x:f>
        <x:v>18.79999999998836</x:v>
      </x:c>
      <x:c r="P3215" s="9" t="str">
        <x:v>No</x:v>
      </x:c>
      <x:c r="Q3215" s="15" t="n">
        <x:v>18</x:v>
      </x:c>
      <x:c r="R3215" s="13" t="n">
        <x:f>J3215+Q3215/1440</x:f>
        <x:v>46311.45</x:v>
      </x:c>
      <x:c r="S3215" s="2" t="str">
        <x:f>VLOOKUP(C3215,'MES orders'!$A$8:$H$127,6,FALSE)</x:f>
        <x:v>Normal</x:v>
      </x:c>
      <x:c r="T3215" s="9" t="str"/>
    </x:row>
    <x:row r="3216" ht="22" customHeight="1">
      <x:c r="A3216" s="2" t="str">
        <x:v>L00551-080</x:v>
      </x:c>
      <x:c r="B3216" s="2" t="str">
        <x:v>L00551</x:v>
      </x:c>
      <x:c r="C3216" s="2" t="str">
        <x:v>SO-26111</x:v>
      </x:c>
      <x:c r="D3216" s="2" t="str">
        <x:v>S-S-AL</x:v>
      </x:c>
      <x:c r="E3216" s="14" t="n">
        <x:v>10</x:v>
      </x:c>
      <x:c r="F3216" s="2" t="str">
        <x:v>Final leak / function test</x:v>
      </x:c>
      <x:c r="G3216" s="9" t="str">
        <x:v>QA-02</x:v>
      </x:c>
      <x:c r="H3216" s="15" t="n">
        <x:v>241</x:v>
      </x:c>
      <x:c r="I3216" s="9" t="str">
        <x:v>P11</x:v>
      </x:c>
      <x:c r="J3216" s="11" t="n">
        <x:v>46311.4375</x:v>
      </x:c>
      <x:c r="K3216" s="15" t="n">
        <x:v>10</x:v>
      </x:c>
      <x:c r="L3216" s="15" t="n">
        <x:v>9</x:v>
      </x:c>
      <x:c r="M3216" s="13" t="n">
        <x:f>J3216+(K3216+L3216)/1440</x:f>
        <x:v>46311.450694444444</x:v>
      </x:c>
      <x:c r="N3216" s="13" t="n">
        <x:f>VLOOKUP(C3216,'MES orders'!$A$8:$H$127,5,FALSE)</x:f>
        <x:v>46310.666666666664</x:v>
      </x:c>
      <x:c r="O3216" s="16" t="n">
        <x:f>MAX(0,(M3216-N3216)*24)</x:f>
        <x:v>18.816666666709352</x:v>
      </x:c>
      <x:c r="P3216" s="9" t="str">
        <x:v>No</x:v>
      </x:c>
      <x:c r="Q3216" s="15" t="n">
        <x:v>19</x:v>
      </x:c>
      <x:c r="R3216" s="13" t="n">
        <x:f>J3216+Q3216/1440</x:f>
        <x:v>46311.450694444444</x:v>
      </x:c>
      <x:c r="S3216" s="2" t="str">
        <x:f>VLOOKUP(C3216,'MES orders'!$A$8:$H$127,6,FALSE)</x:f>
        <x:v>Normal</x:v>
      </x:c>
      <x:c r="T3216" s="9" t="str"/>
    </x:row>
    <x:row r="3217" ht="22" customHeight="1">
      <x:c r="A3217" s="2" t="str">
        <x:v>L00276-060</x:v>
      </x:c>
      <x:c r="B3217" s="2" t="str">
        <x:v>L00276</x:v>
      </x:c>
      <x:c r="C3217" s="2" t="str">
        <x:v>SO-26056</x:v>
      </x:c>
      <x:c r="D3217" s="2" t="str">
        <x:v>R-C-SS</x:v>
      </x:c>
      <x:c r="E3217" s="14" t="n">
        <x:v>5</x:v>
      </x:c>
      <x:c r="F3217" s="2" t="str">
        <x:v>Final leak / function test</x:v>
      </x:c>
      <x:c r="G3217" s="9" t="str">
        <x:v>QA-03</x:v>
      </x:c>
      <x:c r="H3217" s="15" t="n">
        <x:v>141</x:v>
      </x:c>
      <x:c r="I3217" s="9" t="str">
        <x:v>P12</x:v>
      </x:c>
      <x:c r="J3217" s="11" t="n">
        <x:v>46311.4375</x:v>
      </x:c>
      <x:c r="K3217" s="15" t="n">
        <x:v>10</x:v>
      </x:c>
      <x:c r="L3217" s="15" t="n">
        <x:v>4</x:v>
      </x:c>
      <x:c r="M3217" s="13" t="n">
        <x:f>J3217+(K3217+L3217)/1440</x:f>
        <x:v>46311.447222222225</x:v>
      </x:c>
      <x:c r="N3217" s="13" t="n">
        <x:f>VLOOKUP(C3217,'MES orders'!$A$8:$H$127,5,FALSE)</x:f>
        <x:v>46311.666666666664</x:v>
      </x:c>
      <x:c r="O3217" s="16" t="n">
        <x:f>MAX(0,(M3217-N3217)*24)</x:f>
        <x:v>0</x:v>
      </x:c>
      <x:c r="P3217" s="9" t="str">
        <x:v>No</x:v>
      </x:c>
      <x:c r="Q3217" s="15" t="n">
        <x:v>14</x:v>
      </x:c>
      <x:c r="R3217" s="13" t="n">
        <x:f>J3217+Q3217/1440</x:f>
        <x:v>46311.447222222225</x:v>
      </x:c>
      <x:c r="S3217" s="2" t="str">
        <x:f>VLOOKUP(C3217,'MES orders'!$A$8:$H$127,6,FALSE)</x:f>
        <x:v>Normal</x:v>
      </x:c>
      <x:c r="T3217" s="9" t="str"/>
    </x:row>
    <x:row r="3218" ht="22" customHeight="1">
      <x:c r="A3218" s="2" t="str">
        <x:v>L00471-030</x:v>
      </x:c>
      <x:c r="B3218" s="2" t="str">
        <x:v>L00471</x:v>
      </x:c>
      <x:c r="C3218" s="2" t="str">
        <x:v>SO-26095</x:v>
      </x:c>
      <x:c r="D3218" s="2" t="str">
        <x:v>R-L-AL</x:v>
      </x:c>
      <x:c r="E3218" s="14" t="n">
        <x:v>20</x:v>
      </x:c>
      <x:c r="F3218" s="2" t="str">
        <x:v>Wash &amp; dry</x:v>
      </x:c>
      <x:c r="G3218" s="9" t="str">
        <x:v>WS-01</x:v>
      </x:c>
      <x:c r="H3218" s="15" t="n">
        <x:v>296</x:v>
      </x:c>
      <x:c r="I3218" s="9" t="str">
        <x:v>P06</x:v>
      </x:c>
      <x:c r="J3218" s="11" t="n">
        <x:v>46311.4375</x:v>
      </x:c>
      <x:c r="K3218" s="15" t="n">
        <x:v>12</x:v>
      </x:c>
      <x:c r="L3218" s="15" t="n">
        <x:v>9</x:v>
      </x:c>
      <x:c r="M3218" s="13" t="n">
        <x:f>J3218+(K3218+L3218)/1440</x:f>
        <x:v>46311.45208333333</x:v>
      </x:c>
      <x:c r="N3218" s="13" t="n">
        <x:f>VLOOKUP(C3218,'MES orders'!$A$8:$H$127,5,FALSE)</x:f>
        <x:v>46310.666666666664</x:v>
      </x:c>
      <x:c r="O3218" s="16" t="n">
        <x:f>MAX(0,(M3218-N3218)*24)</x:f>
        <x:v>18.849999999976717</x:v>
      </x:c>
      <x:c r="P3218" s="9" t="str">
        <x:v>No</x:v>
      </x:c>
      <x:c r="Q3218" s="15" t="n">
        <x:v>21</x:v>
      </x:c>
      <x:c r="R3218" s="13" t="n">
        <x:f>J3218+Q3218/1440</x:f>
        <x:v>46311.45208333333</x:v>
      </x:c>
      <x:c r="S3218" s="2" t="str">
        <x:f>VLOOKUP(C3218,'MES orders'!$A$8:$H$127,6,FALSE)</x:f>
        <x:v>Normal</x:v>
      </x:c>
      <x:c r="T3218" s="9" t="str"/>
    </x:row>
    <x:row r="3219" ht="22" customHeight="1">
      <x:c r="A3219" s="2" t="str">
        <x:v>L00513-020</x:v>
      </x:c>
      <x:c r="B3219" s="2" t="str">
        <x:v>L00513</x:v>
      </x:c>
      <x:c r="C3219" s="2" t="str">
        <x:v>SO-26103</x:v>
      </x:c>
      <x:c r="D3219" s="2" t="str">
        <x:v>S-C-AL</x:v>
      </x:c>
      <x:c r="E3219" s="14" t="n">
        <x:v>25</x:v>
      </x:c>
      <x:c r="F3219" s="2" t="str">
        <x:v>Deburr &amp; inspect</x:v>
      </x:c>
      <x:c r="G3219" s="9" t="str">
        <x:v>DB-02</x:v>
      </x:c>
      <x:c r="H3219" s="15" t="n">
        <x:v>214</x:v>
      </x:c>
      <x:c r="I3219" s="9" t="str">
        <x:v>P08</x:v>
      </x:c>
      <x:c r="J3219" s="11" t="n">
        <x:v>46311.45</x:v>
      </x:c>
      <x:c r="K3219" s="15" t="n">
        <x:v>4</x:v>
      </x:c>
      <x:c r="L3219" s="15" t="n">
        <x:v>14</x:v>
      </x:c>
      <x:c r="M3219" s="13" t="n">
        <x:f>J3219+(K3219+L3219)/1440</x:f>
        <x:v>46311.462499999994</x:v>
      </x:c>
      <x:c r="N3219" s="13" t="n">
        <x:f>VLOOKUP(C3219,'MES orders'!$A$8:$H$127,5,FALSE)</x:f>
        <x:v>46310.666666666664</x:v>
      </x:c>
      <x:c r="O3219" s="16" t="n">
        <x:f>MAX(0,(M3219-N3219)*24)</x:f>
        <x:v>19.09999999991851</x:v>
      </x:c>
      <x:c r="P3219" s="9" t="str">
        <x:v>No</x:v>
      </x:c>
      <x:c r="Q3219" s="15" t="n">
        <x:v>18</x:v>
      </x:c>
      <x:c r="R3219" s="13" t="n">
        <x:f>J3219+Q3219/1440</x:f>
        <x:v>46311.462499999994</x:v>
      </x:c>
      <x:c r="S3219" s="2" t="str">
        <x:f>VLOOKUP(C3219,'MES orders'!$A$8:$H$127,6,FALSE)</x:f>
        <x:v>Normal</x:v>
      </x:c>
      <x:c r="T3219" s="9" t="str"/>
    </x:row>
    <x:row r="3220" ht="22" customHeight="1">
      <x:c r="A3220" s="2" t="str">
        <x:v>L00512-030</x:v>
      </x:c>
      <x:c r="B3220" s="2" t="str">
        <x:v>L00512</x:v>
      </x:c>
      <x:c r="C3220" s="2" t="str">
        <x:v>SO-26103</x:v>
      </x:c>
      <x:c r="D3220" s="2" t="str">
        <x:v>S-C-AL</x:v>
      </x:c>
      <x:c r="E3220" s="14" t="n">
        <x:v>25</x:v>
      </x:c>
      <x:c r="F3220" s="2" t="str">
        <x:v>Wash &amp; dry</x:v>
      </x:c>
      <x:c r="G3220" s="9" t="str">
        <x:v>WS-02</x:v>
      </x:c>
      <x:c r="H3220" s="15" t="n">
        <x:v>216</x:v>
      </x:c>
      <x:c r="I3220" s="9" t="str">
        <x:v>P03</x:v>
      </x:c>
      <x:c r="J3220" s="11" t="n">
        <x:v>46311.45</x:v>
      </x:c>
      <x:c r="K3220" s="15" t="n">
        <x:v>12</x:v>
      </x:c>
      <x:c r="L3220" s="15" t="n">
        <x:v>7</x:v>
      </x:c>
      <x:c r="M3220" s="13" t="n">
        <x:f>J3220+(K3220+L3220)/1440</x:f>
        <x:v>46311.46319444444</x:v>
      </x:c>
      <x:c r="N3220" s="13" t="n">
        <x:f>VLOOKUP(C3220,'MES orders'!$A$8:$H$127,5,FALSE)</x:f>
        <x:v>46310.666666666664</x:v>
      </x:c>
      <x:c r="O3220" s="16" t="n">
        <x:f>MAX(0,(M3220-N3220)*24)</x:f>
        <x:v>19.116666666639503</x:v>
      </x:c>
      <x:c r="P3220" s="9" t="str">
        <x:v>No</x:v>
      </x:c>
      <x:c r="Q3220" s="15" t="n">
        <x:v>19</x:v>
      </x:c>
      <x:c r="R3220" s="13" t="n">
        <x:f>J3220+Q3220/1440</x:f>
        <x:v>46311.46319444444</x:v>
      </x:c>
      <x:c r="S3220" s="2" t="str">
        <x:f>VLOOKUP(C3220,'MES orders'!$A$8:$H$127,6,FALSE)</x:f>
        <x:v>Normal</x:v>
      </x:c>
      <x:c r="T3220" s="9" t="str"/>
    </x:row>
    <x:row r="3221" ht="22" customHeight="1">
      <x:c r="A3221" s="2" t="str">
        <x:v>L00514-020</x:v>
      </x:c>
      <x:c r="B3221" s="2" t="str">
        <x:v>L00514</x:v>
      </x:c>
      <x:c r="C3221" s="2" t="str">
        <x:v>SO-26103</x:v>
      </x:c>
      <x:c r="D3221" s="2" t="str">
        <x:v>S-C-AL</x:v>
      </x:c>
      <x:c r="E3221" s="14" t="n">
        <x:v>25</x:v>
      </x:c>
      <x:c r="F3221" s="2" t="str">
        <x:v>Deburr &amp; inspect</x:v>
      </x:c>
      <x:c r="G3221" s="9" t="str">
        <x:v>DB-01</x:v>
      </x:c>
      <x:c r="H3221" s="15" t="n">
        <x:v>303</x:v>
      </x:c>
      <x:c r="I3221" s="9" t="str">
        <x:v>P11</x:v>
      </x:c>
      <x:c r="J3221" s="11" t="n">
        <x:v>46311.45347222222</x:v>
      </x:c>
      <x:c r="K3221" s="15" t="n">
        <x:v>4</x:v>
      </x:c>
      <x:c r="L3221" s="15" t="n">
        <x:v>14</x:v>
      </x:c>
      <x:c r="M3221" s="13" t="n">
        <x:f>J3221+(K3221+L3221)/1440</x:f>
        <x:v>46311.46597222222</x:v>
      </x:c>
      <x:c r="N3221" s="13" t="n">
        <x:f>VLOOKUP(C3221,'MES orders'!$A$8:$H$127,5,FALSE)</x:f>
        <x:v>46310.666666666664</x:v>
      </x:c>
      <x:c r="O3221" s="16" t="n">
        <x:f>MAX(0,(M3221-N3221)*24)</x:f>
        <x:v>19.183333333348855</x:v>
      </x:c>
      <x:c r="P3221" s="9" t="str">
        <x:v>No</x:v>
      </x:c>
      <x:c r="Q3221" s="15" t="n">
        <x:v>18</x:v>
      </x:c>
      <x:c r="R3221" s="13" t="n">
        <x:f>J3221+Q3221/1440</x:f>
        <x:v>46311.46597222222</x:v>
      </x:c>
      <x:c r="S3221" s="2" t="str">
        <x:f>VLOOKUP(C3221,'MES orders'!$A$8:$H$127,6,FALSE)</x:f>
        <x:v>Normal</x:v>
      </x:c>
      <x:c r="T3221" s="9" t="str"/>
    </x:row>
    <x:row r="3222" ht="22" customHeight="1">
      <x:c r="A3222" s="2" t="str">
        <x:v>L00475-030</x:v>
      </x:c>
      <x:c r="B3222" s="2" t="str">
        <x:v>L00475</x:v>
      </x:c>
      <x:c r="C3222" s="2" t="str">
        <x:v>SO-26095</x:v>
      </x:c>
      <x:c r="D3222" s="2" t="str">
        <x:v>R-L-AL</x:v>
      </x:c>
      <x:c r="E3222" s="14" t="n">
        <x:v>20</x:v>
      </x:c>
      <x:c r="F3222" s="2" t="str">
        <x:v>Wash &amp; dry</x:v>
      </x:c>
      <x:c r="G3222" s="9" t="str">
        <x:v>WS-01</x:v>
      </x:c>
      <x:c r="H3222" s="15" t="n">
        <x:v>297</x:v>
      </x:c>
      <x:c r="I3222" s="9" t="str">
        <x:v>P01</x:v>
      </x:c>
      <x:c r="J3222" s="11" t="n">
        <x:v>46311.45347222222</x:v>
      </x:c>
      <x:c r="K3222" s="15" t="n">
        <x:v>12</x:v>
      </x:c>
      <x:c r="L3222" s="15" t="n">
        <x:v>9</x:v>
      </x:c>
      <x:c r="M3222" s="13" t="n">
        <x:f>J3222+(K3222+L3222)/1440</x:f>
        <x:v>46311.46805555555</x:v>
      </x:c>
      <x:c r="N3222" s="13" t="n">
        <x:f>VLOOKUP(C3222,'MES orders'!$A$8:$H$127,5,FALSE)</x:f>
        <x:v>46310.666666666664</x:v>
      </x:c>
      <x:c r="O3222" s="16" t="n">
        <x:f>MAX(0,(M3222-N3222)*24)</x:f>
        <x:v>19.233333333337214</x:v>
      </x:c>
      <x:c r="P3222" s="9" t="str">
        <x:v>No</x:v>
      </x:c>
      <x:c r="Q3222" s="15" t="n">
        <x:v>21</x:v>
      </x:c>
      <x:c r="R3222" s="13" t="n">
        <x:f>J3222+Q3222/1440</x:f>
        <x:v>46311.46805555555</x:v>
      </x:c>
      <x:c r="S3222" s="2" t="str">
        <x:f>VLOOKUP(C3222,'MES orders'!$A$8:$H$127,6,FALSE)</x:f>
        <x:v>Normal</x:v>
      </x:c>
      <x:c r="T3222" s="9" t="str"/>
    </x:row>
    <x:row r="3223" ht="22" customHeight="1">
      <x:c r="A3223" s="2" t="str">
        <x:v>L00511-050</x:v>
      </x:c>
      <x:c r="B3223" s="2" t="str">
        <x:v>L00511</x:v>
      </x:c>
      <x:c r="C3223" s="2" t="str">
        <x:v>SO-26103</x:v>
      </x:c>
      <x:c r="D3223" s="2" t="str">
        <x:v>S-C-AL</x:v>
      </x:c>
      <x:c r="E3223" s="14" t="n">
        <x:v>25</x:v>
      </x:c>
      <x:c r="F3223" s="2" t="str">
        <x:v>Sensor installation</x:v>
      </x:c>
      <x:c r="G3223" s="9" t="str">
        <x:v>EL-01</x:v>
      </x:c>
      <x:c r="H3223" s="15" t="n">
        <x:v>107</x:v>
      </x:c>
      <x:c r="I3223" s="9" t="str">
        <x:v>P07</x:v>
      </x:c>
      <x:c r="J3223" s="11" t="n">
        <x:v>46311.45694444444</x:v>
      </x:c>
      <x:c r="K3223" s="15" t="n">
        <x:v>8</x:v>
      </x:c>
      <x:c r="L3223" s="15" t="n">
        <x:v>24</x:v>
      </x:c>
      <x:c r="M3223" s="13" t="n">
        <x:f>J3223+(K3223+L3223)/1440</x:f>
        <x:v>46311.479166666664</x:v>
      </x:c>
      <x:c r="N3223" s="13" t="n">
        <x:f>VLOOKUP(C3223,'MES orders'!$A$8:$H$127,5,FALSE)</x:f>
        <x:v>46310.666666666664</x:v>
      </x:c>
      <x:c r="O3223" s="16" t="n">
        <x:f>MAX(0,(M3223-N3223)*24)</x:f>
        <x:v>19.5</x:v>
      </x:c>
      <x:c r="P3223" s="9" t="str">
        <x:v>No</x:v>
      </x:c>
      <x:c r="Q3223" s="15" t="n">
        <x:v>32</x:v>
      </x:c>
      <x:c r="R3223" s="13" t="n">
        <x:f>J3223+Q3223/1440</x:f>
        <x:v>46311.479166666664</x:v>
      </x:c>
      <x:c r="S3223" s="2" t="str">
        <x:f>VLOOKUP(C3223,'MES orders'!$A$8:$H$127,6,FALSE)</x:f>
        <x:v>Normal</x:v>
      </x:c>
      <x:c r="T3223" s="9" t="str"/>
    </x:row>
    <x:row r="3224" ht="22" customHeight="1">
      <x:c r="A3224" s="2" t="str">
        <x:v>L00434-050</x:v>
      </x:c>
      <x:c r="B3224" s="2" t="str">
        <x:v>L00434</x:v>
      </x:c>
      <x:c r="C3224" s="2" t="str">
        <x:v>SO-26087</x:v>
      </x:c>
      <x:c r="D3224" s="2" t="str">
        <x:v>R-S-AL</x:v>
      </x:c>
      <x:c r="E3224" s="14" t="n">
        <x:v>15</x:v>
      </x:c>
      <x:c r="F3224" s="2" t="str">
        <x:v>Valve adjustment</x:v>
      </x:c>
      <x:c r="G3224" s="9" t="str">
        <x:v>AS-01</x:v>
      </x:c>
      <x:c r="H3224" s="15" t="n">
        <x:v>255</x:v>
      </x:c>
      <x:c r="I3224" s="9" t="str">
        <x:v>P05</x:v>
      </x:c>
      <x:c r="J3224" s="11" t="n">
        <x:v>46311.461805555555</x:v>
      </x:c>
      <x:c r="K3224" s="15" t="n">
        <x:v>6</x:v>
      </x:c>
      <x:c r="L3224" s="15" t="n">
        <x:v>16</x:v>
      </x:c>
      <x:c r="M3224" s="13" t="n">
        <x:f>J3224+(K3224+L3224)/1440</x:f>
        <x:v>46311.47708333333</x:v>
      </x:c>
      <x:c r="N3224" s="13" t="n">
        <x:f>VLOOKUP(C3224,'MES orders'!$A$8:$H$127,5,FALSE)</x:f>
        <x:v>46310.666666666664</x:v>
      </x:c>
      <x:c r="O3224" s="16" t="n">
        <x:f>MAX(0,(M3224-N3224)*24)</x:f>
        <x:v>19.45000000001164</x:v>
      </x:c>
      <x:c r="P3224" s="9" t="str">
        <x:v>No</x:v>
      </x:c>
      <x:c r="Q3224" s="15" t="n">
        <x:v>22</x:v>
      </x:c>
      <x:c r="R3224" s="13" t="n">
        <x:f>J3224+Q3224/1440</x:f>
        <x:v>46311.47708333333</x:v>
      </x:c>
      <x:c r="S3224" s="2" t="str">
        <x:f>VLOOKUP(C3224,'MES orders'!$A$8:$H$127,6,FALSE)</x:f>
        <x:v>Normal</x:v>
      </x:c>
      <x:c r="T3224" s="9" t="str"/>
    </x:row>
    <x:row r="3225" ht="22" customHeight="1">
      <x:c r="A3225" s="2" t="str">
        <x:v>L00435-050</x:v>
      </x:c>
      <x:c r="B3225" s="2" t="str">
        <x:v>L00435</x:v>
      </x:c>
      <x:c r="C3225" s="2" t="str">
        <x:v>SO-26087</x:v>
      </x:c>
      <x:c r="D3225" s="2" t="str">
        <x:v>R-S-AL</x:v>
      </x:c>
      <x:c r="E3225" s="14" t="n">
        <x:v>15</x:v>
      </x:c>
      <x:c r="F3225" s="2" t="str">
        <x:v>Valve adjustment</x:v>
      </x:c>
      <x:c r="G3225" s="9" t="str">
        <x:v>AS-02</x:v>
      </x:c>
      <x:c r="H3225" s="15" t="n">
        <x:v>208</x:v>
      </x:c>
      <x:c r="I3225" s="9" t="str">
        <x:v>P06</x:v>
      </x:c>
      <x:c r="J3225" s="11" t="n">
        <x:v>46311.461805555555</x:v>
      </x:c>
      <x:c r="K3225" s="15" t="n">
        <x:v>6</x:v>
      </x:c>
      <x:c r="L3225" s="15" t="n">
        <x:v>16</x:v>
      </x:c>
      <x:c r="M3225" s="13" t="n">
        <x:f>J3225+(K3225+L3225)/1440</x:f>
        <x:v>46311.47708333333</x:v>
      </x:c>
      <x:c r="N3225" s="13" t="n">
        <x:f>VLOOKUP(C3225,'MES orders'!$A$8:$H$127,5,FALSE)</x:f>
        <x:v>46310.666666666664</x:v>
      </x:c>
      <x:c r="O3225" s="16" t="n">
        <x:f>MAX(0,(M3225-N3225)*24)</x:f>
        <x:v>19.45000000001164</x:v>
      </x:c>
      <x:c r="P3225" s="9" t="str">
        <x:v>No</x:v>
      </x:c>
      <x:c r="Q3225" s="15" t="n">
        <x:v>22</x:v>
      </x:c>
      <x:c r="R3225" s="13" t="n">
        <x:f>J3225+Q3225/1440</x:f>
        <x:v>46311.47708333333</x:v>
      </x:c>
      <x:c r="S3225" s="2" t="str">
        <x:f>VLOOKUP(C3225,'MES orders'!$A$8:$H$127,6,FALSE)</x:f>
        <x:v>Normal</x:v>
      </x:c>
      <x:c r="T3225" s="9" t="str"/>
    </x:row>
    <x:row r="3226" ht="22" customHeight="1">
      <x:c r="A3226" s="2" t="str">
        <x:v>L00471-040</x:v>
      </x:c>
      <x:c r="B3226" s="2" t="str">
        <x:v>L00471</x:v>
      </x:c>
      <x:c r="C3226" s="2" t="str">
        <x:v>SO-26095</x:v>
      </x:c>
      <x:c r="D3226" s="2" t="str">
        <x:v>R-L-AL</x:v>
      </x:c>
      <x:c r="E3226" s="14" t="n">
        <x:v>20</x:v>
      </x:c>
      <x:c r="F3226" s="2" t="str">
        <x:v>Mechanical assembly</x:v>
      </x:c>
      <x:c r="G3226" s="9" t="str">
        <x:v>AS-03</x:v>
      </x:c>
      <x:c r="H3226" s="15" t="n">
        <x:v>171</x:v>
      </x:c>
      <x:c r="I3226" s="9" t="str">
        <x:v>P04</x:v>
      </x:c>
      <x:c r="J3226" s="11" t="n">
        <x:v>46311.461805555555</x:v>
      </x:c>
      <x:c r="K3226" s="15" t="n">
        <x:v>8</x:v>
      </x:c>
      <x:c r="L3226" s="15" t="n">
        <x:v>49</x:v>
      </x:c>
      <x:c r="M3226" s="13" t="n">
        <x:f>J3226+(K3226+L3226)/1440</x:f>
        <x:v>46311.501388888886</x:v>
      </x:c>
      <x:c r="N3226" s="13" t="n">
        <x:f>VLOOKUP(C3226,'MES orders'!$A$8:$H$127,5,FALSE)</x:f>
        <x:v>46310.666666666664</x:v>
      </x:c>
      <x:c r="O3226" s="16" t="n">
        <x:f>MAX(0,(M3226-N3226)*24)</x:f>
        <x:v>20.033333333325572</x:v>
      </x:c>
      <x:c r="P3226" s="9" t="str">
        <x:v>No</x:v>
      </x:c>
      <x:c r="Q3226" s="15" t="n">
        <x:v>57</x:v>
      </x:c>
      <x:c r="R3226" s="13" t="n">
        <x:f>J3226+Q3226/1440</x:f>
        <x:v>46311.501388888886</x:v>
      </x:c>
      <x:c r="S3226" s="2" t="str">
        <x:f>VLOOKUP(C3226,'MES orders'!$A$8:$H$127,6,FALSE)</x:f>
        <x:v>Normal</x:v>
      </x:c>
      <x:c r="T3226" s="9" t="str"/>
    </x:row>
    <x:row r="3227" ht="22" customHeight="1">
      <x:c r="A3227" s="2" t="str">
        <x:v>L00515-020</x:v>
      </x:c>
      <x:c r="B3227" s="2" t="str">
        <x:v>L00515</x:v>
      </x:c>
      <x:c r="C3227" s="2" t="str">
        <x:v>SO-26103</x:v>
      </x:c>
      <x:c r="D3227" s="2" t="str">
        <x:v>S-C-AL</x:v>
      </x:c>
      <x:c r="E3227" s="14" t="n">
        <x:v>25</x:v>
      </x:c>
      <x:c r="F3227" s="2" t="str">
        <x:v>Deburr &amp; inspect</x:v>
      </x:c>
      <x:c r="G3227" s="9" t="str">
        <x:v>DB-02</x:v>
      </x:c>
      <x:c r="H3227" s="15" t="n">
        <x:v>215</x:v>
      </x:c>
      <x:c r="I3227" s="9" t="str">
        <x:v>P08</x:v>
      </x:c>
      <x:c r="J3227" s="11" t="n">
        <x:v>46311.4625</x:v>
      </x:c>
      <x:c r="K3227" s="15" t="n">
        <x:v>4</x:v>
      </x:c>
      <x:c r="L3227" s="15" t="n">
        <x:v>14</x:v>
      </x:c>
      <x:c r="M3227" s="13" t="n">
        <x:f>J3227+(K3227+L3227)/1440</x:f>
        <x:v>46311.475</x:v>
      </x:c>
      <x:c r="N3227" s="13" t="n">
        <x:f>VLOOKUP(C3227,'MES orders'!$A$8:$H$127,5,FALSE)</x:f>
        <x:v>46310.666666666664</x:v>
      </x:c>
      <x:c r="O3227" s="16" t="n">
        <x:f>MAX(0,(M3227-N3227)*24)</x:f>
        <x:v>19.400000000023283</x:v>
      </x:c>
      <x:c r="P3227" s="9" t="str">
        <x:v>No</x:v>
      </x:c>
      <x:c r="Q3227" s="15" t="n">
        <x:v>18</x:v>
      </x:c>
      <x:c r="R3227" s="13" t="n">
        <x:f>J3227+Q3227/1440</x:f>
        <x:v>46311.475</x:v>
      </x:c>
      <x:c r="S3227" s="2" t="str">
        <x:f>VLOOKUP(C3227,'MES orders'!$A$8:$H$127,6,FALSE)</x:f>
        <x:v>Normal</x:v>
      </x:c>
      <x:c r="T3227" s="9" t="str"/>
    </x:row>
    <x:row r="3228" ht="22" customHeight="1">
      <x:c r="A3228" s="2" t="str">
        <x:v>L00512-040</x:v>
      </x:c>
      <x:c r="B3228" s="2" t="str">
        <x:v>L00512</x:v>
      </x:c>
      <x:c r="C3228" s="2" t="str">
        <x:v>SO-26103</x:v>
      </x:c>
      <x:c r="D3228" s="2" t="str">
        <x:v>S-C-AL</x:v>
      </x:c>
      <x:c r="E3228" s="14" t="n">
        <x:v>25</x:v>
      </x:c>
      <x:c r="F3228" s="2" t="str">
        <x:v>Mechanical preassembly</x:v>
      </x:c>
      <x:c r="G3228" s="9" t="str">
        <x:v>AS-05</x:v>
      </x:c>
      <x:c r="H3228" s="15" t="n">
        <x:v>67</x:v>
      </x:c>
      <x:c r="I3228" s="9" t="str">
        <x:v>P02</x:v>
      </x:c>
      <x:c r="J3228" s="11" t="n">
        <x:v>46311.46319444444</x:v>
      </x:c>
      <x:c r="K3228" s="15" t="n">
        <x:v>6</x:v>
      </x:c>
      <x:c r="L3228" s="15" t="n">
        <x:v>22</x:v>
      </x:c>
      <x:c r="M3228" s="13" t="n">
        <x:f>J3228+(K3228+L3228)/1440</x:f>
        <x:v>46311.48263888888</x:v>
      </x:c>
      <x:c r="N3228" s="13" t="n">
        <x:f>VLOOKUP(C3228,'MES orders'!$A$8:$H$127,5,FALSE)</x:f>
        <x:v>46310.666666666664</x:v>
      </x:c>
      <x:c r="O3228" s="16" t="n">
        <x:f>MAX(0,(M3228-N3228)*24)</x:f>
        <x:v>19.583333333255723</x:v>
      </x:c>
      <x:c r="P3228" s="9" t="str">
        <x:v>No</x:v>
      </x:c>
      <x:c r="Q3228" s="15" t="n">
        <x:v>28</x:v>
      </x:c>
      <x:c r="R3228" s="13" t="n">
        <x:f>J3228+Q3228/1440</x:f>
        <x:v>46311.48263888888</x:v>
      </x:c>
      <x:c r="S3228" s="2" t="str">
        <x:f>VLOOKUP(C3228,'MES orders'!$A$8:$H$127,6,FALSE)</x:f>
        <x:v>Normal</x:v>
      </x:c>
      <x:c r="T3228" s="9" t="str"/>
    </x:row>
    <x:row r="3229" ht="22" customHeight="1">
      <x:c r="A3229" s="2" t="str">
        <x:v>L00513-030</x:v>
      </x:c>
      <x:c r="B3229" s="2" t="str">
        <x:v>L00513</x:v>
      </x:c>
      <x:c r="C3229" s="2" t="str">
        <x:v>SO-26103</x:v>
      </x:c>
      <x:c r="D3229" s="2" t="str">
        <x:v>S-C-AL</x:v>
      </x:c>
      <x:c r="E3229" s="14" t="n">
        <x:v>25</x:v>
      </x:c>
      <x:c r="F3229" s="2" t="str">
        <x:v>Wash &amp; dry</x:v>
      </x:c>
      <x:c r="G3229" s="9" t="str">
        <x:v>WS-02</x:v>
      </x:c>
      <x:c r="H3229" s="15" t="n">
        <x:v>217</x:v>
      </x:c>
      <x:c r="I3229" s="9" t="str">
        <x:v>P03</x:v>
      </x:c>
      <x:c r="J3229" s="11" t="n">
        <x:v>46311.46319444444</x:v>
      </x:c>
      <x:c r="K3229" s="15" t="n">
        <x:v>12</x:v>
      </x:c>
      <x:c r="L3229" s="15" t="n">
        <x:v>7</x:v>
      </x:c>
      <x:c r="M3229" s="13" t="n">
        <x:f>J3229+(K3229+L3229)/1440</x:f>
        <x:v>46311.476388888885</x:v>
      </x:c>
      <x:c r="N3229" s="13" t="n">
        <x:f>VLOOKUP(C3229,'MES orders'!$A$8:$H$127,5,FALSE)</x:f>
        <x:v>46310.666666666664</x:v>
      </x:c>
      <x:c r="O3229" s="16" t="n">
        <x:f>MAX(0,(M3229-N3229)*24)</x:f>
        <x:v>19.433333333290648</x:v>
      </x:c>
      <x:c r="P3229" s="9" t="str">
        <x:v>No</x:v>
      </x:c>
      <x:c r="Q3229" s="15" t="n">
        <x:v>19</x:v>
      </x:c>
      <x:c r="R3229" s="13" t="n">
        <x:f>J3229+Q3229/1440</x:f>
        <x:v>46311.476388888885</x:v>
      </x:c>
      <x:c r="S3229" s="2" t="str">
        <x:f>VLOOKUP(C3229,'MES orders'!$A$8:$H$127,6,FALSE)</x:f>
        <x:v>Normal</x:v>
      </x:c>
      <x:c r="T3229" s="9" t="str"/>
    </x:row>
    <x:row r="3230" ht="22" customHeight="1">
      <x:c r="A3230" s="2" t="str">
        <x:v>L00554-020</x:v>
      </x:c>
      <x:c r="B3230" s="2" t="str">
        <x:v>L00554</x:v>
      </x:c>
      <x:c r="C3230" s="2" t="str">
        <x:v>SO-26111</x:v>
      </x:c>
      <x:c r="D3230" s="2" t="str">
        <x:v>S-S-AL</x:v>
      </x:c>
      <x:c r="E3230" s="14" t="n">
        <x:v>10</x:v>
      </x:c>
      <x:c r="F3230" s="2" t="str">
        <x:v>Deburr &amp; inspect</x:v>
      </x:c>
      <x:c r="G3230" s="9" t="str">
        <x:v>DB-01</x:v>
      </x:c>
      <x:c r="H3230" s="15" t="n">
        <x:v>304</x:v>
      </x:c>
      <x:c r="I3230" s="9" t="str">
        <x:v>P11</x:v>
      </x:c>
      <x:c r="J3230" s="11" t="n">
        <x:v>46311.46597222222</x:v>
      </x:c>
      <x:c r="K3230" s="15" t="n">
        <x:v>4</x:v>
      </x:c>
      <x:c r="L3230" s="15" t="n">
        <x:v>7</x:v>
      </x:c>
      <x:c r="M3230" s="13" t="n">
        <x:f>J3230+(K3230+L3230)/1440</x:f>
        <x:v>46311.47361111111</x:v>
      </x:c>
      <x:c r="N3230" s="13" t="n">
        <x:f>VLOOKUP(C3230,'MES orders'!$A$8:$H$127,5,FALSE)</x:f>
        <x:v>46310.666666666664</x:v>
      </x:c>
      <x:c r="O3230" s="16" t="n">
        <x:f>MAX(0,(M3230-N3230)*24)</x:f>
        <x:v>19.36666666675592</x:v>
      </x:c>
      <x:c r="P3230" s="9" t="str">
        <x:v>No</x:v>
      </x:c>
      <x:c r="Q3230" s="15" t="n">
        <x:v>11</x:v>
      </x:c>
      <x:c r="R3230" s="13" t="n">
        <x:f>J3230+Q3230/1440</x:f>
        <x:v>46311.47361111111</x:v>
      </x:c>
      <x:c r="S3230" s="2" t="str">
        <x:f>VLOOKUP(C3230,'MES orders'!$A$8:$H$127,6,FALSE)</x:f>
        <x:v>Normal</x:v>
      </x:c>
      <x:c r="T3230" s="9" t="str"/>
    </x:row>
    <x:row r="3231" ht="22" customHeight="1">
      <x:c r="A3231" s="2" t="str">
        <x:v>L00475-040</x:v>
      </x:c>
      <x:c r="B3231" s="2" t="str">
        <x:v>L00475</x:v>
      </x:c>
      <x:c r="C3231" s="2" t="str">
        <x:v>SO-26095</x:v>
      </x:c>
      <x:c r="D3231" s="2" t="str">
        <x:v>R-L-AL</x:v>
      </x:c>
      <x:c r="E3231" s="14" t="n">
        <x:v>20</x:v>
      </x:c>
      <x:c r="F3231" s="2" t="str">
        <x:v>Mechanical assembly</x:v>
      </x:c>
      <x:c r="G3231" s="9" t="str">
        <x:v>AS-04</x:v>
      </x:c>
      <x:c r="H3231" s="15" t="n">
        <x:v>118</x:v>
      </x:c>
      <x:c r="I3231" s="9" t="str">
        <x:v>P01</x:v>
      </x:c>
      <x:c r="J3231" s="11" t="n">
        <x:v>46311.46805555555</x:v>
      </x:c>
      <x:c r="K3231" s="15" t="n">
        <x:v>8</x:v>
      </x:c>
      <x:c r="L3231" s="15" t="n">
        <x:v>49</x:v>
      </x:c>
      <x:c r="M3231" s="13" t="n">
        <x:f>J3231+(K3231+L3231)/1440</x:f>
        <x:v>46311.507638888885</x:v>
      </x:c>
      <x:c r="N3231" s="13" t="n">
        <x:f>VLOOKUP(C3231,'MES orders'!$A$8:$H$127,5,FALSE)</x:f>
        <x:v>46310.666666666664</x:v>
      </x:c>
      <x:c r="O3231" s="16" t="n">
        <x:f>MAX(0,(M3231-N3231)*24)</x:f>
        <x:v>20.183333333290648</x:v>
      </x:c>
      <x:c r="P3231" s="9" t="str">
        <x:v>No</x:v>
      </x:c>
      <x:c r="Q3231" s="15" t="n">
        <x:v>57</x:v>
      </x:c>
      <x:c r="R3231" s="13" t="n">
        <x:f>J3231+Q3231/1440</x:f>
        <x:v>46311.507638888885</x:v>
      </x:c>
      <x:c r="S3231" s="2" t="str">
        <x:f>VLOOKUP(C3231,'MES orders'!$A$8:$H$127,6,FALSE)</x:f>
        <x:v>Normal</x:v>
      </x:c>
      <x:c r="T3231" s="9" t="str"/>
    </x:row>
    <x:row r="3232" ht="22" customHeight="1">
      <x:c r="A3232" s="2" t="str">
        <x:v>L00555-020</x:v>
      </x:c>
      <x:c r="B3232" s="2" t="str">
        <x:v>L00555</x:v>
      </x:c>
      <x:c r="C3232" s="2" t="str">
        <x:v>SO-26111</x:v>
      </x:c>
      <x:c r="D3232" s="2" t="str">
        <x:v>S-S-AL</x:v>
      </x:c>
      <x:c r="E3232" s="14" t="n">
        <x:v>10</x:v>
      </x:c>
      <x:c r="F3232" s="2" t="str">
        <x:v>Deburr &amp; inspect</x:v>
      </x:c>
      <x:c r="G3232" s="9" t="str">
        <x:v>DB-01</x:v>
      </x:c>
      <x:c r="H3232" s="15" t="n">
        <x:v>305</x:v>
      </x:c>
      <x:c r="I3232" s="9" t="str">
        <x:v>P08</x:v>
      </x:c>
      <x:c r="J3232" s="11" t="n">
        <x:v>46311.475</x:v>
      </x:c>
      <x:c r="K3232" s="15" t="n">
        <x:v>4</x:v>
      </x:c>
      <x:c r="L3232" s="15" t="n">
        <x:v>7</x:v>
      </x:c>
      <x:c r="M3232" s="13" t="n">
        <x:f>J3232+(K3232+L3232)/1440</x:f>
        <x:v>46311.48263888889</x:v>
      </x:c>
      <x:c r="N3232" s="13" t="n">
        <x:f>VLOOKUP(C3232,'MES orders'!$A$8:$H$127,5,FALSE)</x:f>
        <x:v>46310.666666666664</x:v>
      </x:c>
      <x:c r="O3232" s="16" t="n">
        <x:f>MAX(0,(M3232-N3232)*24)</x:f>
        <x:v>19.583333333430346</x:v>
      </x:c>
      <x:c r="P3232" s="9" t="str">
        <x:v>No</x:v>
      </x:c>
      <x:c r="Q3232" s="15" t="n">
        <x:v>11</x:v>
      </x:c>
      <x:c r="R3232" s="13" t="n">
        <x:f>J3232+Q3232/1440</x:f>
        <x:v>46311.48263888889</x:v>
      </x:c>
      <x:c r="S3232" s="2" t="str">
        <x:f>VLOOKUP(C3232,'MES orders'!$A$8:$H$127,6,FALSE)</x:f>
        <x:v>Normal</x:v>
      </x:c>
      <x:c r="T3232" s="9" t="str"/>
    </x:row>
    <x:row r="3233" ht="22" customHeight="1">
      <x:c r="A3233" s="2" t="str">
        <x:v>L00513-040</x:v>
      </x:c>
      <x:c r="B3233" s="2" t="str">
        <x:v>L00513</x:v>
      </x:c>
      <x:c r="C3233" s="2" t="str">
        <x:v>SO-26103</x:v>
      </x:c>
      <x:c r="D3233" s="2" t="str">
        <x:v>S-C-AL</x:v>
      </x:c>
      <x:c r="E3233" s="14" t="n">
        <x:v>25</x:v>
      </x:c>
      <x:c r="F3233" s="2" t="str">
        <x:v>Mechanical preassembly</x:v>
      </x:c>
      <x:c r="G3233" s="9" t="str">
        <x:v>AS-06</x:v>
      </x:c>
      <x:c r="H3233" s="15" t="n">
        <x:v>27</x:v>
      </x:c>
      <x:c r="I3233" s="9" t="str">
        <x:v>P03</x:v>
      </x:c>
      <x:c r="J3233" s="11" t="n">
        <x:v>46311.47638888889</x:v>
      </x:c>
      <x:c r="K3233" s="15" t="n">
        <x:v>6</x:v>
      </x:c>
      <x:c r="L3233" s="15" t="n">
        <x:v>22</x:v>
      </x:c>
      <x:c r="M3233" s="13" t="n">
        <x:f>J3233+(K3233+L3233)/1440</x:f>
        <x:v>46311.495833333334</x:v>
      </x:c>
      <x:c r="N3233" s="13" t="n">
        <x:f>VLOOKUP(C3233,'MES orders'!$A$8:$H$127,5,FALSE)</x:f>
        <x:v>46310.666666666664</x:v>
      </x:c>
      <x:c r="O3233" s="16" t="n">
        <x:f>MAX(0,(M3233-N3233)*24)</x:f>
        <x:v>19.90000000008149</x:v>
      </x:c>
      <x:c r="P3233" s="9" t="str">
        <x:v>No</x:v>
      </x:c>
      <x:c r="Q3233" s="15" t="n">
        <x:v>28</x:v>
      </x:c>
      <x:c r="R3233" s="13" t="n">
        <x:f>J3233+Q3233/1440</x:f>
        <x:v>46311.495833333334</x:v>
      </x:c>
      <x:c r="S3233" s="2" t="str">
        <x:f>VLOOKUP(C3233,'MES orders'!$A$8:$H$127,6,FALSE)</x:f>
        <x:v>Normal</x:v>
      </x:c>
      <x:c r="T3233" s="9" t="str"/>
    </x:row>
    <x:row r="3234" ht="22" customHeight="1">
      <x:c r="A3234" s="2" t="str">
        <x:v>L00434-060</x:v>
      </x:c>
      <x:c r="B3234" s="2" t="str">
        <x:v>L00434</x:v>
      </x:c>
      <x:c r="C3234" s="2" t="str">
        <x:v>SO-26087</x:v>
      </x:c>
      <x:c r="D3234" s="2" t="str">
        <x:v>R-S-AL</x:v>
      </x:c>
      <x:c r="E3234" s="14" t="n">
        <x:v>15</x:v>
      </x:c>
      <x:c r="F3234" s="2" t="str">
        <x:v>Final leak / function test</x:v>
      </x:c>
      <x:c r="G3234" s="9" t="str">
        <x:v>QA-02</x:v>
      </x:c>
      <x:c r="H3234" s="15" t="n">
        <x:v>242</x:v>
      </x:c>
      <x:c r="I3234" s="9" t="str">
        <x:v>P11</x:v>
      </x:c>
      <x:c r="J3234" s="11" t="n">
        <x:v>46311.47708333333</x:v>
      </x:c>
      <x:c r="K3234" s="15" t="n">
        <x:v>10</x:v>
      </x:c>
      <x:c r="L3234" s="15" t="n">
        <x:v>14</x:v>
      </x:c>
      <x:c r="M3234" s="13" t="n">
        <x:f>J3234+(K3234+L3234)/1440</x:f>
        <x:v>46311.49375</x:v>
      </x:c>
      <x:c r="N3234" s="13" t="n">
        <x:f>VLOOKUP(C3234,'MES orders'!$A$8:$H$127,5,FALSE)</x:f>
        <x:v>46310.666666666664</x:v>
      </x:c>
      <x:c r="O3234" s="16" t="n">
        <x:f>MAX(0,(M3234-N3234)*24)</x:f>
        <x:v>19.850000000093132</x:v>
      </x:c>
      <x:c r="P3234" s="9" t="str">
        <x:v>No</x:v>
      </x:c>
      <x:c r="Q3234" s="15" t="n">
        <x:v>24</x:v>
      </x:c>
      <x:c r="R3234" s="13" t="n">
        <x:f>J3234+Q3234/1440</x:f>
        <x:v>46311.49375</x:v>
      </x:c>
      <x:c r="S3234" s="2" t="str">
        <x:f>VLOOKUP(C3234,'MES orders'!$A$8:$H$127,6,FALSE)</x:f>
        <x:v>Normal</x:v>
      </x:c>
      <x:c r="T3234" s="9" t="str"/>
    </x:row>
    <x:row r="3235" ht="22" customHeight="1">
      <x:c r="A3235" s="2" t="str">
        <x:v>L00435-060</x:v>
      </x:c>
      <x:c r="B3235" s="2" t="str">
        <x:v>L00435</x:v>
      </x:c>
      <x:c r="C3235" s="2" t="str">
        <x:v>SO-26087</x:v>
      </x:c>
      <x:c r="D3235" s="2" t="str">
        <x:v>R-S-AL</x:v>
      </x:c>
      <x:c r="E3235" s="14" t="n">
        <x:v>15</x:v>
      </x:c>
      <x:c r="F3235" s="2" t="str">
        <x:v>Final leak / function test</x:v>
      </x:c>
      <x:c r="G3235" s="9" t="str">
        <x:v>QA-03</x:v>
      </x:c>
      <x:c r="H3235" s="15" t="n">
        <x:v>142</x:v>
      </x:c>
      <x:c r="I3235" s="9" t="str">
        <x:v>P12</x:v>
      </x:c>
      <x:c r="J3235" s="11" t="n">
        <x:v>46311.47708333333</x:v>
      </x:c>
      <x:c r="K3235" s="15" t="n">
        <x:v>10</x:v>
      </x:c>
      <x:c r="L3235" s="15" t="n">
        <x:v>14</x:v>
      </x:c>
      <x:c r="M3235" s="13" t="n">
        <x:f>J3235+(K3235+L3235)/1440</x:f>
        <x:v>46311.49375</x:v>
      </x:c>
      <x:c r="N3235" s="13" t="n">
        <x:f>VLOOKUP(C3235,'MES orders'!$A$8:$H$127,5,FALSE)</x:f>
        <x:v>46310.666666666664</x:v>
      </x:c>
      <x:c r="O3235" s="16" t="n">
        <x:f>MAX(0,(M3235-N3235)*24)</x:f>
        <x:v>19.850000000093132</x:v>
      </x:c>
      <x:c r="P3235" s="9" t="str">
        <x:v>No</x:v>
      </x:c>
      <x:c r="Q3235" s="15" t="n">
        <x:v>24</x:v>
      </x:c>
      <x:c r="R3235" s="13" t="n">
        <x:f>J3235+Q3235/1440</x:f>
        <x:v>46311.49375</x:v>
      </x:c>
      <x:c r="S3235" s="2" t="str">
        <x:f>VLOOKUP(C3235,'MES orders'!$A$8:$H$127,6,FALSE)</x:f>
        <x:v>Normal</x:v>
      </x:c>
      <x:c r="T3235" s="9" t="str"/>
    </x:row>
    <x:row r="3236" ht="22" customHeight="1">
      <x:c r="A3236" s="2" t="str">
        <x:v>L00472-030</x:v>
      </x:c>
      <x:c r="B3236" s="2" t="str">
        <x:v>L00472</x:v>
      </x:c>
      <x:c r="C3236" s="2" t="str">
        <x:v>SO-26095</x:v>
      </x:c>
      <x:c r="D3236" s="2" t="str">
        <x:v>R-L-AL</x:v>
      </x:c>
      <x:c r="E3236" s="14" t="n">
        <x:v>20</x:v>
      </x:c>
      <x:c r="F3236" s="2" t="str">
        <x:v>Wash &amp; dry</x:v>
      </x:c>
      <x:c r="G3236" s="9" t="str">
        <x:v>WS-01</x:v>
      </x:c>
      <x:c r="H3236" s="15" t="n">
        <x:v>298</x:v>
      </x:c>
      <x:c r="I3236" s="9" t="str">
        <x:v>P05</x:v>
      </x:c>
      <x:c r="J3236" s="11" t="n">
        <x:v>46311.47708333333</x:v>
      </x:c>
      <x:c r="K3236" s="15" t="n">
        <x:v>12</x:v>
      </x:c>
      <x:c r="L3236" s="15" t="n">
        <x:v>9</x:v>
      </x:c>
      <x:c r="M3236" s="13" t="n">
        <x:f>J3236+(K3236+L3236)/1440</x:f>
        <x:v>46311.49166666666</x:v>
      </x:c>
      <x:c r="N3236" s="13" t="n">
        <x:f>VLOOKUP(C3236,'MES orders'!$A$8:$H$127,5,FALSE)</x:f>
        <x:v>46310.666666666664</x:v>
      </x:c>
      <x:c r="O3236" s="16" t="n">
        <x:f>MAX(0,(M3236-N3236)*24)</x:f>
        <x:v>19.79999999993015</x:v>
      </x:c>
      <x:c r="P3236" s="9" t="str">
        <x:v>No</x:v>
      </x:c>
      <x:c r="Q3236" s="15" t="n">
        <x:v>21</x:v>
      </x:c>
      <x:c r="R3236" s="13" t="n">
        <x:f>J3236+Q3236/1440</x:f>
        <x:v>46311.49166666666</x:v>
      </x:c>
      <x:c r="S3236" s="2" t="str">
        <x:f>VLOOKUP(C3236,'MES orders'!$A$8:$H$127,6,FALSE)</x:f>
        <x:v>Normal</x:v>
      </x:c>
      <x:c r="T3236" s="9" t="str"/>
    </x:row>
    <x:row r="3237" ht="22" customHeight="1">
      <x:c r="A3237" s="2" t="str">
        <x:v>L00474-030</x:v>
      </x:c>
      <x:c r="B3237" s="2" t="str">
        <x:v>L00474</x:v>
      </x:c>
      <x:c r="C3237" s="2" t="str">
        <x:v>SO-26095</x:v>
      </x:c>
      <x:c r="D3237" s="2" t="str">
        <x:v>R-L-AL</x:v>
      </x:c>
      <x:c r="E3237" s="14" t="n">
        <x:v>20</x:v>
      </x:c>
      <x:c r="F3237" s="2" t="str">
        <x:v>Wash &amp; dry</x:v>
      </x:c>
      <x:c r="G3237" s="9" t="str">
        <x:v>WS-02</x:v>
      </x:c>
      <x:c r="H3237" s="15" t="n">
        <x:v>218</x:v>
      </x:c>
      <x:c r="I3237" s="9" t="str">
        <x:v>P06</x:v>
      </x:c>
      <x:c r="J3237" s="11" t="n">
        <x:v>46311.47708333333</x:v>
      </x:c>
      <x:c r="K3237" s="15" t="n">
        <x:v>12</x:v>
      </x:c>
      <x:c r="L3237" s="15" t="n">
        <x:v>9</x:v>
      </x:c>
      <x:c r="M3237" s="13" t="n">
        <x:f>J3237+(K3237+L3237)/1440</x:f>
        <x:v>46311.49166666666</x:v>
      </x:c>
      <x:c r="N3237" s="13" t="n">
        <x:f>VLOOKUP(C3237,'MES orders'!$A$8:$H$127,5,FALSE)</x:f>
        <x:v>46310.666666666664</x:v>
      </x:c>
      <x:c r="O3237" s="16" t="n">
        <x:f>MAX(0,(M3237-N3237)*24)</x:f>
        <x:v>19.79999999993015</x:v>
      </x:c>
      <x:c r="P3237" s="9" t="str">
        <x:v>No</x:v>
      </x:c>
      <x:c r="Q3237" s="15" t="n">
        <x:v>21</x:v>
      </x:c>
      <x:c r="R3237" s="13" t="n">
        <x:f>J3237+Q3237/1440</x:f>
        <x:v>46311.49166666666</x:v>
      </x:c>
      <x:c r="S3237" s="2" t="str">
        <x:f>VLOOKUP(C3237,'MES orders'!$A$8:$H$127,6,FALSE)</x:f>
        <x:v>Normal</x:v>
      </x:c>
      <x:c r="T3237" s="9" t="str"/>
    </x:row>
    <x:row r="3238" ht="22" customHeight="1">
      <x:c r="A3238" s="2" t="str">
        <x:v>L00511-060</x:v>
      </x:c>
      <x:c r="B3238" s="2" t="str">
        <x:v>L00511</x:v>
      </x:c>
      <x:c r="C3238" s="2" t="str">
        <x:v>SO-26103</x:v>
      </x:c>
      <x:c r="D3238" s="2" t="str">
        <x:v>S-C-AL</x:v>
      </x:c>
      <x:c r="E3238" s="14" t="n">
        <x:v>25</x:v>
      </x:c>
      <x:c r="F3238" s="2" t="str">
        <x:v>Sensor calibration</x:v>
      </x:c>
      <x:c r="G3238" s="9" t="str">
        <x:v>CAL-01</x:v>
      </x:c>
      <x:c r="H3238" s="15" t="n">
        <x:v>157</x:v>
      </x:c>
      <x:c r="I3238" s="9" t="str">
        <x:v>P09</x:v>
      </x:c>
      <x:c r="J3238" s="11" t="n">
        <x:v>46311.479166666664</x:v>
      </x:c>
      <x:c r="K3238" s="15" t="n">
        <x:v>10</x:v>
      </x:c>
      <x:c r="L3238" s="15" t="n">
        <x:v>26</x:v>
      </x:c>
      <x:c r="M3238" s="13" t="n">
        <x:f>J3238+(K3238+L3238)/1440</x:f>
        <x:v>46311.504166666666</x:v>
      </x:c>
      <x:c r="N3238" s="13" t="n">
        <x:f>VLOOKUP(C3238,'MES orders'!$A$8:$H$127,5,FALSE)</x:f>
        <x:v>46310.666666666664</x:v>
      </x:c>
      <x:c r="O3238" s="16" t="n">
        <x:f>MAX(0,(M3238-N3238)*24)</x:f>
        <x:v>20.100000000034925</x:v>
      </x:c>
      <x:c r="P3238" s="9" t="str">
        <x:v>No</x:v>
      </x:c>
      <x:c r="Q3238" s="15" t="n">
        <x:v>36</x:v>
      </x:c>
      <x:c r="R3238" s="13" t="n">
        <x:f>J3238+Q3238/1440</x:f>
        <x:v>46311.504166666666</x:v>
      </x:c>
      <x:c r="S3238" s="2" t="str">
        <x:f>VLOOKUP(C3238,'MES orders'!$A$8:$H$127,6,FALSE)</x:f>
        <x:v>Normal</x:v>
      </x:c>
      <x:c r="T3238" s="9" t="str"/>
    </x:row>
    <x:row r="3239" ht="22" customHeight="1">
      <x:c r="A3239" s="2" t="str">
        <x:v>L00512-050</x:v>
      </x:c>
      <x:c r="B3239" s="2" t="str">
        <x:v>L00512</x:v>
      </x:c>
      <x:c r="C3239" s="2" t="str">
        <x:v>SO-26103</x:v>
      </x:c>
      <x:c r="D3239" s="2" t="str">
        <x:v>S-C-AL</x:v>
      </x:c>
      <x:c r="E3239" s="14" t="n">
        <x:v>25</x:v>
      </x:c>
      <x:c r="F3239" s="2" t="str">
        <x:v>Sensor installation</x:v>
      </x:c>
      <x:c r="G3239" s="9" t="str">
        <x:v>EL-01</x:v>
      </x:c>
      <x:c r="H3239" s="15" t="n">
        <x:v>108</x:v>
      </x:c>
      <x:c r="I3239" s="9" t="str">
        <x:v>P07</x:v>
      </x:c>
      <x:c r="J3239" s="11" t="n">
        <x:v>46311.48263888889</x:v>
      </x:c>
      <x:c r="K3239" s="15" t="n">
        <x:v>8</x:v>
      </x:c>
      <x:c r="L3239" s="15" t="n">
        <x:v>24</x:v>
      </x:c>
      <x:c r="M3239" s="13" t="n">
        <x:f>J3239+(K3239+L3239)/1440</x:f>
        <x:v>46311.50486111111</x:v>
      </x:c>
      <x:c r="N3239" s="13" t="n">
        <x:f>VLOOKUP(C3239,'MES orders'!$A$8:$H$127,5,FALSE)</x:f>
        <x:v>46310.666666666664</x:v>
      </x:c>
      <x:c r="O3239" s="16" t="n">
        <x:f>MAX(0,(M3239-N3239)*24)</x:f>
        <x:v>20.11666666675592</x:v>
      </x:c>
      <x:c r="P3239" s="9" t="str">
        <x:v>No</x:v>
      </x:c>
      <x:c r="Q3239" s="15" t="n">
        <x:v>32</x:v>
      </x:c>
      <x:c r="R3239" s="13" t="n">
        <x:f>J3239+Q3239/1440</x:f>
        <x:v>46311.50486111111</x:v>
      </x:c>
      <x:c r="S3239" s="2" t="str">
        <x:f>VLOOKUP(C3239,'MES orders'!$A$8:$H$127,6,FALSE)</x:f>
        <x:v>Normal</x:v>
      </x:c>
      <x:c r="T3239" s="9" t="str"/>
    </x:row>
    <x:row r="3240" ht="22" customHeight="1">
      <x:c r="A3240" s="2" t="str">
        <x:v>L00472-040</x:v>
      </x:c>
      <x:c r="B3240" s="2" t="str">
        <x:v>L00472</x:v>
      </x:c>
      <x:c r="C3240" s="2" t="str">
        <x:v>SO-26095</x:v>
      </x:c>
      <x:c r="D3240" s="2" t="str">
        <x:v>R-L-AL</x:v>
      </x:c>
      <x:c r="E3240" s="14" t="n">
        <x:v>20</x:v>
      </x:c>
      <x:c r="F3240" s="2" t="str">
        <x:v>Mechanical assembly</x:v>
      </x:c>
      <x:c r="G3240" s="9" t="str">
        <x:v>AS-02</x:v>
      </x:c>
      <x:c r="H3240" s="15" t="n">
        <x:v>209</x:v>
      </x:c>
      <x:c r="I3240" s="9" t="str">
        <x:v>P06</x:v>
      </x:c>
      <x:c r="J3240" s="11" t="n">
        <x:v>46311.49166666667</x:v>
      </x:c>
      <x:c r="K3240" s="15" t="n">
        <x:v>8</x:v>
      </x:c>
      <x:c r="L3240" s="15" t="n">
        <x:v>49</x:v>
      </x:c>
      <x:c r="M3240" s="13" t="n">
        <x:f>J3240+(K3240+L3240)/1440</x:f>
        <x:v>46311.53125</x:v>
      </x:c>
      <x:c r="N3240" s="13" t="n">
        <x:f>VLOOKUP(C3240,'MES orders'!$A$8:$H$127,5,FALSE)</x:f>
        <x:v>46310.666666666664</x:v>
      </x:c>
      <x:c r="O3240" s="16" t="n">
        <x:f>MAX(0,(M3240-N3240)*24)</x:f>
        <x:v>20.750000000058208</x:v>
      </x:c>
      <x:c r="P3240" s="9" t="str">
        <x:v>No</x:v>
      </x:c>
      <x:c r="Q3240" s="15" t="n">
        <x:v>57</x:v>
      </x:c>
      <x:c r="R3240" s="13" t="n">
        <x:f>J3240+Q3240/1440</x:f>
        <x:v>46311.53125</x:v>
      </x:c>
      <x:c r="S3240" s="2" t="str">
        <x:f>VLOOKUP(C3240,'MES orders'!$A$8:$H$127,6,FALSE)</x:f>
        <x:v>Normal</x:v>
      </x:c>
      <x:c r="T3240" s="9" t="str"/>
    </x:row>
    <x:row r="3241" ht="22" customHeight="1">
      <x:c r="A3241" s="2" t="str">
        <x:v>L00552-020</x:v>
      </x:c>
      <x:c r="B3241" s="2" t="str">
        <x:v>L00552</x:v>
      </x:c>
      <x:c r="C3241" s="2" t="str">
        <x:v>SO-26111</x:v>
      </x:c>
      <x:c r="D3241" s="2" t="str">
        <x:v>S-S-AL</x:v>
      </x:c>
      <x:c r="E3241" s="14" t="n">
        <x:v>10</x:v>
      </x:c>
      <x:c r="F3241" s="2" t="str">
        <x:v>Deburr &amp; inspect</x:v>
      </x:c>
      <x:c r="G3241" s="9" t="str">
        <x:v>DB-01</x:v>
      </x:c>
      <x:c r="H3241" s="15" t="n">
        <x:v>306</x:v>
      </x:c>
      <x:c r="I3241" s="9" t="str">
        <x:v>P05</x:v>
      </x:c>
      <x:c r="J3241" s="11" t="n">
        <x:v>46311.49166666667</x:v>
      </x:c>
      <x:c r="K3241" s="15" t="n">
        <x:v>4</x:v>
      </x:c>
      <x:c r="L3241" s="15" t="n">
        <x:v>7</x:v>
      </x:c>
      <x:c r="M3241" s="13" t="n">
        <x:f>J3241+(K3241+L3241)/1440</x:f>
        <x:v>46311.49930555556</x:v>
      </x:c>
      <x:c r="N3241" s="13" t="n">
        <x:f>VLOOKUP(C3241,'MES orders'!$A$8:$H$127,5,FALSE)</x:f>
        <x:v>46310.666666666664</x:v>
      </x:c>
      <x:c r="O3241" s="16" t="n">
        <x:f>MAX(0,(M3241-N3241)*24)</x:f>
        <x:v>19.983333333511837</x:v>
      </x:c>
      <x:c r="P3241" s="9" t="str">
        <x:v>No</x:v>
      </x:c>
      <x:c r="Q3241" s="15" t="n">
        <x:v>11</x:v>
      </x:c>
      <x:c r="R3241" s="13" t="n">
        <x:f>J3241+Q3241/1440</x:f>
        <x:v>46311.49930555556</x:v>
      </x:c>
      <x:c r="S3241" s="2" t="str">
        <x:f>VLOOKUP(C3241,'MES orders'!$A$8:$H$127,6,FALSE)</x:f>
        <x:v>Normal</x:v>
      </x:c>
      <x:c r="T3241" s="9" t="str"/>
    </x:row>
    <x:row r="3242" ht="22" customHeight="1">
      <x:c r="A3242" s="2" t="str">
        <x:v>L00514-030</x:v>
      </x:c>
      <x:c r="B3242" s="2" t="str">
        <x:v>L00514</x:v>
      </x:c>
      <x:c r="C3242" s="2" t="str">
        <x:v>SO-26103</x:v>
      </x:c>
      <x:c r="D3242" s="2" t="str">
        <x:v>S-C-AL</x:v>
      </x:c>
      <x:c r="E3242" s="14" t="n">
        <x:v>25</x:v>
      </x:c>
      <x:c r="F3242" s="2" t="str">
        <x:v>Wash &amp; dry</x:v>
      </x:c>
      <x:c r="G3242" s="9" t="str">
        <x:v>WS-01</x:v>
      </x:c>
      <x:c r="H3242" s="15" t="n">
        <x:v>299</x:v>
      </x:c>
      <x:c r="I3242" s="9" t="str">
        <x:v>P02</x:v>
      </x:c>
      <x:c r="J3242" s="11" t="n">
        <x:v>46311.49166666667</x:v>
      </x:c>
      <x:c r="K3242" s="15" t="n">
        <x:v>12</x:v>
      </x:c>
      <x:c r="L3242" s="15" t="n">
        <x:v>7</x:v>
      </x:c>
      <x:c r="M3242" s="13" t="n">
        <x:f>J3242+(K3242+L3242)/1440</x:f>
        <x:v>46311.50486111111</x:v>
      </x:c>
      <x:c r="N3242" s="13" t="n">
        <x:f>VLOOKUP(C3242,'MES orders'!$A$8:$H$127,5,FALSE)</x:f>
        <x:v>46310.666666666664</x:v>
      </x:c>
      <x:c r="O3242" s="16" t="n">
        <x:f>MAX(0,(M3242-N3242)*24)</x:f>
        <x:v>20.11666666675592</x:v>
      </x:c>
      <x:c r="P3242" s="9" t="str">
        <x:v>No</x:v>
      </x:c>
      <x:c r="Q3242" s="15" t="n">
        <x:v>19</x:v>
      </x:c>
      <x:c r="R3242" s="13" t="n">
        <x:f>J3242+Q3242/1440</x:f>
        <x:v>46311.50486111111</x:v>
      </x:c>
      <x:c r="S3242" s="2" t="str">
        <x:f>VLOOKUP(C3242,'MES orders'!$A$8:$H$127,6,FALSE)</x:f>
        <x:v>Normal</x:v>
      </x:c>
      <x:c r="T3242" s="9" t="str"/>
    </x:row>
    <x:row r="3243" ht="22" customHeight="1">
      <x:c r="A3243" s="2" t="str">
        <x:v>L00515-030</x:v>
      </x:c>
      <x:c r="B3243" s="2" t="str">
        <x:v>L00515</x:v>
      </x:c>
      <x:c r="C3243" s="2" t="str">
        <x:v>SO-26103</x:v>
      </x:c>
      <x:c r="D3243" s="2" t="str">
        <x:v>S-C-AL</x:v>
      </x:c>
      <x:c r="E3243" s="14" t="n">
        <x:v>25</x:v>
      </x:c>
      <x:c r="F3243" s="2" t="str">
        <x:v>Wash &amp; dry</x:v>
      </x:c>
      <x:c r="G3243" s="9" t="str">
        <x:v>WS-02</x:v>
      </x:c>
      <x:c r="H3243" s="15" t="n">
        <x:v>219</x:v>
      </x:c>
      <x:c r="I3243" s="9" t="str">
        <x:v>P11</x:v>
      </x:c>
      <x:c r="J3243" s="11" t="n">
        <x:v>46311.49375</x:v>
      </x:c>
      <x:c r="K3243" s="15" t="n">
        <x:v>12</x:v>
      </x:c>
      <x:c r="L3243" s="15" t="n">
        <x:v>7</x:v>
      </x:c>
      <x:c r="M3243" s="13" t="n">
        <x:f>J3243+(K3243+L3243)/1440</x:f>
        <x:v>46311.506944444445</x:v>
      </x:c>
      <x:c r="N3243" s="13" t="n">
        <x:f>VLOOKUP(C3243,'MES orders'!$A$8:$H$127,5,FALSE)</x:f>
        <x:v>46310.666666666664</x:v>
      </x:c>
      <x:c r="O3243" s="16" t="n">
        <x:f>MAX(0,(M3243-N3243)*24)</x:f>
        <x:v>20.166666666744277</x:v>
      </x:c>
      <x:c r="P3243" s="9" t="str">
        <x:v>No</x:v>
      </x:c>
      <x:c r="Q3243" s="15" t="n">
        <x:v>19</x:v>
      </x:c>
      <x:c r="R3243" s="13" t="n">
        <x:f>J3243+Q3243/1440</x:f>
        <x:v>46311.506944444445</x:v>
      </x:c>
      <x:c r="S3243" s="2" t="str">
        <x:f>VLOOKUP(C3243,'MES orders'!$A$8:$H$127,6,FALSE)</x:f>
        <x:v>Normal</x:v>
      </x:c>
      <x:c r="T3243" s="9" t="str"/>
    </x:row>
    <x:row r="3244" ht="22" customHeight="1">
      <x:c r="A3244" s="2" t="str">
        <x:v>L00513-050</x:v>
      </x:c>
      <x:c r="B3244" s="2" t="str">
        <x:v>L00513</x:v>
      </x:c>
      <x:c r="C3244" s="2" t="str">
        <x:v>SO-26103</x:v>
      </x:c>
      <x:c r="D3244" s="2" t="str">
        <x:v>S-C-AL</x:v>
      </x:c>
      <x:c r="E3244" s="14" t="n">
        <x:v>25</x:v>
      </x:c>
      <x:c r="F3244" s="2" t="str">
        <x:v>Sensor installation</x:v>
      </x:c>
      <x:c r="G3244" s="9" t="str">
        <x:v>EL-02</x:v>
      </x:c>
      <x:c r="H3244" s="15" t="n">
        <x:v>51</x:v>
      </x:c>
      <x:c r="I3244" s="9" t="str">
        <x:v>P08</x:v>
      </x:c>
      <x:c r="J3244" s="11" t="n">
        <x:v>46311.495833333334</x:v>
      </x:c>
      <x:c r="K3244" s="15" t="n">
        <x:v>8</x:v>
      </x:c>
      <x:c r="L3244" s="15" t="n">
        <x:v>24</x:v>
      </x:c>
      <x:c r="M3244" s="13" t="n">
        <x:f>J3244+(K3244+L3244)/1440</x:f>
        <x:v>46311.518055555556</x:v>
      </x:c>
      <x:c r="N3244" s="13" t="n">
        <x:f>VLOOKUP(C3244,'MES orders'!$A$8:$H$127,5,FALSE)</x:f>
        <x:v>46310.666666666664</x:v>
      </x:c>
      <x:c r="O3244" s="16" t="n">
        <x:f>MAX(0,(M3244-N3244)*24)</x:f>
        <x:v>20.433333333407063</x:v>
      </x:c>
      <x:c r="P3244" s="9" t="str">
        <x:v>No</x:v>
      </x:c>
      <x:c r="Q3244" s="15" t="n">
        <x:v>32</x:v>
      </x:c>
      <x:c r="R3244" s="13" t="n">
        <x:f>J3244+Q3244/1440</x:f>
        <x:v>46311.518055555556</x:v>
      </x:c>
      <x:c r="S3244" s="2" t="str">
        <x:f>VLOOKUP(C3244,'MES orders'!$A$8:$H$127,6,FALSE)</x:f>
        <x:v>Normal</x:v>
      </x:c>
      <x:c r="T3244" s="9" t="str"/>
    </x:row>
    <x:row r="3245" ht="22" customHeight="1">
      <x:c r="A3245" s="2" t="str">
        <x:v>L00471-050</x:v>
      </x:c>
      <x:c r="B3245" s="2" t="str">
        <x:v>L00471</x:v>
      </x:c>
      <x:c r="C3245" s="2" t="str">
        <x:v>SO-26095</x:v>
      </x:c>
      <x:c r="D3245" s="2" t="str">
        <x:v>R-L-AL</x:v>
      </x:c>
      <x:c r="E3245" s="14" t="n">
        <x:v>20</x:v>
      </x:c>
      <x:c r="F3245" s="2" t="str">
        <x:v>Valve adjustment</x:v>
      </x:c>
      <x:c r="G3245" s="9" t="str">
        <x:v>AS-01</x:v>
      </x:c>
      <x:c r="H3245" s="15" t="n">
        <x:v>256</x:v>
      </x:c>
      <x:c r="I3245" s="9" t="str">
        <x:v>P05</x:v>
      </x:c>
      <x:c r="J3245" s="11" t="n">
        <x:v>46311.501388888886</x:v>
      </x:c>
      <x:c r="K3245" s="15" t="n">
        <x:v>6</x:v>
      </x:c>
      <x:c r="L3245" s="15" t="n">
        <x:v>30</x:v>
      </x:c>
      <x:c r="M3245" s="13" t="n">
        <x:f>J3245+(K3245+L3245)/1440</x:f>
        <x:v>46311.52638888889</x:v>
      </x:c>
      <x:c r="N3245" s="13" t="n">
        <x:f>VLOOKUP(C3245,'MES orders'!$A$8:$H$127,5,FALSE)</x:f>
        <x:v>46310.666666666664</x:v>
      </x:c>
      <x:c r="O3245" s="16" t="n">
        <x:f>MAX(0,(M3245-N3245)*24)</x:f>
        <x:v>20.633333333360497</x:v>
      </x:c>
      <x:c r="P3245" s="9" t="str">
        <x:v>No</x:v>
      </x:c>
      <x:c r="Q3245" s="15" t="n">
        <x:v>36</x:v>
      </x:c>
      <x:c r="R3245" s="13" t="n">
        <x:f>J3245+Q3245/1440</x:f>
        <x:v>46311.52638888889</x:v>
      </x:c>
      <x:c r="S3245" s="2" t="str">
        <x:f>VLOOKUP(C3245,'MES orders'!$A$8:$H$127,6,FALSE)</x:f>
        <x:v>Normal</x:v>
      </x:c>
      <x:c r="T3245" s="9" t="str"/>
    </x:row>
    <x:row r="3246" ht="22" customHeight="1">
      <x:c r="A3246" s="2" t="str">
        <x:v>L00473-040</x:v>
      </x:c>
      <x:c r="B3246" s="2" t="str">
        <x:v>L00473</x:v>
      </x:c>
      <x:c r="C3246" s="2" t="str">
        <x:v>SO-26095</x:v>
      </x:c>
      <x:c r="D3246" s="2" t="str">
        <x:v>R-L-AL</x:v>
      </x:c>
      <x:c r="E3246" s="14" t="n">
        <x:v>20</x:v>
      </x:c>
      <x:c r="F3246" s="2" t="str">
        <x:v>Mechanical assembly</x:v>
      </x:c>
      <x:c r="G3246" s="9" t="str">
        <x:v>AS-03</x:v>
      </x:c>
      <x:c r="H3246" s="15" t="n">
        <x:v>172</x:v>
      </x:c>
      <x:c r="I3246" s="9" t="str">
        <x:v>P04</x:v>
      </x:c>
      <x:c r="J3246" s="11" t="n">
        <x:v>46311.501388888886</x:v>
      </x:c>
      <x:c r="K3246" s="15" t="n">
        <x:v>8</x:v>
      </x:c>
      <x:c r="L3246" s="15" t="n">
        <x:v>49</x:v>
      </x:c>
      <x:c r="M3246" s="13" t="n">
        <x:f>J3246+(K3246+L3246)/1440</x:f>
        <x:v>46311.54097222222</x:v>
      </x:c>
      <x:c r="N3246" s="13" t="n">
        <x:f>VLOOKUP(C3246,'MES orders'!$A$8:$H$127,5,FALSE)</x:f>
        <x:v>46310.666666666664</x:v>
      </x:c>
      <x:c r="O3246" s="16" t="n">
        <x:f>MAX(0,(M3246-N3246)*24)</x:f>
        <x:v>20.983333333279006</x:v>
      </x:c>
      <x:c r="P3246" s="9" t="str">
        <x:v>No</x:v>
      </x:c>
      <x:c r="Q3246" s="15" t="n">
        <x:v>57</x:v>
      </x:c>
      <x:c r="R3246" s="13" t="n">
        <x:f>J3246+Q3246/1440</x:f>
        <x:v>46311.54097222222</x:v>
      </x:c>
      <x:c r="S3246" s="2" t="str">
        <x:f>VLOOKUP(C3246,'MES orders'!$A$8:$H$127,6,FALSE)</x:f>
        <x:v>Normal</x:v>
      </x:c>
      <x:c r="T3246" s="9" t="str"/>
    </x:row>
    <x:row r="3247" ht="22" customHeight="1">
      <x:c r="A3247" s="2" t="str">
        <x:v>L00512-060</x:v>
      </x:c>
      <x:c r="B3247" s="2" t="str">
        <x:v>L00512</x:v>
      </x:c>
      <x:c r="C3247" s="2" t="str">
        <x:v>SO-26103</x:v>
      </x:c>
      <x:c r="D3247" s="2" t="str">
        <x:v>S-C-AL</x:v>
      </x:c>
      <x:c r="E3247" s="14" t="n">
        <x:v>25</x:v>
      </x:c>
      <x:c r="F3247" s="2" t="str">
        <x:v>Sensor calibration</x:v>
      </x:c>
      <x:c r="G3247" s="9" t="str">
        <x:v>CAL-01</x:v>
      </x:c>
      <x:c r="H3247" s="15" t="n">
        <x:v>158</x:v>
      </x:c>
      <x:c r="I3247" s="9" t="str">
        <x:v>P09</x:v>
      </x:c>
      <x:c r="J3247" s="11" t="n">
        <x:v>46311.50486111111</x:v>
      </x:c>
      <x:c r="K3247" s="15" t="n">
        <x:v>10</x:v>
      </x:c>
      <x:c r="L3247" s="15" t="n">
        <x:v>26</x:v>
      </x:c>
      <x:c r="M3247" s="13" t="n">
        <x:f>J3247+(K3247+L3247)/1440</x:f>
        <x:v>46311.529861111114</x:v>
      </x:c>
      <x:c r="N3247" s="13" t="n">
        <x:f>VLOOKUP(C3247,'MES orders'!$A$8:$H$127,5,FALSE)</x:f>
        <x:v>46310.666666666664</x:v>
      </x:c>
      <x:c r="O3247" s="16" t="n">
        <x:f>MAX(0,(M3247-N3247)*24)</x:f>
        <x:v>20.716666666790843</x:v>
      </x:c>
      <x:c r="P3247" s="9" t="str">
        <x:v>No</x:v>
      </x:c>
      <x:c r="Q3247" s="15" t="n">
        <x:v>36</x:v>
      </x:c>
      <x:c r="R3247" s="13" t="n">
        <x:f>J3247+Q3247/1440</x:f>
        <x:v>46311.529861111114</x:v>
      </x:c>
      <x:c r="S3247" s="2" t="str">
        <x:f>VLOOKUP(C3247,'MES orders'!$A$8:$H$127,6,FALSE)</x:f>
        <x:v>Normal</x:v>
      </x:c>
      <x:c r="T3247" s="9" t="str"/>
    </x:row>
    <x:row r="3248" ht="22" customHeight="1">
      <x:c r="A3248" s="2" t="str">
        <x:v>L00552-030</x:v>
      </x:c>
      <x:c r="B3248" s="2" t="str">
        <x:v>L00552</x:v>
      </x:c>
      <x:c r="C3248" s="2" t="str">
        <x:v>SO-26111</x:v>
      </x:c>
      <x:c r="D3248" s="2" t="str">
        <x:v>S-S-AL</x:v>
      </x:c>
      <x:c r="E3248" s="14" t="n">
        <x:v>10</x:v>
      </x:c>
      <x:c r="F3248" s="2" t="str">
        <x:v>Wash &amp; dry</x:v>
      </x:c>
      <x:c r="G3248" s="9" t="str">
        <x:v>WS-01</x:v>
      </x:c>
      <x:c r="H3248" s="15" t="n">
        <x:v>300</x:v>
      </x:c>
      <x:c r="I3248" s="9" t="str">
        <x:v>P03</x:v>
      </x:c>
      <x:c r="J3248" s="11" t="n">
        <x:v>46311.50486111111</x:v>
      </x:c>
      <x:c r="K3248" s="15" t="n">
        <x:v>12</x:v>
      </x:c>
      <x:c r="L3248" s="15" t="n">
        <x:v>4</x:v>
      </x:c>
      <x:c r="M3248" s="13" t="n">
        <x:f>J3248+(K3248+L3248)/1440</x:f>
        <x:v>46311.51597222222</x:v>
      </x:c>
      <x:c r="N3248" s="13" t="n">
        <x:f>VLOOKUP(C3248,'MES orders'!$A$8:$H$127,5,FALSE)</x:f>
        <x:v>46310.666666666664</x:v>
      </x:c>
      <x:c r="O3248" s="16" t="n">
        <x:f>MAX(0,(M3248-N3248)*24)</x:f>
        <x:v>20.383333333418705</x:v>
      </x:c>
      <x:c r="P3248" s="9" t="str">
        <x:v>No</x:v>
      </x:c>
      <x:c r="Q3248" s="15" t="n">
        <x:v>16</x:v>
      </x:c>
      <x:c r="R3248" s="13" t="n">
        <x:f>J3248+Q3248/1440</x:f>
        <x:v>46311.51597222222</x:v>
      </x:c>
      <x:c r="S3248" s="2" t="str">
        <x:f>VLOOKUP(C3248,'MES orders'!$A$8:$H$127,6,FALSE)</x:f>
        <x:v>Normal</x:v>
      </x:c>
      <x:c r="T3248" s="9" t="str"/>
    </x:row>
    <x:row r="3249" ht="22" customHeight="1">
      <x:c r="A3249" s="2" t="str">
        <x:v>L00515-040</x:v>
      </x:c>
      <x:c r="B3249" s="2" t="str">
        <x:v>L00515</x:v>
      </x:c>
      <x:c r="C3249" s="2" t="str">
        <x:v>SO-26103</x:v>
      </x:c>
      <x:c r="D3249" s="2" t="str">
        <x:v>S-C-AL</x:v>
      </x:c>
      <x:c r="E3249" s="14" t="n">
        <x:v>25</x:v>
      </x:c>
      <x:c r="F3249" s="2" t="str">
        <x:v>Mechanical preassembly</x:v>
      </x:c>
      <x:c r="G3249" s="9" t="str">
        <x:v>AS-05</x:v>
      </x:c>
      <x:c r="H3249" s="15" t="n">
        <x:v>68</x:v>
      </x:c>
      <x:c r="I3249" s="9" t="str">
        <x:v>P02</x:v>
      </x:c>
      <x:c r="J3249" s="11" t="n">
        <x:v>46311.506944444445</x:v>
      </x:c>
      <x:c r="K3249" s="15" t="n">
        <x:v>6</x:v>
      </x:c>
      <x:c r="L3249" s="15" t="n">
        <x:v>22</x:v>
      </x:c>
      <x:c r="M3249" s="13" t="n">
        <x:f>J3249+(K3249+L3249)/1440</x:f>
        <x:v>46311.52638888889</x:v>
      </x:c>
      <x:c r="N3249" s="13" t="n">
        <x:f>VLOOKUP(C3249,'MES orders'!$A$8:$H$127,5,FALSE)</x:f>
        <x:v>46310.666666666664</x:v>
      </x:c>
      <x:c r="O3249" s="16" t="n">
        <x:f>MAX(0,(M3249-N3249)*24)</x:f>
        <x:v>20.633333333360497</x:v>
      </x:c>
      <x:c r="P3249" s="9" t="str">
        <x:v>No</x:v>
      </x:c>
      <x:c r="Q3249" s="15" t="n">
        <x:v>28</x:v>
      </x:c>
      <x:c r="R3249" s="13" t="n">
        <x:f>J3249+Q3249/1440</x:f>
        <x:v>46311.52638888889</x:v>
      </x:c>
      <x:c r="S3249" s="2" t="str">
        <x:f>VLOOKUP(C3249,'MES orders'!$A$8:$H$127,6,FALSE)</x:f>
        <x:v>Normal</x:v>
      </x:c>
      <x:c r="T3249" s="9" t="str"/>
    </x:row>
    <x:row r="3250" ht="22" customHeight="1">
      <x:c r="A3250" s="2" t="str">
        <x:v>L00554-030</x:v>
      </x:c>
      <x:c r="B3250" s="2" t="str">
        <x:v>L00554</x:v>
      </x:c>
      <x:c r="C3250" s="2" t="str">
        <x:v>SO-26111</x:v>
      </x:c>
      <x:c r="D3250" s="2" t="str">
        <x:v>S-S-AL</x:v>
      </x:c>
      <x:c r="E3250" s="14" t="n">
        <x:v>10</x:v>
      </x:c>
      <x:c r="F3250" s="2" t="str">
        <x:v>Wash &amp; dry</x:v>
      </x:c>
      <x:c r="G3250" s="9" t="str">
        <x:v>WS-02</x:v>
      </x:c>
      <x:c r="H3250" s="15" t="n">
        <x:v>220</x:v>
      </x:c>
      <x:c r="I3250" s="9" t="str">
        <x:v>P07</x:v>
      </x:c>
      <x:c r="J3250" s="11" t="n">
        <x:v>46311.506944444445</x:v>
      </x:c>
      <x:c r="K3250" s="15" t="n">
        <x:v>12</x:v>
      </x:c>
      <x:c r="L3250" s="15" t="n">
        <x:v>4</x:v>
      </x:c>
      <x:c r="M3250" s="13" t="n">
        <x:f>J3250+(K3250+L3250)/1440</x:f>
        <x:v>46311.518055555556</x:v>
      </x:c>
      <x:c r="N3250" s="13" t="n">
        <x:f>VLOOKUP(C3250,'MES orders'!$A$8:$H$127,5,FALSE)</x:f>
        <x:v>46310.666666666664</x:v>
      </x:c>
      <x:c r="O3250" s="16" t="n">
        <x:f>MAX(0,(M3250-N3250)*24)</x:f>
        <x:v>20.433333333407063</x:v>
      </x:c>
      <x:c r="P3250" s="9" t="str">
        <x:v>No</x:v>
      </x:c>
      <x:c r="Q3250" s="15" t="n">
        <x:v>16</x:v>
      </x:c>
      <x:c r="R3250" s="13" t="n">
        <x:f>J3250+Q3250/1440</x:f>
        <x:v>46311.518055555556</x:v>
      </x:c>
      <x:c r="S3250" s="2" t="str">
        <x:f>VLOOKUP(C3250,'MES orders'!$A$8:$H$127,6,FALSE)</x:f>
        <x:v>Normal</x:v>
      </x:c>
      <x:c r="T3250" s="9" t="str"/>
    </x:row>
    <x:row r="3251" ht="22" customHeight="1">
      <x:c r="A3251" s="2" t="str">
        <x:v>L00552-040</x:v>
      </x:c>
      <x:c r="B3251" s="2" t="str">
        <x:v>L00552</x:v>
      </x:c>
      <x:c r="C3251" s="2" t="str">
        <x:v>SO-26111</x:v>
      </x:c>
      <x:c r="D3251" s="2" t="str">
        <x:v>S-S-AL</x:v>
      </x:c>
      <x:c r="E3251" s="14" t="n">
        <x:v>10</x:v>
      </x:c>
      <x:c r="F3251" s="2" t="str">
        <x:v>Mechanical preassembly</x:v>
      </x:c>
      <x:c r="G3251" s="9" t="str">
        <x:v>AS-04</x:v>
      </x:c>
      <x:c r="H3251" s="15" t="n">
        <x:v>119</x:v>
      </x:c>
      <x:c r="I3251" s="9" t="str">
        <x:v>P01</x:v>
      </x:c>
      <x:c r="J3251" s="11" t="n">
        <x:v>46311.51597222222</x:v>
      </x:c>
      <x:c r="K3251" s="15" t="n">
        <x:v>6</x:v>
      </x:c>
      <x:c r="L3251" s="15" t="n">
        <x:v>11</x:v>
      </x:c>
      <x:c r="M3251" s="13" t="n">
        <x:f>J3251+(K3251+L3251)/1440</x:f>
        <x:v>46311.52777777778</x:v>
      </x:c>
      <x:c r="N3251" s="13" t="n">
        <x:f>VLOOKUP(C3251,'MES orders'!$A$8:$H$127,5,FALSE)</x:f>
        <x:v>46310.666666666664</x:v>
      </x:c>
      <x:c r="O3251" s="16" t="n">
        <x:f>MAX(0,(M3251-N3251)*24)</x:f>
        <x:v>20.666666666802485</x:v>
      </x:c>
      <x:c r="P3251" s="9" t="str">
        <x:v>No</x:v>
      </x:c>
      <x:c r="Q3251" s="15" t="n">
        <x:v>17</x:v>
      </x:c>
      <x:c r="R3251" s="13" t="n">
        <x:f>J3251+Q3251/1440</x:f>
        <x:v>46311.52777777778</x:v>
      </x:c>
      <x:c r="S3251" s="2" t="str">
        <x:f>VLOOKUP(C3251,'MES orders'!$A$8:$H$127,6,FALSE)</x:f>
        <x:v>Normal</x:v>
      </x:c>
      <x:c r="T3251" s="9" t="str"/>
    </x:row>
    <x:row r="3252" ht="22" customHeight="1">
      <x:c r="A3252" s="2" t="str">
        <x:v>L00555-030</x:v>
      </x:c>
      <x:c r="B3252" s="2" t="str">
        <x:v>L00555</x:v>
      </x:c>
      <x:c r="C3252" s="2" t="str">
        <x:v>SO-26111</x:v>
      </x:c>
      <x:c r="D3252" s="2" t="str">
        <x:v>S-S-AL</x:v>
      </x:c>
      <x:c r="E3252" s="14" t="n">
        <x:v>10</x:v>
      </x:c>
      <x:c r="F3252" s="2" t="str">
        <x:v>Wash &amp; dry</x:v>
      </x:c>
      <x:c r="G3252" s="9" t="str">
        <x:v>WS-01</x:v>
      </x:c>
      <x:c r="H3252" s="15" t="n">
        <x:v>301</x:v>
      </x:c>
      <x:c r="I3252" s="9" t="str">
        <x:v>P12</x:v>
      </x:c>
      <x:c r="J3252" s="11" t="n">
        <x:v>46311.51597222222</x:v>
      </x:c>
      <x:c r="K3252" s="15" t="n">
        <x:v>12</x:v>
      </x:c>
      <x:c r="L3252" s="15" t="n">
        <x:v>4</x:v>
      </x:c>
      <x:c r="M3252" s="13" t="n">
        <x:f>J3252+(K3252+L3252)/1440</x:f>
        <x:v>46311.527083333334</x:v>
      </x:c>
      <x:c r="N3252" s="13" t="n">
        <x:f>VLOOKUP(C3252,'MES orders'!$A$8:$H$127,5,FALSE)</x:f>
        <x:v>46310.666666666664</x:v>
      </x:c>
      <x:c r="O3252" s="16" t="n">
        <x:f>MAX(0,(M3252-N3252)*24)</x:f>
        <x:v>20.65000000008149</x:v>
      </x:c>
      <x:c r="P3252" s="9" t="str">
        <x:v>No</x:v>
      </x:c>
      <x:c r="Q3252" s="15" t="n">
        <x:v>16</x:v>
      </x:c>
      <x:c r="R3252" s="13" t="n">
        <x:f>J3252+Q3252/1440</x:f>
        <x:v>46311.527083333334</x:v>
      </x:c>
      <x:c r="S3252" s="2" t="str">
        <x:f>VLOOKUP(C3252,'MES orders'!$A$8:$H$127,6,FALSE)</x:f>
        <x:v>Normal</x:v>
      </x:c>
      <x:c r="T3252" s="9" t="str"/>
    </x:row>
    <x:row r="3253" ht="22" customHeight="1">
      <x:c r="A3253" s="2" t="str">
        <x:v>L00554-040</x:v>
      </x:c>
      <x:c r="B3253" s="2" t="str">
        <x:v>L00554</x:v>
      </x:c>
      <x:c r="C3253" s="2" t="str">
        <x:v>SO-26111</x:v>
      </x:c>
      <x:c r="D3253" s="2" t="str">
        <x:v>S-S-AL</x:v>
      </x:c>
      <x:c r="E3253" s="14" t="n">
        <x:v>10</x:v>
      </x:c>
      <x:c r="F3253" s="2" t="str">
        <x:v>Mechanical preassembly</x:v>
      </x:c>
      <x:c r="G3253" s="9" t="str">
        <x:v>AS-06</x:v>
      </x:c>
      <x:c r="H3253" s="15" t="n">
        <x:v>28</x:v>
      </x:c>
      <x:c r="I3253" s="9" t="str">
        <x:v>P03</x:v>
      </x:c>
      <x:c r="J3253" s="11" t="n">
        <x:v>46311.518055555556</x:v>
      </x:c>
      <x:c r="K3253" s="15" t="n">
        <x:v>6</x:v>
      </x:c>
      <x:c r="L3253" s="15" t="n">
        <x:v>11</x:v>
      </x:c>
      <x:c r="M3253" s="13" t="n">
        <x:f>J3253+(K3253+L3253)/1440</x:f>
        <x:v>46311.529861111114</x:v>
      </x:c>
      <x:c r="N3253" s="13" t="n">
        <x:f>VLOOKUP(C3253,'MES orders'!$A$8:$H$127,5,FALSE)</x:f>
        <x:v>46310.666666666664</x:v>
      </x:c>
      <x:c r="O3253" s="16" t="n">
        <x:f>MAX(0,(M3253-N3253)*24)</x:f>
        <x:v>20.716666666790843</x:v>
      </x:c>
      <x:c r="P3253" s="9" t="str">
        <x:v>No</x:v>
      </x:c>
      <x:c r="Q3253" s="15" t="n">
        <x:v>17</x:v>
      </x:c>
      <x:c r="R3253" s="13" t="n">
        <x:f>J3253+Q3253/1440</x:f>
        <x:v>46311.529861111114</x:v>
      </x:c>
      <x:c r="S3253" s="2" t="str">
        <x:f>VLOOKUP(C3253,'MES orders'!$A$8:$H$127,6,FALSE)</x:f>
        <x:v>Normal</x:v>
      </x:c>
      <x:c r="T3253" s="9" t="str"/>
    </x:row>
    <x:row r="3254" ht="22" customHeight="1">
      <x:c r="A3254" s="2" t="str">
        <x:v>L00515-050</x:v>
      </x:c>
      <x:c r="B3254" s="2" t="str">
        <x:v>L00515</x:v>
      </x:c>
      <x:c r="C3254" s="2" t="str">
        <x:v>SO-26103</x:v>
      </x:c>
      <x:c r="D3254" s="2" t="str">
        <x:v>S-C-AL</x:v>
      </x:c>
      <x:c r="E3254" s="14" t="n">
        <x:v>25</x:v>
      </x:c>
      <x:c r="F3254" s="2" t="str">
        <x:v>Sensor installation</x:v>
      </x:c>
      <x:c r="G3254" s="9" t="str">
        <x:v>EL-01</x:v>
      </x:c>
      <x:c r="H3254" s="15" t="n">
        <x:v>109</x:v>
      </x:c>
      <x:c r="I3254" s="9" t="str">
        <x:v>P07</x:v>
      </x:c>
      <x:c r="J3254" s="11" t="n">
        <x:v>46311.52638888889</x:v>
      </x:c>
      <x:c r="K3254" s="15" t="n">
        <x:v>8</x:v>
      </x:c>
      <x:c r="L3254" s="15" t="n">
        <x:v>24</x:v>
      </x:c>
      <x:c r="M3254" s="13" t="n">
        <x:f>J3254+(K3254+L3254)/1440</x:f>
        <x:v>46311.54861111111</x:v>
      </x:c>
      <x:c r="N3254" s="13" t="n">
        <x:f>VLOOKUP(C3254,'MES orders'!$A$8:$H$127,5,FALSE)</x:f>
        <x:v>46310.666666666664</x:v>
      </x:c>
      <x:c r="O3254" s="16" t="n">
        <x:f>MAX(0,(M3254-N3254)*24)</x:f>
        <x:v>21.16666666668607</x:v>
      </x:c>
      <x:c r="P3254" s="9" t="str">
        <x:v>No</x:v>
      </x:c>
      <x:c r="Q3254" s="15" t="n">
        <x:v>32</x:v>
      </x:c>
      <x:c r="R3254" s="13" t="n">
        <x:f>J3254+Q3254/1440</x:f>
        <x:v>46311.54861111111</x:v>
      </x:c>
      <x:c r="S3254" s="2" t="str">
        <x:f>VLOOKUP(C3254,'MES orders'!$A$8:$H$127,6,FALSE)</x:f>
        <x:v>Normal</x:v>
      </x:c>
      <x:c r="T3254" s="9" t="str"/>
    </x:row>
    <x:row r="3255" ht="22" customHeight="1">
      <x:c r="A3255" s="2" t="str">
        <x:v>L00471-060</x:v>
      </x:c>
      <x:c r="B3255" s="2" t="str">
        <x:v>L00471</x:v>
      </x:c>
      <x:c r="C3255" s="2" t="str">
        <x:v>SO-26095</x:v>
      </x:c>
      <x:c r="D3255" s="2" t="str">
        <x:v>R-L-AL</x:v>
      </x:c>
      <x:c r="E3255" s="14" t="n">
        <x:v>20</x:v>
      </x:c>
      <x:c r="F3255" s="2" t="str">
        <x:v>Final leak / function test</x:v>
      </x:c>
      <x:c r="G3255" s="9" t="str">
        <x:v>QA-02</x:v>
      </x:c>
      <x:c r="H3255" s="15" t="n">
        <x:v>243</x:v>
      </x:c>
      <x:c r="I3255" s="9" t="str">
        <x:v>P11</x:v>
      </x:c>
      <x:c r="J3255" s="11" t="n">
        <x:v>46311.52638888889</x:v>
      </x:c>
      <x:c r="K3255" s="15" t="n">
        <x:v>10</x:v>
      </x:c>
      <x:c r="L3255" s="15" t="n">
        <x:v>24</x:v>
      </x:c>
      <x:c r="M3255" s="13" t="n">
        <x:f>J3255+(K3255+L3255)/1440</x:f>
        <x:v>46311.549999999996</x:v>
      </x:c>
      <x:c r="N3255" s="13" t="n">
        <x:f>VLOOKUP(C3255,'MES orders'!$A$8:$H$127,5,FALSE)</x:f>
        <x:v>46310.666666666664</x:v>
      </x:c>
      <x:c r="O3255" s="16" t="n">
        <x:f>MAX(0,(M3255-N3255)*24)</x:f>
        <x:v>21.199999999953434</x:v>
      </x:c>
      <x:c r="P3255" s="9" t="str">
        <x:v>No</x:v>
      </x:c>
      <x:c r="Q3255" s="15" t="n">
        <x:v>34</x:v>
      </x:c>
      <x:c r="R3255" s="13" t="n">
        <x:f>J3255+Q3255/1440</x:f>
        <x:v>46311.549999999996</x:v>
      </x:c>
      <x:c r="S3255" s="2" t="str">
        <x:f>VLOOKUP(C3255,'MES orders'!$A$8:$H$127,6,FALSE)</x:f>
        <x:v>Normal</x:v>
      </x:c>
      <x:c r="T3255" s="9" t="str"/>
    </x:row>
    <x:row r="3256" ht="22" customHeight="1">
      <x:c r="A3256" s="2" t="str">
        <x:v>L00555-040</x:v>
      </x:c>
      <x:c r="B3256" s="2" t="str">
        <x:v>L00555</x:v>
      </x:c>
      <x:c r="C3256" s="2" t="str">
        <x:v>SO-26111</x:v>
      </x:c>
      <x:c r="D3256" s="2" t="str">
        <x:v>S-S-AL</x:v>
      </x:c>
      <x:c r="E3256" s="14" t="n">
        <x:v>10</x:v>
      </x:c>
      <x:c r="F3256" s="2" t="str">
        <x:v>Mechanical preassembly</x:v>
      </x:c>
      <x:c r="G3256" s="9" t="str">
        <x:v>AS-05</x:v>
      </x:c>
      <x:c r="H3256" s="15" t="n">
        <x:v>69</x:v>
      </x:c>
      <x:c r="I3256" s="9" t="str">
        <x:v>P02</x:v>
      </x:c>
      <x:c r="J3256" s="11" t="n">
        <x:v>46311.527083333334</x:v>
      </x:c>
      <x:c r="K3256" s="15" t="n">
        <x:v>6</x:v>
      </x:c>
      <x:c r="L3256" s="15" t="n">
        <x:v>11</x:v>
      </x:c>
      <x:c r="M3256" s="13" t="n">
        <x:f>J3256+(K3256+L3256)/1440</x:f>
        <x:v>46311.53888888889</x:v>
      </x:c>
      <x:c r="N3256" s="13" t="n">
        <x:f>VLOOKUP(C3256,'MES orders'!$A$8:$H$127,5,FALSE)</x:f>
        <x:v>46310.666666666664</x:v>
      </x:c>
      <x:c r="O3256" s="16" t="n">
        <x:f>MAX(0,(M3256-N3256)*24)</x:f>
        <x:v>20.93333333346527</x:v>
      </x:c>
      <x:c r="P3256" s="9" t="str">
        <x:v>No</x:v>
      </x:c>
      <x:c r="Q3256" s="15" t="n">
        <x:v>17</x:v>
      </x:c>
      <x:c r="R3256" s="13" t="n">
        <x:f>J3256+Q3256/1440</x:f>
        <x:v>46311.53888888889</x:v>
      </x:c>
      <x:c r="S3256" s="2" t="str">
        <x:f>VLOOKUP(C3256,'MES orders'!$A$8:$H$127,6,FALSE)</x:f>
        <x:v>Normal</x:v>
      </x:c>
      <x:c r="T3256" s="9" t="str"/>
    </x:row>
    <x:row r="3257" ht="22" customHeight="1">
      <x:c r="A3257" s="2" t="str">
        <x:v>L00591-010</x:v>
      </x:c>
      <x:c r="B3257" s="2" t="str">
        <x:v>L00591</x:v>
      </x:c>
      <x:c r="C3257" s="2" t="str">
        <x:v>SO-26119</x:v>
      </x:c>
      <x:c r="D3257" s="2" t="str">
        <x:v>S-L-AL</x:v>
      </x:c>
      <x:c r="E3257" s="14" t="n">
        <x:v>20</x:v>
      </x:c>
      <x:c r="F3257" s="2" t="str">
        <x:v>CNC machining</x:v>
      </x:c>
      <x:c r="G3257" s="9" t="str">
        <x:v>CNC-03</x:v>
      </x:c>
      <x:c r="H3257" s="15" t="n">
        <x:v>104</x:v>
      </x:c>
      <x:c r="I3257" s="9" t="str">
        <x:v>P01</x:v>
      </x:c>
      <x:c r="J3257" s="11" t="n">
        <x:v>46311.52777777778</x:v>
      </x:c>
      <x:c r="K3257" s="15" t="n">
        <x:v>18</x:v>
      </x:c>
      <x:c r="L3257" s="15" t="n">
        <x:v>65</x:v>
      </x:c>
      <x:c r="M3257" s="13" t="n">
        <x:f>J3257+(K3257+L3257)/1440</x:f>
        <x:v>46311.58541666667</x:v>
      </x:c>
      <x:c r="N3257" s="13" t="n">
        <x:f>VLOOKUP(C3257,'MES orders'!$A$8:$H$127,5,FALSE)</x:f>
        <x:v>46310.666666666664</x:v>
      </x:c>
      <x:c r="O3257" s="16" t="n">
        <x:f>MAX(0,(M3257-N3257)*24)</x:f>
        <x:v>22.050000000104774</x:v>
      </x:c>
      <x:c r="P3257" s="9" t="str">
        <x:v>No</x:v>
      </x:c>
      <x:c r="Q3257" s="15" t="n">
        <x:v>18</x:v>
      </x:c>
      <x:c r="R3257" s="13" t="n">
        <x:f>J3257+Q3257/1440</x:f>
        <x:v>46311.54027777778</x:v>
      </x:c>
      <x:c r="S3257" s="2" t="str">
        <x:f>VLOOKUP(C3257,'MES orders'!$A$8:$H$127,6,FALSE)</x:f>
        <x:v>Normal</x:v>
      </x:c>
      <x:c r="T3257" s="9" t="str"/>
    </x:row>
    <x:row r="3258" ht="22" customHeight="1">
      <x:c r="A3258" s="2" t="str">
        <x:v>L00552-050</x:v>
      </x:c>
      <x:c r="B3258" s="2" t="str">
        <x:v>L00552</x:v>
      </x:c>
      <x:c r="C3258" s="2" t="str">
        <x:v>SO-26111</x:v>
      </x:c>
      <x:c r="D3258" s="2" t="str">
        <x:v>S-S-AL</x:v>
      </x:c>
      <x:c r="E3258" s="14" t="n">
        <x:v>10</x:v>
      </x:c>
      <x:c r="F3258" s="2" t="str">
        <x:v>Sensor installation</x:v>
      </x:c>
      <x:c r="G3258" s="9" t="str">
        <x:v>EL-02</x:v>
      </x:c>
      <x:c r="H3258" s="15" t="n">
        <x:v>52</x:v>
      </x:c>
      <x:c r="I3258" s="9" t="str">
        <x:v>P08</x:v>
      </x:c>
      <x:c r="J3258" s="11" t="n">
        <x:v>46311.52777777778</x:v>
      </x:c>
      <x:c r="K3258" s="15" t="n">
        <x:v>8</x:v>
      </x:c>
      <x:c r="L3258" s="15" t="n">
        <x:v>12</x:v>
      </x:c>
      <x:c r="M3258" s="13" t="n">
        <x:f>J3258+(K3258+L3258)/1440</x:f>
        <x:v>46311.54166666667</x:v>
      </x:c>
      <x:c r="N3258" s="13" t="n">
        <x:f>VLOOKUP(C3258,'MES orders'!$A$8:$H$127,5,FALSE)</x:f>
        <x:v>46310.666666666664</x:v>
      </x:c>
      <x:c r="O3258" s="16" t="n">
        <x:f>MAX(0,(M3258-N3258)*24)</x:f>
        <x:v>21.000000000174623</x:v>
      </x:c>
      <x:c r="P3258" s="9" t="str">
        <x:v>No</x:v>
      </x:c>
      <x:c r="Q3258" s="15" t="n">
        <x:v>20</x:v>
      </x:c>
      <x:c r="R3258" s="13" t="n">
        <x:f>J3258+Q3258/1440</x:f>
        <x:v>46311.54166666667</x:v>
      </x:c>
      <x:c r="S3258" s="2" t="str">
        <x:f>VLOOKUP(C3258,'MES orders'!$A$8:$H$127,6,FALSE)</x:f>
        <x:v>Normal</x:v>
      </x:c>
      <x:c r="T3258" s="9" t="str"/>
    </x:row>
    <x:row r="3259" ht="22" customHeight="1">
      <x:c r="A3259" s="2" t="str">
        <x:v>L00513-060</x:v>
      </x:c>
      <x:c r="B3259" s="2" t="str">
        <x:v>L00513</x:v>
      </x:c>
      <x:c r="C3259" s="2" t="str">
        <x:v>SO-26103</x:v>
      </x:c>
      <x:c r="D3259" s="2" t="str">
        <x:v>S-C-AL</x:v>
      </x:c>
      <x:c r="E3259" s="14" t="n">
        <x:v>25</x:v>
      </x:c>
      <x:c r="F3259" s="2" t="str">
        <x:v>Sensor calibration</x:v>
      </x:c>
      <x:c r="G3259" s="9" t="str">
        <x:v>CAL-01</x:v>
      </x:c>
      <x:c r="H3259" s="15" t="n">
        <x:v>159</x:v>
      </x:c>
      <x:c r="I3259" s="9" t="str">
        <x:v>P09</x:v>
      </x:c>
      <x:c r="J3259" s="11" t="n">
        <x:v>46311.529861111114</x:v>
      </x:c>
      <x:c r="K3259" s="15" t="n">
        <x:v>10</x:v>
      </x:c>
      <x:c r="L3259" s="15" t="n">
        <x:v>26</x:v>
      </x:c>
      <x:c r="M3259" s="13" t="n">
        <x:f>J3259+(K3259+L3259)/1440</x:f>
        <x:v>46311.554861111115</x:v>
      </x:c>
      <x:c r="N3259" s="13" t="n">
        <x:f>VLOOKUP(C3259,'MES orders'!$A$8:$H$127,5,FALSE)</x:f>
        <x:v>46310.666666666664</x:v>
      </x:c>
      <x:c r="O3259" s="16" t="n">
        <x:f>MAX(0,(M3259-N3259)*24)</x:f>
        <x:v>21.316666666825768</x:v>
      </x:c>
      <x:c r="P3259" s="9" t="str">
        <x:v>No</x:v>
      </x:c>
      <x:c r="Q3259" s="15" t="n">
        <x:v>36</x:v>
      </x:c>
      <x:c r="R3259" s="13" t="n">
        <x:f>J3259+Q3259/1440</x:f>
        <x:v>46311.554861111115</x:v>
      </x:c>
      <x:c r="S3259" s="2" t="str">
        <x:f>VLOOKUP(C3259,'MES orders'!$A$8:$H$127,6,FALSE)</x:f>
        <x:v>Normal</x:v>
      </x:c>
      <x:c r="T3259" s="9" t="str"/>
    </x:row>
    <x:row r="3260" ht="22" customHeight="1">
      <x:c r="A3260" s="2" t="str">
        <x:v>L00592-010</x:v>
      </x:c>
      <x:c r="B3260" s="2" t="str">
        <x:v>L00592</x:v>
      </x:c>
      <x:c r="C3260" s="2" t="str">
        <x:v>SO-26119</x:v>
      </x:c>
      <x:c r="D3260" s="2" t="str">
        <x:v>S-L-AL</x:v>
      </x:c>
      <x:c r="E3260" s="14" t="n">
        <x:v>20</x:v>
      </x:c>
      <x:c r="F3260" s="2" t="str">
        <x:v>CNC machining</x:v>
      </x:c>
      <x:c r="G3260" s="9" t="str">
        <x:v>CNC-04</x:v>
      </x:c>
      <x:c r="H3260" s="15" t="n">
        <x:v>99</x:v>
      </x:c>
      <x:c r="I3260" s="9" t="str">
        <x:v>P03</x:v>
      </x:c>
      <x:c r="J3260" s="11" t="n">
        <x:v>46311.529861111114</x:v>
      </x:c>
      <x:c r="K3260" s="15" t="n">
        <x:v>18</x:v>
      </x:c>
      <x:c r="L3260" s="15" t="n">
        <x:v>65</x:v>
      </x:c>
      <x:c r="M3260" s="13" t="n">
        <x:f>J3260+(K3260+L3260)/1440</x:f>
        <x:v>46311.5875</x:v>
      </x:c>
      <x:c r="N3260" s="13" t="n">
        <x:f>VLOOKUP(C3260,'MES orders'!$A$8:$H$127,5,FALSE)</x:f>
        <x:v>46310.666666666664</x:v>
      </x:c>
      <x:c r="O3260" s="16" t="n">
        <x:f>MAX(0,(M3260-N3260)*24)</x:f>
        <x:v>22.100000000093132</x:v>
      </x:c>
      <x:c r="P3260" s="9" t="str">
        <x:v>No</x:v>
      </x:c>
      <x:c r="Q3260" s="15" t="n">
        <x:v>18</x:v>
      </x:c>
      <x:c r="R3260" s="13" t="n">
        <x:f>J3260+Q3260/1440</x:f>
        <x:v>46311.54236111111</x:v>
      </x:c>
      <x:c r="S3260" s="2" t="str">
        <x:f>VLOOKUP(C3260,'MES orders'!$A$8:$H$127,6,FALSE)</x:f>
        <x:v>Normal</x:v>
      </x:c>
      <x:c r="T3260" s="9" t="str"/>
    </x:row>
    <x:row r="3261" ht="22" customHeight="1">
      <x:c r="A3261" s="2" t="str">
        <x:v>L00472-050</x:v>
      </x:c>
      <x:c r="B3261" s="2" t="str">
        <x:v>L00472</x:v>
      </x:c>
      <x:c r="C3261" s="2" t="str">
        <x:v>SO-26095</x:v>
      </x:c>
      <x:c r="D3261" s="2" t="str">
        <x:v>R-L-AL</x:v>
      </x:c>
      <x:c r="E3261" s="14" t="n">
        <x:v>20</x:v>
      </x:c>
      <x:c r="F3261" s="2" t="str">
        <x:v>Valve adjustment</x:v>
      </x:c>
      <x:c r="G3261" s="9" t="str">
        <x:v>AS-01</x:v>
      </x:c>
      <x:c r="H3261" s="15" t="n">
        <x:v>257</x:v>
      </x:c>
      <x:c r="I3261" s="9" t="str">
        <x:v>P05</x:v>
      </x:c>
      <x:c r="J3261" s="11" t="n">
        <x:v>46311.53125</x:v>
      </x:c>
      <x:c r="K3261" s="15" t="n">
        <x:v>6</x:v>
      </x:c>
      <x:c r="L3261" s="15" t="n">
        <x:v>30</x:v>
      </x:c>
      <x:c r="M3261" s="13" t="n">
        <x:f>J3261+(K3261+L3261)/1440</x:f>
        <x:v>46311.55625</x:v>
      </x:c>
      <x:c r="N3261" s="13" t="n">
        <x:f>VLOOKUP(C3261,'MES orders'!$A$8:$H$127,5,FALSE)</x:f>
        <x:v>46310.666666666664</x:v>
      </x:c>
      <x:c r="O3261" s="16" t="n">
        <x:f>MAX(0,(M3261-N3261)*24)</x:f>
        <x:v>21.350000000093132</x:v>
      </x:c>
      <x:c r="P3261" s="9" t="str">
        <x:v>No</x:v>
      </x:c>
      <x:c r="Q3261" s="15" t="n">
        <x:v>36</x:v>
      </x:c>
      <x:c r="R3261" s="13" t="n">
        <x:f>J3261+Q3261/1440</x:f>
        <x:v>46311.55625</x:v>
      </x:c>
      <x:c r="S3261" s="2" t="str">
        <x:f>VLOOKUP(C3261,'MES orders'!$A$8:$H$127,6,FALSE)</x:f>
        <x:v>Normal</x:v>
      </x:c>
      <x:c r="T3261" s="9" t="str"/>
    </x:row>
    <x:row r="3262" ht="22" customHeight="1">
      <x:c r="A3262" s="2" t="str">
        <x:v>L00553-020</x:v>
      </x:c>
      <x:c r="B3262" s="2" t="str">
        <x:v>L00553</x:v>
      </x:c>
      <x:c r="C3262" s="2" t="str">
        <x:v>SO-26111</x:v>
      </x:c>
      <x:c r="D3262" s="2" t="str">
        <x:v>S-S-AL</x:v>
      </x:c>
      <x:c r="E3262" s="14" t="n">
        <x:v>10</x:v>
      </x:c>
      <x:c r="F3262" s="2" t="str">
        <x:v>Deburr &amp; inspect</x:v>
      </x:c>
      <x:c r="G3262" s="9" t="str">
        <x:v>DB-01</x:v>
      </x:c>
      <x:c r="H3262" s="15" t="n">
        <x:v>307</x:v>
      </x:c>
      <x:c r="I3262" s="9" t="str">
        <x:v>P06</x:v>
      </x:c>
      <x:c r="J3262" s="11" t="n">
        <x:v>46311.53125</x:v>
      </x:c>
      <x:c r="K3262" s="15" t="n">
        <x:v>4</x:v>
      </x:c>
      <x:c r="L3262" s="15" t="n">
        <x:v>7</x:v>
      </x:c>
      <x:c r="M3262" s="13" t="n">
        <x:f>J3262+(K3262+L3262)/1440</x:f>
        <x:v>46311.53888888889</x:v>
      </x:c>
      <x:c r="N3262" s="13" t="n">
        <x:f>VLOOKUP(C3262,'MES orders'!$A$8:$H$127,5,FALSE)</x:f>
        <x:v>46310.666666666664</x:v>
      </x:c>
      <x:c r="O3262" s="16" t="n">
        <x:f>MAX(0,(M3262-N3262)*24)</x:f>
        <x:v>20.93333333346527</x:v>
      </x:c>
      <x:c r="P3262" s="9" t="str">
        <x:v>No</x:v>
      </x:c>
      <x:c r="Q3262" s="15" t="n">
        <x:v>11</x:v>
      </x:c>
      <x:c r="R3262" s="13" t="n">
        <x:f>J3262+Q3262/1440</x:f>
        <x:v>46311.53888888889</x:v>
      </x:c>
      <x:c r="S3262" s="2" t="str">
        <x:f>VLOOKUP(C3262,'MES orders'!$A$8:$H$127,6,FALSE)</x:f>
        <x:v>Normal</x:v>
      </x:c>
      <x:c r="T3262" s="9" t="str"/>
    </x:row>
    <x:row r="3263" ht="22" customHeight="1">
      <x:c r="A3263" s="2" t="str">
        <x:v>L00593-010</x:v>
      </x:c>
      <x:c r="B3263" s="2" t="str">
        <x:v>L00593</x:v>
      </x:c>
      <x:c r="C3263" s="2" t="str">
        <x:v>SO-26119</x:v>
      </x:c>
      <x:c r="D3263" s="2" t="str">
        <x:v>S-L-AL</x:v>
      </x:c>
      <x:c r="E3263" s="14" t="n">
        <x:v>20</x:v>
      </x:c>
      <x:c r="F3263" s="2" t="str">
        <x:v>CNC machining</x:v>
      </x:c>
      <x:c r="G3263" s="9" t="str">
        <x:v>CNC-05</x:v>
      </x:c>
      <x:c r="H3263" s="15" t="n">
        <x:v>89</x:v>
      </x:c>
      <x:c r="I3263" s="9" t="str">
        <x:v>P02</x:v>
      </x:c>
      <x:c r="J3263" s="11" t="n">
        <x:v>46311.53888888889</x:v>
      </x:c>
      <x:c r="K3263" s="15" t="n">
        <x:v>18</x:v>
      </x:c>
      <x:c r="L3263" s="15" t="n">
        <x:v>65</x:v>
      </x:c>
      <x:c r="M3263" s="13" t="n">
        <x:f>J3263+(K3263+L3263)/1440</x:f>
        <x:v>46311.59652777778</x:v>
      </x:c>
      <x:c r="N3263" s="13" t="n">
        <x:f>VLOOKUP(C3263,'MES orders'!$A$8:$H$127,5,FALSE)</x:f>
        <x:v>46310.666666666664</x:v>
      </x:c>
      <x:c r="O3263" s="16" t="n">
        <x:f>MAX(0,(M3263-N3263)*24)</x:f>
        <x:v>22.31666666676756</x:v>
      </x:c>
      <x:c r="P3263" s="9" t="str">
        <x:v>No</x:v>
      </x:c>
      <x:c r="Q3263" s="15" t="n">
        <x:v>18</x:v>
      </x:c>
      <x:c r="R3263" s="13" t="n">
        <x:f>J3263+Q3263/1440</x:f>
        <x:v>46311.55138888889</x:v>
      </x:c>
      <x:c r="S3263" s="2" t="str">
        <x:f>VLOOKUP(C3263,'MES orders'!$A$8:$H$127,6,FALSE)</x:f>
        <x:v>Normal</x:v>
      </x:c>
      <x:c r="T3263" s="9" t="str"/>
    </x:row>
    <x:row r="3264" ht="22" customHeight="1">
      <x:c r="A3264" s="2" t="str">
        <x:v>L00594-010</x:v>
      </x:c>
      <x:c r="B3264" s="2" t="str">
        <x:v>L00594</x:v>
      </x:c>
      <x:c r="C3264" s="2" t="str">
        <x:v>SO-26119</x:v>
      </x:c>
      <x:c r="D3264" s="2" t="str">
        <x:v>S-L-AL</x:v>
      </x:c>
      <x:c r="E3264" s="14" t="n">
        <x:v>20</x:v>
      </x:c>
      <x:c r="F3264" s="2" t="str">
        <x:v>CNC machining</x:v>
      </x:c>
      <x:c r="G3264" s="9" t="str">
        <x:v>CNC-06</x:v>
      </x:c>
      <x:c r="H3264" s="15" t="n">
        <x:v>82</x:v>
      </x:c>
      <x:c r="I3264" s="9" t="str">
        <x:v>P01</x:v>
      </x:c>
      <x:c r="J3264" s="11" t="n">
        <x:v>46311.54027777778</x:v>
      </x:c>
      <x:c r="K3264" s="15" t="n">
        <x:v>18</x:v>
      </x:c>
      <x:c r="L3264" s="15" t="n">
        <x:v>65</x:v>
      </x:c>
      <x:c r="M3264" s="13" t="n">
        <x:f>J3264+(K3264+L3264)/1440</x:f>
        <x:v>46311.597916666666</x:v>
      </x:c>
      <x:c r="N3264" s="13" t="n">
        <x:f>VLOOKUP(C3264,'MES orders'!$A$8:$H$127,5,FALSE)</x:f>
        <x:v>46310.666666666664</x:v>
      </x:c>
      <x:c r="O3264" s="16" t="n">
        <x:f>MAX(0,(M3264-N3264)*24)</x:f>
        <x:v>22.350000000034925</x:v>
      </x:c>
      <x:c r="P3264" s="9" t="str">
        <x:v>No</x:v>
      </x:c>
      <x:c r="Q3264" s="15" t="n">
        <x:v>18</x:v>
      </x:c>
      <x:c r="R3264" s="13" t="n">
        <x:f>J3264+Q3264/1440</x:f>
        <x:v>46311.552777777775</x:v>
      </x:c>
      <x:c r="S3264" s="2" t="str">
        <x:f>VLOOKUP(C3264,'MES orders'!$A$8:$H$127,6,FALSE)</x:f>
        <x:v>Normal</x:v>
      </x:c>
      <x:c r="T3264" s="9" t="str"/>
    </x:row>
    <x:row r="3265" ht="22" customHeight="1">
      <x:c r="A3265" s="2" t="str">
        <x:v>L00473-050</x:v>
      </x:c>
      <x:c r="B3265" s="2" t="str">
        <x:v>L00473</x:v>
      </x:c>
      <x:c r="C3265" s="2" t="str">
        <x:v>SO-26095</x:v>
      </x:c>
      <x:c r="D3265" s="2" t="str">
        <x:v>R-L-AL</x:v>
      </x:c>
      <x:c r="E3265" s="14" t="n">
        <x:v>20</x:v>
      </x:c>
      <x:c r="F3265" s="2" t="str">
        <x:v>Valve adjustment</x:v>
      </x:c>
      <x:c r="G3265" s="9" t="str">
        <x:v>AS-02</x:v>
      </x:c>
      <x:c r="H3265" s="15" t="n">
        <x:v>210</x:v>
      </x:c>
      <x:c r="I3265" s="9" t="str">
        <x:v>P06</x:v>
      </x:c>
      <x:c r="J3265" s="11" t="n">
        <x:v>46311.540972222225</x:v>
      </x:c>
      <x:c r="K3265" s="15" t="n">
        <x:v>6</x:v>
      </x:c>
      <x:c r="L3265" s="15" t="n">
        <x:v>30</x:v>
      </x:c>
      <x:c r="M3265" s="13" t="n">
        <x:f>J3265+(K3265+L3265)/1440</x:f>
        <x:v>46311.565972222226</x:v>
      </x:c>
      <x:c r="N3265" s="13" t="n">
        <x:f>VLOOKUP(C3265,'MES orders'!$A$8:$H$127,5,FALSE)</x:f>
        <x:v>46310.666666666664</x:v>
      </x:c>
      <x:c r="O3265" s="16" t="n">
        <x:f>MAX(0,(M3265-N3265)*24)</x:f>
        <x:v>21.583333333488554</x:v>
      </x:c>
      <x:c r="P3265" s="9" t="str">
        <x:v>No</x:v>
      </x:c>
      <x:c r="Q3265" s="15" t="n">
        <x:v>36</x:v>
      </x:c>
      <x:c r="R3265" s="13" t="n">
        <x:f>J3265+Q3265/1440</x:f>
        <x:v>46311.565972222226</x:v>
      </x:c>
      <x:c r="S3265" s="2" t="str">
        <x:f>VLOOKUP(C3265,'MES orders'!$A$8:$H$127,6,FALSE)</x:f>
        <x:v>Normal</x:v>
      </x:c>
      <x:c r="T3265" s="9" t="str"/>
    </x:row>
    <x:row r="3266" ht="22" customHeight="1">
      <x:c r="A3266" s="2" t="str">
        <x:v>L00474-040</x:v>
      </x:c>
      <x:c r="B3266" s="2" t="str">
        <x:v>L00474</x:v>
      </x:c>
      <x:c r="C3266" s="2" t="str">
        <x:v>SO-26095</x:v>
      </x:c>
      <x:c r="D3266" s="2" t="str">
        <x:v>R-L-AL</x:v>
      </x:c>
      <x:c r="E3266" s="14" t="n">
        <x:v>20</x:v>
      </x:c>
      <x:c r="F3266" s="2" t="str">
        <x:v>Mechanical assembly</x:v>
      </x:c>
      <x:c r="G3266" s="9" t="str">
        <x:v>AS-03</x:v>
      </x:c>
      <x:c r="H3266" s="15" t="n">
        <x:v>173</x:v>
      </x:c>
      <x:c r="I3266" s="9" t="str">
        <x:v>P04</x:v>
      </x:c>
      <x:c r="J3266" s="11" t="n">
        <x:v>46311.540972222225</x:v>
      </x:c>
      <x:c r="K3266" s="15" t="n">
        <x:v>8</x:v>
      </x:c>
      <x:c r="L3266" s="15" t="n">
        <x:v>49</x:v>
      </x:c>
      <x:c r="M3266" s="13" t="n">
        <x:f>J3266+(K3266+L3266)/1440</x:f>
        <x:v>46311.580555555556</x:v>
      </x:c>
      <x:c r="N3266" s="13" t="n">
        <x:f>VLOOKUP(C3266,'MES orders'!$A$8:$H$127,5,FALSE)</x:f>
        <x:v>46310.666666666664</x:v>
      </x:c>
      <x:c r="O3266" s="16" t="n">
        <x:f>MAX(0,(M3266-N3266)*24)</x:f>
        <x:v>21.933333333407063</x:v>
      </x:c>
      <x:c r="P3266" s="9" t="str">
        <x:v>No</x:v>
      </x:c>
      <x:c r="Q3266" s="15" t="n">
        <x:v>57</x:v>
      </x:c>
      <x:c r="R3266" s="13" t="n">
        <x:f>J3266+Q3266/1440</x:f>
        <x:v>46311.580555555556</x:v>
      </x:c>
      <x:c r="S3266" s="2" t="str">
        <x:f>VLOOKUP(C3266,'MES orders'!$A$8:$H$127,6,FALSE)</x:f>
        <x:v>Normal</x:v>
      </x:c>
      <x:c r="T3266" s="9" t="str"/>
    </x:row>
    <x:row r="3267" ht="22" customHeight="1">
      <x:c r="A3267" s="2" t="str">
        <x:v>L00554-050</x:v>
      </x:c>
      <x:c r="B3267" s="2" t="str">
        <x:v>L00554</x:v>
      </x:c>
      <x:c r="C3267" s="2" t="str">
        <x:v>SO-26111</x:v>
      </x:c>
      <x:c r="D3267" s="2" t="str">
        <x:v>S-S-AL</x:v>
      </x:c>
      <x:c r="E3267" s="14" t="n">
        <x:v>10</x:v>
      </x:c>
      <x:c r="F3267" s="2" t="str">
        <x:v>Sensor installation</x:v>
      </x:c>
      <x:c r="G3267" s="9" t="str">
        <x:v>EL-02</x:v>
      </x:c>
      <x:c r="H3267" s="15" t="n">
        <x:v>53</x:v>
      </x:c>
      <x:c r="I3267" s="9" t="str">
        <x:v>P08</x:v>
      </x:c>
      <x:c r="J3267" s="11" t="n">
        <x:v>46311.541666666664</x:v>
      </x:c>
      <x:c r="K3267" s="15" t="n">
        <x:v>8</x:v>
      </x:c>
      <x:c r="L3267" s="15" t="n">
        <x:v>12</x:v>
      </x:c>
      <x:c r="M3267" s="13" t="n">
        <x:f>J3267+(K3267+L3267)/1440</x:f>
        <x:v>46311.555555555555</x:v>
      </x:c>
      <x:c r="N3267" s="13" t="n">
        <x:f>VLOOKUP(C3267,'MES orders'!$A$8:$H$127,5,FALSE)</x:f>
        <x:v>46310.666666666664</x:v>
      </x:c>
      <x:c r="O3267" s="16" t="n">
        <x:f>MAX(0,(M3267-N3267)*24)</x:f>
        <x:v>21.33333333337214</x:v>
      </x:c>
      <x:c r="P3267" s="9" t="str">
        <x:v>No</x:v>
      </x:c>
      <x:c r="Q3267" s="15" t="n">
        <x:v>20</x:v>
      </x:c>
      <x:c r="R3267" s="13" t="n">
        <x:f>J3267+Q3267/1440</x:f>
        <x:v>46311.555555555555</x:v>
      </x:c>
      <x:c r="S3267" s="2" t="str">
        <x:f>VLOOKUP(C3267,'MES orders'!$A$8:$H$127,6,FALSE)</x:f>
        <x:v>Normal</x:v>
      </x:c>
      <x:c r="T3267" s="9" t="str"/>
    </x:row>
    <x:row r="3268" ht="22" customHeight="1">
      <x:c r="A3268" s="2" t="str">
        <x:v>L00555-050</x:v>
      </x:c>
      <x:c r="B3268" s="2" t="str">
        <x:v>L00555</x:v>
      </x:c>
      <x:c r="C3268" s="2" t="str">
        <x:v>SO-26111</x:v>
      </x:c>
      <x:c r="D3268" s="2" t="str">
        <x:v>S-S-AL</x:v>
      </x:c>
      <x:c r="E3268" s="14" t="n">
        <x:v>10</x:v>
      </x:c>
      <x:c r="F3268" s="2" t="str">
        <x:v>Sensor installation</x:v>
      </x:c>
      <x:c r="G3268" s="9" t="str">
        <x:v>EL-01</x:v>
      </x:c>
      <x:c r="H3268" s="15" t="n">
        <x:v>110</x:v>
      </x:c>
      <x:c r="I3268" s="9" t="str">
        <x:v>P07</x:v>
      </x:c>
      <x:c r="J3268" s="11" t="n">
        <x:v>46311.54861111111</x:v>
      </x:c>
      <x:c r="K3268" s="15" t="n">
        <x:v>8</x:v>
      </x:c>
      <x:c r="L3268" s="15" t="n">
        <x:v>12</x:v>
      </x:c>
      <x:c r="M3268" s="13" t="n">
        <x:f>J3268+(K3268+L3268)/1440</x:f>
        <x:v>46311.5625</x:v>
      </x:c>
      <x:c r="N3268" s="13" t="n">
        <x:f>VLOOKUP(C3268,'MES orders'!$A$8:$H$127,5,FALSE)</x:f>
        <x:v>46310.666666666664</x:v>
      </x:c>
      <x:c r="O3268" s="16" t="n">
        <x:f>MAX(0,(M3268-N3268)*24)</x:f>
        <x:v>21.500000000058208</x:v>
      </x:c>
      <x:c r="P3268" s="9" t="str">
        <x:v>No</x:v>
      </x:c>
      <x:c r="Q3268" s="15" t="n">
        <x:v>20</x:v>
      </x:c>
      <x:c r="R3268" s="13" t="n">
        <x:f>J3268+Q3268/1440</x:f>
        <x:v>46311.5625</x:v>
      </x:c>
      <x:c r="S3268" s="2" t="str">
        <x:f>VLOOKUP(C3268,'MES orders'!$A$8:$H$127,6,FALSE)</x:f>
        <x:v>Normal</x:v>
      </x:c>
      <x:c r="T3268" s="9" t="str"/>
    </x:row>
    <x:row r="3269" ht="22" customHeight="1">
      <x:c r="A3269" s="2" t="str">
        <x:v>L00515-060</x:v>
      </x:c>
      <x:c r="B3269" s="2" t="str">
        <x:v>L00515</x:v>
      </x:c>
      <x:c r="C3269" s="2" t="str">
        <x:v>SO-26103</x:v>
      </x:c>
      <x:c r="D3269" s="2" t="str">
        <x:v>S-C-AL</x:v>
      </x:c>
      <x:c r="E3269" s="14" t="n">
        <x:v>25</x:v>
      </x:c>
      <x:c r="F3269" s="2" t="str">
        <x:v>Sensor calibration</x:v>
      </x:c>
      <x:c r="G3269" s="9" t="str">
        <x:v>CAL-01</x:v>
      </x:c>
      <x:c r="H3269" s="15" t="n">
        <x:v>160</x:v>
      </x:c>
      <x:c r="I3269" s="9" t="str">
        <x:v>P09</x:v>
      </x:c>
      <x:c r="J3269" s="11" t="n">
        <x:v>46311.55486111111</x:v>
      </x:c>
      <x:c r="K3269" s="15" t="n">
        <x:v>10</x:v>
      </x:c>
      <x:c r="L3269" s="15" t="n">
        <x:v>26</x:v>
      </x:c>
      <x:c r="M3269" s="13" t="n">
        <x:f>J3269+(K3269+L3269)/1440</x:f>
        <x:v>46311.57986111111</x:v>
      </x:c>
      <x:c r="N3269" s="13" t="n">
        <x:f>VLOOKUP(C3269,'MES orders'!$A$8:$H$127,5,FALSE)</x:f>
        <x:v>46310.666666666664</x:v>
      </x:c>
      <x:c r="O3269" s="16" t="n">
        <x:f>MAX(0,(M3269-N3269)*24)</x:f>
        <x:v>21.91666666668607</x:v>
      </x:c>
      <x:c r="P3269" s="9" t="str">
        <x:v>No</x:v>
      </x:c>
      <x:c r="Q3269" s="15" t="n">
        <x:v>36</x:v>
      </x:c>
      <x:c r="R3269" s="13" t="n">
        <x:f>J3269+Q3269/1440</x:f>
        <x:v>46311.57986111111</x:v>
      </x:c>
      <x:c r="S3269" s="2" t="str">
        <x:f>VLOOKUP(C3269,'MES orders'!$A$8:$H$127,6,FALSE)</x:f>
        <x:v>Normal</x:v>
      </x:c>
      <x:c r="T3269" s="9" t="str"/>
    </x:row>
    <x:row r="3270" ht="22" customHeight="1">
      <x:c r="A3270" s="2" t="str">
        <x:v>L00475-050</x:v>
      </x:c>
      <x:c r="B3270" s="2" t="str">
        <x:v>L00475</x:v>
      </x:c>
      <x:c r="C3270" s="2" t="str">
        <x:v>SO-26095</x:v>
      </x:c>
      <x:c r="D3270" s="2" t="str">
        <x:v>R-L-AL</x:v>
      </x:c>
      <x:c r="E3270" s="14" t="n">
        <x:v>20</x:v>
      </x:c>
      <x:c r="F3270" s="2" t="str">
        <x:v>Valve adjustment</x:v>
      </x:c>
      <x:c r="G3270" s="9" t="str">
        <x:v>AS-01</x:v>
      </x:c>
      <x:c r="H3270" s="15" t="n">
        <x:v>258</x:v>
      </x:c>
      <x:c r="I3270" s="9" t="str">
        <x:v>P05</x:v>
      </x:c>
      <x:c r="J3270" s="11" t="n">
        <x:v>46311.55625</x:v>
      </x:c>
      <x:c r="K3270" s="15" t="n">
        <x:v>6</x:v>
      </x:c>
      <x:c r="L3270" s="15" t="n">
        <x:v>30</x:v>
      </x:c>
      <x:c r="M3270" s="13" t="n">
        <x:f>J3270+(K3270+L3270)/1440</x:f>
        <x:v>46311.58125</x:v>
      </x:c>
      <x:c r="N3270" s="13" t="n">
        <x:f>VLOOKUP(C3270,'MES orders'!$A$8:$H$127,5,FALSE)</x:f>
        <x:v>46310.666666666664</x:v>
      </x:c>
      <x:c r="O3270" s="16" t="n">
        <x:f>MAX(0,(M3270-N3270)*24)</x:f>
        <x:v>21.950000000128057</x:v>
      </x:c>
      <x:c r="P3270" s="9" t="str">
        <x:v>No</x:v>
      </x:c>
      <x:c r="Q3270" s="15" t="n">
        <x:v>36</x:v>
      </x:c>
      <x:c r="R3270" s="13" t="n">
        <x:f>J3270+Q3270/1440</x:f>
        <x:v>46311.58125</x:v>
      </x:c>
      <x:c r="S3270" s="2" t="str">
        <x:f>VLOOKUP(C3270,'MES orders'!$A$8:$H$127,6,FALSE)</x:f>
        <x:v>Normal</x:v>
      </x:c>
      <x:c r="T3270" s="9" t="str"/>
    </x:row>
    <x:row r="3271" ht="22" customHeight="1">
      <x:c r="A3271" s="2" t="str">
        <x:v>L00472-060</x:v>
      </x:c>
      <x:c r="B3271" s="2" t="str">
        <x:v>L00472</x:v>
      </x:c>
      <x:c r="C3271" s="2" t="str">
        <x:v>SO-26095</x:v>
      </x:c>
      <x:c r="D3271" s="2" t="str">
        <x:v>R-L-AL</x:v>
      </x:c>
      <x:c r="E3271" s="14" t="n">
        <x:v>20</x:v>
      </x:c>
      <x:c r="F3271" s="2" t="str">
        <x:v>Final leak / function test</x:v>
      </x:c>
      <x:c r="G3271" s="9" t="str">
        <x:v>QA-02</x:v>
      </x:c>
      <x:c r="H3271" s="15" t="n">
        <x:v>244</x:v>
      </x:c>
      <x:c r="I3271" s="9" t="str">
        <x:v>P11</x:v>
      </x:c>
      <x:c r="J3271" s="11" t="n">
        <x:v>46311.55625</x:v>
      </x:c>
      <x:c r="K3271" s="15" t="n">
        <x:v>10</x:v>
      </x:c>
      <x:c r="L3271" s="15" t="n">
        <x:v>24</x:v>
      </x:c>
      <x:c r="M3271" s="13" t="n">
        <x:f>J3271+(K3271+L3271)/1440</x:f>
        <x:v>46311.57986111111</x:v>
      </x:c>
      <x:c r="N3271" s="13" t="n">
        <x:f>VLOOKUP(C3271,'MES orders'!$A$8:$H$127,5,FALSE)</x:f>
        <x:v>46310.666666666664</x:v>
      </x:c>
      <x:c r="O3271" s="16" t="n">
        <x:f>MAX(0,(M3271-N3271)*24)</x:f>
        <x:v>21.91666666668607</x:v>
      </x:c>
      <x:c r="P3271" s="9" t="str">
        <x:v>No</x:v>
      </x:c>
      <x:c r="Q3271" s="15" t="n">
        <x:v>34</x:v>
      </x:c>
      <x:c r="R3271" s="13" t="n">
        <x:f>J3271+Q3271/1440</x:f>
        <x:v>46311.57986111111</x:v>
      </x:c>
      <x:c r="S3271" s="2" t="str">
        <x:f>VLOOKUP(C3271,'MES orders'!$A$8:$H$127,6,FALSE)</x:f>
        <x:v>Normal</x:v>
      </x:c>
      <x:c r="T3271" s="9" t="str"/>
    </x:row>
    <x:row r="3272" ht="22" customHeight="1">
      <x:c r="A3272" s="2" t="str">
        <x:v>L00511-070</x:v>
      </x:c>
      <x:c r="B3272" s="2" t="str">
        <x:v>L00511</x:v>
      </x:c>
      <x:c r="C3272" s="2" t="str">
        <x:v>SO-26103</x:v>
      </x:c>
      <x:c r="D3272" s="2" t="str">
        <x:v>S-C-AL</x:v>
      </x:c>
      <x:c r="E3272" s="14" t="n">
        <x:v>25</x:v>
      </x:c>
      <x:c r="F3272" s="2" t="str">
        <x:v>Final assembly</x:v>
      </x:c>
      <x:c r="G3272" s="9" t="str">
        <x:v>AS-02</x:v>
      </x:c>
      <x:c r="H3272" s="15" t="n">
        <x:v>211</x:v>
      </x:c>
      <x:c r="I3272" s="9" t="str">
        <x:v>P06</x:v>
      </x:c>
      <x:c r="J3272" s="11" t="n">
        <x:v>46311.56597222222</x:v>
      </x:c>
      <x:c r="K3272" s="15" t="n">
        <x:v>5</x:v>
      </x:c>
      <x:c r="L3272" s="15" t="n">
        <x:v>16</x:v>
      </x:c>
      <x:c r="M3272" s="13" t="n">
        <x:f>J3272+(K3272+L3272)/1440</x:f>
        <x:v>46311.58055555555</x:v>
      </x:c>
      <x:c r="N3272" s="13" t="n">
        <x:f>VLOOKUP(C3272,'MES orders'!$A$8:$H$127,5,FALSE)</x:f>
        <x:v>46310.666666666664</x:v>
      </x:c>
      <x:c r="O3272" s="16" t="n">
        <x:f>MAX(0,(M3272-N3272)*24)</x:f>
        <x:v>21.93333333323244</x:v>
      </x:c>
      <x:c r="P3272" s="9" t="str">
        <x:v>No</x:v>
      </x:c>
      <x:c r="Q3272" s="15" t="n">
        <x:v>21</x:v>
      </x:c>
      <x:c r="R3272" s="13" t="n">
        <x:f>J3272+Q3272/1440</x:f>
        <x:v>46311.58055555555</x:v>
      </x:c>
      <x:c r="S3272" s="2" t="str">
        <x:f>VLOOKUP(C3272,'MES orders'!$A$8:$H$127,6,FALSE)</x:f>
        <x:v>Normal</x:v>
      </x:c>
      <x:c r="T3272" s="9" t="str"/>
    </x:row>
    <x:row r="3273" ht="22" customHeight="1">
      <x:c r="A3273" s="2" t="str">
        <x:v>L00474-050</x:v>
      </x:c>
      <x:c r="B3273" s="2" t="str">
        <x:v>L00474</x:v>
      </x:c>
      <x:c r="C3273" s="2" t="str">
        <x:v>SO-26095</x:v>
      </x:c>
      <x:c r="D3273" s="2" t="str">
        <x:v>R-L-AL</x:v>
      </x:c>
      <x:c r="E3273" s="14" t="n">
        <x:v>20</x:v>
      </x:c>
      <x:c r="F3273" s="2" t="str">
        <x:v>Valve adjustment</x:v>
      </x:c>
      <x:c r="G3273" s="9" t="str">
        <x:v>AS-01</x:v>
      </x:c>
      <x:c r="H3273" s="15" t="n">
        <x:v>259</x:v>
      </x:c>
      <x:c r="I3273" s="9" t="str">
        <x:v>P17</x:v>
      </x:c>
      <x:c r="J3273" s="11" t="n">
        <x:v>46311.583333333336</x:v>
      </x:c>
      <x:c r="K3273" s="15" t="n">
        <x:v>6</x:v>
      </x:c>
      <x:c r="L3273" s="15" t="n">
        <x:v>30</x:v>
      </x:c>
      <x:c r="M3273" s="13" t="n">
        <x:f>J3273+(K3273+L3273)/1440</x:f>
        <x:v>46311.60833333334</x:v>
      </x:c>
      <x:c r="N3273" s="13" t="n">
        <x:f>VLOOKUP(C3273,'MES orders'!$A$8:$H$127,5,FALSE)</x:f>
        <x:v>46310.666666666664</x:v>
      </x:c>
      <x:c r="O3273" s="16" t="n">
        <x:f>MAX(0,(M3273-N3273)*24)</x:f>
        <x:v>22.60000000015134</x:v>
      </x:c>
      <x:c r="P3273" s="9" t="str">
        <x:v>No</x:v>
      </x:c>
      <x:c r="Q3273" s="15" t="n">
        <x:v>36</x:v>
      </x:c>
      <x:c r="R3273" s="13" t="n">
        <x:f>J3273+Q3273/1440</x:f>
        <x:v>46311.60833333334</x:v>
      </x:c>
      <x:c r="S3273" s="2" t="str">
        <x:f>VLOOKUP(C3273,'MES orders'!$A$8:$H$127,6,FALSE)</x:f>
        <x:v>Normal</x:v>
      </x:c>
      <x:c r="T3273" s="9" t="str"/>
    </x:row>
    <x:row r="3274" ht="22" customHeight="1">
      <x:c r="A3274" s="2" t="str">
        <x:v>L00512-070</x:v>
      </x:c>
      <x:c r="B3274" s="2" t="str">
        <x:v>L00512</x:v>
      </x:c>
      <x:c r="C3274" s="2" t="str">
        <x:v>SO-26103</x:v>
      </x:c>
      <x:c r="D3274" s="2" t="str">
        <x:v>S-C-AL</x:v>
      </x:c>
      <x:c r="E3274" s="14" t="n">
        <x:v>25</x:v>
      </x:c>
      <x:c r="F3274" s="2" t="str">
        <x:v>Final assembly</x:v>
      </x:c>
      <x:c r="G3274" s="9" t="str">
        <x:v>AS-02</x:v>
      </x:c>
      <x:c r="H3274" s="15" t="n">
        <x:v>212</x:v>
      </x:c>
      <x:c r="I3274" s="9" t="str">
        <x:v>P18</x:v>
      </x:c>
      <x:c r="J3274" s="11" t="n">
        <x:v>46311.583333333336</x:v>
      </x:c>
      <x:c r="K3274" s="15" t="n">
        <x:v>5</x:v>
      </x:c>
      <x:c r="L3274" s="15" t="n">
        <x:v>16</x:v>
      </x:c>
      <x:c r="M3274" s="13" t="n">
        <x:f>J3274+(K3274+L3274)/1440</x:f>
        <x:v>46311.597916666666</x:v>
      </x:c>
      <x:c r="N3274" s="13" t="n">
        <x:f>VLOOKUP(C3274,'MES orders'!$A$8:$H$127,5,FALSE)</x:f>
        <x:v>46310.666666666664</x:v>
      </x:c>
      <x:c r="O3274" s="16" t="n">
        <x:f>MAX(0,(M3274-N3274)*24)</x:f>
        <x:v>22.350000000034925</x:v>
      </x:c>
      <x:c r="P3274" s="9" t="str">
        <x:v>No</x:v>
      </x:c>
      <x:c r="Q3274" s="15" t="n">
        <x:v>21</x:v>
      </x:c>
      <x:c r="R3274" s="13" t="n">
        <x:f>J3274+Q3274/1440</x:f>
        <x:v>46311.597916666666</x:v>
      </x:c>
      <x:c r="S3274" s="2" t="str">
        <x:f>VLOOKUP(C3274,'MES orders'!$A$8:$H$127,6,FALSE)</x:f>
        <x:v>Normal</x:v>
      </x:c>
      <x:c r="T3274" s="9" t="str"/>
    </x:row>
    <x:row r="3275" ht="22" customHeight="1">
      <x:c r="A3275" s="2" t="str">
        <x:v>L00514-040</x:v>
      </x:c>
      <x:c r="B3275" s="2" t="str">
        <x:v>L00514</x:v>
      </x:c>
      <x:c r="C3275" s="2" t="str">
        <x:v>SO-26103</x:v>
      </x:c>
      <x:c r="D3275" s="2" t="str">
        <x:v>S-C-AL</x:v>
      </x:c>
      <x:c r="E3275" s="14" t="n">
        <x:v>25</x:v>
      </x:c>
      <x:c r="F3275" s="2" t="str">
        <x:v>Mechanical preassembly</x:v>
      </x:c>
      <x:c r="G3275" s="9" t="str">
        <x:v>AS-03</x:v>
      </x:c>
      <x:c r="H3275" s="15" t="n">
        <x:v>174</x:v>
      </x:c>
      <x:c r="I3275" s="9" t="str">
        <x:v>P16</x:v>
      </x:c>
      <x:c r="J3275" s="11" t="n">
        <x:v>46311.583333333336</x:v>
      </x:c>
      <x:c r="K3275" s="15" t="n">
        <x:v>6</x:v>
      </x:c>
      <x:c r="L3275" s="15" t="n">
        <x:v>22</x:v>
      </x:c>
      <x:c r="M3275" s="13" t="n">
        <x:f>J3275+(K3275+L3275)/1440</x:f>
        <x:v>46311.60277777778</x:v>
      </x:c>
      <x:c r="N3275" s="13" t="n">
        <x:f>VLOOKUP(C3275,'MES orders'!$A$8:$H$127,5,FALSE)</x:f>
        <x:v>46310.666666666664</x:v>
      </x:c>
      <x:c r="O3275" s="16" t="n">
        <x:f>MAX(0,(M3275-N3275)*24)</x:f>
        <x:v>22.466666666732635</x:v>
      </x:c>
      <x:c r="P3275" s="9" t="str">
        <x:v>No</x:v>
      </x:c>
      <x:c r="Q3275" s="15" t="n">
        <x:v>28</x:v>
      </x:c>
      <x:c r="R3275" s="13" t="n">
        <x:f>J3275+Q3275/1440</x:f>
        <x:v>46311.60277777778</x:v>
      </x:c>
      <x:c r="S3275" s="2" t="str">
        <x:f>VLOOKUP(C3275,'MES orders'!$A$8:$H$127,6,FALSE)</x:f>
        <x:v>Normal</x:v>
      </x:c>
      <x:c r="T3275" s="9" t="str"/>
    </x:row>
    <x:row r="3276" ht="22" customHeight="1">
      <x:c r="A3276" s="2" t="str">
        <x:v>L00552-060</x:v>
      </x:c>
      <x:c r="B3276" s="2" t="str">
        <x:v>L00552</x:v>
      </x:c>
      <x:c r="C3276" s="2" t="str">
        <x:v>SO-26111</x:v>
      </x:c>
      <x:c r="D3276" s="2" t="str">
        <x:v>S-S-AL</x:v>
      </x:c>
      <x:c r="E3276" s="14" t="n">
        <x:v>10</x:v>
      </x:c>
      <x:c r="F3276" s="2" t="str">
        <x:v>Sensor calibration</x:v>
      </x:c>
      <x:c r="G3276" s="9" t="str">
        <x:v>CAL-01</x:v>
      </x:c>
      <x:c r="H3276" s="15" t="n">
        <x:v>161</x:v>
      </x:c>
      <x:c r="I3276" s="9" t="str">
        <x:v>P21</x:v>
      </x:c>
      <x:c r="J3276" s="11" t="n">
        <x:v>46311.583333333336</x:v>
      </x:c>
      <x:c r="K3276" s="15" t="n">
        <x:v>10</x:v>
      </x:c>
      <x:c r="L3276" s="15" t="n">
        <x:v>13</x:v>
      </x:c>
      <x:c r="M3276" s="13" t="n">
        <x:f>J3276+(K3276+L3276)/1440</x:f>
        <x:v>46311.59930555556</x:v>
      </x:c>
      <x:c r="N3276" s="13" t="n">
        <x:f>VLOOKUP(C3276,'MES orders'!$A$8:$H$127,5,FALSE)</x:f>
        <x:v>46310.666666666664</x:v>
      </x:c>
      <x:c r="O3276" s="16" t="n">
        <x:f>MAX(0,(M3276-N3276)*24)</x:f>
        <x:v>22.383333333476912</x:v>
      </x:c>
      <x:c r="P3276" s="9" t="str">
        <x:v>No</x:v>
      </x:c>
      <x:c r="Q3276" s="15" t="n">
        <x:v>23</x:v>
      </x:c>
      <x:c r="R3276" s="13" t="n">
        <x:f>J3276+Q3276/1440</x:f>
        <x:v>46311.59930555556</x:v>
      </x:c>
      <x:c r="S3276" s="2" t="str">
        <x:f>VLOOKUP(C3276,'MES orders'!$A$8:$H$127,6,FALSE)</x:f>
        <x:v>Normal</x:v>
      </x:c>
      <x:c r="T3276" s="9" t="str"/>
    </x:row>
    <x:row r="3277" ht="22" customHeight="1">
      <x:c r="A3277" s="2" t="str">
        <x:v>L00473-060</x:v>
      </x:c>
      <x:c r="B3277" s="2" t="str">
        <x:v>L00473</x:v>
      </x:c>
      <x:c r="C3277" s="2" t="str">
        <x:v>SO-26095</x:v>
      </x:c>
      <x:c r="D3277" s="2" t="str">
        <x:v>R-L-AL</x:v>
      </x:c>
      <x:c r="E3277" s="14" t="n">
        <x:v>20</x:v>
      </x:c>
      <x:c r="F3277" s="2" t="str">
        <x:v>Final leak / function test</x:v>
      </x:c>
      <x:c r="G3277" s="9" t="str">
        <x:v>QA-02</x:v>
      </x:c>
      <x:c r="H3277" s="15" t="n">
        <x:v>245</x:v>
      </x:c>
      <x:c r="I3277" s="9" t="str">
        <x:v>P23</x:v>
      </x:c>
      <x:c r="J3277" s="11" t="n">
        <x:v>46311.583333333336</x:v>
      </x:c>
      <x:c r="K3277" s="15" t="n">
        <x:v>10</x:v>
      </x:c>
      <x:c r="L3277" s="15" t="n">
        <x:v>24</x:v>
      </x:c>
      <x:c r="M3277" s="13" t="n">
        <x:f>J3277+(K3277+L3277)/1440</x:f>
        <x:v>46311.606944444444</x:v>
      </x:c>
      <x:c r="N3277" s="13" t="n">
        <x:f>VLOOKUP(C3277,'MES orders'!$A$8:$H$127,5,FALSE)</x:f>
        <x:v>46310.666666666664</x:v>
      </x:c>
      <x:c r="O3277" s="16" t="n">
        <x:f>MAX(0,(M3277-N3277)*24)</x:f>
        <x:v>22.566666666709352</x:v>
      </x:c>
      <x:c r="P3277" s="9" t="str">
        <x:v>No</x:v>
      </x:c>
      <x:c r="Q3277" s="15" t="n">
        <x:v>34</x:v>
      </x:c>
      <x:c r="R3277" s="13" t="n">
        <x:f>J3277+Q3277/1440</x:f>
        <x:v>46311.606944444444</x:v>
      </x:c>
      <x:c r="S3277" s="2" t="str">
        <x:f>VLOOKUP(C3277,'MES orders'!$A$8:$H$127,6,FALSE)</x:f>
        <x:v>Normal</x:v>
      </x:c>
      <x:c r="T3277" s="9" t="str"/>
    </x:row>
    <x:row r="3278" ht="22" customHeight="1">
      <x:c r="A3278" s="2" t="str">
        <x:v>L00475-060</x:v>
      </x:c>
      <x:c r="B3278" s="2" t="str">
        <x:v>L00475</x:v>
      </x:c>
      <x:c r="C3278" s="2" t="str">
        <x:v>SO-26095</x:v>
      </x:c>
      <x:c r="D3278" s="2" t="str">
        <x:v>R-L-AL</x:v>
      </x:c>
      <x:c r="E3278" s="14" t="n">
        <x:v>20</x:v>
      </x:c>
      <x:c r="F3278" s="2" t="str">
        <x:v>Final leak / function test</x:v>
      </x:c>
      <x:c r="G3278" s="9" t="str">
        <x:v>QA-03</x:v>
      </x:c>
      <x:c r="H3278" s="15" t="n">
        <x:v>143</x:v>
      </x:c>
      <x:c r="I3278" s="9" t="str">
        <x:v>P24</x:v>
      </x:c>
      <x:c r="J3278" s="11" t="n">
        <x:v>46311.583333333336</x:v>
      </x:c>
      <x:c r="K3278" s="15" t="n">
        <x:v>10</x:v>
      </x:c>
      <x:c r="L3278" s="15" t="n">
        <x:v>24</x:v>
      </x:c>
      <x:c r="M3278" s="13" t="n">
        <x:f>J3278+(K3278+L3278)/1440</x:f>
        <x:v>46311.606944444444</x:v>
      </x:c>
      <x:c r="N3278" s="13" t="n">
        <x:f>VLOOKUP(C3278,'MES orders'!$A$8:$H$127,5,FALSE)</x:f>
        <x:v>46310.666666666664</x:v>
      </x:c>
      <x:c r="O3278" s="16" t="n">
        <x:f>MAX(0,(M3278-N3278)*24)</x:f>
        <x:v>22.566666666709352</x:v>
      </x:c>
      <x:c r="P3278" s="9" t="str">
        <x:v>No</x:v>
      </x:c>
      <x:c r="Q3278" s="15" t="n">
        <x:v>34</x:v>
      </x:c>
      <x:c r="R3278" s="13" t="n">
        <x:f>J3278+Q3278/1440</x:f>
        <x:v>46311.606944444444</x:v>
      </x:c>
      <x:c r="S3278" s="2" t="str">
        <x:f>VLOOKUP(C3278,'MES orders'!$A$8:$H$127,6,FALSE)</x:f>
        <x:v>Normal</x:v>
      </x:c>
      <x:c r="T3278" s="9" t="str"/>
    </x:row>
    <x:row r="3279" ht="22" customHeight="1">
      <x:c r="A3279" s="2" t="str">
        <x:v>L00595-010</x:v>
      </x:c>
      <x:c r="B3279" s="2" t="str">
        <x:v>L00595</x:v>
      </x:c>
      <x:c r="C3279" s="2" t="str">
        <x:v>SO-26119</x:v>
      </x:c>
      <x:c r="D3279" s="2" t="str">
        <x:v>S-L-AL</x:v>
      </x:c>
      <x:c r="E3279" s="14" t="n">
        <x:v>20</x:v>
      </x:c>
      <x:c r="F3279" s="2" t="str">
        <x:v>CNC machining</x:v>
      </x:c>
      <x:c r="G3279" s="9" t="str">
        <x:v>CNC-03</x:v>
      </x:c>
      <x:c r="H3279" s="15" t="n">
        <x:v>105</x:v>
      </x:c>
      <x:c r="I3279" s="9" t="str">
        <x:v>P13</x:v>
      </x:c>
      <x:c r="J3279" s="11" t="n">
        <x:v>46311.58541666667</x:v>
      </x:c>
      <x:c r="K3279" s="15" t="n">
        <x:v>18</x:v>
      </x:c>
      <x:c r="L3279" s="15" t="n">
        <x:v>65</x:v>
      </x:c>
      <x:c r="M3279" s="13" t="n">
        <x:f>J3279+(K3279+L3279)/1440</x:f>
        <x:v>46311.643055555556</x:v>
      </x:c>
      <x:c r="N3279" s="13" t="n">
        <x:f>VLOOKUP(C3279,'MES orders'!$A$8:$H$127,5,FALSE)</x:f>
        <x:v>46310.666666666664</x:v>
      </x:c>
      <x:c r="O3279" s="16" t="n">
        <x:f>MAX(0,(M3279-N3279)*24)</x:f>
        <x:v>23.433333333407063</x:v>
      </x:c>
      <x:c r="P3279" s="9" t="str">
        <x:v>No</x:v>
      </x:c>
      <x:c r="Q3279" s="15" t="n">
        <x:v>18</x:v>
      </x:c>
      <x:c r="R3279" s="13" t="n">
        <x:f>J3279+Q3279/1440</x:f>
        <x:v>46311.597916666666</x:v>
      </x:c>
      <x:c r="S3279" s="2" t="str">
        <x:f>VLOOKUP(C3279,'MES orders'!$A$8:$H$127,6,FALSE)</x:f>
        <x:v>Normal</x:v>
      </x:c>
      <x:c r="T3279" s="9" t="str"/>
    </x:row>
    <x:row r="3280" ht="22" customHeight="1">
      <x:c r="A3280" s="2" t="str">
        <x:v>L00116-010</x:v>
      </x:c>
      <x:c r="B3280" s="2" t="str">
        <x:v>L00116</x:v>
      </x:c>
      <x:c r="C3280" s="2" t="str">
        <x:v>SO-26024</x:v>
      </x:c>
      <x:c r="D3280" s="2" t="str">
        <x:v>S-L-SS</x:v>
      </x:c>
      <x:c r="E3280" s="14" t="n">
        <x:v>10</x:v>
      </x:c>
      <x:c r="F3280" s="2" t="str">
        <x:v>CNC machining</x:v>
      </x:c>
      <x:c r="G3280" s="9" t="str">
        <x:v>CNC-04</x:v>
      </x:c>
      <x:c r="H3280" s="15" t="n">
        <x:v>100</x:v>
      </x:c>
      <x:c r="I3280" s="9" t="str">
        <x:v>P14</x:v>
      </x:c>
      <x:c r="J3280" s="11" t="n">
        <x:v>46311.5875</x:v>
      </x:c>
      <x:c r="K3280" s="15" t="n">
        <x:v>18</x:v>
      </x:c>
      <x:c r="L3280" s="15" t="n">
        <x:v>40</x:v>
      </x:c>
      <x:c r="M3280" s="13" t="n">
        <x:f>J3280+(K3280+L3280)/1440</x:f>
        <x:v>46311.62777777778</x:v>
      </x:c>
      <x:c r="N3280" s="13" t="n">
        <x:f>VLOOKUP(C3280,'MES orders'!$A$8:$H$127,5,FALSE)</x:f>
        <x:v>46311.666666666664</x:v>
      </x:c>
      <x:c r="O3280" s="16" t="n">
        <x:f>MAX(0,(M3280-N3280)*24)</x:f>
        <x:v>0</x:v>
      </x:c>
      <x:c r="P3280" s="9" t="str">
        <x:v>No</x:v>
      </x:c>
      <x:c r="Q3280" s="15" t="n">
        <x:v>18</x:v>
      </x:c>
      <x:c r="R3280" s="13" t="n">
        <x:f>J3280+Q3280/1440</x:f>
        <x:v>46311.6</x:v>
      </x:c>
      <x:c r="S3280" s="2" t="str">
        <x:f>VLOOKUP(C3280,'MES orders'!$A$8:$H$127,6,FALSE)</x:f>
        <x:v>Urgent</x:v>
      </x:c>
      <x:c r="T3280" s="9" t="str"/>
    </x:row>
    <x:row r="3281" ht="22" customHeight="1">
      <x:c r="A3281" s="2" t="str">
        <x:v>L00117-010</x:v>
      </x:c>
      <x:c r="B3281" s="2" t="str">
        <x:v>L00117</x:v>
      </x:c>
      <x:c r="C3281" s="2" t="str">
        <x:v>SO-26024</x:v>
      </x:c>
      <x:c r="D3281" s="2" t="str">
        <x:v>S-L-SS</x:v>
      </x:c>
      <x:c r="E3281" s="14" t="n">
        <x:v>10</x:v>
      </x:c>
      <x:c r="F3281" s="2" t="str">
        <x:v>CNC machining</x:v>
      </x:c>
      <x:c r="G3281" s="9" t="str">
        <x:v>CNC-05</x:v>
      </x:c>
      <x:c r="H3281" s="15" t="n">
        <x:v>90</x:v>
      </x:c>
      <x:c r="I3281" s="9" t="str">
        <x:v>P15</x:v>
      </x:c>
      <x:c r="J3281" s="11" t="n">
        <x:v>46311.59652777778</x:v>
      </x:c>
      <x:c r="K3281" s="15" t="n">
        <x:v>18</x:v>
      </x:c>
      <x:c r="L3281" s="15" t="n">
        <x:v>40</x:v>
      </x:c>
      <x:c r="M3281" s="13" t="n">
        <x:f>J3281+(K3281+L3281)/1440</x:f>
        <x:v>46311.63680555556</x:v>
      </x:c>
      <x:c r="N3281" s="13" t="n">
        <x:f>VLOOKUP(C3281,'MES orders'!$A$8:$H$127,5,FALSE)</x:f>
        <x:v>46311.666666666664</x:v>
      </x:c>
      <x:c r="O3281" s="16" t="n">
        <x:f>MAX(0,(M3281-N3281)*24)</x:f>
        <x:v>0</x:v>
      </x:c>
      <x:c r="P3281" s="9" t="str">
        <x:v>No</x:v>
      </x:c>
      <x:c r="Q3281" s="15" t="n">
        <x:v>18</x:v>
      </x:c>
      <x:c r="R3281" s="13" t="n">
        <x:f>J3281+Q3281/1440</x:f>
        <x:v>46311.60902777778</x:v>
      </x:c>
      <x:c r="S3281" s="2" t="str">
        <x:f>VLOOKUP(C3281,'MES orders'!$A$8:$H$127,6,FALSE)</x:f>
        <x:v>Urgent</x:v>
      </x:c>
      <x:c r="T3281" s="9" t="str"/>
    </x:row>
    <x:row r="3282" ht="22" customHeight="1">
      <x:c r="A3282" s="2" t="str">
        <x:v>L00513-070</x:v>
      </x:c>
      <x:c r="B3282" s="2" t="str">
        <x:v>L00513</x:v>
      </x:c>
      <x:c r="C3282" s="2" t="str">
        <x:v>SO-26103</x:v>
      </x:c>
      <x:c r="D3282" s="2" t="str">
        <x:v>S-C-AL</x:v>
      </x:c>
      <x:c r="E3282" s="14" t="n">
        <x:v>25</x:v>
      </x:c>
      <x:c r="F3282" s="2" t="str">
        <x:v>Final assembly</x:v>
      </x:c>
      <x:c r="G3282" s="9" t="str">
        <x:v>AS-02</x:v>
      </x:c>
      <x:c r="H3282" s="15" t="n">
        <x:v>213</x:v>
      </x:c>
      <x:c r="I3282" s="9" t="str">
        <x:v>P18</x:v>
      </x:c>
      <x:c r="J3282" s="11" t="n">
        <x:v>46311.597916666666</x:v>
      </x:c>
      <x:c r="K3282" s="15" t="n">
        <x:v>5</x:v>
      </x:c>
      <x:c r="L3282" s="15" t="n">
        <x:v>16</x:v>
      </x:c>
      <x:c r="M3282" s="13" t="n">
        <x:f>J3282+(K3282+L3282)/1440</x:f>
        <x:v>46311.612499999996</x:v>
      </x:c>
      <x:c r="N3282" s="13" t="n">
        <x:f>VLOOKUP(C3282,'MES orders'!$A$8:$H$127,5,FALSE)</x:f>
        <x:v>46310.666666666664</x:v>
      </x:c>
      <x:c r="O3282" s="16" t="n">
        <x:f>MAX(0,(M3282-N3282)*24)</x:f>
        <x:v>22.699999999953434</x:v>
      </x:c>
      <x:c r="P3282" s="9" t="str">
        <x:v>No</x:v>
      </x:c>
      <x:c r="Q3282" s="15" t="n">
        <x:v>21</x:v>
      </x:c>
      <x:c r="R3282" s="13" t="n">
        <x:f>J3282+Q3282/1440</x:f>
        <x:v>46311.612499999996</x:v>
      </x:c>
      <x:c r="S3282" s="2" t="str">
        <x:f>VLOOKUP(C3282,'MES orders'!$A$8:$H$127,6,FALSE)</x:f>
        <x:v>Normal</x:v>
      </x:c>
      <x:c r="T3282" s="9" t="str"/>
    </x:row>
    <x:row r="3283" ht="22" customHeight="1">
      <x:c r="A3283" s="2" t="str">
        <x:v>L00594-020</x:v>
      </x:c>
      <x:c r="B3283" s="2" t="str">
        <x:v>L00594</x:v>
      </x:c>
      <x:c r="C3283" s="2" t="str">
        <x:v>SO-26119</x:v>
      </x:c>
      <x:c r="D3283" s="2" t="str">
        <x:v>S-L-AL</x:v>
      </x:c>
      <x:c r="E3283" s="14" t="n">
        <x:v>20</x:v>
      </x:c>
      <x:c r="F3283" s="2" t="str">
        <x:v>Deburr &amp; inspect</x:v>
      </x:c>
      <x:c r="G3283" s="9" t="str">
        <x:v>DB-01</x:v>
      </x:c>
      <x:c r="H3283" s="15" t="n">
        <x:v>308</x:v>
      </x:c>
      <x:c r="I3283" s="9" t="str">
        <x:v>P13</x:v>
      </x:c>
      <x:c r="J3283" s="11" t="n">
        <x:v>46311.597916666666</x:v>
      </x:c>
      <x:c r="K3283" s="15" t="n">
        <x:v>4</x:v>
      </x:c>
      <x:c r="L3283" s="15" t="n">
        <x:v>19</x:v>
      </x:c>
      <x:c r="M3283" s="13" t="n">
        <x:f>J3283+(K3283+L3283)/1440</x:f>
        <x:v>46311.61388888889</x:v>
      </x:c>
      <x:c r="N3283" s="13" t="n">
        <x:f>VLOOKUP(C3283,'MES orders'!$A$8:$H$127,5,FALSE)</x:f>
        <x:v>46310.666666666664</x:v>
      </x:c>
      <x:c r="O3283" s="16" t="n">
        <x:f>MAX(0,(M3283-N3283)*24)</x:f>
        <x:v>22.73333333339542</x:v>
      </x:c>
      <x:c r="P3283" s="9" t="str">
        <x:v>No</x:v>
      </x:c>
      <x:c r="Q3283" s="15" t="n">
        <x:v>23</x:v>
      </x:c>
      <x:c r="R3283" s="13" t="n">
        <x:f>J3283+Q3283/1440</x:f>
        <x:v>46311.61388888889</x:v>
      </x:c>
      <x:c r="S3283" s="2" t="str">
        <x:f>VLOOKUP(C3283,'MES orders'!$A$8:$H$127,6,FALSE)</x:f>
        <x:v>Normal</x:v>
      </x:c>
      <x:c r="T3283" s="9" t="str"/>
    </x:row>
    <x:row r="3284" ht="22" customHeight="1">
      <x:c r="A3284" s="2" t="str">
        <x:v>L00554-060</x:v>
      </x:c>
      <x:c r="B3284" s="2" t="str">
        <x:v>L00554</x:v>
      </x:c>
      <x:c r="C3284" s="2" t="str">
        <x:v>SO-26111</x:v>
      </x:c>
      <x:c r="D3284" s="2" t="str">
        <x:v>S-S-AL</x:v>
      </x:c>
      <x:c r="E3284" s="14" t="n">
        <x:v>10</x:v>
      </x:c>
      <x:c r="F3284" s="2" t="str">
        <x:v>Sensor calibration</x:v>
      </x:c>
      <x:c r="G3284" s="9" t="str">
        <x:v>CAL-01</x:v>
      </x:c>
      <x:c r="H3284" s="15" t="n">
        <x:v>162</x:v>
      </x:c>
      <x:c r="I3284" s="9" t="str">
        <x:v>P21</x:v>
      </x:c>
      <x:c r="J3284" s="11" t="n">
        <x:v>46311.59930555556</x:v>
      </x:c>
      <x:c r="K3284" s="15" t="n">
        <x:v>10</x:v>
      </x:c>
      <x:c r="L3284" s="15" t="n">
        <x:v>13</x:v>
      </x:c>
      <x:c r="M3284" s="13" t="n">
        <x:f>J3284+(K3284+L3284)/1440</x:f>
        <x:v>46311.61527777778</x:v>
      </x:c>
      <x:c r="N3284" s="13" t="n">
        <x:f>VLOOKUP(C3284,'MES orders'!$A$8:$H$127,5,FALSE)</x:f>
        <x:v>46310.666666666664</x:v>
      </x:c>
      <x:c r="O3284" s="16" t="n">
        <x:f>MAX(0,(M3284-N3284)*24)</x:f>
        <x:v>22.76666666683741</x:v>
      </x:c>
      <x:c r="P3284" s="9" t="str">
        <x:v>No</x:v>
      </x:c>
      <x:c r="Q3284" s="15" t="n">
        <x:v>23</x:v>
      </x:c>
      <x:c r="R3284" s="13" t="n">
        <x:f>J3284+Q3284/1440</x:f>
        <x:v>46311.61527777778</x:v>
      </x:c>
      <x:c r="S3284" s="2" t="str">
        <x:f>VLOOKUP(C3284,'MES orders'!$A$8:$H$127,6,FALSE)</x:f>
        <x:v>Normal</x:v>
      </x:c>
      <x:c r="T3284" s="9" t="str"/>
    </x:row>
    <x:row r="3285" ht="22" customHeight="1">
      <x:c r="A3285" s="2" t="str">
        <x:v>L00118-010</x:v>
      </x:c>
      <x:c r="B3285" s="2" t="str">
        <x:v>L00118</x:v>
      </x:c>
      <x:c r="C3285" s="2" t="str">
        <x:v>SO-26024</x:v>
      </x:c>
      <x:c r="D3285" s="2" t="str">
        <x:v>S-L-SS</x:v>
      </x:c>
      <x:c r="E3285" s="14" t="n">
        <x:v>10</x:v>
      </x:c>
      <x:c r="F3285" s="2" t="str">
        <x:v>CNC machining</x:v>
      </x:c>
      <x:c r="G3285" s="9" t="str">
        <x:v>CNC-06</x:v>
      </x:c>
      <x:c r="H3285" s="15" t="n">
        <x:v>83</x:v>
      </x:c>
      <x:c r="I3285" s="9" t="str">
        <x:v>P14</x:v>
      </x:c>
      <x:c r="J3285" s="11" t="n">
        <x:v>46311.6</x:v>
      </x:c>
      <x:c r="K3285" s="15" t="n">
        <x:v>18</x:v>
      </x:c>
      <x:c r="L3285" s="15" t="n">
        <x:v>40</x:v>
      </x:c>
      <x:c r="M3285" s="13" t="n">
        <x:f>J3285+(K3285+L3285)/1440</x:f>
        <x:v>46311.64027777778</x:v>
      </x:c>
      <x:c r="N3285" s="13" t="n">
        <x:f>VLOOKUP(C3285,'MES orders'!$A$8:$H$127,5,FALSE)</x:f>
        <x:v>46311.666666666664</x:v>
      </x:c>
      <x:c r="O3285" s="16" t="n">
        <x:f>MAX(0,(M3285-N3285)*24)</x:f>
        <x:v>0</x:v>
      </x:c>
      <x:c r="P3285" s="9" t="str">
        <x:v>No</x:v>
      </x:c>
      <x:c r="Q3285" s="15" t="n">
        <x:v>18</x:v>
      </x:c>
      <x:c r="R3285" s="13" t="n">
        <x:f>J3285+Q3285/1440</x:f>
        <x:v>46311.612499999996</x:v>
      </x:c>
      <x:c r="S3285" s="2" t="str">
        <x:f>VLOOKUP(C3285,'MES orders'!$A$8:$H$127,6,FALSE)</x:f>
        <x:v>Urgent</x:v>
      </x:c>
      <x:c r="T3285" s="9" t="str"/>
    </x:row>
    <x:row r="3286" ht="22" customHeight="1">
      <x:c r="A3286" s="2" t="str">
        <x:v>L00514-050</x:v>
      </x:c>
      <x:c r="B3286" s="2" t="str">
        <x:v>L00514</x:v>
      </x:c>
      <x:c r="C3286" s="2" t="str">
        <x:v>SO-26103</x:v>
      </x:c>
      <x:c r="D3286" s="2" t="str">
        <x:v>S-C-AL</x:v>
      </x:c>
      <x:c r="E3286" s="14" t="n">
        <x:v>25</x:v>
      </x:c>
      <x:c r="F3286" s="2" t="str">
        <x:v>Sensor installation</x:v>
      </x:c>
      <x:c r="G3286" s="9" t="str">
        <x:v>EL-01</x:v>
      </x:c>
      <x:c r="H3286" s="15" t="n">
        <x:v>111</x:v>
      </x:c>
      <x:c r="I3286" s="9" t="str">
        <x:v>P19</x:v>
      </x:c>
      <x:c r="J3286" s="11" t="n">
        <x:v>46311.60277777778</x:v>
      </x:c>
      <x:c r="K3286" s="15" t="n">
        <x:v>8</x:v>
      </x:c>
      <x:c r="L3286" s="15" t="n">
        <x:v>24</x:v>
      </x:c>
      <x:c r="M3286" s="13" t="n">
        <x:f>J3286+(K3286+L3286)/1440</x:f>
        <x:v>46311.625</x:v>
      </x:c>
      <x:c r="N3286" s="13" t="n">
        <x:f>VLOOKUP(C3286,'MES orders'!$A$8:$H$127,5,FALSE)</x:f>
        <x:v>46310.666666666664</x:v>
      </x:c>
      <x:c r="O3286" s="16" t="n">
        <x:f>MAX(0,(M3286-N3286)*24)</x:f>
        <x:v>23.000000000058208</x:v>
      </x:c>
      <x:c r="P3286" s="9" t="str">
        <x:v>No</x:v>
      </x:c>
      <x:c r="Q3286" s="15" t="n">
        <x:v>32</x:v>
      </x:c>
      <x:c r="R3286" s="13" t="n">
        <x:f>J3286+Q3286/1440</x:f>
        <x:v>46311.625</x:v>
      </x:c>
      <x:c r="S3286" s="2" t="str">
        <x:f>VLOOKUP(C3286,'MES orders'!$A$8:$H$127,6,FALSE)</x:f>
        <x:v>Normal</x:v>
      </x:c>
      <x:c r="T3286" s="9" t="str"/>
    </x:row>
    <x:row r="3287" ht="22" customHeight="1">
      <x:c r="A3287" s="2" t="str">
        <x:v>L00553-030</x:v>
      </x:c>
      <x:c r="B3287" s="2" t="str">
        <x:v>L00553</x:v>
      </x:c>
      <x:c r="C3287" s="2" t="str">
        <x:v>SO-26111</x:v>
      </x:c>
      <x:c r="D3287" s="2" t="str">
        <x:v>S-S-AL</x:v>
      </x:c>
      <x:c r="E3287" s="14" t="n">
        <x:v>10</x:v>
      </x:c>
      <x:c r="F3287" s="2" t="str">
        <x:v>Wash &amp; dry</x:v>
      </x:c>
      <x:c r="G3287" s="9" t="str">
        <x:v>WS-01</x:v>
      </x:c>
      <x:c r="H3287" s="15" t="n">
        <x:v>302</x:v>
      </x:c>
      <x:c r="I3287" s="9" t="str">
        <x:v>P16</x:v>
      </x:c>
      <x:c r="J3287" s="11" t="n">
        <x:v>46311.60277777778</x:v>
      </x:c>
      <x:c r="K3287" s="15" t="n">
        <x:v>12</x:v>
      </x:c>
      <x:c r="L3287" s="15" t="n">
        <x:v>4</x:v>
      </x:c>
      <x:c r="M3287" s="13" t="n">
        <x:f>J3287+(K3287+L3287)/1440</x:f>
        <x:v>46311.61388888889</x:v>
      </x:c>
      <x:c r="N3287" s="13" t="n">
        <x:f>VLOOKUP(C3287,'MES orders'!$A$8:$H$127,5,FALSE)</x:f>
        <x:v>46310.666666666664</x:v>
      </x:c>
      <x:c r="O3287" s="16" t="n">
        <x:f>MAX(0,(M3287-N3287)*24)</x:f>
        <x:v>22.73333333339542</x:v>
      </x:c>
      <x:c r="P3287" s="9" t="str">
        <x:v>No</x:v>
      </x:c>
      <x:c r="Q3287" s="15" t="n">
        <x:v>16</x:v>
      </x:c>
      <x:c r="R3287" s="13" t="n">
        <x:f>J3287+Q3287/1440</x:f>
        <x:v>46311.61388888889</x:v>
      </x:c>
      <x:c r="S3287" s="2" t="str">
        <x:f>VLOOKUP(C3287,'MES orders'!$A$8:$H$127,6,FALSE)</x:f>
        <x:v>Normal</x:v>
      </x:c>
      <x:c r="T3287" s="9" t="str"/>
    </x:row>
    <x:row r="3288" ht="22" customHeight="1">
      <x:c r="A3288" s="2" t="str">
        <x:v>L00511-080</x:v>
      </x:c>
      <x:c r="B3288" s="2" t="str">
        <x:v>L00511</x:v>
      </x:c>
      <x:c r="C3288" s="2" t="str">
        <x:v>SO-26103</x:v>
      </x:c>
      <x:c r="D3288" s="2" t="str">
        <x:v>S-C-AL</x:v>
      </x:c>
      <x:c r="E3288" s="14" t="n">
        <x:v>25</x:v>
      </x:c>
      <x:c r="F3288" s="2" t="str">
        <x:v>Final leak / function test</x:v>
      </x:c>
      <x:c r="G3288" s="9" t="str">
        <x:v>QA-03</x:v>
      </x:c>
      <x:c r="H3288" s="15" t="n">
        <x:v>144</x:v>
      </x:c>
      <x:c r="I3288" s="9" t="str">
        <x:v>P24</x:v>
      </x:c>
      <x:c r="J3288" s="11" t="n">
        <x:v>46311.606944444444</x:v>
      </x:c>
      <x:c r="K3288" s="15" t="n">
        <x:v>10</x:v>
      </x:c>
      <x:c r="L3288" s="15" t="n">
        <x:v>18</x:v>
      </x:c>
      <x:c r="M3288" s="13" t="n">
        <x:f>J3288+(K3288+L3288)/1440</x:f>
        <x:v>46311.626388888886</x:v>
      </x:c>
      <x:c r="N3288" s="13" t="n">
        <x:f>VLOOKUP(C3288,'MES orders'!$A$8:$H$127,5,FALSE)</x:f>
        <x:v>46310.666666666664</x:v>
      </x:c>
      <x:c r="O3288" s="16" t="n">
        <x:f>MAX(0,(M3288-N3288)*24)</x:f>
        <x:v>23.033333333325572</x:v>
      </x:c>
      <x:c r="P3288" s="9" t="str">
        <x:v>No</x:v>
      </x:c>
      <x:c r="Q3288" s="15" t="n">
        <x:v>28</x:v>
      </x:c>
      <x:c r="R3288" s="13" t="n">
        <x:f>J3288+Q3288/1440</x:f>
        <x:v>46311.626388888886</x:v>
      </x:c>
      <x:c r="S3288" s="2" t="str">
        <x:f>VLOOKUP(C3288,'MES orders'!$A$8:$H$127,6,FALSE)</x:f>
        <x:v>Normal</x:v>
      </x:c>
      <x:c r="T3288" s="9" t="str"/>
    </x:row>
    <x:row r="3289" ht="22" customHeight="1">
      <x:c r="A3289" s="2" t="str">
        <x:v>L00515-070</x:v>
      </x:c>
      <x:c r="B3289" s="2" t="str">
        <x:v>L00515</x:v>
      </x:c>
      <x:c r="C3289" s="2" t="str">
        <x:v>SO-26103</x:v>
      </x:c>
      <x:c r="D3289" s="2" t="str">
        <x:v>S-C-AL</x:v>
      </x:c>
      <x:c r="E3289" s="14" t="n">
        <x:v>25</x:v>
      </x:c>
      <x:c r="F3289" s="2" t="str">
        <x:v>Final assembly</x:v>
      </x:c>
      <x:c r="G3289" s="9" t="str">
        <x:v>AS-01</x:v>
      </x:c>
      <x:c r="H3289" s="15" t="n">
        <x:v>260</x:v>
      </x:c>
      <x:c r="I3289" s="9" t="str">
        <x:v>P17</x:v>
      </x:c>
      <x:c r="J3289" s="11" t="n">
        <x:v>46311.60833333333</x:v>
      </x:c>
      <x:c r="K3289" s="15" t="n">
        <x:v>5</x:v>
      </x:c>
      <x:c r="L3289" s="15" t="n">
        <x:v>16</x:v>
      </x:c>
      <x:c r="M3289" s="13" t="n">
        <x:f>J3289+(K3289+L3289)/1440</x:f>
        <x:v>46311.62291666666</x:v>
      </x:c>
      <x:c r="N3289" s="13" t="n">
        <x:f>VLOOKUP(C3289,'MES orders'!$A$8:$H$127,5,FALSE)</x:f>
        <x:v>46310.666666666664</x:v>
      </x:c>
      <x:c r="O3289" s="16" t="n">
        <x:f>MAX(0,(M3289-N3289)*24)</x:f>
        <x:v>22.949999999895226</x:v>
      </x:c>
      <x:c r="P3289" s="9" t="str">
        <x:v>No</x:v>
      </x:c>
      <x:c r="Q3289" s="15" t="n">
        <x:v>21</x:v>
      </x:c>
      <x:c r="R3289" s="13" t="n">
        <x:f>J3289+Q3289/1440</x:f>
        <x:v>46311.62291666666</x:v>
      </x:c>
      <x:c r="S3289" s="2" t="str">
        <x:f>VLOOKUP(C3289,'MES orders'!$A$8:$H$127,6,FALSE)</x:f>
        <x:v>Normal</x:v>
      </x:c>
      <x:c r="T3289" s="9" t="str"/>
    </x:row>
    <x:row r="3290" ht="22" customHeight="1">
      <x:c r="A3290" s="2" t="str">
        <x:v>L00474-060</x:v>
      </x:c>
      <x:c r="B3290" s="2" t="str">
        <x:v>L00474</x:v>
      </x:c>
      <x:c r="C3290" s="2" t="str">
        <x:v>SO-26095</x:v>
      </x:c>
      <x:c r="D3290" s="2" t="str">
        <x:v>R-L-AL</x:v>
      </x:c>
      <x:c r="E3290" s="14" t="n">
        <x:v>20</x:v>
      </x:c>
      <x:c r="F3290" s="2" t="str">
        <x:v>Final leak / function test</x:v>
      </x:c>
      <x:c r="G3290" s="9" t="str">
        <x:v>QA-02</x:v>
      </x:c>
      <x:c r="H3290" s="15" t="n">
        <x:v>246</x:v>
      </x:c>
      <x:c r="I3290" s="9" t="str">
        <x:v>P23</x:v>
      </x:c>
      <x:c r="J3290" s="11" t="n">
        <x:v>46311.60833333333</x:v>
      </x:c>
      <x:c r="K3290" s="15" t="n">
        <x:v>10</x:v>
      </x:c>
      <x:c r="L3290" s="15" t="n">
        <x:v>24</x:v>
      </x:c>
      <x:c r="M3290" s="13" t="n">
        <x:f>J3290+(K3290+L3290)/1440</x:f>
        <x:v>46311.63194444444</x:v>
      </x:c>
      <x:c r="N3290" s="13" t="n">
        <x:f>VLOOKUP(C3290,'MES orders'!$A$8:$H$127,5,FALSE)</x:f>
        <x:v>46310.666666666664</x:v>
      </x:c>
      <x:c r="O3290" s="16" t="n">
        <x:f>MAX(0,(M3290-N3290)*24)</x:f>
        <x:v>23.166666666569654</x:v>
      </x:c>
      <x:c r="P3290" s="9" t="str">
        <x:v>No</x:v>
      </x:c>
      <x:c r="Q3290" s="15" t="n">
        <x:v>34</x:v>
      </x:c>
      <x:c r="R3290" s="13" t="n">
        <x:f>J3290+Q3290/1440</x:f>
        <x:v>46311.63194444444</x:v>
      </x:c>
      <x:c r="S3290" s="2" t="str">
        <x:f>VLOOKUP(C3290,'MES orders'!$A$8:$H$127,6,FALSE)</x:f>
        <x:v>Normal</x:v>
      </x:c>
      <x:c r="T3290" s="9" t="str"/>
    </x:row>
    <x:row r="3291" ht="22" customHeight="1">
      <x:c r="A3291" s="2" t="str">
        <x:v>L00552-070</x:v>
      </x:c>
      <x:c r="B3291" s="2" t="str">
        <x:v>L00552</x:v>
      </x:c>
      <x:c r="C3291" s="2" t="str">
        <x:v>SO-26111</x:v>
      </x:c>
      <x:c r="D3291" s="2" t="str">
        <x:v>S-S-AL</x:v>
      </x:c>
      <x:c r="E3291" s="14" t="n">
        <x:v>10</x:v>
      </x:c>
      <x:c r="F3291" s="2" t="str">
        <x:v>Final assembly</x:v>
      </x:c>
      <x:c r="G3291" s="9" t="str">
        <x:v>AS-02</x:v>
      </x:c>
      <x:c r="H3291" s="15" t="n">
        <x:v>214</x:v>
      </x:c>
      <x:c r="I3291" s="9" t="str">
        <x:v>P18</x:v>
      </x:c>
      <x:c r="J3291" s="11" t="n">
        <x:v>46311.6125</x:v>
      </x:c>
      <x:c r="K3291" s="15" t="n">
        <x:v>5</x:v>
      </x:c>
      <x:c r="L3291" s="15" t="n">
        <x:v>8</x:v>
      </x:c>
      <x:c r="M3291" s="13" t="n">
        <x:f>J3291+(K3291+L3291)/1440</x:f>
        <x:v>46311.62152777778</x:v>
      </x:c>
      <x:c r="N3291" s="13" t="n">
        <x:f>VLOOKUP(C3291,'MES orders'!$A$8:$H$127,5,FALSE)</x:f>
        <x:v>46310.666666666664</x:v>
      </x:c>
      <x:c r="O3291" s="16" t="n">
        <x:f>MAX(0,(M3291-N3291)*24)</x:f>
        <x:v>22.916666666802485</x:v>
      </x:c>
      <x:c r="P3291" s="9" t="str">
        <x:v>No</x:v>
      </x:c>
      <x:c r="Q3291" s="15" t="n">
        <x:v>13</x:v>
      </x:c>
      <x:c r="R3291" s="13" t="n">
        <x:f>J3291+Q3291/1440</x:f>
        <x:v>46311.62152777778</x:v>
      </x:c>
      <x:c r="S3291" s="2" t="str">
        <x:f>VLOOKUP(C3291,'MES orders'!$A$8:$H$127,6,FALSE)</x:f>
        <x:v>Normal</x:v>
      </x:c>
      <x:c r="T3291" s="9" t="str"/>
    </x:row>
    <x:row r="3292" ht="22" customHeight="1">
      <x:c r="A3292" s="2" t="str">
        <x:v>L00553-040</x:v>
      </x:c>
      <x:c r="B3292" s="2" t="str">
        <x:v>L00553</x:v>
      </x:c>
      <x:c r="C3292" s="2" t="str">
        <x:v>SO-26111</x:v>
      </x:c>
      <x:c r="D3292" s="2" t="str">
        <x:v>S-S-AL</x:v>
      </x:c>
      <x:c r="E3292" s="14" t="n">
        <x:v>10</x:v>
      </x:c>
      <x:c r="F3292" s="2" t="str">
        <x:v>Mechanical preassembly</x:v>
      </x:c>
      <x:c r="G3292" s="9" t="str">
        <x:v>AS-03</x:v>
      </x:c>
      <x:c r="H3292" s="15" t="n">
        <x:v>175</x:v>
      </x:c>
      <x:c r="I3292" s="9" t="str">
        <x:v>P16</x:v>
      </x:c>
      <x:c r="J3292" s="11" t="n">
        <x:v>46311.61388888889</x:v>
      </x:c>
      <x:c r="K3292" s="15" t="n">
        <x:v>6</x:v>
      </x:c>
      <x:c r="L3292" s="15" t="n">
        <x:v>11</x:v>
      </x:c>
      <x:c r="M3292" s="13" t="n">
        <x:f>J3292+(K3292+L3292)/1440</x:f>
        <x:v>46311.62569444445</x:v>
      </x:c>
      <x:c r="N3292" s="13" t="n">
        <x:f>VLOOKUP(C3292,'MES orders'!$A$8:$H$127,5,FALSE)</x:f>
        <x:v>46310.666666666664</x:v>
      </x:c>
      <x:c r="O3292" s="16" t="n">
        <x:f>MAX(0,(M3292-N3292)*24)</x:f>
        <x:v>23.0166666667792</x:v>
      </x:c>
      <x:c r="P3292" s="9" t="str">
        <x:v>No</x:v>
      </x:c>
      <x:c r="Q3292" s="15" t="n">
        <x:v>17</x:v>
      </x:c>
      <x:c r="R3292" s="13" t="n">
        <x:f>J3292+Q3292/1440</x:f>
        <x:v>46311.62569444445</x:v>
      </x:c>
      <x:c r="S3292" s="2" t="str">
        <x:f>VLOOKUP(C3292,'MES orders'!$A$8:$H$127,6,FALSE)</x:f>
        <x:v>Normal</x:v>
      </x:c>
      <x:c r="T3292" s="9" t="str"/>
    </x:row>
    <x:row r="3293" ht="22" customHeight="1">
      <x:c r="A3293" s="2" t="str">
        <x:v>L00554-070</x:v>
      </x:c>
      <x:c r="B3293" s="2" t="str">
        <x:v>L00554</x:v>
      </x:c>
      <x:c r="C3293" s="2" t="str">
        <x:v>SO-26111</x:v>
      </x:c>
      <x:c r="D3293" s="2" t="str">
        <x:v>S-S-AL</x:v>
      </x:c>
      <x:c r="E3293" s="14" t="n">
        <x:v>10</x:v>
      </x:c>
      <x:c r="F3293" s="2" t="str">
        <x:v>Final assembly</x:v>
      </x:c>
      <x:c r="G3293" s="9" t="str">
        <x:v>AS-02</x:v>
      </x:c>
      <x:c r="H3293" s="15" t="n">
        <x:v>215</x:v>
      </x:c>
      <x:c r="I3293" s="9" t="str">
        <x:v>P18</x:v>
      </x:c>
      <x:c r="J3293" s="11" t="n">
        <x:v>46311.62152777778</x:v>
      </x:c>
      <x:c r="K3293" s="15" t="n">
        <x:v>5</x:v>
      </x:c>
      <x:c r="L3293" s="15" t="n">
        <x:v>8</x:v>
      </x:c>
      <x:c r="M3293" s="13" t="n">
        <x:f>J3293+(K3293+L3293)/1440</x:f>
        <x:v>46311.63055555556</x:v>
      </x:c>
      <x:c r="N3293" s="13" t="n">
        <x:f>VLOOKUP(C3293,'MES orders'!$A$8:$H$127,5,FALSE)</x:f>
        <x:v>46310.666666666664</x:v>
      </x:c>
      <x:c r="O3293" s="16" t="n">
        <x:f>MAX(0,(M3293-N3293)*24)</x:f>
        <x:v>23.133333333476912</x:v>
      </x:c>
      <x:c r="P3293" s="9" t="str">
        <x:v>No</x:v>
      </x:c>
      <x:c r="Q3293" s="15" t="n">
        <x:v>13</x:v>
      </x:c>
      <x:c r="R3293" s="13" t="n">
        <x:f>J3293+Q3293/1440</x:f>
        <x:v>46311.63055555556</x:v>
      </x:c>
      <x:c r="S3293" s="2" t="str">
        <x:f>VLOOKUP(C3293,'MES orders'!$A$8:$H$127,6,FALSE)</x:f>
        <x:v>Normal</x:v>
      </x:c>
      <x:c r="T3293" s="9" t="str"/>
    </x:row>
    <x:row r="3294" ht="22" customHeight="1">
      <x:c r="A3294" s="2" t="str">
        <x:v>L00591-020</x:v>
      </x:c>
      <x:c r="B3294" s="2" t="str">
        <x:v>L00591</x:v>
      </x:c>
      <x:c r="C3294" s="2" t="str">
        <x:v>SO-26119</x:v>
      </x:c>
      <x:c r="D3294" s="2" t="str">
        <x:v>S-L-AL</x:v>
      </x:c>
      <x:c r="E3294" s="14" t="n">
        <x:v>20</x:v>
      </x:c>
      <x:c r="F3294" s="2" t="str">
        <x:v>Deburr &amp; inspect</x:v>
      </x:c>
      <x:c r="G3294" s="9" t="str">
        <x:v>DB-01</x:v>
      </x:c>
      <x:c r="H3294" s="15" t="n">
        <x:v>309</x:v>
      </x:c>
      <x:c r="I3294" s="9" t="str">
        <x:v>P17</x:v>
      </x:c>
      <x:c r="J3294" s="11" t="n">
        <x:v>46311.62291666667</x:v>
      </x:c>
      <x:c r="K3294" s="15" t="n">
        <x:v>4</x:v>
      </x:c>
      <x:c r="L3294" s="15" t="n">
        <x:v>19</x:v>
      </x:c>
      <x:c r="M3294" s="13" t="n">
        <x:f>J3294+(K3294+L3294)/1440</x:f>
        <x:v>46311.63888888889</x:v>
      </x:c>
      <x:c r="N3294" s="13" t="n">
        <x:f>VLOOKUP(C3294,'MES orders'!$A$8:$H$127,5,FALSE)</x:f>
        <x:v>46310.666666666664</x:v>
      </x:c>
      <x:c r="O3294" s="16" t="n">
        <x:f>MAX(0,(M3294-N3294)*24)</x:f>
        <x:v>23.333333333430346</x:v>
      </x:c>
      <x:c r="P3294" s="9" t="str">
        <x:v>No</x:v>
      </x:c>
      <x:c r="Q3294" s="15" t="n">
        <x:v>23</x:v>
      </x:c>
      <x:c r="R3294" s="13" t="n">
        <x:f>J3294+Q3294/1440</x:f>
        <x:v>46311.63888888889</x:v>
      </x:c>
      <x:c r="S3294" s="2" t="str">
        <x:f>VLOOKUP(C3294,'MES orders'!$A$8:$H$127,6,FALSE)</x:f>
        <x:v>Normal</x:v>
      </x:c>
      <x:c r="T3294" s="9" t="str"/>
    </x:row>
    <x:row r="3295" ht="22" customHeight="1">
      <x:c r="A3295" s="2" t="str">
        <x:v>L00514-060</x:v>
      </x:c>
      <x:c r="B3295" s="2" t="str">
        <x:v>L00514</x:v>
      </x:c>
      <x:c r="C3295" s="2" t="str">
        <x:v>SO-26103</x:v>
      </x:c>
      <x:c r="D3295" s="2" t="str">
        <x:v>S-C-AL</x:v>
      </x:c>
      <x:c r="E3295" s="14" t="n">
        <x:v>25</x:v>
      </x:c>
      <x:c r="F3295" s="2" t="str">
        <x:v>Sensor calibration</x:v>
      </x:c>
      <x:c r="G3295" s="9" t="str">
        <x:v>CAL-01</x:v>
      </x:c>
      <x:c r="H3295" s="15" t="n">
        <x:v>163</x:v>
      </x:c>
      <x:c r="I3295" s="9" t="str">
        <x:v>P21</x:v>
      </x:c>
      <x:c r="J3295" s="11" t="n">
        <x:v>46311.625</x:v>
      </x:c>
      <x:c r="K3295" s="15" t="n">
        <x:v>10</x:v>
      </x:c>
      <x:c r="L3295" s="15" t="n">
        <x:v>26</x:v>
      </x:c>
      <x:c r="M3295" s="13" t="n">
        <x:f>J3295+(K3295+L3295)/1440</x:f>
        <x:v>46311.65</x:v>
      </x:c>
      <x:c r="N3295" s="13" t="n">
        <x:f>VLOOKUP(C3295,'MES orders'!$A$8:$H$127,5,FALSE)</x:f>
        <x:v>46310.666666666664</x:v>
      </x:c>
      <x:c r="O3295" s="16" t="n">
        <x:f>MAX(0,(M3295-N3295)*24)</x:f>
        <x:v>23.600000000093132</x:v>
      </x:c>
      <x:c r="P3295" s="9" t="str">
        <x:v>No</x:v>
      </x:c>
      <x:c r="Q3295" s="15" t="n">
        <x:v>36</x:v>
      </x:c>
      <x:c r="R3295" s="13" t="n">
        <x:f>J3295+Q3295/1440</x:f>
        <x:v>46311.65</x:v>
      </x:c>
      <x:c r="S3295" s="2" t="str">
        <x:f>VLOOKUP(C3295,'MES orders'!$A$8:$H$127,6,FALSE)</x:f>
        <x:v>Normal</x:v>
      </x:c>
      <x:c r="T3295" s="9" t="str"/>
    </x:row>
    <x:row r="3296" ht="22" customHeight="1">
      <x:c r="A3296" s="2" t="str">
        <x:v>L00553-050</x:v>
      </x:c>
      <x:c r="B3296" s="2" t="str">
        <x:v>L00553</x:v>
      </x:c>
      <x:c r="C3296" s="2" t="str">
        <x:v>SO-26111</x:v>
      </x:c>
      <x:c r="D3296" s="2" t="str">
        <x:v>S-S-AL</x:v>
      </x:c>
      <x:c r="E3296" s="14" t="n">
        <x:v>10</x:v>
      </x:c>
      <x:c r="F3296" s="2" t="str">
        <x:v>Sensor installation</x:v>
      </x:c>
      <x:c r="G3296" s="9" t="str">
        <x:v>EL-01</x:v>
      </x:c>
      <x:c r="H3296" s="15" t="n">
        <x:v>112</x:v>
      </x:c>
      <x:c r="I3296" s="9" t="str">
        <x:v>P19</x:v>
      </x:c>
      <x:c r="J3296" s="11" t="n">
        <x:v>46311.62569444445</x:v>
      </x:c>
      <x:c r="K3296" s="15" t="n">
        <x:v>8</x:v>
      </x:c>
      <x:c r="L3296" s="15" t="n">
        <x:v>12</x:v>
      </x:c>
      <x:c r="M3296" s="13" t="n">
        <x:f>J3296+(K3296+L3296)/1440</x:f>
        <x:v>46311.63958333334</x:v>
      </x:c>
      <x:c r="N3296" s="13" t="n">
        <x:f>VLOOKUP(C3296,'MES orders'!$A$8:$H$127,5,FALSE)</x:f>
        <x:v>46310.666666666664</x:v>
      </x:c>
      <x:c r="O3296" s="16" t="n">
        <x:f>MAX(0,(M3296-N3296)*24)</x:f>
        <x:v>23.35000000015134</x:v>
      </x:c>
      <x:c r="P3296" s="9" t="str">
        <x:v>No</x:v>
      </x:c>
      <x:c r="Q3296" s="15" t="n">
        <x:v>20</x:v>
      </x:c>
      <x:c r="R3296" s="13" t="n">
        <x:f>J3296+Q3296/1440</x:f>
        <x:v>46311.63958333334</x:v>
      </x:c>
      <x:c r="S3296" s="2" t="str">
        <x:f>VLOOKUP(C3296,'MES orders'!$A$8:$H$127,6,FALSE)</x:f>
        <x:v>Normal</x:v>
      </x:c>
      <x:c r="T3296" s="9" t="str"/>
    </x:row>
    <x:row r="3297" ht="22" customHeight="1">
      <x:c r="A3297" s="2" t="str">
        <x:v>L00512-080</x:v>
      </x:c>
      <x:c r="B3297" s="2" t="str">
        <x:v>L00512</x:v>
      </x:c>
      <x:c r="C3297" s="2" t="str">
        <x:v>SO-26103</x:v>
      </x:c>
      <x:c r="D3297" s="2" t="str">
        <x:v>S-C-AL</x:v>
      </x:c>
      <x:c r="E3297" s="14" t="n">
        <x:v>25</x:v>
      </x:c>
      <x:c r="F3297" s="2" t="str">
        <x:v>Final leak / function test</x:v>
      </x:c>
      <x:c r="G3297" s="9" t="str">
        <x:v>QA-03</x:v>
      </x:c>
      <x:c r="H3297" s="15" t="n">
        <x:v>145</x:v>
      </x:c>
      <x:c r="I3297" s="9" t="str">
        <x:v>P24</x:v>
      </x:c>
      <x:c r="J3297" s="11" t="n">
        <x:v>46311.626388888886</x:v>
      </x:c>
      <x:c r="K3297" s="15" t="n">
        <x:v>10</x:v>
      </x:c>
      <x:c r="L3297" s="15" t="n">
        <x:v>18</x:v>
      </x:c>
      <x:c r="M3297" s="13" t="n">
        <x:f>J3297+(K3297+L3297)/1440</x:f>
        <x:v>46311.64583333333</x:v>
      </x:c>
      <x:c r="N3297" s="13" t="n">
        <x:f>VLOOKUP(C3297,'MES orders'!$A$8:$H$127,5,FALSE)</x:f>
        <x:v>46310.666666666664</x:v>
      </x:c>
      <x:c r="O3297" s="16" t="n">
        <x:f>MAX(0,(M3297-N3297)*24)</x:f>
        <x:v>23.499999999941792</x:v>
      </x:c>
      <x:c r="P3297" s="9" t="str">
        <x:v>No</x:v>
      </x:c>
      <x:c r="Q3297" s="15" t="n">
        <x:v>28</x:v>
      </x:c>
      <x:c r="R3297" s="13" t="n">
        <x:f>J3297+Q3297/1440</x:f>
        <x:v>46311.64583333333</x:v>
      </x:c>
      <x:c r="S3297" s="2" t="str">
        <x:f>VLOOKUP(C3297,'MES orders'!$A$8:$H$127,6,FALSE)</x:f>
        <x:v>Normal</x:v>
      </x:c>
      <x:c r="T3297" s="9" t="str"/>
    </x:row>
    <x:row r="3298" ht="22" customHeight="1">
      <x:c r="A3298" s="2" t="str">
        <x:v>L00119-010</x:v>
      </x:c>
      <x:c r="B3298" s="2" t="str">
        <x:v>L00119</x:v>
      </x:c>
      <x:c r="C3298" s="2" t="str">
        <x:v>SO-26024</x:v>
      </x:c>
      <x:c r="D3298" s="2" t="str">
        <x:v>S-L-SS</x:v>
      </x:c>
      <x:c r="E3298" s="14" t="n">
        <x:v>10</x:v>
      </x:c>
      <x:c r="F3298" s="2" t="str">
        <x:v>CNC machining</x:v>
      </x:c>
      <x:c r="G3298" s="9" t="str">
        <x:v>CNC-04</x:v>
      </x:c>
      <x:c r="H3298" s="15" t="n">
        <x:v>101</x:v>
      </x:c>
      <x:c r="I3298" s="9" t="str">
        <x:v>P13</x:v>
      </x:c>
      <x:c r="J3298" s="11" t="n">
        <x:v>46311.62777777778</x:v>
      </x:c>
      <x:c r="K3298" s="15" t="n">
        <x:v>18</x:v>
      </x:c>
      <x:c r="L3298" s="15" t="n">
        <x:v>40</x:v>
      </x:c>
      <x:c r="M3298" s="13" t="n">
        <x:f>J3298+(K3298+L3298)/1440</x:f>
        <x:v>46311.66805555556</x:v>
      </x:c>
      <x:c r="N3298" s="13" t="n">
        <x:f>VLOOKUP(C3298,'MES orders'!$A$8:$H$127,5,FALSE)</x:f>
        <x:v>46311.666666666664</x:v>
      </x:c>
      <x:c r="O3298" s="16" t="n">
        <x:f>MAX(0,(M3298-N3298)*24)</x:f>
        <x:v>0.033333333441987634</x:v>
      </x:c>
      <x:c r="P3298" s="9" t="str">
        <x:v>No</x:v>
      </x:c>
      <x:c r="Q3298" s="15" t="n">
        <x:v>18</x:v>
      </x:c>
      <x:c r="R3298" s="13" t="n">
        <x:f>J3298+Q3298/1440</x:f>
        <x:v>46311.64027777778</x:v>
      </x:c>
      <x:c r="S3298" s="2" t="str">
        <x:f>VLOOKUP(C3298,'MES orders'!$A$8:$H$127,6,FALSE)</x:f>
        <x:v>Urgent</x:v>
      </x:c>
      <x:c r="T3298" s="9" t="str"/>
    </x:row>
    <x:row r="3299" ht="22" customHeight="1">
      <x:c r="A3299" s="2" t="str">
        <x:v>L00592-020</x:v>
      </x:c>
      <x:c r="B3299" s="2" t="str">
        <x:v>L00592</x:v>
      </x:c>
      <x:c r="C3299" s="2" t="str">
        <x:v>SO-26119</x:v>
      </x:c>
      <x:c r="D3299" s="2" t="str">
        <x:v>S-L-AL</x:v>
      </x:c>
      <x:c r="E3299" s="14" t="n">
        <x:v>20</x:v>
      </x:c>
      <x:c r="F3299" s="2" t="str">
        <x:v>Deburr &amp; inspect</x:v>
      </x:c>
      <x:c r="G3299" s="9" t="str">
        <x:v>DB-02</x:v>
      </x:c>
      <x:c r="H3299" s="15" t="n">
        <x:v>216</x:v>
      </x:c>
      <x:c r="I3299" s="9" t="str">
        <x:v>P18</x:v>
      </x:c>
      <x:c r="J3299" s="11" t="n">
        <x:v>46311.63055555556</x:v>
      </x:c>
      <x:c r="K3299" s="15" t="n">
        <x:v>4</x:v>
      </x:c>
      <x:c r="L3299" s="15" t="n">
        <x:v>19</x:v>
      </x:c>
      <x:c r="M3299" s="13" t="n">
        <x:f>J3299+(K3299+L3299)/1440</x:f>
        <x:v>46311.64652777778</x:v>
      </x:c>
      <x:c r="N3299" s="13" t="n">
        <x:f>VLOOKUP(C3299,'MES orders'!$A$8:$H$127,5,FALSE)</x:f>
        <x:v>46310.666666666664</x:v>
      </x:c>
      <x:c r="O3299" s="16" t="n">
        <x:f>MAX(0,(M3299-N3299)*24)</x:f>
        <x:v>23.51666666683741</x:v>
      </x:c>
      <x:c r="P3299" s="9" t="str">
        <x:v>No</x:v>
      </x:c>
      <x:c r="Q3299" s="15" t="n">
        <x:v>23</x:v>
      </x:c>
      <x:c r="R3299" s="13" t="n">
        <x:f>J3299+Q3299/1440</x:f>
        <x:v>46311.64652777778</x:v>
      </x:c>
      <x:c r="S3299" s="2" t="str">
        <x:f>VLOOKUP(C3299,'MES orders'!$A$8:$H$127,6,FALSE)</x:f>
        <x:v>Normal</x:v>
      </x:c>
      <x:c r="T3299" s="9" t="str"/>
    </x:row>
    <x:row r="3300" ht="22" customHeight="1">
      <x:c r="A3300" s="2" t="str">
        <x:v>L00513-080</x:v>
      </x:c>
      <x:c r="B3300" s="2" t="str">
        <x:v>L00513</x:v>
      </x:c>
      <x:c r="C3300" s="2" t="str">
        <x:v>SO-26103</x:v>
      </x:c>
      <x:c r="D3300" s="2" t="str">
        <x:v>S-C-AL</x:v>
      </x:c>
      <x:c r="E3300" s="14" t="n">
        <x:v>25</x:v>
      </x:c>
      <x:c r="F3300" s="2" t="str">
        <x:v>Final leak / function test</x:v>
      </x:c>
      <x:c r="G3300" s="9" t="str">
        <x:v>QA-02</x:v>
      </x:c>
      <x:c r="H3300" s="15" t="n">
        <x:v>247</x:v>
      </x:c>
      <x:c r="I3300" s="9" t="str">
        <x:v>P23</x:v>
      </x:c>
      <x:c r="J3300" s="11" t="n">
        <x:v>46311.631944444445</x:v>
      </x:c>
      <x:c r="K3300" s="15" t="n">
        <x:v>10</x:v>
      </x:c>
      <x:c r="L3300" s="15" t="n">
        <x:v>18</x:v>
      </x:c>
      <x:c r="M3300" s="13" t="n">
        <x:f>J3300+(K3300+L3300)/1440</x:f>
        <x:v>46311.65138888889</x:v>
      </x:c>
      <x:c r="N3300" s="13" t="n">
        <x:f>VLOOKUP(C3300,'MES orders'!$A$8:$H$127,5,FALSE)</x:f>
        <x:v>46310.666666666664</x:v>
      </x:c>
      <x:c r="O3300" s="16" t="n">
        <x:f>MAX(0,(M3300-N3300)*24)</x:f>
        <x:v>23.633333333360497</x:v>
      </x:c>
      <x:c r="P3300" s="9" t="str">
        <x:v>No</x:v>
      </x:c>
      <x:c r="Q3300" s="15" t="n">
        <x:v>28</x:v>
      </x:c>
      <x:c r="R3300" s="13" t="n">
        <x:f>J3300+Q3300/1440</x:f>
        <x:v>46311.65138888889</x:v>
      </x:c>
      <x:c r="S3300" s="2" t="str">
        <x:f>VLOOKUP(C3300,'MES orders'!$A$8:$H$127,6,FALSE)</x:f>
        <x:v>Normal</x:v>
      </x:c>
      <x:c r="T3300" s="9" t="str"/>
    </x:row>
    <x:row r="3301" ht="22" customHeight="1">
      <x:c r="A3301" s="2" t="str">
        <x:v>L00120-010</x:v>
      </x:c>
      <x:c r="B3301" s="2" t="str">
        <x:v>L00120</x:v>
      </x:c>
      <x:c r="C3301" s="2" t="str">
        <x:v>SO-26024</x:v>
      </x:c>
      <x:c r="D3301" s="2" t="str">
        <x:v>S-L-SS</x:v>
      </x:c>
      <x:c r="E3301" s="14" t="n">
        <x:v>10</x:v>
      </x:c>
      <x:c r="F3301" s="2" t="str">
        <x:v>CNC machining</x:v>
      </x:c>
      <x:c r="G3301" s="9" t="str">
        <x:v>CNC-05</x:v>
      </x:c>
      <x:c r="H3301" s="15" t="n">
        <x:v>91</x:v>
      </x:c>
      <x:c r="I3301" s="9" t="str">
        <x:v>P14</x:v>
      </x:c>
      <x:c r="J3301" s="11" t="n">
        <x:v>46311.63680555556</x:v>
      </x:c>
      <x:c r="K3301" s="15" t="n">
        <x:v>18</x:v>
      </x:c>
      <x:c r="L3301" s="15" t="n">
        <x:v>40</x:v>
      </x:c>
      <x:c r="M3301" s="13" t="n">
        <x:f>J3301+(K3301+L3301)/1440</x:f>
        <x:v>46311.677083333336</x:v>
      </x:c>
      <x:c r="N3301" s="13" t="n">
        <x:f>VLOOKUP(C3301,'MES orders'!$A$8:$H$127,5,FALSE)</x:f>
        <x:v>46311.666666666664</x:v>
      </x:c>
      <x:c r="O3301" s="16" t="n">
        <x:f>MAX(0,(M3301-N3301)*24)</x:f>
        <x:v>0.2500000001164153</x:v>
      </x:c>
      <x:c r="P3301" s="9" t="str">
        <x:v>No</x:v>
      </x:c>
      <x:c r="Q3301" s="15" t="n">
        <x:v>18</x:v>
      </x:c>
      <x:c r="R3301" s="13" t="n">
        <x:f>J3301+Q3301/1440</x:f>
        <x:v>46311.649305555555</x:v>
      </x:c>
      <x:c r="S3301" s="2" t="str">
        <x:f>VLOOKUP(C3301,'MES orders'!$A$8:$H$127,6,FALSE)</x:f>
        <x:v>Urgent</x:v>
      </x:c>
      <x:c r="T3301" s="9" t="str"/>
    </x:row>
    <x:row r="3302" ht="22" customHeight="1">
      <x:c r="A3302" s="2" t="str">
        <x:v>L00116-020</x:v>
      </x:c>
      <x:c r="B3302" s="2" t="str">
        <x:v>L00116</x:v>
      </x:c>
      <x:c r="C3302" s="2" t="str">
        <x:v>SO-26024</x:v>
      </x:c>
      <x:c r="D3302" s="2" t="str">
        <x:v>S-L-SS</x:v>
      </x:c>
      <x:c r="E3302" s="14" t="n">
        <x:v>10</x:v>
      </x:c>
      <x:c r="F3302" s="2" t="str">
        <x:v>Deburr &amp; inspect</x:v>
      </x:c>
      <x:c r="G3302" s="9" t="str">
        <x:v>DB-01</x:v>
      </x:c>
      <x:c r="H3302" s="15" t="n">
        <x:v>310</x:v>
      </x:c>
      <x:c r="I3302" s="9" t="str">
        <x:v>P17</x:v>
      </x:c>
      <x:c r="J3302" s="11" t="n">
        <x:v>46311.63888888889</x:v>
      </x:c>
      <x:c r="K3302" s="15" t="n">
        <x:v>4</x:v>
      </x:c>
      <x:c r="L3302" s="15" t="n">
        <x:v>9</x:v>
      </x:c>
      <x:c r="M3302" s="13" t="n">
        <x:f>J3302+(K3302+L3302)/1440</x:f>
        <x:v>46311.64791666667</x:v>
      </x:c>
      <x:c r="N3302" s="13" t="n">
        <x:f>VLOOKUP(C3302,'MES orders'!$A$8:$H$127,5,FALSE)</x:f>
        <x:v>46311.666666666664</x:v>
      </x:c>
      <x:c r="O3302" s="16" t="n">
        <x:f>MAX(0,(M3302-N3302)*24)</x:f>
        <x:v>0</x:v>
      </x:c>
      <x:c r="P3302" s="9" t="str">
        <x:v>No</x:v>
      </x:c>
      <x:c r="Q3302" s="15" t="n">
        <x:v>13</x:v>
      </x:c>
      <x:c r="R3302" s="13" t="n">
        <x:f>J3302+Q3302/1440</x:f>
        <x:v>46311.64791666667</x:v>
      </x:c>
      <x:c r="S3302" s="2" t="str">
        <x:f>VLOOKUP(C3302,'MES orders'!$A$8:$H$127,6,FALSE)</x:f>
        <x:v>Urgent</x:v>
      </x:c>
      <x:c r="T3302" s="9" t="str"/>
    </x:row>
    <x:row r="3303" ht="22" customHeight="1">
      <x:c r="A3303" s="2" t="str">
        <x:v>L00591-030</x:v>
      </x:c>
      <x:c r="B3303" s="2" t="str">
        <x:v>L00591</x:v>
      </x:c>
      <x:c r="C3303" s="2" t="str">
        <x:v>SO-26119</x:v>
      </x:c>
      <x:c r="D3303" s="2" t="str">
        <x:v>S-L-AL</x:v>
      </x:c>
      <x:c r="E3303" s="14" t="n">
        <x:v>20</x:v>
      </x:c>
      <x:c r="F3303" s="2" t="str">
        <x:v>Wash &amp; dry</x:v>
      </x:c>
      <x:c r="G3303" s="9" t="str">
        <x:v>WS-01</x:v>
      </x:c>
      <x:c r="H3303" s="15" t="n">
        <x:v>303</x:v>
      </x:c>
      <x:c r="I3303" s="9" t="str">
        <x:v>P16</x:v>
      </x:c>
      <x:c r="J3303" s="11" t="n">
        <x:v>46311.63888888889</x:v>
      </x:c>
      <x:c r="K3303" s="15" t="n">
        <x:v>12</x:v>
      </x:c>
      <x:c r="L3303" s="15" t="n">
        <x:v>9</x:v>
      </x:c>
      <x:c r="M3303" s="13" t="n">
        <x:f>J3303+(K3303+L3303)/1440</x:f>
        <x:v>46311.65347222222</x:v>
      </x:c>
      <x:c r="N3303" s="13" t="n">
        <x:f>VLOOKUP(C3303,'MES orders'!$A$8:$H$127,5,FALSE)</x:f>
        <x:v>46310.666666666664</x:v>
      </x:c>
      <x:c r="O3303" s="16" t="n">
        <x:f>MAX(0,(M3303-N3303)*24)</x:f>
        <x:v>23.683333333348855</x:v>
      </x:c>
      <x:c r="P3303" s="9" t="str">
        <x:v>No</x:v>
      </x:c>
      <x:c r="Q3303" s="15" t="n">
        <x:v>21</x:v>
      </x:c>
      <x:c r="R3303" s="13" t="n">
        <x:f>J3303+Q3303/1440</x:f>
        <x:v>46311.65347222222</x:v>
      </x:c>
      <x:c r="S3303" s="2" t="str">
        <x:f>VLOOKUP(C3303,'MES orders'!$A$8:$H$127,6,FALSE)</x:f>
        <x:v>Normal</x:v>
      </x:c>
      <x:c r="T3303" s="9" t="str"/>
    </x:row>
    <x:row r="3304" ht="22" customHeight="1">
      <x:c r="A3304" s="2" t="str">
        <x:v>L00036-010</x:v>
      </x:c>
      <x:c r="B3304" s="2" t="str">
        <x:v>L00036</x:v>
      </x:c>
      <x:c r="C3304" s="2" t="str">
        <x:v>SO-26008</x:v>
      </x:c>
      <x:c r="D3304" s="2" t="str">
        <x:v>S-C-SS</x:v>
      </x:c>
      <x:c r="E3304" s="14" t="n">
        <x:v>25</x:v>
      </x:c>
      <x:c r="F3304" s="2" t="str">
        <x:v>CNC machining</x:v>
      </x:c>
      <x:c r="G3304" s="9" t="str">
        <x:v>CNC-06</x:v>
      </x:c>
      <x:c r="H3304" s="15" t="n">
        <x:v>84</x:v>
      </x:c>
      <x:c r="I3304" s="9" t="str">
        <x:v>P15</x:v>
      </x:c>
      <x:c r="J3304" s="11" t="n">
        <x:v>46311.64027777778</x:v>
      </x:c>
      <x:c r="K3304" s="15" t="n">
        <x:v>18</x:v>
      </x:c>
      <x:c r="L3304" s="15" t="n">
        <x:v>60</x:v>
      </x:c>
      <x:c r="M3304" s="13" t="n">
        <x:f>J3304+(K3304+L3304)/1440</x:f>
        <x:v>46311.694444444445</x:v>
      </x:c>
      <x:c r="N3304" s="13" t="n">
        <x:f>VLOOKUP(C3304,'MES orders'!$A$8:$H$127,5,FALSE)</x:f>
        <x:v>46311.666666666664</x:v>
      </x:c>
      <x:c r="O3304" s="16" t="n">
        <x:f>MAX(0,(M3304-N3304)*24)</x:f>
        <x:v>0.6666666667442769</x:v>
      </x:c>
      <x:c r="P3304" s="9" t="str">
        <x:v>No</x:v>
      </x:c>
      <x:c r="Q3304" s="15" t="n">
        <x:v>18</x:v>
      </x:c>
      <x:c r="R3304" s="13" t="n">
        <x:f>J3304+Q3304/1440</x:f>
        <x:v>46311.652777777774</x:v>
      </x:c>
      <x:c r="S3304" s="2" t="str">
        <x:f>VLOOKUP(C3304,'MES orders'!$A$8:$H$127,6,FALSE)</x:f>
        <x:v>High</x:v>
      </x:c>
      <x:c r="T3304" s="9" t="str"/>
    </x:row>
    <x:row r="3305" ht="22" customHeight="1">
      <x:c r="A3305" s="2" t="str">
        <x:v>L00515-080</x:v>
      </x:c>
      <x:c r="B3305" s="2" t="str">
        <x:v>L00515</x:v>
      </x:c>
      <x:c r="C3305" s="2" t="str">
        <x:v>SO-26103</x:v>
      </x:c>
      <x:c r="D3305" s="2" t="str">
        <x:v>S-C-AL</x:v>
      </x:c>
      <x:c r="E3305" s="14" t="n">
        <x:v>25</x:v>
      </x:c>
      <x:c r="F3305" s="2" t="str">
        <x:v>Final leak / function test</x:v>
      </x:c>
      <x:c r="G3305" s="9" t="str">
        <x:v>QA-03</x:v>
      </x:c>
      <x:c r="H3305" s="15" t="n">
        <x:v>146</x:v>
      </x:c>
      <x:c r="I3305" s="9" t="str">
        <x:v>P24</x:v>
      </x:c>
      <x:c r="J3305" s="11" t="n">
        <x:v>46311.645833333336</x:v>
      </x:c>
      <x:c r="K3305" s="15" t="n">
        <x:v>10</x:v>
      </x:c>
      <x:c r="L3305" s="15" t="n">
        <x:v>18</x:v>
      </x:c>
      <x:c r="M3305" s="13" t="n">
        <x:f>J3305+(K3305+L3305)/1440</x:f>
        <x:v>46311.66527777778</x:v>
      </x:c>
      <x:c r="N3305" s="13" t="n">
        <x:f>VLOOKUP(C3305,'MES orders'!$A$8:$H$127,5,FALSE)</x:f>
        <x:v>46310.666666666664</x:v>
      </x:c>
      <x:c r="O3305" s="16" t="n">
        <x:f>MAX(0,(M3305-N3305)*24)</x:f>
        <x:v>23.966666666732635</x:v>
      </x:c>
      <x:c r="P3305" s="9" t="str">
        <x:v>No</x:v>
      </x:c>
      <x:c r="Q3305" s="15" t="n">
        <x:v>28</x:v>
      </x:c>
      <x:c r="R3305" s="13" t="n">
        <x:f>J3305+Q3305/1440</x:f>
        <x:v>46311.66527777778</x:v>
      </x:c>
      <x:c r="S3305" s="2" t="str">
        <x:f>VLOOKUP(C3305,'MES orders'!$A$8:$H$127,6,FALSE)</x:f>
        <x:v>Normal</x:v>
      </x:c>
      <x:c r="T3305" s="9" t="str"/>
    </x:row>
    <x:row r="3306" ht="22" customHeight="1">
      <x:c r="A3306" s="2" t="str">
        <x:v>L00118-020</x:v>
      </x:c>
      <x:c r="B3306" s="2" t="str">
        <x:v>L00118</x:v>
      </x:c>
      <x:c r="C3306" s="2" t="str">
        <x:v>SO-26024</x:v>
      </x:c>
      <x:c r="D3306" s="2" t="str">
        <x:v>S-L-SS</x:v>
      </x:c>
      <x:c r="E3306" s="14" t="n">
        <x:v>10</x:v>
      </x:c>
      <x:c r="F3306" s="2" t="str">
        <x:v>Deburr &amp; inspect</x:v>
      </x:c>
      <x:c r="G3306" s="9" t="str">
        <x:v>DB-02</x:v>
      </x:c>
      <x:c r="H3306" s="15" t="n">
        <x:v>217</x:v>
      </x:c>
      <x:c r="I3306" s="9" t="str">
        <x:v>P13</x:v>
      </x:c>
      <x:c r="J3306" s="11" t="n">
        <x:v>46311.646527777775</x:v>
      </x:c>
      <x:c r="K3306" s="15" t="n">
        <x:v>4</x:v>
      </x:c>
      <x:c r="L3306" s="15" t="n">
        <x:v>9</x:v>
      </x:c>
      <x:c r="M3306" s="13" t="n">
        <x:f>J3306+(K3306+L3306)/1440</x:f>
        <x:v>46311.65555555555</x:v>
      </x:c>
      <x:c r="N3306" s="13" t="n">
        <x:f>VLOOKUP(C3306,'MES orders'!$A$8:$H$127,5,FALSE)</x:f>
        <x:v>46311.666666666664</x:v>
      </x:c>
      <x:c r="O3306" s="16" t="n">
        <x:f>MAX(0,(M3306-N3306)*24)</x:f>
        <x:v>0</x:v>
      </x:c>
      <x:c r="P3306" s="9" t="str">
        <x:v>No</x:v>
      </x:c>
      <x:c r="Q3306" s="15" t="n">
        <x:v>13</x:v>
      </x:c>
      <x:c r="R3306" s="13" t="n">
        <x:f>J3306+Q3306/1440</x:f>
        <x:v>46311.65555555555</x:v>
      </x:c>
      <x:c r="S3306" s="2" t="str">
        <x:f>VLOOKUP(C3306,'MES orders'!$A$8:$H$127,6,FALSE)</x:f>
        <x:v>Urgent</x:v>
      </x:c>
      <x:c r="T3306" s="9" t="str"/>
    </x:row>
    <x:row r="3307" ht="22" customHeight="1">
      <x:c r="A3307" s="2" t="str">
        <x:v>L00592-030</x:v>
      </x:c>
      <x:c r="B3307" s="2" t="str">
        <x:v>L00592</x:v>
      </x:c>
      <x:c r="C3307" s="2" t="str">
        <x:v>SO-26119</x:v>
      </x:c>
      <x:c r="D3307" s="2" t="str">
        <x:v>S-L-AL</x:v>
      </x:c>
      <x:c r="E3307" s="14" t="n">
        <x:v>20</x:v>
      </x:c>
      <x:c r="F3307" s="2" t="str">
        <x:v>Wash &amp; dry</x:v>
      </x:c>
      <x:c r="G3307" s="9" t="str">
        <x:v>WS-02</x:v>
      </x:c>
      <x:c r="H3307" s="15" t="n">
        <x:v>221</x:v>
      </x:c>
      <x:c r="I3307" s="9" t="str">
        <x:v>P18</x:v>
      </x:c>
      <x:c r="J3307" s="11" t="n">
        <x:v>46311.646527777775</x:v>
      </x:c>
      <x:c r="K3307" s="15" t="n">
        <x:v>12</x:v>
      </x:c>
      <x:c r="L3307" s="15" t="n">
        <x:v>9</x:v>
      </x:c>
      <x:c r="M3307" s="13" t="n">
        <x:f>J3307+(K3307+L3307)/1440</x:f>
        <x:v>46311.661111111105</x:v>
      </x:c>
      <x:c r="N3307" s="13" t="n">
        <x:f>VLOOKUP(C3307,'MES orders'!$A$8:$H$127,5,FALSE)</x:f>
        <x:v>46310.666666666664</x:v>
      </x:c>
      <x:c r="O3307" s="16" t="n">
        <x:f>MAX(0,(M3307-N3307)*24)</x:f>
        <x:v>23.866666666581295</x:v>
      </x:c>
      <x:c r="P3307" s="9" t="str">
        <x:v>No</x:v>
      </x:c>
      <x:c r="Q3307" s="15" t="n">
        <x:v>21</x:v>
      </x:c>
      <x:c r="R3307" s="13" t="n">
        <x:f>J3307+Q3307/1440</x:f>
        <x:v>46311.661111111105</x:v>
      </x:c>
      <x:c r="S3307" s="2" t="str">
        <x:f>VLOOKUP(C3307,'MES orders'!$A$8:$H$127,6,FALSE)</x:f>
        <x:v>Normal</x:v>
      </x:c>
      <x:c r="T3307" s="9" t="str"/>
    </x:row>
    <x:row r="3308" ht="22" customHeight="1">
      <x:c r="A3308" s="2" t="str">
        <x:v>L00037-010</x:v>
      </x:c>
      <x:c r="B3308" s="2" t="str">
        <x:v>L00037</x:v>
      </x:c>
      <x:c r="C3308" s="2" t="str">
        <x:v>SO-26008</x:v>
      </x:c>
      <x:c r="D3308" s="2" t="str">
        <x:v>S-C-SS</x:v>
      </x:c>
      <x:c r="E3308" s="14" t="n">
        <x:v>25</x:v>
      </x:c>
      <x:c r="F3308" s="2" t="str">
        <x:v>CNC machining</x:v>
      </x:c>
      <x:c r="G3308" s="9" t="str">
        <x:v>CNC-03</x:v>
      </x:c>
      <x:c r="H3308" s="15" t="n">
        <x:v>106</x:v>
      </x:c>
      <x:c r="I3308" s="9" t="str">
        <x:v>P14</x:v>
      </x:c>
      <x:c r="J3308" s="11" t="n">
        <x:v>46311.649305555555</x:v>
      </x:c>
      <x:c r="K3308" s="15" t="n">
        <x:v>18</x:v>
      </x:c>
      <x:c r="L3308" s="15" t="n">
        <x:v>60</x:v>
      </x:c>
      <x:c r="M3308" s="13" t="n">
        <x:f>J3308+(K3308+L3308)/1440</x:f>
        <x:v>46311.70347222222</x:v>
      </x:c>
      <x:c r="N3308" s="13" t="n">
        <x:f>VLOOKUP(C3308,'MES orders'!$A$8:$H$127,5,FALSE)</x:f>
        <x:v>46311.666666666664</x:v>
      </x:c>
      <x:c r="O3308" s="16" t="n">
        <x:f>MAX(0,(M3308-N3308)*24)</x:f>
        <x:v>0.8833333334187046</x:v>
      </x:c>
      <x:c r="P3308" s="9" t="str">
        <x:v>No</x:v>
      </x:c>
      <x:c r="Q3308" s="15" t="n">
        <x:v>18</x:v>
      </x:c>
      <x:c r="R3308" s="13" t="n">
        <x:f>J3308+Q3308/1440</x:f>
        <x:v>46311.66180555555</x:v>
      </x:c>
      <x:c r="S3308" s="2" t="str">
        <x:f>VLOOKUP(C3308,'MES orders'!$A$8:$H$127,6,FALSE)</x:f>
        <x:v>High</x:v>
      </x:c>
      <x:c r="T3308" s="9" t="str"/>
    </x:row>
    <x:row r="3309" ht="22" customHeight="1">
      <x:c r="A3309" s="2" t="str">
        <x:v>L00514-070</x:v>
      </x:c>
      <x:c r="B3309" s="2" t="str">
        <x:v>L00514</x:v>
      </x:c>
      <x:c r="C3309" s="2" t="str">
        <x:v>SO-26103</x:v>
      </x:c>
      <x:c r="D3309" s="2" t="str">
        <x:v>S-C-AL</x:v>
      </x:c>
      <x:c r="E3309" s="14" t="n">
        <x:v>25</x:v>
      </x:c>
      <x:c r="F3309" s="2" t="str">
        <x:v>Final assembly</x:v>
      </x:c>
      <x:c r="G3309" s="9" t="str">
        <x:v>AS-01</x:v>
      </x:c>
      <x:c r="H3309" s="15" t="n">
        <x:v>261</x:v>
      </x:c>
      <x:c r="I3309" s="9" t="str">
        <x:v>P17</x:v>
      </x:c>
      <x:c r="J3309" s="11" t="n">
        <x:v>46311.65</x:v>
      </x:c>
      <x:c r="K3309" s="15" t="n">
        <x:v>5</x:v>
      </x:c>
      <x:c r="L3309" s="15" t="n">
        <x:v>16</x:v>
      </x:c>
      <x:c r="M3309" s="13" t="n">
        <x:f>J3309+(K3309+L3309)/1440</x:f>
        <x:v>46311.66458333333</x:v>
      </x:c>
      <x:c r="N3309" s="13" t="n">
        <x:f>VLOOKUP(C3309,'MES orders'!$A$8:$H$127,5,FALSE)</x:f>
        <x:v>46310.666666666664</x:v>
      </x:c>
      <x:c r="O3309" s="16" t="n">
        <x:f>MAX(0,(M3309-N3309)*24)</x:f>
        <x:v>23.95000000001164</x:v>
      </x:c>
      <x:c r="P3309" s="9" t="str">
        <x:v>No</x:v>
      </x:c>
      <x:c r="Q3309" s="15" t="n">
        <x:v>21</x:v>
      </x:c>
      <x:c r="R3309" s="13" t="n">
        <x:f>J3309+Q3309/1440</x:f>
        <x:v>46311.66458333333</x:v>
      </x:c>
      <x:c r="S3309" s="2" t="str">
        <x:f>VLOOKUP(C3309,'MES orders'!$A$8:$H$127,6,FALSE)</x:f>
        <x:v>Normal</x:v>
      </x:c>
      <x:c r="T3309" s="9" t="str"/>
    </x:row>
    <x:row r="3310" ht="22" customHeight="1">
      <x:c r="A3310" s="2" t="str">
        <x:v>L00553-060</x:v>
      </x:c>
      <x:c r="B3310" s="2" t="str">
        <x:v>L00553</x:v>
      </x:c>
      <x:c r="C3310" s="2" t="str">
        <x:v>SO-26111</x:v>
      </x:c>
      <x:c r="D3310" s="2" t="str">
        <x:v>S-S-AL</x:v>
      </x:c>
      <x:c r="E3310" s="14" t="n">
        <x:v>10</x:v>
      </x:c>
      <x:c r="F3310" s="2" t="str">
        <x:v>Sensor calibration</x:v>
      </x:c>
      <x:c r="G3310" s="9" t="str">
        <x:v>CAL-01</x:v>
      </x:c>
      <x:c r="H3310" s="15" t="n">
        <x:v>164</x:v>
      </x:c>
      <x:c r="I3310" s="9" t="str">
        <x:v>P21</x:v>
      </x:c>
      <x:c r="J3310" s="11" t="n">
        <x:v>46311.65</x:v>
      </x:c>
      <x:c r="K3310" s="15" t="n">
        <x:v>10</x:v>
      </x:c>
      <x:c r="L3310" s="15" t="n">
        <x:v>13</x:v>
      </x:c>
      <x:c r="M3310" s="13" t="n">
        <x:f>J3310+(K3310+L3310)/1440</x:f>
        <x:v>46311.665972222225</x:v>
      </x:c>
      <x:c r="N3310" s="13" t="n">
        <x:f>VLOOKUP(C3310,'MES orders'!$A$8:$H$127,5,FALSE)</x:f>
        <x:v>46310.666666666664</x:v>
      </x:c>
      <x:c r="O3310" s="16" t="n">
        <x:f>MAX(0,(M3310-N3310)*24)</x:f>
        <x:v>23.98333333345363</x:v>
      </x:c>
      <x:c r="P3310" s="9" t="str">
        <x:v>No</x:v>
      </x:c>
      <x:c r="Q3310" s="15" t="n">
        <x:v>23</x:v>
      </x:c>
      <x:c r="R3310" s="13" t="n">
        <x:f>J3310+Q3310/1440</x:f>
        <x:v>46311.665972222225</x:v>
      </x:c>
      <x:c r="S3310" s="2" t="str">
        <x:f>VLOOKUP(C3310,'MES orders'!$A$8:$H$127,6,FALSE)</x:f>
        <x:v>Normal</x:v>
      </x:c>
      <x:c r="T3310" s="9" t="str"/>
    </x:row>
    <x:row r="3311" ht="22" customHeight="1">
      <x:c r="A3311" s="2" t="str">
        <x:v>L00552-080</x:v>
      </x:c>
      <x:c r="B3311" s="2" t="str">
        <x:v>L00552</x:v>
      </x:c>
      <x:c r="C3311" s="2" t="str">
        <x:v>SO-26111</x:v>
      </x:c>
      <x:c r="D3311" s="2" t="str">
        <x:v>S-S-AL</x:v>
      </x:c>
      <x:c r="E3311" s="14" t="n">
        <x:v>10</x:v>
      </x:c>
      <x:c r="F3311" s="2" t="str">
        <x:v>Final leak / function test</x:v>
      </x:c>
      <x:c r="G3311" s="9" t="str">
        <x:v>QA-02</x:v>
      </x:c>
      <x:c r="H3311" s="15" t="n">
        <x:v>248</x:v>
      </x:c>
      <x:c r="I3311" s="9" t="str">
        <x:v>P23</x:v>
      </x:c>
      <x:c r="J3311" s="11" t="n">
        <x:v>46311.65138888889</x:v>
      </x:c>
      <x:c r="K3311" s="15" t="n">
        <x:v>10</x:v>
      </x:c>
      <x:c r="L3311" s="15" t="n">
        <x:v>9</x:v>
      </x:c>
      <x:c r="M3311" s="13" t="n">
        <x:f>J3311+(K3311+L3311)/1440</x:f>
        <x:v>46311.66458333333</x:v>
      </x:c>
      <x:c r="N3311" s="13" t="n">
        <x:f>VLOOKUP(C3311,'MES orders'!$A$8:$H$127,5,FALSE)</x:f>
        <x:v>46310.666666666664</x:v>
      </x:c>
      <x:c r="O3311" s="16" t="n">
        <x:f>MAX(0,(M3311-N3311)*24)</x:f>
        <x:v>23.95000000001164</x:v>
      </x:c>
      <x:c r="P3311" s="9" t="str">
        <x:v>No</x:v>
      </x:c>
      <x:c r="Q3311" s="15" t="n">
        <x:v>19</x:v>
      </x:c>
      <x:c r="R3311" s="13" t="n">
        <x:f>J3311+Q3311/1440</x:f>
        <x:v>46311.66458333333</x:v>
      </x:c>
      <x:c r="S3311" s="2" t="str">
        <x:f>VLOOKUP(C3311,'MES orders'!$A$8:$H$127,6,FALSE)</x:f>
        <x:v>Normal</x:v>
      </x:c>
      <x:c r="T3311" s="9" t="str"/>
    </x:row>
    <x:row r="3312" ht="22" customHeight="1">
      <x:c r="A3312" s="2" t="str">
        <x:v>L00591-040</x:v>
      </x:c>
      <x:c r="B3312" s="2" t="str">
        <x:v>L00591</x:v>
      </x:c>
      <x:c r="C3312" s="2" t="str">
        <x:v>SO-26119</x:v>
      </x:c>
      <x:c r="D3312" s="2" t="str">
        <x:v>S-L-AL</x:v>
      </x:c>
      <x:c r="E3312" s="14" t="n">
        <x:v>20</x:v>
      </x:c>
      <x:c r="F3312" s="2" t="str">
        <x:v>Mechanical preassembly</x:v>
      </x:c>
      <x:c r="G3312" s="9" t="str">
        <x:v>AS-02</x:v>
      </x:c>
      <x:c r="H3312" s="15" t="n">
        <x:v>216</x:v>
      </x:c>
      <x:c r="I3312" s="9" t="str">
        <x:v>P16</x:v>
      </x:c>
      <x:c r="J3312" s="11" t="n">
        <x:v>46311.65347222222</x:v>
      </x:c>
      <x:c r="K3312" s="15" t="n">
        <x:v>6</x:v>
      </x:c>
      <x:c r="L3312" s="15" t="n">
        <x:v>30</x:v>
      </x:c>
      <x:c r="M3312" s="13" t="n">
        <x:f>J3312+(K3312+L3312)/1440</x:f>
        <x:v>46311.67847222222</x:v>
      </x:c>
      <x:c r="N3312" s="13" t="n">
        <x:f>VLOOKUP(C3312,'MES orders'!$A$8:$H$127,5,FALSE)</x:f>
        <x:v>46310.666666666664</x:v>
      </x:c>
      <x:c r="O3312" s="16" t="n">
        <x:f>MAX(0,(M3312-N3312)*24)</x:f>
        <x:v>24.28333333338378</x:v>
      </x:c>
      <x:c r="P3312" s="9" t="str">
        <x:v>No</x:v>
      </x:c>
      <x:c r="Q3312" s="15" t="n">
        <x:v>36</x:v>
      </x:c>
      <x:c r="R3312" s="13" t="n">
        <x:f>J3312+Q3312/1440</x:f>
        <x:v>46311.67847222222</x:v>
      </x:c>
      <x:c r="S3312" s="2" t="str">
        <x:f>VLOOKUP(C3312,'MES orders'!$A$8:$H$127,6,FALSE)</x:f>
        <x:v>Normal</x:v>
      </x:c>
      <x:c r="T3312" s="9" t="str"/>
    </x:row>
    <x:row r="3313" ht="22" customHeight="1">
      <x:c r="A3313" s="2" t="str">
        <x:v>L00592-040</x:v>
      </x:c>
      <x:c r="B3313" s="2" t="str">
        <x:v>L00592</x:v>
      </x:c>
      <x:c r="C3313" s="2" t="str">
        <x:v>SO-26119</x:v>
      </x:c>
      <x:c r="D3313" s="2" t="str">
        <x:v>S-L-AL</x:v>
      </x:c>
      <x:c r="E3313" s="14" t="n">
        <x:v>20</x:v>
      </x:c>
      <x:c r="F3313" s="2" t="str">
        <x:v>Mechanical preassembly</x:v>
      </x:c>
      <x:c r="G3313" s="9" t="str">
        <x:v>AS-03</x:v>
      </x:c>
      <x:c r="H3313" s="15" t="n">
        <x:v>176</x:v>
      </x:c>
      <x:c r="I3313" s="9" t="str">
        <x:v>P18</x:v>
      </x:c>
      <x:c r="J3313" s="11" t="n">
        <x:v>46311.66111111111</x:v>
      </x:c>
      <x:c r="K3313" s="15" t="n">
        <x:v>6</x:v>
      </x:c>
      <x:c r="L3313" s="15" t="n">
        <x:v>30</x:v>
      </x:c>
      <x:c r="M3313" s="13" t="n">
        <x:f>J3313+(K3313+L3313)/1440</x:f>
        <x:v>46311.686111111114</x:v>
      </x:c>
      <x:c r="N3313" s="13" t="n">
        <x:f>VLOOKUP(C3313,'MES orders'!$A$8:$H$127,5,FALSE)</x:f>
        <x:v>46310.666666666664</x:v>
      </x:c>
      <x:c r="O3313" s="16" t="n">
        <x:f>MAX(0,(M3313-N3313)*24)</x:f>
        <x:v>24.466666666790843</x:v>
      </x:c>
      <x:c r="P3313" s="9" t="str">
        <x:v>No</x:v>
      </x:c>
      <x:c r="Q3313" s="15" t="n">
        <x:v>36</x:v>
      </x:c>
      <x:c r="R3313" s="13" t="n">
        <x:f>J3313+Q3313/1440</x:f>
        <x:v>46311.686111111114</x:v>
      </x:c>
      <x:c r="S3313" s="2" t="str">
        <x:f>VLOOKUP(C3313,'MES orders'!$A$8:$H$127,6,FALSE)</x:f>
        <x:v>Normal</x:v>
      </x:c>
      <x:c r="T3313" s="9" t="str"/>
    </x:row>
    <x:row r="3314" ht="22" customHeight="1">
      <x:c r="A3314" s="2" t="str">
        <x:v>L00514-080</x:v>
      </x:c>
      <x:c r="B3314" s="2" t="str">
        <x:v>L00514</x:v>
      </x:c>
      <x:c r="C3314" s="2" t="str">
        <x:v>SO-26103</x:v>
      </x:c>
      <x:c r="D3314" s="2" t="str">
        <x:v>S-C-AL</x:v>
      </x:c>
      <x:c r="E3314" s="14" t="n">
        <x:v>25</x:v>
      </x:c>
      <x:c r="F3314" s="2" t="str">
        <x:v>Final leak / function test</x:v>
      </x:c>
      <x:c r="G3314" s="9" t="str">
        <x:v>QA-02</x:v>
      </x:c>
      <x:c r="H3314" s="15" t="n">
        <x:v>249</x:v>
      </x:c>
      <x:c r="I3314" s="9" t="str">
        <x:v>P23</x:v>
      </x:c>
      <x:c r="J3314" s="11" t="n">
        <x:v>46311.66458333333</x:v>
      </x:c>
      <x:c r="K3314" s="15" t="n">
        <x:v>10</x:v>
      </x:c>
      <x:c r="L3314" s="15" t="n">
        <x:v>18</x:v>
      </x:c>
      <x:c r="M3314" s="13" t="n">
        <x:f>J3314+(K3314+L3314)/1440</x:f>
        <x:v>46311.684027777774</x:v>
      </x:c>
      <x:c r="N3314" s="13" t="n">
        <x:f>VLOOKUP(C3314,'MES orders'!$A$8:$H$127,5,FALSE)</x:f>
        <x:v>46310.666666666664</x:v>
      </x:c>
      <x:c r="O3314" s="16" t="n">
        <x:f>MAX(0,(M3314-N3314)*24)</x:f>
        <x:v>24.41666666662786</x:v>
      </x:c>
      <x:c r="P3314" s="9" t="str">
        <x:v>No</x:v>
      </x:c>
      <x:c r="Q3314" s="15" t="n">
        <x:v>28</x:v>
      </x:c>
      <x:c r="R3314" s="13" t="n">
        <x:f>J3314+Q3314/1440</x:f>
        <x:v>46311.684027777774</x:v>
      </x:c>
      <x:c r="S3314" s="2" t="str">
        <x:f>VLOOKUP(C3314,'MES orders'!$A$8:$H$127,6,FALSE)</x:f>
        <x:v>Normal</x:v>
      </x:c>
      <x:c r="T3314" s="9" t="str"/>
    </x:row>
    <x:row r="3315" ht="22" customHeight="1">
      <x:c r="A3315" s="2" t="str">
        <x:v>L00553-070</x:v>
      </x:c>
      <x:c r="B3315" s="2" t="str">
        <x:v>L00553</x:v>
      </x:c>
      <x:c r="C3315" s="2" t="str">
        <x:v>SO-26111</x:v>
      </x:c>
      <x:c r="D3315" s="2" t="str">
        <x:v>S-S-AL</x:v>
      </x:c>
      <x:c r="E3315" s="14" t="n">
        <x:v>10</x:v>
      </x:c>
      <x:c r="F3315" s="2" t="str">
        <x:v>Final assembly</x:v>
      </x:c>
      <x:c r="G3315" s="9" t="str">
        <x:v>AS-01</x:v>
      </x:c>
      <x:c r="H3315" s="15" t="n">
        <x:v>262</x:v>
      </x:c>
      <x:c r="I3315" s="9" t="str">
        <x:v>P17</x:v>
      </x:c>
      <x:c r="J3315" s="11" t="n">
        <x:v>46311.665972222225</x:v>
      </x:c>
      <x:c r="K3315" s="15" t="n">
        <x:v>5</x:v>
      </x:c>
      <x:c r="L3315" s="15" t="n">
        <x:v>8</x:v>
      </x:c>
      <x:c r="M3315" s="13" t="n">
        <x:f>J3315+(K3315+L3315)/1440</x:f>
        <x:v>46311.675</x:v>
      </x:c>
      <x:c r="N3315" s="13" t="n">
        <x:f>VLOOKUP(C3315,'MES orders'!$A$8:$H$127,5,FALSE)</x:f>
        <x:v>46310.666666666664</x:v>
      </x:c>
      <x:c r="O3315" s="16" t="n">
        <x:f>MAX(0,(M3315-N3315)*24)</x:f>
        <x:v>24.200000000128057</x:v>
      </x:c>
      <x:c r="P3315" s="9" t="str">
        <x:v>No</x:v>
      </x:c>
      <x:c r="Q3315" s="15" t="n">
        <x:v>13</x:v>
      </x:c>
      <x:c r="R3315" s="13" t="n">
        <x:f>J3315+Q3315/1440</x:f>
        <x:v>46311.675</x:v>
      </x:c>
      <x:c r="S3315" s="2" t="str">
        <x:f>VLOOKUP(C3315,'MES orders'!$A$8:$H$127,6,FALSE)</x:f>
        <x:v>Normal</x:v>
      </x:c>
      <x:c r="T3315" s="9" t="str"/>
    </x:row>
    <x:row r="3316" ht="22" customHeight="1">
      <x:c r="A3316" s="2" t="str">
        <x:v>L00555-060</x:v>
      </x:c>
      <x:c r="B3316" s="2" t="str">
        <x:v>L00555</x:v>
      </x:c>
      <x:c r="C3316" s="2" t="str">
        <x:v>SO-26111</x:v>
      </x:c>
      <x:c r="D3316" s="2" t="str">
        <x:v>S-S-AL</x:v>
      </x:c>
      <x:c r="E3316" s="14" t="n">
        <x:v>10</x:v>
      </x:c>
      <x:c r="F3316" s="2" t="str">
        <x:v>Sensor calibration</x:v>
      </x:c>
      <x:c r="G3316" s="9" t="str">
        <x:v>CAL-01</x:v>
      </x:c>
      <x:c r="H3316" s="15" t="n">
        <x:v>165</x:v>
      </x:c>
      <x:c r="I3316" s="9" t="str">
        <x:v>P21</x:v>
      </x:c>
      <x:c r="J3316" s="11" t="n">
        <x:v>46311.665972222225</x:v>
      </x:c>
      <x:c r="K3316" s="15" t="n">
        <x:v>10</x:v>
      </x:c>
      <x:c r="L3316" s="15" t="n">
        <x:v>13</x:v>
      </x:c>
      <x:c r="M3316" s="13" t="n">
        <x:f>J3316+(K3316+L3316)/1440</x:f>
        <x:v>46311.68194444445</x:v>
      </x:c>
      <x:c r="N3316" s="13" t="n">
        <x:f>VLOOKUP(C3316,'MES orders'!$A$8:$H$127,5,FALSE)</x:f>
        <x:v>46310.666666666664</x:v>
      </x:c>
      <x:c r="O3316" s="16" t="n">
        <x:f>MAX(0,(M3316-N3316)*24)</x:f>
        <x:v>24.366666666814126</x:v>
      </x:c>
      <x:c r="P3316" s="9" t="str">
        <x:v>No</x:v>
      </x:c>
      <x:c r="Q3316" s="15" t="n">
        <x:v>23</x:v>
      </x:c>
      <x:c r="R3316" s="13" t="n">
        <x:f>J3316+Q3316/1440</x:f>
        <x:v>46311.68194444445</x:v>
      </x:c>
      <x:c r="S3316" s="2" t="str">
        <x:f>VLOOKUP(C3316,'MES orders'!$A$8:$H$127,6,FALSE)</x:f>
        <x:v>Normal</x:v>
      </x:c>
      <x:c r="T3316" s="9" t="str"/>
    </x:row>
    <x:row r="3317" ht="22" customHeight="1">
      <x:c r="A3317" s="2" t="str">
        <x:v>L00038-010</x:v>
      </x:c>
      <x:c r="B3317" s="2" t="str">
        <x:v>L00038</x:v>
      </x:c>
      <x:c r="C3317" s="2" t="str">
        <x:v>SO-26008</x:v>
      </x:c>
      <x:c r="D3317" s="2" t="str">
        <x:v>S-C-SS</x:v>
      </x:c>
      <x:c r="E3317" s="14" t="n">
        <x:v>25</x:v>
      </x:c>
      <x:c r="F3317" s="2" t="str">
        <x:v>CNC machining</x:v>
      </x:c>
      <x:c r="G3317" s="9" t="str">
        <x:v>CNC-04</x:v>
      </x:c>
      <x:c r="H3317" s="15" t="n">
        <x:v>102</x:v>
      </x:c>
      <x:c r="I3317" s="9" t="str">
        <x:v>P14</x:v>
      </x:c>
      <x:c r="J3317" s="11" t="n">
        <x:v>46311.66805555556</x:v>
      </x:c>
      <x:c r="K3317" s="15" t="n">
        <x:v>18</x:v>
      </x:c>
      <x:c r="L3317" s="15" t="n">
        <x:v>60</x:v>
      </x:c>
      <x:c r="M3317" s="13" t="n">
        <x:f>J3317+(K3317+L3317)/1440</x:f>
        <x:v>46311.722222222226</x:v>
      </x:c>
      <x:c r="N3317" s="13" t="n">
        <x:f>VLOOKUP(C3317,'MES orders'!$A$8:$H$127,5,FALSE)</x:f>
        <x:v>46311.666666666664</x:v>
      </x:c>
      <x:c r="O3317" s="16" t="n">
        <x:f>MAX(0,(M3317-N3317)*24)</x:f>
        <x:v>1.3333333334885538</x:v>
      </x:c>
      <x:c r="P3317" s="9" t="str">
        <x:v>No</x:v>
      </x:c>
      <x:c r="Q3317" s="15" t="n">
        <x:v>18</x:v>
      </x:c>
      <x:c r="R3317" s="13" t="n">
        <x:f>J3317+Q3317/1440</x:f>
        <x:v>46311.680555555555</x:v>
      </x:c>
      <x:c r="S3317" s="2" t="str">
        <x:f>VLOOKUP(C3317,'MES orders'!$A$8:$H$127,6,FALSE)</x:f>
        <x:v>High</x:v>
      </x:c>
      <x:c r="T3317" s="9" t="str"/>
    </x:row>
    <x:row r="3318" ht="22" customHeight="1">
      <x:c r="A3318" s="2" t="str">
        <x:v>L00553-080</x:v>
      </x:c>
      <x:c r="B3318" s="2" t="str">
        <x:v>L00553</x:v>
      </x:c>
      <x:c r="C3318" s="2" t="str">
        <x:v>SO-26111</x:v>
      </x:c>
      <x:c r="D3318" s="2" t="str">
        <x:v>S-S-AL</x:v>
      </x:c>
      <x:c r="E3318" s="14" t="n">
        <x:v>10</x:v>
      </x:c>
      <x:c r="F3318" s="2" t="str">
        <x:v>Final leak / function test</x:v>
      </x:c>
      <x:c r="G3318" s="9" t="str">
        <x:v>QA-03</x:v>
      </x:c>
      <x:c r="H3318" s="15" t="n">
        <x:v>147</x:v>
      </x:c>
      <x:c r="I3318" s="9" t="str">
        <x:v>P24</x:v>
      </x:c>
      <x:c r="J3318" s="11" t="n">
        <x:v>46311.675</x:v>
      </x:c>
      <x:c r="K3318" s="15" t="n">
        <x:v>10</x:v>
      </x:c>
      <x:c r="L3318" s="15" t="n">
        <x:v>9</x:v>
      </x:c>
      <x:c r="M3318" s="13" t="n">
        <x:f>J3318+(K3318+L3318)/1440</x:f>
        <x:v>46311.68819444445</x:v>
      </x:c>
      <x:c r="N3318" s="13" t="n">
        <x:f>VLOOKUP(C3318,'MES orders'!$A$8:$H$127,5,FALSE)</x:f>
        <x:v>46310.666666666664</x:v>
      </x:c>
      <x:c r="O3318" s="16" t="n">
        <x:f>MAX(0,(M3318-N3318)*24)</x:f>
        <x:v>24.5166666667792</x:v>
      </x:c>
      <x:c r="P3318" s="9" t="str">
        <x:v>No</x:v>
      </x:c>
      <x:c r="Q3318" s="15" t="n">
        <x:v>19</x:v>
      </x:c>
      <x:c r="R3318" s="13" t="n">
        <x:f>J3318+Q3318/1440</x:f>
        <x:v>46311.68819444445</x:v>
      </x:c>
      <x:c r="S3318" s="2" t="str">
        <x:f>VLOOKUP(C3318,'MES orders'!$A$8:$H$127,6,FALSE)</x:f>
        <x:v>Normal</x:v>
      </x:c>
      <x:c r="T3318" s="9" t="str"/>
    </x:row>
    <x:row r="3319" ht="22" customHeight="1">
      <x:c r="A3319" s="2" t="str">
        <x:v>L00039-010</x:v>
      </x:c>
      <x:c r="B3319" s="2" t="str">
        <x:v>L00039</x:v>
      </x:c>
      <x:c r="C3319" s="2" t="str">
        <x:v>SO-26008</x:v>
      </x:c>
      <x:c r="D3319" s="2" t="str">
        <x:v>S-C-SS</x:v>
      </x:c>
      <x:c r="E3319" s="14" t="n">
        <x:v>25</x:v>
      </x:c>
      <x:c r="F3319" s="2" t="str">
        <x:v>CNC machining</x:v>
      </x:c>
      <x:c r="G3319" s="9" t="str">
        <x:v>CNC-05</x:v>
      </x:c>
      <x:c r="H3319" s="15" t="n">
        <x:v>92</x:v>
      </x:c>
      <x:c r="I3319" s="9" t="str">
        <x:v>P15</x:v>
      </x:c>
      <x:c r="J3319" s="11" t="n">
        <x:v>46311.677083333336</x:v>
      </x:c>
      <x:c r="K3319" s="15" t="n">
        <x:v>18</x:v>
      </x:c>
      <x:c r="L3319" s="15" t="n">
        <x:v>60</x:v>
      </x:c>
      <x:c r="M3319" s="13" t="n">
        <x:f>J3319+(K3319+L3319)/1440</x:f>
        <x:v>46311.731250000004</x:v>
      </x:c>
      <x:c r="N3319" s="13" t="n">
        <x:f>VLOOKUP(C3319,'MES orders'!$A$8:$H$127,5,FALSE)</x:f>
        <x:v>46311.666666666664</x:v>
      </x:c>
      <x:c r="O3319" s="16" t="n">
        <x:f>MAX(0,(M3319-N3319)*24)</x:f>
        <x:v>1.5500000001629815</x:v>
      </x:c>
      <x:c r="P3319" s="9" t="str">
        <x:v>No</x:v>
      </x:c>
      <x:c r="Q3319" s="15" t="n">
        <x:v>18</x:v>
      </x:c>
      <x:c r="R3319" s="13" t="n">
        <x:f>J3319+Q3319/1440</x:f>
        <x:v>46311.68958333333</x:v>
      </x:c>
      <x:c r="S3319" s="2" t="str">
        <x:f>VLOOKUP(C3319,'MES orders'!$A$8:$H$127,6,FALSE)</x:f>
        <x:v>High</x:v>
      </x:c>
      <x:c r="T3319" s="9" t="str"/>
    </x:row>
    <x:row r="3320" ht="22" customHeight="1">
      <x:c r="A3320" s="2" t="str">
        <x:v>L00120-020</x:v>
      </x:c>
      <x:c r="B3320" s="2" t="str">
        <x:v>L00120</x:v>
      </x:c>
      <x:c r="C3320" s="2" t="str">
        <x:v>SO-26024</x:v>
      </x:c>
      <x:c r="D3320" s="2" t="str">
        <x:v>S-L-SS</x:v>
      </x:c>
      <x:c r="E3320" s="14" t="n">
        <x:v>10</x:v>
      </x:c>
      <x:c r="F3320" s="2" t="str">
        <x:v>Deburr &amp; inspect</x:v>
      </x:c>
      <x:c r="G3320" s="9" t="str">
        <x:v>DB-02</x:v>
      </x:c>
      <x:c r="H3320" s="15" t="n">
        <x:v>218</x:v>
      </x:c>
      <x:c r="I3320" s="9" t="str">
        <x:v>P13</x:v>
      </x:c>
      <x:c r="J3320" s="11" t="n">
        <x:v>46311.677083333336</x:v>
      </x:c>
      <x:c r="K3320" s="15" t="n">
        <x:v>4</x:v>
      </x:c>
      <x:c r="L3320" s="15" t="n">
        <x:v>9</x:v>
      </x:c>
      <x:c r="M3320" s="13" t="n">
        <x:f>J3320+(K3320+L3320)/1440</x:f>
        <x:v>46311.686111111114</x:v>
      </x:c>
      <x:c r="N3320" s="13" t="n">
        <x:f>VLOOKUP(C3320,'MES orders'!$A$8:$H$127,5,FALSE)</x:f>
        <x:v>46311.666666666664</x:v>
      </x:c>
      <x:c r="O3320" s="16" t="n">
        <x:f>MAX(0,(M3320-N3320)*24)</x:f>
        <x:v>0.466666666790843</x:v>
      </x:c>
      <x:c r="P3320" s="9" t="str">
        <x:v>No</x:v>
      </x:c>
      <x:c r="Q3320" s="15" t="n">
        <x:v>13</x:v>
      </x:c>
      <x:c r="R3320" s="13" t="n">
        <x:f>J3320+Q3320/1440</x:f>
        <x:v>46311.686111111114</x:v>
      </x:c>
      <x:c r="S3320" s="2" t="str">
        <x:f>VLOOKUP(C3320,'MES orders'!$A$8:$H$127,6,FALSE)</x:f>
        <x:v>Urgent</x:v>
      </x:c>
      <x:c r="T3320" s="9" t="str"/>
    </x:row>
    <x:row r="3321" ht="22" customHeight="1">
      <x:c r="A3321" s="2" t="str">
        <x:v>L00593-020</x:v>
      </x:c>
      <x:c r="B3321" s="2" t="str">
        <x:v>L00593</x:v>
      </x:c>
      <x:c r="C3321" s="2" t="str">
        <x:v>SO-26119</x:v>
      </x:c>
      <x:c r="D3321" s="2" t="str">
        <x:v>S-L-AL</x:v>
      </x:c>
      <x:c r="E3321" s="14" t="n">
        <x:v>20</x:v>
      </x:c>
      <x:c r="F3321" s="2" t="str">
        <x:v>Deburr &amp; inspect</x:v>
      </x:c>
      <x:c r="G3321" s="9" t="str">
        <x:v>DB-01</x:v>
      </x:c>
      <x:c r="H3321" s="15" t="n">
        <x:v>311</x:v>
      </x:c>
      <x:c r="I3321" s="9" t="str">
        <x:v>P16</x:v>
      </x:c>
      <x:c r="J3321" s="11" t="n">
        <x:v>46311.67847222222</x:v>
      </x:c>
      <x:c r="K3321" s="15" t="n">
        <x:v>4</x:v>
      </x:c>
      <x:c r="L3321" s="15" t="n">
        <x:v>19</x:v>
      </x:c>
      <x:c r="M3321" s="13" t="n">
        <x:f>J3321+(K3321+L3321)/1440</x:f>
        <x:v>46311.694444444445</x:v>
      </x:c>
      <x:c r="N3321" s="13" t="n">
        <x:f>VLOOKUP(C3321,'MES orders'!$A$8:$H$127,5,FALSE)</x:f>
        <x:v>46310.666666666664</x:v>
      </x:c>
      <x:c r="O3321" s="16" t="n">
        <x:f>MAX(0,(M3321-N3321)*24)</x:f>
        <x:v>24.666666666744277</x:v>
      </x:c>
      <x:c r="P3321" s="9" t="str">
        <x:v>No</x:v>
      </x:c>
      <x:c r="Q3321" s="15" t="n">
        <x:v>23</x:v>
      </x:c>
      <x:c r="R3321" s="13" t="n">
        <x:f>J3321+Q3321/1440</x:f>
        <x:v>46311.694444444445</x:v>
      </x:c>
      <x:c r="S3321" s="2" t="str">
        <x:f>VLOOKUP(C3321,'MES orders'!$A$8:$H$127,6,FALSE)</x:f>
        <x:v>Normal</x:v>
      </x:c>
      <x:c r="T3321" s="9" t="str"/>
    </x:row>
    <x:row r="3322" ht="22" customHeight="1">
      <x:c r="A3322" s="2" t="str">
        <x:v>L00591-050</x:v>
      </x:c>
      <x:c r="B3322" s="2" t="str">
        <x:v>L00591</x:v>
      </x:c>
      <x:c r="C3322" s="2" t="str">
        <x:v>SO-26119</x:v>
      </x:c>
      <x:c r="D3322" s="2" t="str">
        <x:v>S-L-AL</x:v>
      </x:c>
      <x:c r="E3322" s="14" t="n">
        <x:v>20</x:v>
      </x:c>
      <x:c r="F3322" s="2" t="str">
        <x:v>Sensor installation</x:v>
      </x:c>
      <x:c r="G3322" s="9" t="str">
        <x:v>EL-01</x:v>
      </x:c>
      <x:c r="H3322" s="15" t="n">
        <x:v>113</x:v>
      </x:c>
      <x:c r="I3322" s="9" t="str">
        <x:v>P19</x:v>
      </x:c>
      <x:c r="J3322" s="11" t="n">
        <x:v>46311.67847222222</x:v>
      </x:c>
      <x:c r="K3322" s="15" t="n">
        <x:v>8</x:v>
      </x:c>
      <x:c r="L3322" s="15" t="n">
        <x:v>32</x:v>
      </x:c>
      <x:c r="M3322" s="13" t="n">
        <x:f>J3322+(K3322+L3322)/1440</x:f>
        <x:v>46311.70625</x:v>
      </x:c>
      <x:c r="N3322" s="13" t="n">
        <x:f>VLOOKUP(C3322,'MES orders'!$A$8:$H$127,5,FALSE)</x:f>
        <x:v>46310.666666666664</x:v>
      </x:c>
      <x:c r="O3322" s="16" t="n">
        <x:f>MAX(0,(M3322-N3322)*24)</x:f>
        <x:v>24.950000000128057</x:v>
      </x:c>
      <x:c r="P3322" s="9" t="str">
        <x:v>No</x:v>
      </x:c>
      <x:c r="Q3322" s="15" t="n">
        <x:v>40</x:v>
      </x:c>
      <x:c r="R3322" s="13" t="n">
        <x:f>J3322+Q3322/1440</x:f>
        <x:v>46311.70625</x:v>
      </x:c>
      <x:c r="S3322" s="2" t="str">
        <x:f>VLOOKUP(C3322,'MES orders'!$A$8:$H$127,6,FALSE)</x:f>
        <x:v>Normal</x:v>
      </x:c>
      <x:c r="T3322" s="9" t="str"/>
    </x:row>
    <x:row r="3323" ht="22" customHeight="1">
      <x:c r="A3323" s="2" t="str">
        <x:v>L00555-070</x:v>
      </x:c>
      <x:c r="B3323" s="2" t="str">
        <x:v>L00555</x:v>
      </x:c>
      <x:c r="C3323" s="2" t="str">
        <x:v>SO-26111</x:v>
      </x:c>
      <x:c r="D3323" s="2" t="str">
        <x:v>S-S-AL</x:v>
      </x:c>
      <x:c r="E3323" s="14" t="n">
        <x:v>10</x:v>
      </x:c>
      <x:c r="F3323" s="2" t="str">
        <x:v>Final assembly</x:v>
      </x:c>
      <x:c r="G3323" s="9" t="str">
        <x:v>AS-01</x:v>
      </x:c>
      <x:c r="H3323" s="15" t="n">
        <x:v>263</x:v>
      </x:c>
      <x:c r="I3323" s="9" t="str">
        <x:v>P17</x:v>
      </x:c>
      <x:c r="J3323" s="11" t="n">
        <x:v>46311.68194444444</x:v>
      </x:c>
      <x:c r="K3323" s="15" t="n">
        <x:v>5</x:v>
      </x:c>
      <x:c r="L3323" s="15" t="n">
        <x:v>8</x:v>
      </x:c>
      <x:c r="M3323" s="13" t="n">
        <x:f>J3323+(K3323+L3323)/1440</x:f>
        <x:v>46311.69097222222</x:v>
      </x:c>
      <x:c r="N3323" s="13" t="n">
        <x:f>VLOOKUP(C3323,'MES orders'!$A$8:$H$127,5,FALSE)</x:f>
        <x:v>46310.666666666664</x:v>
      </x:c>
      <x:c r="O3323" s="16" t="n">
        <x:f>MAX(0,(M3323-N3323)*24)</x:f>
        <x:v>24.58333333331393</x:v>
      </x:c>
      <x:c r="P3323" s="9" t="str">
        <x:v>No</x:v>
      </x:c>
      <x:c r="Q3323" s="15" t="n">
        <x:v>13</x:v>
      </x:c>
      <x:c r="R3323" s="13" t="n">
        <x:f>J3323+Q3323/1440</x:f>
        <x:v>46311.69097222222</x:v>
      </x:c>
      <x:c r="S3323" s="2" t="str">
        <x:f>VLOOKUP(C3323,'MES orders'!$A$8:$H$127,6,FALSE)</x:f>
        <x:v>Normal</x:v>
      </x:c>
      <x:c r="T3323" s="9" t="str"/>
    </x:row>
    <x:row r="3324" ht="22" customHeight="1">
      <x:c r="A3324" s="2" t="str">
        <x:v>L00554-080</x:v>
      </x:c>
      <x:c r="B3324" s="2" t="str">
        <x:v>L00554</x:v>
      </x:c>
      <x:c r="C3324" s="2" t="str">
        <x:v>SO-26111</x:v>
      </x:c>
      <x:c r="D3324" s="2" t="str">
        <x:v>S-S-AL</x:v>
      </x:c>
      <x:c r="E3324" s="14" t="n">
        <x:v>10</x:v>
      </x:c>
      <x:c r="F3324" s="2" t="str">
        <x:v>Final leak / function test</x:v>
      </x:c>
      <x:c r="G3324" s="9" t="str">
        <x:v>QA-02</x:v>
      </x:c>
      <x:c r="H3324" s="15" t="n">
        <x:v>250</x:v>
      </x:c>
      <x:c r="I3324" s="9" t="str">
        <x:v>P23</x:v>
      </x:c>
      <x:c r="J3324" s="11" t="n">
        <x:v>46311.68402777778</x:v>
      </x:c>
      <x:c r="K3324" s="15" t="n">
        <x:v>10</x:v>
      </x:c>
      <x:c r="L3324" s="15" t="n">
        <x:v>9</x:v>
      </x:c>
      <x:c r="M3324" s="13" t="n">
        <x:f>J3324+(K3324+L3324)/1440</x:f>
        <x:v>46311.697222222225</x:v>
      </x:c>
      <x:c r="N3324" s="13" t="n">
        <x:f>VLOOKUP(C3324,'MES orders'!$A$8:$H$127,5,FALSE)</x:f>
        <x:v>46310.666666666664</x:v>
      </x:c>
      <x:c r="O3324" s="16" t="n">
        <x:f>MAX(0,(M3324-N3324)*24)</x:f>
        <x:v>24.73333333345363</x:v>
      </x:c>
      <x:c r="P3324" s="9" t="str">
        <x:v>No</x:v>
      </x:c>
      <x:c r="Q3324" s="15" t="n">
        <x:v>19</x:v>
      </x:c>
      <x:c r="R3324" s="13" t="n">
        <x:f>J3324+Q3324/1440</x:f>
        <x:v>46311.697222222225</x:v>
      </x:c>
      <x:c r="S3324" s="2" t="str">
        <x:f>VLOOKUP(C3324,'MES orders'!$A$8:$H$127,6,FALSE)</x:f>
        <x:v>Normal</x:v>
      </x:c>
      <x:c r="T3324" s="9" t="str"/>
    </x:row>
    <x:row r="3325" ht="22" customHeight="1">
      <x:c r="A3325" s="2" t="str">
        <x:v>L00592-050</x:v>
      </x:c>
      <x:c r="B3325" s="2" t="str">
        <x:v>L00592</x:v>
      </x:c>
      <x:c r="C3325" s="2" t="str">
        <x:v>SO-26119</x:v>
      </x:c>
      <x:c r="D3325" s="2" t="str">
        <x:v>S-L-AL</x:v>
      </x:c>
      <x:c r="E3325" s="14" t="n">
        <x:v>20</x:v>
      </x:c>
      <x:c r="F3325" s="2" t="str">
        <x:v>Sensor installation</x:v>
      </x:c>
      <x:c r="G3325" s="9" t="str">
        <x:v>EL-02</x:v>
      </x:c>
      <x:c r="H3325" s="15" t="n">
        <x:v>54</x:v>
      </x:c>
      <x:c r="I3325" s="9" t="str">
        <x:v>P20</x:v>
      </x:c>
      <x:c r="J3325" s="11" t="n">
        <x:v>46311.686111111114</x:v>
      </x:c>
      <x:c r="K3325" s="15" t="n">
        <x:v>8</x:v>
      </x:c>
      <x:c r="L3325" s="15" t="n">
        <x:v>32</x:v>
      </x:c>
      <x:c r="M3325" s="13" t="n">
        <x:f>J3325+(K3325+L3325)/1440</x:f>
        <x:v>46311.713888888895</x:v>
      </x:c>
      <x:c r="N3325" s="13" t="n">
        <x:f>VLOOKUP(C3325,'MES orders'!$A$8:$H$127,5,FALSE)</x:f>
        <x:v>46310.666666666664</x:v>
      </x:c>
      <x:c r="O3325" s="16" t="n">
        <x:f>MAX(0,(M3325-N3325)*24)</x:f>
        <x:v>25.13333333353512</x:v>
      </x:c>
      <x:c r="P3325" s="9" t="str">
        <x:v>No</x:v>
      </x:c>
      <x:c r="Q3325" s="15" t="n">
        <x:v>40</x:v>
      </x:c>
      <x:c r="R3325" s="13" t="n">
        <x:f>J3325+Q3325/1440</x:f>
        <x:v>46311.713888888895</x:v>
      </x:c>
      <x:c r="S3325" s="2" t="str">
        <x:f>VLOOKUP(C3325,'MES orders'!$A$8:$H$127,6,FALSE)</x:f>
        <x:v>Normal</x:v>
      </x:c>
      <x:c r="T3325" s="9" t="str"/>
    </x:row>
    <x:row r="3326" ht="22" customHeight="1">
      <x:c r="A3326" s="2" t="str">
        <x:v>L00594-030</x:v>
      </x:c>
      <x:c r="B3326" s="2" t="str">
        <x:v>L00594</x:v>
      </x:c>
      <x:c r="C3326" s="2" t="str">
        <x:v>SO-26119</x:v>
      </x:c>
      <x:c r="D3326" s="2" t="str">
        <x:v>S-L-AL</x:v>
      </x:c>
      <x:c r="E3326" s="14" t="n">
        <x:v>20</x:v>
      </x:c>
      <x:c r="F3326" s="2" t="str">
        <x:v>Wash &amp; dry</x:v>
      </x:c>
      <x:c r="G3326" s="9" t="str">
        <x:v>WS-02</x:v>
      </x:c>
      <x:c r="H3326" s="15" t="n">
        <x:v>222</x:v>
      </x:c>
      <x:c r="I3326" s="9" t="str">
        <x:v>P18</x:v>
      </x:c>
      <x:c r="J3326" s="11" t="n">
        <x:v>46311.686111111114</x:v>
      </x:c>
      <x:c r="K3326" s="15" t="n">
        <x:v>12</x:v>
      </x:c>
      <x:c r="L3326" s="15" t="n">
        <x:v>9</x:v>
      </x:c>
      <x:c r="M3326" s="13" t="n">
        <x:f>J3326+(K3326+L3326)/1440</x:f>
        <x:v>46311.700694444444</x:v>
      </x:c>
      <x:c r="N3326" s="13" t="n">
        <x:f>VLOOKUP(C3326,'MES orders'!$A$8:$H$127,5,FALSE)</x:f>
        <x:v>46310.666666666664</x:v>
      </x:c>
      <x:c r="O3326" s="16" t="n">
        <x:f>MAX(0,(M3326-N3326)*24)</x:f>
        <x:v>24.816666666709352</x:v>
      </x:c>
      <x:c r="P3326" s="9" t="str">
        <x:v>No</x:v>
      </x:c>
      <x:c r="Q3326" s="15" t="n">
        <x:v>21</x:v>
      </x:c>
      <x:c r="R3326" s="13" t="n">
        <x:f>J3326+Q3326/1440</x:f>
        <x:v>46311.700694444444</x:v>
      </x:c>
      <x:c r="S3326" s="2" t="str">
        <x:f>VLOOKUP(C3326,'MES orders'!$A$8:$H$127,6,FALSE)</x:f>
        <x:v>Normal</x:v>
      </x:c>
      <x:c r="T3326" s="9" t="str"/>
    </x:row>
    <x:row r="3327" ht="22" customHeight="1">
      <x:c r="A3327" s="2" t="str">
        <x:v>L00117-020</x:v>
      </x:c>
      <x:c r="B3327" s="2" t="str">
        <x:v>L00117</x:v>
      </x:c>
      <x:c r="C3327" s="2" t="str">
        <x:v>SO-26024</x:v>
      </x:c>
      <x:c r="D3327" s="2" t="str">
        <x:v>S-L-SS</x:v>
      </x:c>
      <x:c r="E3327" s="14" t="n">
        <x:v>10</x:v>
      </x:c>
      <x:c r="F3327" s="2" t="str">
        <x:v>Deburr &amp; inspect</x:v>
      </x:c>
      <x:c r="G3327" s="9" t="str">
        <x:v>DB-02</x:v>
      </x:c>
      <x:c r="H3327" s="15" t="n">
        <x:v>219</x:v>
      </x:c>
      <x:c r="I3327" s="9" t="str">
        <x:v>P17</x:v>
      </x:c>
      <x:c r="J3327" s="11" t="n">
        <x:v>46311.69097222222</x:v>
      </x:c>
      <x:c r="K3327" s="15" t="n">
        <x:v>4</x:v>
      </x:c>
      <x:c r="L3327" s="15" t="n">
        <x:v>9</x:v>
      </x:c>
      <x:c r="M3327" s="13" t="n">
        <x:f>J3327+(K3327+L3327)/1440</x:f>
        <x:v>46311.7</x:v>
      </x:c>
      <x:c r="N3327" s="13" t="n">
        <x:f>VLOOKUP(C3327,'MES orders'!$A$8:$H$127,5,FALSE)</x:f>
        <x:v>46311.666666666664</x:v>
      </x:c>
      <x:c r="O3327" s="16" t="n">
        <x:f>MAX(0,(M3327-N3327)*24)</x:f>
        <x:v>0.7999999999883585</x:v>
      </x:c>
      <x:c r="P3327" s="9" t="str">
        <x:v>No</x:v>
      </x:c>
      <x:c r="Q3327" s="15" t="n">
        <x:v>13</x:v>
      </x:c>
      <x:c r="R3327" s="13" t="n">
        <x:f>J3327+Q3327/1440</x:f>
        <x:v>46311.7</x:v>
      </x:c>
      <x:c r="S3327" s="2" t="str">
        <x:f>VLOOKUP(C3327,'MES orders'!$A$8:$H$127,6,FALSE)</x:f>
        <x:v>Urgent</x:v>
      </x:c>
      <x:c r="T3327" s="9" t="str"/>
    </x:row>
    <x:row r="3328" ht="22" customHeight="1">
      <x:c r="A3328" s="2" t="str">
        <x:v>L00555-080</x:v>
      </x:c>
      <x:c r="B3328" s="2" t="str">
        <x:v>L00555</x:v>
      </x:c>
      <x:c r="C3328" s="2" t="str">
        <x:v>SO-26111</x:v>
      </x:c>
      <x:c r="D3328" s="2" t="str">
        <x:v>S-S-AL</x:v>
      </x:c>
      <x:c r="E3328" s="14" t="n">
        <x:v>10</x:v>
      </x:c>
      <x:c r="F3328" s="2" t="str">
        <x:v>Final leak / function test</x:v>
      </x:c>
      <x:c r="G3328" s="9" t="str">
        <x:v>QA-03</x:v>
      </x:c>
      <x:c r="H3328" s="15" t="n">
        <x:v>148</x:v>
      </x:c>
      <x:c r="I3328" s="9" t="str">
        <x:v>P24</x:v>
      </x:c>
      <x:c r="J3328" s="11" t="n">
        <x:v>46311.69097222222</x:v>
      </x:c>
      <x:c r="K3328" s="15" t="n">
        <x:v>10</x:v>
      </x:c>
      <x:c r="L3328" s="15" t="n">
        <x:v>9</x:v>
      </x:c>
      <x:c r="M3328" s="13" t="n">
        <x:f>J3328+(K3328+L3328)/1440</x:f>
        <x:v>46311.70416666666</x:v>
      </x:c>
      <x:c r="N3328" s="13" t="n">
        <x:f>VLOOKUP(C3328,'MES orders'!$A$8:$H$127,5,FALSE)</x:f>
        <x:v>46310.666666666664</x:v>
      </x:c>
      <x:c r="O3328" s="16" t="n">
        <x:f>MAX(0,(M3328-N3328)*24)</x:f>
        <x:v>24.899999999965075</x:v>
      </x:c>
      <x:c r="P3328" s="9" t="str">
        <x:v>No</x:v>
      </x:c>
      <x:c r="Q3328" s="15" t="n">
        <x:v>19</x:v>
      </x:c>
      <x:c r="R3328" s="13" t="n">
        <x:f>J3328+Q3328/1440</x:f>
        <x:v>46311.70416666666</x:v>
      </x:c>
      <x:c r="S3328" s="2" t="str">
        <x:f>VLOOKUP(C3328,'MES orders'!$A$8:$H$127,6,FALSE)</x:f>
        <x:v>Normal</x:v>
      </x:c>
      <x:c r="T3328" s="9" t="str"/>
    </x:row>
    <x:row r="3329" ht="22" customHeight="1">
      <x:c r="A3329" s="2" t="str">
        <x:v>L00040-010</x:v>
      </x:c>
      <x:c r="B3329" s="2" t="str">
        <x:v>L00040</x:v>
      </x:c>
      <x:c r="C3329" s="2" t="str">
        <x:v>SO-26008</x:v>
      </x:c>
      <x:c r="D3329" s="2" t="str">
        <x:v>S-C-SS</x:v>
      </x:c>
      <x:c r="E3329" s="14" t="n">
        <x:v>25</x:v>
      </x:c>
      <x:c r="F3329" s="2" t="str">
        <x:v>CNC machining</x:v>
      </x:c>
      <x:c r="G3329" s="9" t="str">
        <x:v>CNC-06</x:v>
      </x:c>
      <x:c r="H3329" s="15" t="n">
        <x:v>85</x:v>
      </x:c>
      <x:c r="I3329" s="9" t="str">
        <x:v>P15</x:v>
      </x:c>
      <x:c r="J3329" s="11" t="n">
        <x:v>46311.694444444445</x:v>
      </x:c>
      <x:c r="K3329" s="15" t="n">
        <x:v>18</x:v>
      </x:c>
      <x:c r="L3329" s="15" t="n">
        <x:v>60</x:v>
      </x:c>
      <x:c r="M3329" s="13" t="n">
        <x:f>J3329+(K3329+L3329)/1440</x:f>
        <x:v>46311.748611111114</x:v>
      </x:c>
      <x:c r="N3329" s="13" t="n">
        <x:f>VLOOKUP(C3329,'MES orders'!$A$8:$H$127,5,FALSE)</x:f>
        <x:v>46311.666666666664</x:v>
      </x:c>
      <x:c r="O3329" s="16" t="n">
        <x:f>MAX(0,(M3329-N3329)*24)</x:f>
        <x:v>1.966666666790843</x:v>
      </x:c>
      <x:c r="P3329" s="9" t="str">
        <x:v>No</x:v>
      </x:c>
      <x:c r="Q3329" s="15" t="n">
        <x:v>18</x:v>
      </x:c>
      <x:c r="R3329" s="13" t="n">
        <x:f>J3329+Q3329/1440</x:f>
        <x:v>46311.70694444444</x:v>
      </x:c>
      <x:c r="S3329" s="2" t="str">
        <x:f>VLOOKUP(C3329,'MES orders'!$A$8:$H$127,6,FALSE)</x:f>
        <x:v>High</x:v>
      </x:c>
      <x:c r="T3329" s="9" t="str"/>
    </x:row>
    <x:row r="3330" ht="22" customHeight="1">
      <x:c r="A3330" s="2" t="str">
        <x:v>L00593-030</x:v>
      </x:c>
      <x:c r="B3330" s="2" t="str">
        <x:v>L00593</x:v>
      </x:c>
      <x:c r="C3330" s="2" t="str">
        <x:v>SO-26119</x:v>
      </x:c>
      <x:c r="D3330" s="2" t="str">
        <x:v>S-L-AL</x:v>
      </x:c>
      <x:c r="E3330" s="14" t="n">
        <x:v>20</x:v>
      </x:c>
      <x:c r="F3330" s="2" t="str">
        <x:v>Wash &amp; dry</x:v>
      </x:c>
      <x:c r="G3330" s="9" t="str">
        <x:v>WS-01</x:v>
      </x:c>
      <x:c r="H3330" s="15" t="n">
        <x:v>304</x:v>
      </x:c>
      <x:c r="I3330" s="9" t="str">
        <x:v>P16</x:v>
      </x:c>
      <x:c r="J3330" s="11" t="n">
        <x:v>46311.694444444445</x:v>
      </x:c>
      <x:c r="K3330" s="15" t="n">
        <x:v>12</x:v>
      </x:c>
      <x:c r="L3330" s="15" t="n">
        <x:v>9</x:v>
      </x:c>
      <x:c r="M3330" s="13" t="n">
        <x:f>J3330+(K3330+L3330)/1440</x:f>
        <x:v>46311.709027777775</x:v>
      </x:c>
      <x:c r="N3330" s="13" t="n">
        <x:f>VLOOKUP(C3330,'MES orders'!$A$8:$H$127,5,FALSE)</x:f>
        <x:v>46310.666666666664</x:v>
      </x:c>
      <x:c r="O3330" s="16" t="n">
        <x:f>MAX(0,(M3330-N3330)*24)</x:f>
        <x:v>25.016666666662786</x:v>
      </x:c>
      <x:c r="P3330" s="9" t="str">
        <x:v>No</x:v>
      </x:c>
      <x:c r="Q3330" s="15" t="n">
        <x:v>21</x:v>
      </x:c>
      <x:c r="R3330" s="13" t="n">
        <x:f>J3330+Q3330/1440</x:f>
        <x:v>46311.709027777775</x:v>
      </x:c>
      <x:c r="S3330" s="2" t="str">
        <x:f>VLOOKUP(C3330,'MES orders'!$A$8:$H$127,6,FALSE)</x:f>
        <x:v>Normal</x:v>
      </x:c>
      <x:c r="T3330" s="9" t="str"/>
    </x:row>
    <x:row r="3331" ht="22" customHeight="1">
      <x:c r="A3331" s="2" t="str">
        <x:v>L00036-020</x:v>
      </x:c>
      <x:c r="B3331" s="2" t="str">
        <x:v>L00036</x:v>
      </x:c>
      <x:c r="C3331" s="2" t="str">
        <x:v>SO-26008</x:v>
      </x:c>
      <x:c r="D3331" s="2" t="str">
        <x:v>S-C-SS</x:v>
      </x:c>
      <x:c r="E3331" s="14" t="n">
        <x:v>25</x:v>
      </x:c>
      <x:c r="F3331" s="2" t="str">
        <x:v>Deburr &amp; inspect</x:v>
      </x:c>
      <x:c r="G3331" s="9" t="str">
        <x:v>DB-02</x:v>
      </x:c>
      <x:c r="H3331" s="15" t="n">
        <x:v>220</x:v>
      </x:c>
      <x:c r="I3331" s="9" t="str">
        <x:v>P14</x:v>
      </x:c>
      <x:c r="J3331" s="11" t="n">
        <x:v>46311.7</x:v>
      </x:c>
      <x:c r="K3331" s="15" t="n">
        <x:v>4</x:v>
      </x:c>
      <x:c r="L3331" s="15" t="n">
        <x:v>14</x:v>
      </x:c>
      <x:c r="M3331" s="13" t="n">
        <x:f>J3331+(K3331+L3331)/1440</x:f>
        <x:v>46311.712499999994</x:v>
      </x:c>
      <x:c r="N3331" s="13" t="n">
        <x:f>VLOOKUP(C3331,'MES orders'!$A$8:$H$127,5,FALSE)</x:f>
        <x:v>46311.666666666664</x:v>
      </x:c>
      <x:c r="O3331" s="16" t="n">
        <x:f>MAX(0,(M3331-N3331)*24)</x:f>
        <x:v>1.0999999999185093</x:v>
      </x:c>
      <x:c r="P3331" s="9" t="str">
        <x:v>No</x:v>
      </x:c>
      <x:c r="Q3331" s="15" t="n">
        <x:v>18</x:v>
      </x:c>
      <x:c r="R3331" s="13" t="n">
        <x:f>J3331+Q3331/1440</x:f>
        <x:v>46311.712499999994</x:v>
      </x:c>
      <x:c r="S3331" s="2" t="str">
        <x:f>VLOOKUP(C3331,'MES orders'!$A$8:$H$127,6,FALSE)</x:f>
        <x:v>High</x:v>
      </x:c>
      <x:c r="T3331" s="9" t="str"/>
    </x:row>
    <x:row r="3332" ht="22" customHeight="1">
      <x:c r="A3332" s="2" t="str">
        <x:v>L00594-040</x:v>
      </x:c>
      <x:c r="B3332" s="2" t="str">
        <x:v>L00594</x:v>
      </x:c>
      <x:c r="C3332" s="2" t="str">
        <x:v>SO-26119</x:v>
      </x:c>
      <x:c r="D3332" s="2" t="str">
        <x:v>S-L-AL</x:v>
      </x:c>
      <x:c r="E3332" s="14" t="n">
        <x:v>20</x:v>
      </x:c>
      <x:c r="F3332" s="2" t="str">
        <x:v>Mechanical preassembly</x:v>
      </x:c>
      <x:c r="G3332" s="9" t="str">
        <x:v>AS-02</x:v>
      </x:c>
      <x:c r="H3332" s="15" t="n">
        <x:v>217</x:v>
      </x:c>
      <x:c r="I3332" s="9" t="str">
        <x:v>P17</x:v>
      </x:c>
      <x:c r="J3332" s="11" t="n">
        <x:v>46311.700694444444</x:v>
      </x:c>
      <x:c r="K3332" s="15" t="n">
        <x:v>6</x:v>
      </x:c>
      <x:c r="L3332" s="15" t="n">
        <x:v>30</x:v>
      </x:c>
      <x:c r="M3332" s="13" t="n">
        <x:f>J3332+(K3332+L3332)/1440</x:f>
        <x:v>46311.725694444445</x:v>
      </x:c>
      <x:c r="N3332" s="13" t="n">
        <x:f>VLOOKUP(C3332,'MES orders'!$A$8:$H$127,5,FALSE)</x:f>
        <x:v>46310.666666666664</x:v>
      </x:c>
      <x:c r="O3332" s="16" t="n">
        <x:f>MAX(0,(M3332-N3332)*24)</x:f>
        <x:v>25.416666666744277</x:v>
      </x:c>
      <x:c r="P3332" s="9" t="str">
        <x:v>No</x:v>
      </x:c>
      <x:c r="Q3332" s="15" t="n">
        <x:v>36</x:v>
      </x:c>
      <x:c r="R3332" s="13" t="n">
        <x:f>J3332+Q3332/1440</x:f>
        <x:v>46311.725694444445</x:v>
      </x:c>
      <x:c r="S3332" s="2" t="str">
        <x:f>VLOOKUP(C3332,'MES orders'!$A$8:$H$127,6,FALSE)</x:f>
        <x:v>Normal</x:v>
      </x:c>
      <x:c r="T3332" s="9" t="str"/>
    </x:row>
    <x:row r="3333" ht="22" customHeight="1">
      <x:c r="A3333" s="2" t="str">
        <x:v>L00595-020</x:v>
      </x:c>
      <x:c r="B3333" s="2" t="str">
        <x:v>L00595</x:v>
      </x:c>
      <x:c r="C3333" s="2" t="str">
        <x:v>SO-26119</x:v>
      </x:c>
      <x:c r="D3333" s="2" t="str">
        <x:v>S-L-AL</x:v>
      </x:c>
      <x:c r="E3333" s="14" t="n">
        <x:v>20</x:v>
      </x:c>
      <x:c r="F3333" s="2" t="str">
        <x:v>Deburr &amp; inspect</x:v>
      </x:c>
      <x:c r="G3333" s="9" t="str">
        <x:v>DB-01</x:v>
      </x:c>
      <x:c r="H3333" s="15" t="n">
        <x:v>312</x:v>
      </x:c>
      <x:c r="I3333" s="9" t="str">
        <x:v>P18</x:v>
      </x:c>
      <x:c r="J3333" s="11" t="n">
        <x:v>46311.700694444444</x:v>
      </x:c>
      <x:c r="K3333" s="15" t="n">
        <x:v>4</x:v>
      </x:c>
      <x:c r="L3333" s="15" t="n">
        <x:v>19</x:v>
      </x:c>
      <x:c r="M3333" s="13" t="n">
        <x:f>J3333+(K3333+L3333)/1440</x:f>
        <x:v>46311.71666666667</x:v>
      </x:c>
      <x:c r="N3333" s="13" t="n">
        <x:f>VLOOKUP(C3333,'MES orders'!$A$8:$H$127,5,FALSE)</x:f>
        <x:v>46310.666666666664</x:v>
      </x:c>
      <x:c r="O3333" s="16" t="n">
        <x:f>MAX(0,(M3333-N3333)*24)</x:f>
        <x:v>25.20000000006985</x:v>
      </x:c>
      <x:c r="P3333" s="9" t="str">
        <x:v>No</x:v>
      </x:c>
      <x:c r="Q3333" s="15" t="n">
        <x:v>23</x:v>
      </x:c>
      <x:c r="R3333" s="13" t="n">
        <x:f>J3333+Q3333/1440</x:f>
        <x:v>46311.71666666667</x:v>
      </x:c>
      <x:c r="S3333" s="2" t="str">
        <x:f>VLOOKUP(C3333,'MES orders'!$A$8:$H$127,6,FALSE)</x:f>
        <x:v>Normal</x:v>
      </x:c>
      <x:c r="T3333" s="9" t="str"/>
    </x:row>
    <x:row r="3334" ht="22" customHeight="1">
      <x:c r="A3334" s="2" t="str">
        <x:v>L00120-030</x:v>
      </x:c>
      <x:c r="B3334" s="2" t="str">
        <x:v>L00120</x:v>
      </x:c>
      <x:c r="C3334" s="2" t="str">
        <x:v>SO-26024</x:v>
      </x:c>
      <x:c r="D3334" s="2" t="str">
        <x:v>S-L-SS</x:v>
      </x:c>
      <x:c r="E3334" s="14" t="n">
        <x:v>10</x:v>
      </x:c>
      <x:c r="F3334" s="2" t="str">
        <x:v>Wash &amp; dry</x:v>
      </x:c>
      <x:c r="G3334" s="9" t="str">
        <x:v>WS-02</x:v>
      </x:c>
      <x:c r="H3334" s="15" t="n">
        <x:v>223</x:v>
      </x:c>
      <x:c r="I3334" s="9" t="str">
        <x:v>P13</x:v>
      </x:c>
      <x:c r="J3334" s="11" t="n">
        <x:v>46311.700694444444</x:v>
      </x:c>
      <x:c r="K3334" s="15" t="n">
        <x:v>12</x:v>
      </x:c>
      <x:c r="L3334" s="15" t="n">
        <x:v>5</x:v>
      </x:c>
      <x:c r="M3334" s="13" t="n">
        <x:f>J3334+(K3334+L3334)/1440</x:f>
        <x:v>46311.7125</x:v>
      </x:c>
      <x:c r="N3334" s="13" t="n">
        <x:f>VLOOKUP(C3334,'MES orders'!$A$8:$H$127,5,FALSE)</x:f>
        <x:v>46311.666666666664</x:v>
      </x:c>
      <x:c r="O3334" s="16" t="n">
        <x:f>MAX(0,(M3334-N3334)*24)</x:f>
        <x:v>1.1000000000931323</x:v>
      </x:c>
      <x:c r="P3334" s="9" t="str">
        <x:v>No</x:v>
      </x:c>
      <x:c r="Q3334" s="15" t="n">
        <x:v>17</x:v>
      </x:c>
      <x:c r="R3334" s="13" t="n">
        <x:f>J3334+Q3334/1440</x:f>
        <x:v>46311.7125</x:v>
      </x:c>
      <x:c r="S3334" s="2" t="str">
        <x:f>VLOOKUP(C3334,'MES orders'!$A$8:$H$127,6,FALSE)</x:f>
        <x:v>Urgent</x:v>
      </x:c>
      <x:c r="T3334" s="9" t="str"/>
    </x:row>
    <x:row r="3335" ht="22" customHeight="1">
      <x:c r="A3335" s="2" t="str">
        <x:v>L00591-060</x:v>
      </x:c>
      <x:c r="B3335" s="2" t="str">
        <x:v>L00591</x:v>
      </x:c>
      <x:c r="C3335" s="2" t="str">
        <x:v>SO-26119</x:v>
      </x:c>
      <x:c r="D3335" s="2" t="str">
        <x:v>S-L-AL</x:v>
      </x:c>
      <x:c r="E3335" s="14" t="n">
        <x:v>20</x:v>
      </x:c>
      <x:c r="F3335" s="2" t="str">
        <x:v>Sensor calibration</x:v>
      </x:c>
      <x:c r="G3335" s="9" t="str">
        <x:v>CAL-01</x:v>
      </x:c>
      <x:c r="H3335" s="15" t="n">
        <x:v>166</x:v>
      </x:c>
      <x:c r="I3335" s="9" t="str">
        <x:v>P21</x:v>
      </x:c>
      <x:c r="J3335" s="11" t="n">
        <x:v>46311.70625</x:v>
      </x:c>
      <x:c r="K3335" s="15" t="n">
        <x:v>10</x:v>
      </x:c>
      <x:c r="L3335" s="15" t="n">
        <x:v>35</x:v>
      </x:c>
      <x:c r="M3335" s="13" t="n">
        <x:f>J3335+(K3335+L3335)/1440</x:f>
        <x:v>46311.7375</x:v>
      </x:c>
      <x:c r="N3335" s="13" t="n">
        <x:f>VLOOKUP(C3335,'MES orders'!$A$8:$H$127,5,FALSE)</x:f>
        <x:v>46310.666666666664</x:v>
      </x:c>
      <x:c r="O3335" s="16" t="n">
        <x:f>MAX(0,(M3335-N3335)*24)</x:f>
        <x:v>25.700000000128057</x:v>
      </x:c>
      <x:c r="P3335" s="9" t="str">
        <x:v>No</x:v>
      </x:c>
      <x:c r="Q3335" s="15" t="n">
        <x:v>45</x:v>
      </x:c>
      <x:c r="R3335" s="13" t="n">
        <x:f>J3335+Q3335/1440</x:f>
        <x:v>46311.7375</x:v>
      </x:c>
      <x:c r="S3335" s="2" t="str">
        <x:f>VLOOKUP(C3335,'MES orders'!$A$8:$H$127,6,FALSE)</x:f>
        <x:v>Normal</x:v>
      </x:c>
      <x:c r="T3335" s="9" t="str"/>
    </x:row>
    <x:row r="3336" ht="22" customHeight="1">
      <x:c r="A3336" s="2" t="str">
        <x:v>L00593-040</x:v>
      </x:c>
      <x:c r="B3336" s="2" t="str">
        <x:v>L00593</x:v>
      </x:c>
      <x:c r="C3336" s="2" t="str">
        <x:v>SO-26119</x:v>
      </x:c>
      <x:c r="D3336" s="2" t="str">
        <x:v>S-L-AL</x:v>
      </x:c>
      <x:c r="E3336" s="14" t="n">
        <x:v>20</x:v>
      </x:c>
      <x:c r="F3336" s="2" t="str">
        <x:v>Mechanical preassembly</x:v>
      </x:c>
      <x:c r="G3336" s="9" t="str">
        <x:v>AS-01</x:v>
      </x:c>
      <x:c r="H3336" s="15" t="n">
        <x:v>264</x:v>
      </x:c>
      <x:c r="I3336" s="9" t="str">
        <x:v>P16</x:v>
      </x:c>
      <x:c r="J3336" s="11" t="n">
        <x:v>46311.709027777775</x:v>
      </x:c>
      <x:c r="K3336" s="15" t="n">
        <x:v>6</x:v>
      </x:c>
      <x:c r="L3336" s="15" t="n">
        <x:v>30</x:v>
      </x:c>
      <x:c r="M3336" s="13" t="n">
        <x:f>J3336+(K3336+L3336)/1440</x:f>
        <x:v>46311.73402777778</x:v>
      </x:c>
      <x:c r="N3336" s="13" t="n">
        <x:f>VLOOKUP(C3336,'MES orders'!$A$8:$H$127,5,FALSE)</x:f>
        <x:v>46310.666666666664</x:v>
      </x:c>
      <x:c r="O3336" s="16" t="n">
        <x:f>MAX(0,(M3336-N3336)*24)</x:f>
        <x:v>25.61666666669771</x:v>
      </x:c>
      <x:c r="P3336" s="9" t="str">
        <x:v>No</x:v>
      </x:c>
      <x:c r="Q3336" s="15" t="n">
        <x:v>36</x:v>
      </x:c>
      <x:c r="R3336" s="13" t="n">
        <x:f>J3336+Q3336/1440</x:f>
        <x:v>46311.73402777778</x:v>
      </x:c>
      <x:c r="S3336" s="2" t="str">
        <x:f>VLOOKUP(C3336,'MES orders'!$A$8:$H$127,6,FALSE)</x:f>
        <x:v>Normal</x:v>
      </x:c>
      <x:c r="T3336" s="9" t="str"/>
    </x:row>
    <x:row r="3337" ht="22" customHeight="1">
      <x:c r="A3337" s="2" t="str">
        <x:v>L00120-040</x:v>
      </x:c>
      <x:c r="B3337" s="2" t="str">
        <x:v>L00120</x:v>
      </x:c>
      <x:c r="C3337" s="2" t="str">
        <x:v>SO-26024</x:v>
      </x:c>
      <x:c r="D3337" s="2" t="str">
        <x:v>S-L-SS</x:v>
      </x:c>
      <x:c r="E3337" s="14" t="n">
        <x:v>10</x:v>
      </x:c>
      <x:c r="F3337" s="2" t="str">
        <x:v>Mechanical preassembly</x:v>
      </x:c>
      <x:c r="G3337" s="9" t="str">
        <x:v>AS-03</x:v>
      </x:c>
      <x:c r="H3337" s="15" t="n">
        <x:v>177</x:v>
      </x:c>
      <x:c r="I3337" s="9" t="str">
        <x:v>P13</x:v>
      </x:c>
      <x:c r="J3337" s="11" t="n">
        <x:v>46311.7125</x:v>
      </x:c>
      <x:c r="K3337" s="15" t="n">
        <x:v>6</x:v>
      </x:c>
      <x:c r="L3337" s="15" t="n">
        <x:v>15</x:v>
      </x:c>
      <x:c r="M3337" s="13" t="n">
        <x:f>J3337+(K3337+L3337)/1440</x:f>
        <x:v>46311.72708333333</x:v>
      </x:c>
      <x:c r="N3337" s="13" t="n">
        <x:f>VLOOKUP(C3337,'MES orders'!$A$8:$H$127,5,FALSE)</x:f>
        <x:v>46311.666666666664</x:v>
      </x:c>
      <x:c r="O3337" s="16" t="n">
        <x:f>MAX(0,(M3337-N3337)*24)</x:f>
        <x:v>1.4500000000116415</x:v>
      </x:c>
      <x:c r="P3337" s="9" t="str">
        <x:v>No</x:v>
      </x:c>
      <x:c r="Q3337" s="15" t="n">
        <x:v>21</x:v>
      </x:c>
      <x:c r="R3337" s="13" t="n">
        <x:f>J3337+Q3337/1440</x:f>
        <x:v>46311.72708333333</x:v>
      </x:c>
      <x:c r="S3337" s="2" t="str">
        <x:f>VLOOKUP(C3337,'MES orders'!$A$8:$H$127,6,FALSE)</x:f>
        <x:v>Urgent</x:v>
      </x:c>
      <x:c r="T3337" s="9" t="str"/>
    </x:row>
    <x:row r="3338" ht="22" customHeight="1">
      <x:c r="A3338" s="2" t="str">
        <x:v>L00037-020</x:v>
      </x:c>
      <x:c r="B3338" s="2" t="str">
        <x:v>L00037</x:v>
      </x:c>
      <x:c r="C3338" s="2" t="str">
        <x:v>SO-26008</x:v>
      </x:c>
      <x:c r="D3338" s="2" t="str">
        <x:v>S-C-SS</x:v>
      </x:c>
      <x:c r="E3338" s="14" t="n">
        <x:v>25</x:v>
      </x:c>
      <x:c r="F3338" s="2" t="str">
        <x:v>Deburr &amp; inspect</x:v>
      </x:c>
      <x:c r="G3338" s="9" t="str">
        <x:v>DB-02</x:v>
      </x:c>
      <x:c r="H3338" s="15" t="n">
        <x:v>221</x:v>
      </x:c>
      <x:c r="I3338" s="9" t="str">
        <x:v>P15</x:v>
      </x:c>
      <x:c r="J3338" s="11" t="n">
        <x:v>46311.7125</x:v>
      </x:c>
      <x:c r="K3338" s="15" t="n">
        <x:v>4</x:v>
      </x:c>
      <x:c r="L3338" s="15" t="n">
        <x:v>14</x:v>
      </x:c>
      <x:c r="M3338" s="13" t="n">
        <x:f>J3338+(K3338+L3338)/1440</x:f>
        <x:v>46311.725</x:v>
      </x:c>
      <x:c r="N3338" s="13" t="n">
        <x:f>VLOOKUP(C3338,'MES orders'!$A$8:$H$127,5,FALSE)</x:f>
        <x:v>46311.666666666664</x:v>
      </x:c>
      <x:c r="O3338" s="16" t="n">
        <x:f>MAX(0,(M3338-N3338)*24)</x:f>
        <x:v>1.400000000023283</x:v>
      </x:c>
      <x:c r="P3338" s="9" t="str">
        <x:v>No</x:v>
      </x:c>
      <x:c r="Q3338" s="15" t="n">
        <x:v>18</x:v>
      </x:c>
      <x:c r="R3338" s="13" t="n">
        <x:f>J3338+Q3338/1440</x:f>
        <x:v>46311.725</x:v>
      </x:c>
      <x:c r="S3338" s="2" t="str">
        <x:f>VLOOKUP(C3338,'MES orders'!$A$8:$H$127,6,FALSE)</x:f>
        <x:v>High</x:v>
      </x:c>
      <x:c r="T3338" s="9" t="str"/>
    </x:row>
    <x:row r="3339" ht="22" customHeight="1">
      <x:c r="A3339" s="2" t="str">
        <x:v>L00036-030</x:v>
      </x:c>
      <x:c r="B3339" s="2" t="str">
        <x:v>L00036</x:v>
      </x:c>
      <x:c r="C3339" s="2" t="str">
        <x:v>SO-26008</x:v>
      </x:c>
      <x:c r="D3339" s="2" t="str">
        <x:v>S-C-SS</x:v>
      </x:c>
      <x:c r="E3339" s="14" t="n">
        <x:v>25</x:v>
      </x:c>
      <x:c r="F3339" s="2" t="str">
        <x:v>Wash &amp; dry</x:v>
      </x:c>
      <x:c r="G3339" s="9" t="str">
        <x:v>WS-02</x:v>
      </x:c>
      <x:c r="H3339" s="15" t="n">
        <x:v>224</x:v>
      </x:c>
      <x:c r="I3339" s="9" t="str">
        <x:v>P14</x:v>
      </x:c>
      <x:c r="J3339" s="11" t="n">
        <x:v>46311.7125</x:v>
      </x:c>
      <x:c r="K3339" s="15" t="n">
        <x:v>12</x:v>
      </x:c>
      <x:c r="L3339" s="15" t="n">
        <x:v>7</x:v>
      </x:c>
      <x:c r="M3339" s="13" t="n">
        <x:f>J3339+(K3339+L3339)/1440</x:f>
        <x:v>46311.725694444445</x:v>
      </x:c>
      <x:c r="N3339" s="13" t="n">
        <x:f>VLOOKUP(C3339,'MES orders'!$A$8:$H$127,5,FALSE)</x:f>
        <x:v>46311.666666666664</x:v>
      </x:c>
      <x:c r="O3339" s="16" t="n">
        <x:f>MAX(0,(M3339-N3339)*24)</x:f>
        <x:v>1.4166666667442769</x:v>
      </x:c>
      <x:c r="P3339" s="9" t="str">
        <x:v>No</x:v>
      </x:c>
      <x:c r="Q3339" s="15" t="n">
        <x:v>19</x:v>
      </x:c>
      <x:c r="R3339" s="13" t="n">
        <x:f>J3339+Q3339/1440</x:f>
        <x:v>46311.725694444445</x:v>
      </x:c>
      <x:c r="S3339" s="2" t="str">
        <x:f>VLOOKUP(C3339,'MES orders'!$A$8:$H$127,6,FALSE)</x:f>
        <x:v>High</x:v>
      </x:c>
      <x:c r="T3339" s="9" t="str"/>
    </x:row>
    <x:row r="3340" ht="22" customHeight="1">
      <x:c r="A3340" s="2" t="str">
        <x:v>L00595-030</x:v>
      </x:c>
      <x:c r="B3340" s="2" t="str">
        <x:v>L00595</x:v>
      </x:c>
      <x:c r="C3340" s="2" t="str">
        <x:v>SO-26119</x:v>
      </x:c>
      <x:c r="D3340" s="2" t="str">
        <x:v>S-L-AL</x:v>
      </x:c>
      <x:c r="E3340" s="14" t="n">
        <x:v>20</x:v>
      </x:c>
      <x:c r="F3340" s="2" t="str">
        <x:v>Wash &amp; dry</x:v>
      </x:c>
      <x:c r="G3340" s="9" t="str">
        <x:v>WS-01</x:v>
      </x:c>
      <x:c r="H3340" s="15" t="n">
        <x:v>305</x:v>
      </x:c>
      <x:c r="I3340" s="9" t="str">
        <x:v>P18</x:v>
      </x:c>
      <x:c r="J3340" s="11" t="n">
        <x:v>46311.71666666667</x:v>
      </x:c>
      <x:c r="K3340" s="15" t="n">
        <x:v>12</x:v>
      </x:c>
      <x:c r="L3340" s="15" t="n">
        <x:v>9</x:v>
      </x:c>
      <x:c r="M3340" s="13" t="n">
        <x:f>J3340+(K3340+L3340)/1440</x:f>
        <x:v>46311.73125</x:v>
      </x:c>
      <x:c r="N3340" s="13" t="n">
        <x:f>VLOOKUP(C3340,'MES orders'!$A$8:$H$127,5,FALSE)</x:f>
        <x:v>46310.666666666664</x:v>
      </x:c>
      <x:c r="O3340" s="16" t="n">
        <x:f>MAX(0,(M3340-N3340)*24)</x:f>
        <x:v>25.54999999998836</x:v>
      </x:c>
      <x:c r="P3340" s="9" t="str">
        <x:v>No</x:v>
      </x:c>
      <x:c r="Q3340" s="15" t="n">
        <x:v>21</x:v>
      </x:c>
      <x:c r="R3340" s="13" t="n">
        <x:f>J3340+Q3340/1440</x:f>
        <x:v>46311.73125</x:v>
      </x:c>
      <x:c r="S3340" s="2" t="str">
        <x:f>VLOOKUP(C3340,'MES orders'!$A$8:$H$127,6,FALSE)</x:f>
        <x:v>Normal</x:v>
      </x:c>
      <x:c r="T3340" s="9" t="str"/>
    </x:row>
    <x:row r="3341" ht="22" customHeight="1">
      <x:c r="A3341" s="2" t="str">
        <x:v>L00038-020</x:v>
      </x:c>
      <x:c r="B3341" s="2" t="str">
        <x:v>L00038</x:v>
      </x:c>
      <x:c r="C3341" s="2" t="str">
        <x:v>SO-26008</x:v>
      </x:c>
      <x:c r="D3341" s="2" t="str">
        <x:v>S-C-SS</x:v>
      </x:c>
      <x:c r="E3341" s="14" t="n">
        <x:v>25</x:v>
      </x:c>
      <x:c r="F3341" s="2" t="str">
        <x:v>Deburr &amp; inspect</x:v>
      </x:c>
      <x:c r="G3341" s="9" t="str">
        <x:v>DB-01</x:v>
      </x:c>
      <x:c r="H3341" s="15" t="n">
        <x:v>313</x:v>
      </x:c>
      <x:c r="I3341" s="9" t="str">
        <x:v>P20</x:v>
      </x:c>
      <x:c r="J3341" s="11" t="n">
        <x:v>46311.72222222222</x:v>
      </x:c>
      <x:c r="K3341" s="15" t="n">
        <x:v>4</x:v>
      </x:c>
      <x:c r="L3341" s="15" t="n">
        <x:v>14</x:v>
      </x:c>
      <x:c r="M3341" s="13" t="n">
        <x:f>J3341+(K3341+L3341)/1440</x:f>
        <x:v>46311.734722222216</x:v>
      </x:c>
      <x:c r="N3341" s="13" t="n">
        <x:f>VLOOKUP(C3341,'MES orders'!$A$8:$H$127,5,FALSE)</x:f>
        <x:v>46311.666666666664</x:v>
      </x:c>
      <x:c r="O3341" s="16" t="n">
        <x:f>MAX(0,(M3341-N3341)*24)</x:f>
        <x:v>1.6333333332440816</x:v>
      </x:c>
      <x:c r="P3341" s="9" t="str">
        <x:v>No</x:v>
      </x:c>
      <x:c r="Q3341" s="15" t="n">
        <x:v>18</x:v>
      </x:c>
      <x:c r="R3341" s="13" t="n">
        <x:f>J3341+Q3341/1440</x:f>
        <x:v>46311.734722222216</x:v>
      </x:c>
      <x:c r="S3341" s="2" t="str">
        <x:f>VLOOKUP(C3341,'MES orders'!$A$8:$H$127,6,FALSE)</x:f>
        <x:v>High</x:v>
      </x:c>
      <x:c r="T3341" s="9" t="str"/>
    </x:row>
    <x:row r="3342" ht="22" customHeight="1">
      <x:c r="A3342" s="2" t="str">
        <x:v>L00316-010</x:v>
      </x:c>
      <x:c r="B3342" s="2" t="str">
        <x:v>L00316</x:v>
      </x:c>
      <x:c r="C3342" s="2" t="str">
        <x:v>SO-26064</x:v>
      </x:c>
      <x:c r="D3342" s="2" t="str">
        <x:v>R-S-SS</x:v>
      </x:c>
      <x:c r="E3342" s="14" t="n">
        <x:v>15</x:v>
      </x:c>
      <x:c r="F3342" s="2" t="str">
        <x:v>CNC machining</x:v>
      </x:c>
      <x:c r="G3342" s="9" t="str">
        <x:v>CNC-03</x:v>
      </x:c>
      <x:c r="H3342" s="15" t="n">
        <x:v>107</x:v>
      </x:c>
      <x:c r="I3342" s="9" t="str">
        <x:v>P15</x:v>
      </x:c>
      <x:c r="J3342" s="11" t="n">
        <x:v>46311.725</x:v>
      </x:c>
      <x:c r="K3342" s="15" t="n">
        <x:v>18</x:v>
      </x:c>
      <x:c r="L3342" s="15" t="n">
        <x:v>45</x:v>
      </x:c>
      <x:c r="M3342" s="13" t="n">
        <x:f>J3342+(K3342+L3342)/1440</x:f>
        <x:v>46311.768749999996</x:v>
      </x:c>
      <x:c r="N3342" s="13" t="n">
        <x:f>VLOOKUP(C3342,'MES orders'!$A$8:$H$127,5,FALSE)</x:f>
        <x:v>46311.666666666664</x:v>
      </x:c>
      <x:c r="O3342" s="16" t="n">
        <x:f>MAX(0,(M3342-N3342)*24)</x:f>
        <x:v>2.449999999953434</x:v>
      </x:c>
      <x:c r="P3342" s="9" t="str">
        <x:v>No</x:v>
      </x:c>
      <x:c r="Q3342" s="15" t="n">
        <x:v>18</x:v>
      </x:c>
      <x:c r="R3342" s="13" t="n">
        <x:f>J3342+Q3342/1440</x:f>
        <x:v>46311.737499999996</x:v>
      </x:c>
      <x:c r="S3342" s="2" t="str">
        <x:f>VLOOKUP(C3342,'MES orders'!$A$8:$H$127,6,FALSE)</x:f>
        <x:v>High</x:v>
      </x:c>
      <x:c r="T3342" s="9" t="str"/>
    </x:row>
    <x:row r="3343" ht="22" customHeight="1">
      <x:c r="A3343" s="2" t="str">
        <x:v>L00036-040</x:v>
      </x:c>
      <x:c r="B3343" s="2" t="str">
        <x:v>L00036</x:v>
      </x:c>
      <x:c r="C3343" s="2" t="str">
        <x:v>SO-26008</x:v>
      </x:c>
      <x:c r="D3343" s="2" t="str">
        <x:v>S-C-SS</x:v>
      </x:c>
      <x:c r="E3343" s="14" t="n">
        <x:v>25</x:v>
      </x:c>
      <x:c r="F3343" s="2" t="str">
        <x:v>Mechanical preassembly</x:v>
      </x:c>
      <x:c r="G3343" s="9" t="str">
        <x:v>AS-02</x:v>
      </x:c>
      <x:c r="H3343" s="15" t="n">
        <x:v>218</x:v>
      </x:c>
      <x:c r="I3343" s="9" t="str">
        <x:v>P14</x:v>
      </x:c>
      <x:c r="J3343" s="11" t="n">
        <x:v>46311.725694444445</x:v>
      </x:c>
      <x:c r="K3343" s="15" t="n">
        <x:v>6</x:v>
      </x:c>
      <x:c r="L3343" s="15" t="n">
        <x:v>22</x:v>
      </x:c>
      <x:c r="M3343" s="13" t="n">
        <x:f>J3343+(K3343+L3343)/1440</x:f>
        <x:v>46311.74513888889</x:v>
      </x:c>
      <x:c r="N3343" s="13" t="n">
        <x:f>VLOOKUP(C3343,'MES orders'!$A$8:$H$127,5,FALSE)</x:f>
        <x:v>46311.666666666664</x:v>
      </x:c>
      <x:c r="O3343" s="16" t="n">
        <x:f>MAX(0,(M3343-N3343)*24)</x:f>
        <x:v>1.883333333360497</x:v>
      </x:c>
      <x:c r="P3343" s="9" t="str">
        <x:v>No</x:v>
      </x:c>
      <x:c r="Q3343" s="15" t="n">
        <x:v>28</x:v>
      </x:c>
      <x:c r="R3343" s="13" t="n">
        <x:f>J3343+Q3343/1440</x:f>
        <x:v>46311.74513888889</x:v>
      </x:c>
      <x:c r="S3343" s="2" t="str">
        <x:f>VLOOKUP(C3343,'MES orders'!$A$8:$H$127,6,FALSE)</x:f>
        <x:v>High</x:v>
      </x:c>
      <x:c r="T3343" s="9" t="str"/>
    </x:row>
    <x:row r="3344" ht="22" customHeight="1">
      <x:c r="A3344" s="2" t="str">
        <x:v>L00116-030</x:v>
      </x:c>
      <x:c r="B3344" s="2" t="str">
        <x:v>L00116</x:v>
      </x:c>
      <x:c r="C3344" s="2" t="str">
        <x:v>SO-26024</x:v>
      </x:c>
      <x:c r="D3344" s="2" t="str">
        <x:v>S-L-SS</x:v>
      </x:c>
      <x:c r="E3344" s="14" t="n">
        <x:v>10</x:v>
      </x:c>
      <x:c r="F3344" s="2" t="str">
        <x:v>Wash &amp; dry</x:v>
      </x:c>
      <x:c r="G3344" s="9" t="str">
        <x:v>WS-02</x:v>
      </x:c>
      <x:c r="H3344" s="15" t="n">
        <x:v>225</x:v>
      </x:c>
      <x:c r="I3344" s="9" t="str">
        <x:v>P17</x:v>
      </x:c>
      <x:c r="J3344" s="11" t="n">
        <x:v>46311.725694444445</x:v>
      </x:c>
      <x:c r="K3344" s="15" t="n">
        <x:v>12</x:v>
      </x:c>
      <x:c r="L3344" s="15" t="n">
        <x:v>5</x:v>
      </x:c>
      <x:c r="M3344" s="13" t="n">
        <x:f>J3344+(K3344+L3344)/1440</x:f>
        <x:v>46311.7375</x:v>
      </x:c>
      <x:c r="N3344" s="13" t="n">
        <x:f>VLOOKUP(C3344,'MES orders'!$A$8:$H$127,5,FALSE)</x:f>
        <x:v>46311.666666666664</x:v>
      </x:c>
      <x:c r="O3344" s="16" t="n">
        <x:f>MAX(0,(M3344-N3344)*24)</x:f>
        <x:v>1.7000000001280569</x:v>
      </x:c>
      <x:c r="P3344" s="9" t="str">
        <x:v>No</x:v>
      </x:c>
      <x:c r="Q3344" s="15" t="n">
        <x:v>17</x:v>
      </x:c>
      <x:c r="R3344" s="13" t="n">
        <x:f>J3344+Q3344/1440</x:f>
        <x:v>46311.7375</x:v>
      </x:c>
      <x:c r="S3344" s="2" t="str">
        <x:f>VLOOKUP(C3344,'MES orders'!$A$8:$H$127,6,FALSE)</x:f>
        <x:v>Urgent</x:v>
      </x:c>
      <x:c r="T3344" s="9" t="str"/>
    </x:row>
    <x:row r="3345" ht="22" customHeight="1">
      <x:c r="A3345" s="2" t="str">
        <x:v>L00120-050</x:v>
      </x:c>
      <x:c r="B3345" s="2" t="str">
        <x:v>L00120</x:v>
      </x:c>
      <x:c r="C3345" s="2" t="str">
        <x:v>SO-26024</x:v>
      </x:c>
      <x:c r="D3345" s="2" t="str">
        <x:v>S-L-SS</x:v>
      </x:c>
      <x:c r="E3345" s="14" t="n">
        <x:v>10</x:v>
      </x:c>
      <x:c r="F3345" s="2" t="str">
        <x:v>Sensor installation</x:v>
      </x:c>
      <x:c r="G3345" s="9" t="str">
        <x:v>EL-01</x:v>
      </x:c>
      <x:c r="H3345" s="15" t="n">
        <x:v>114</x:v>
      </x:c>
      <x:c r="I3345" s="9" t="str">
        <x:v>P19</x:v>
      </x:c>
      <x:c r="J3345" s="11" t="n">
        <x:v>46311.72708333333</x:v>
      </x:c>
      <x:c r="K3345" s="15" t="n">
        <x:v>8</x:v>
      </x:c>
      <x:c r="L3345" s="15" t="n">
        <x:v>16</x:v>
      </x:c>
      <x:c r="M3345" s="13" t="n">
        <x:f>J3345+(K3345+L3345)/1440</x:f>
        <x:v>46311.74375</x:v>
      </x:c>
      <x:c r="N3345" s="13" t="n">
        <x:f>VLOOKUP(C3345,'MES orders'!$A$8:$H$127,5,FALSE)</x:f>
        <x:v>46311.666666666664</x:v>
      </x:c>
      <x:c r="O3345" s="16" t="n">
        <x:f>MAX(0,(M3345-N3345)*24)</x:f>
        <x:v>1.8500000000931323</x:v>
      </x:c>
      <x:c r="P3345" s="9" t="str">
        <x:v>No</x:v>
      </x:c>
      <x:c r="Q3345" s="15" t="n">
        <x:v>24</x:v>
      </x:c>
      <x:c r="R3345" s="13" t="n">
        <x:f>J3345+Q3345/1440</x:f>
        <x:v>46311.74375</x:v>
      </x:c>
      <x:c r="S3345" s="2" t="str">
        <x:f>VLOOKUP(C3345,'MES orders'!$A$8:$H$127,6,FALSE)</x:f>
        <x:v>Urgent</x:v>
      </x:c>
      <x:c r="T3345" s="9" t="str"/>
    </x:row>
    <x:row r="3346" ht="22" customHeight="1">
      <x:c r="A3346" s="2" t="str">
        <x:v>L00039-020</x:v>
      </x:c>
      <x:c r="B3346" s="2" t="str">
        <x:v>L00039</x:v>
      </x:c>
      <x:c r="C3346" s="2" t="str">
        <x:v>SO-26008</x:v>
      </x:c>
      <x:c r="D3346" s="2" t="str">
        <x:v>S-C-SS</x:v>
      </x:c>
      <x:c r="E3346" s="14" t="n">
        <x:v>25</x:v>
      </x:c>
      <x:c r="F3346" s="2" t="str">
        <x:v>Deburr &amp; inspect</x:v>
      </x:c>
      <x:c r="G3346" s="9" t="str">
        <x:v>DB-02</x:v>
      </x:c>
      <x:c r="H3346" s="15" t="n">
        <x:v>222</x:v>
      </x:c>
      <x:c r="I3346" s="9" t="str">
        <x:v>P13</x:v>
      </x:c>
      <x:c r="J3346" s="11" t="n">
        <x:v>46311.73125</x:v>
      </x:c>
      <x:c r="K3346" s="15" t="n">
        <x:v>4</x:v>
      </x:c>
      <x:c r="L3346" s="15" t="n">
        <x:v>14</x:v>
      </x:c>
      <x:c r="M3346" s="13" t="n">
        <x:f>J3346+(K3346+L3346)/1440</x:f>
        <x:v>46311.743749999994</x:v>
      </x:c>
      <x:c r="N3346" s="13" t="n">
        <x:f>VLOOKUP(C3346,'MES orders'!$A$8:$H$127,5,FALSE)</x:f>
        <x:v>46311.666666666664</x:v>
      </x:c>
      <x:c r="O3346" s="16" t="n">
        <x:f>MAX(0,(M3346-N3346)*24)</x:f>
        <x:v>1.8499999999185093</x:v>
      </x:c>
      <x:c r="P3346" s="9" t="str">
        <x:v>No</x:v>
      </x:c>
      <x:c r="Q3346" s="15" t="n">
        <x:v>18</x:v>
      </x:c>
      <x:c r="R3346" s="13" t="n">
        <x:f>J3346+Q3346/1440</x:f>
        <x:v>46311.743749999994</x:v>
      </x:c>
      <x:c r="S3346" s="2" t="str">
        <x:f>VLOOKUP(C3346,'MES orders'!$A$8:$H$127,6,FALSE)</x:f>
        <x:v>High</x:v>
      </x:c>
      <x:c r="T3346" s="9" t="str"/>
    </x:row>
    <x:row r="3347" ht="22" customHeight="1">
      <x:c r="A3347" s="2" t="str">
        <x:v>L00117-030</x:v>
      </x:c>
      <x:c r="B3347" s="2" t="str">
        <x:v>L00117</x:v>
      </x:c>
      <x:c r="C3347" s="2" t="str">
        <x:v>SO-26024</x:v>
      </x:c>
      <x:c r="D3347" s="2" t="str">
        <x:v>S-L-SS</x:v>
      </x:c>
      <x:c r="E3347" s="14" t="n">
        <x:v>10</x:v>
      </x:c>
      <x:c r="F3347" s="2" t="str">
        <x:v>Wash &amp; dry</x:v>
      </x:c>
      <x:c r="G3347" s="9" t="str">
        <x:v>WS-01</x:v>
      </x:c>
      <x:c r="H3347" s="15" t="n">
        <x:v>306</x:v>
      </x:c>
      <x:c r="I3347" s="9" t="str">
        <x:v>P18</x:v>
      </x:c>
      <x:c r="J3347" s="11" t="n">
        <x:v>46311.73125</x:v>
      </x:c>
      <x:c r="K3347" s="15" t="n">
        <x:v>12</x:v>
      </x:c>
      <x:c r="L3347" s="15" t="n">
        <x:v>5</x:v>
      </x:c>
      <x:c r="M3347" s="13" t="n">
        <x:f>J3347+(K3347+L3347)/1440</x:f>
        <x:v>46311.743055555555</x:v>
      </x:c>
      <x:c r="N3347" s="13" t="n">
        <x:f>VLOOKUP(C3347,'MES orders'!$A$8:$H$127,5,FALSE)</x:f>
        <x:v>46311.666666666664</x:v>
      </x:c>
      <x:c r="O3347" s="16" t="n">
        <x:f>MAX(0,(M3347-N3347)*24)</x:f>
        <x:v>1.8333333333721384</x:v>
      </x:c>
      <x:c r="P3347" s="9" t="str">
        <x:v>No</x:v>
      </x:c>
      <x:c r="Q3347" s="15" t="n">
        <x:v>17</x:v>
      </x:c>
      <x:c r="R3347" s="13" t="n">
        <x:f>J3347+Q3347/1440</x:f>
        <x:v>46311.743055555555</x:v>
      </x:c>
      <x:c r="S3347" s="2" t="str">
        <x:f>VLOOKUP(C3347,'MES orders'!$A$8:$H$127,6,FALSE)</x:f>
        <x:v>Urgent</x:v>
      </x:c>
      <x:c r="T3347" s="9" t="str"/>
    </x:row>
    <x:row r="3348" ht="22" customHeight="1">
      <x:c r="A3348" s="2" t="str">
        <x:v>L00317-010</x:v>
      </x:c>
      <x:c r="B3348" s="2" t="str">
        <x:v>L00317</x:v>
      </x:c>
      <x:c r="C3348" s="2" t="str">
        <x:v>SO-26064</x:v>
      </x:c>
      <x:c r="D3348" s="2" t="str">
        <x:v>R-S-SS</x:v>
      </x:c>
      <x:c r="E3348" s="14" t="n">
        <x:v>15</x:v>
      </x:c>
      <x:c r="F3348" s="2" t="str">
        <x:v>CNC machining</x:v>
      </x:c>
      <x:c r="G3348" s="9" t="str">
        <x:v>CNC-04</x:v>
      </x:c>
      <x:c r="H3348" s="15" t="n">
        <x:v>103</x:v>
      </x:c>
      <x:c r="I3348" s="9" t="str">
        <x:v>P15</x:v>
      </x:c>
      <x:c r="J3348" s="11" t="n">
        <x:v>46311.7375</x:v>
      </x:c>
      <x:c r="K3348" s="15" t="n">
        <x:v>18</x:v>
      </x:c>
      <x:c r="L3348" s="15" t="n">
        <x:v>45</x:v>
      </x:c>
      <x:c r="M3348" s="13" t="n">
        <x:f>J3348+(K3348+L3348)/1440</x:f>
        <x:v>46311.78125</x:v>
      </x:c>
      <x:c r="N3348" s="13" t="n">
        <x:f>VLOOKUP(C3348,'MES orders'!$A$8:$H$127,5,FALSE)</x:f>
        <x:v>46311.666666666664</x:v>
      </x:c>
      <x:c r="O3348" s="16" t="n">
        <x:f>MAX(0,(M3348-N3348)*24)</x:f>
        <x:v>2.7500000000582077</x:v>
      </x:c>
      <x:c r="P3348" s="9" t="str">
        <x:v>No</x:v>
      </x:c>
      <x:c r="Q3348" s="15" t="n">
        <x:v>18</x:v>
      </x:c>
      <x:c r="R3348" s="13" t="n">
        <x:f>J3348+Q3348/1440</x:f>
        <x:v>46311.75</x:v>
      </x:c>
      <x:c r="S3348" s="2" t="str">
        <x:f>VLOOKUP(C3348,'MES orders'!$A$8:$H$127,6,FALSE)</x:f>
        <x:v>High</x:v>
      </x:c>
      <x:c r="T3348" s="9" t="str"/>
    </x:row>
    <x:row r="3349" ht="22" customHeight="1">
      <x:c r="A3349" s="2" t="str">
        <x:v>L00119-020</x:v>
      </x:c>
      <x:c r="B3349" s="2" t="str">
        <x:v>L00119</x:v>
      </x:c>
      <x:c r="C3349" s="2" t="str">
        <x:v>SO-26024</x:v>
      </x:c>
      <x:c r="D3349" s="2" t="str">
        <x:v>S-L-SS</x:v>
      </x:c>
      <x:c r="E3349" s="14" t="n">
        <x:v>10</x:v>
      </x:c>
      <x:c r="F3349" s="2" t="str">
        <x:v>Deburr &amp; inspect</x:v>
      </x:c>
      <x:c r="G3349" s="9" t="str">
        <x:v>DB-01</x:v>
      </x:c>
      <x:c r="H3349" s="15" t="n">
        <x:v>314</x:v>
      </x:c>
      <x:c r="I3349" s="9" t="str">
        <x:v>P17</x:v>
      </x:c>
      <x:c r="J3349" s="11" t="n">
        <x:v>46311.7375</x:v>
      </x:c>
      <x:c r="K3349" s="15" t="n">
        <x:v>4</x:v>
      </x:c>
      <x:c r="L3349" s="15" t="n">
        <x:v>9</x:v>
      </x:c>
      <x:c r="M3349" s="13" t="n">
        <x:f>J3349+(K3349+L3349)/1440</x:f>
        <x:v>46311.74652777778</x:v>
      </x:c>
      <x:c r="N3349" s="13" t="n">
        <x:f>VLOOKUP(C3349,'MES orders'!$A$8:$H$127,5,FALSE)</x:f>
        <x:v>46311.666666666664</x:v>
      </x:c>
      <x:c r="O3349" s="16" t="n">
        <x:f>MAX(0,(M3349-N3349)*24)</x:f>
        <x:v>1.9166666668024845</x:v>
      </x:c>
      <x:c r="P3349" s="9" t="str">
        <x:v>No</x:v>
      </x:c>
      <x:c r="Q3349" s="15" t="n">
        <x:v>13</x:v>
      </x:c>
      <x:c r="R3349" s="13" t="n">
        <x:f>J3349+Q3349/1440</x:f>
        <x:v>46311.74652777778</x:v>
      </x:c>
      <x:c r="S3349" s="2" t="str">
        <x:f>VLOOKUP(C3349,'MES orders'!$A$8:$H$127,6,FALSE)</x:f>
        <x:v>Urgent</x:v>
      </x:c>
      <x:c r="T3349" s="9" t="str"/>
    </x:row>
    <x:row r="3350" ht="22" customHeight="1">
      <x:c r="A3350" s="2" t="str">
        <x:v>L00118-030</x:v>
      </x:c>
      <x:c r="B3350" s="2" t="str">
        <x:v>L00118</x:v>
      </x:c>
      <x:c r="C3350" s="2" t="str">
        <x:v>SO-26024</x:v>
      </x:c>
      <x:c r="D3350" s="2" t="str">
        <x:v>S-L-SS</x:v>
      </x:c>
      <x:c r="E3350" s="14" t="n">
        <x:v>10</x:v>
      </x:c>
      <x:c r="F3350" s="2" t="str">
        <x:v>Wash &amp; dry</x:v>
      </x:c>
      <x:c r="G3350" s="9" t="str">
        <x:v>WS-02</x:v>
      </x:c>
      <x:c r="H3350" s="15" t="n">
        <x:v>226</x:v>
      </x:c>
      <x:c r="I3350" s="9" t="str">
        <x:v>P16</x:v>
      </x:c>
      <x:c r="J3350" s="11" t="n">
        <x:v>46311.7375</x:v>
      </x:c>
      <x:c r="K3350" s="15" t="n">
        <x:v>12</x:v>
      </x:c>
      <x:c r="L3350" s="15" t="n">
        <x:v>5</x:v>
      </x:c>
      <x:c r="M3350" s="13" t="n">
        <x:f>J3350+(K3350+L3350)/1440</x:f>
        <x:v>46311.74930555556</x:v>
      </x:c>
      <x:c r="N3350" s="13" t="n">
        <x:f>VLOOKUP(C3350,'MES orders'!$A$8:$H$127,5,FALSE)</x:f>
        <x:v>46311.666666666664</x:v>
      </x:c>
      <x:c r="O3350" s="16" t="n">
        <x:f>MAX(0,(M3350-N3350)*24)</x:f>
        <x:v>1.9833333335118368</x:v>
      </x:c>
      <x:c r="P3350" s="9" t="str">
        <x:v>No</x:v>
      </x:c>
      <x:c r="Q3350" s="15" t="n">
        <x:v>17</x:v>
      </x:c>
      <x:c r="R3350" s="13" t="n">
        <x:f>J3350+Q3350/1440</x:f>
        <x:v>46311.74930555556</x:v>
      </x:c>
      <x:c r="S3350" s="2" t="str">
        <x:f>VLOOKUP(C3350,'MES orders'!$A$8:$H$127,6,FALSE)</x:f>
        <x:v>Urgent</x:v>
      </x:c>
      <x:c r="T3350" s="9" t="str"/>
    </x:row>
    <x:row r="3351" ht="22" customHeight="1">
      <x:c r="A3351" s="2" t="str">
        <x:v>L00591-070</x:v>
      </x:c>
      <x:c r="B3351" s="2" t="str">
        <x:v>L00591</x:v>
      </x:c>
      <x:c r="C3351" s="2" t="str">
        <x:v>SO-26119</x:v>
      </x:c>
      <x:c r="D3351" s="2" t="str">
        <x:v>S-L-AL</x:v>
      </x:c>
      <x:c r="E3351" s="14" t="n">
        <x:v>20</x:v>
      </x:c>
      <x:c r="F3351" s="2" t="str">
        <x:v>Final assembly</x:v>
      </x:c>
      <x:c r="G3351" s="9" t="str">
        <x:v>AS-01</x:v>
      </x:c>
      <x:c r="H3351" s="15" t="n">
        <x:v>265</x:v>
      </x:c>
      <x:c r="I3351" s="9" t="str">
        <x:v>P17</x:v>
      </x:c>
      <x:c r="J3351" s="11" t="n">
        <x:v>46311.770833333336</x:v>
      </x:c>
      <x:c r="K3351" s="15" t="n">
        <x:v>5</x:v>
      </x:c>
      <x:c r="L3351" s="15" t="n">
        <x:v>22</x:v>
      </x:c>
      <x:c r="M3351" s="13" t="n">
        <x:f>J3351+(K3351+L3351)/1440</x:f>
        <x:v>46311.78958333334</x:v>
      </x:c>
      <x:c r="N3351" s="13" t="n">
        <x:f>VLOOKUP(C3351,'MES orders'!$A$8:$H$127,5,FALSE)</x:f>
        <x:v>46310.666666666664</x:v>
      </x:c>
      <x:c r="O3351" s="16" t="n">
        <x:f>MAX(0,(M3351-N3351)*24)</x:f>
        <x:v>26.950000000186265</x:v>
      </x:c>
      <x:c r="P3351" s="9" t="str">
        <x:v>No</x:v>
      </x:c>
      <x:c r="Q3351" s="15" t="n">
        <x:v>27</x:v>
      </x:c>
      <x:c r="R3351" s="13" t="n">
        <x:f>J3351+Q3351/1440</x:f>
        <x:v>46311.78958333334</x:v>
      </x:c>
      <x:c r="S3351" s="2" t="str">
        <x:f>VLOOKUP(C3351,'MES orders'!$A$8:$H$127,6,FALSE)</x:f>
        <x:v>Normal</x:v>
      </x:c>
      <x:c r="T3351" s="9" t="str"/>
    </x:row>
    <x:row r="3352" ht="22" customHeight="1">
      <x:c r="A3352" s="2" t="str">
        <x:v>L00595-040</x:v>
      </x:c>
      <x:c r="B3352" s="2" t="str">
        <x:v>L00595</x:v>
      </x:c>
      <x:c r="C3352" s="2" t="str">
        <x:v>SO-26119</x:v>
      </x:c>
      <x:c r="D3352" s="2" t="str">
        <x:v>S-L-AL</x:v>
      </x:c>
      <x:c r="E3352" s="14" t="n">
        <x:v>20</x:v>
      </x:c>
      <x:c r="F3352" s="2" t="str">
        <x:v>Mechanical preassembly</x:v>
      </x:c>
      <x:c r="G3352" s="9" t="str">
        <x:v>AS-02</x:v>
      </x:c>
      <x:c r="H3352" s="15" t="n">
        <x:v>219</x:v>
      </x:c>
      <x:c r="I3352" s="9" t="str">
        <x:v>P16</x:v>
      </x:c>
      <x:c r="J3352" s="11" t="n">
        <x:v>46311.770833333336</x:v>
      </x:c>
      <x:c r="K3352" s="15" t="n">
        <x:v>6</x:v>
      </x:c>
      <x:c r="L3352" s="15" t="n">
        <x:v>30</x:v>
      </x:c>
      <x:c r="M3352" s="13" t="n">
        <x:f>J3352+(K3352+L3352)/1440</x:f>
        <x:v>46311.79583333334</x:v>
      </x:c>
      <x:c r="N3352" s="13" t="n">
        <x:f>VLOOKUP(C3352,'MES orders'!$A$8:$H$127,5,FALSE)</x:f>
        <x:v>46310.666666666664</x:v>
      </x:c>
      <x:c r="O3352" s="16" t="n">
        <x:f>MAX(0,(M3352-N3352)*24)</x:f>
        <x:v>27.10000000015134</x:v>
      </x:c>
      <x:c r="P3352" s="9" t="str">
        <x:v>No</x:v>
      </x:c>
      <x:c r="Q3352" s="15" t="n">
        <x:v>36</x:v>
      </x:c>
      <x:c r="R3352" s="13" t="n">
        <x:f>J3352+Q3352/1440</x:f>
        <x:v>46311.79583333334</x:v>
      </x:c>
      <x:c r="S3352" s="2" t="str">
        <x:f>VLOOKUP(C3352,'MES orders'!$A$8:$H$127,6,FALSE)</x:f>
        <x:v>Normal</x:v>
      </x:c>
      <x:c r="T3352" s="9" t="str"/>
    </x:row>
    <x:row r="3353" ht="22" customHeight="1">
      <x:c r="A3353" s="2" t="str">
        <x:v>L00116-040</x:v>
      </x:c>
      <x:c r="B3353" s="2" t="str">
        <x:v>L00116</x:v>
      </x:c>
      <x:c r="C3353" s="2" t="str">
        <x:v>SO-26024</x:v>
      </x:c>
      <x:c r="D3353" s="2" t="str">
        <x:v>S-L-SS</x:v>
      </x:c>
      <x:c r="E3353" s="14" t="n">
        <x:v>10</x:v>
      </x:c>
      <x:c r="F3353" s="2" t="str">
        <x:v>Mechanical preassembly</x:v>
      </x:c>
      <x:c r="G3353" s="9" t="str">
        <x:v>AS-03</x:v>
      </x:c>
      <x:c r="H3353" s="15" t="n">
        <x:v>178</x:v>
      </x:c>
      <x:c r="I3353" s="9" t="str">
        <x:v>P18</x:v>
      </x:c>
      <x:c r="J3353" s="11" t="n">
        <x:v>46311.770833333336</x:v>
      </x:c>
      <x:c r="K3353" s="15" t="n">
        <x:v>6</x:v>
      </x:c>
      <x:c r="L3353" s="15" t="n">
        <x:v>15</x:v>
      </x:c>
      <x:c r="M3353" s="13" t="n">
        <x:f>J3353+(K3353+L3353)/1440</x:f>
        <x:v>46311.785416666666</x:v>
      </x:c>
      <x:c r="N3353" s="13" t="n">
        <x:f>VLOOKUP(C3353,'MES orders'!$A$8:$H$127,5,FALSE)</x:f>
        <x:v>46311.666666666664</x:v>
      </x:c>
      <x:c r="O3353" s="16" t="n">
        <x:f>MAX(0,(M3353-N3353)*24)</x:f>
        <x:v>2.8500000000349246</x:v>
      </x:c>
      <x:c r="P3353" s="9" t="str">
        <x:v>No</x:v>
      </x:c>
      <x:c r="Q3353" s="15" t="n">
        <x:v>21</x:v>
      </x:c>
      <x:c r="R3353" s="13" t="n">
        <x:f>J3353+Q3353/1440</x:f>
        <x:v>46311.785416666666</x:v>
      </x:c>
      <x:c r="S3353" s="2" t="str">
        <x:f>VLOOKUP(C3353,'MES orders'!$A$8:$H$127,6,FALSE)</x:f>
        <x:v>Urgent</x:v>
      </x:c>
      <x:c r="T3353" s="9" t="str"/>
    </x:row>
    <x:row r="3354" ht="22" customHeight="1">
      <x:c r="A3354" s="2" t="str">
        <x:v>L00592-060</x:v>
      </x:c>
      <x:c r="B3354" s="2" t="str">
        <x:v>L00592</x:v>
      </x:c>
      <x:c r="C3354" s="2" t="str">
        <x:v>SO-26119</x:v>
      </x:c>
      <x:c r="D3354" s="2" t="str">
        <x:v>S-L-AL</x:v>
      </x:c>
      <x:c r="E3354" s="14" t="n">
        <x:v>20</x:v>
      </x:c>
      <x:c r="F3354" s="2" t="str">
        <x:v>Sensor calibration</x:v>
      </x:c>
      <x:c r="G3354" s="9" t="str">
        <x:v>CAL-01</x:v>
      </x:c>
      <x:c r="H3354" s="15" t="n">
        <x:v>167</x:v>
      </x:c>
      <x:c r="I3354" s="9" t="str">
        <x:v>P21</x:v>
      </x:c>
      <x:c r="J3354" s="11" t="n">
        <x:v>46311.770833333336</x:v>
      </x:c>
      <x:c r="K3354" s="15" t="n">
        <x:v>10</x:v>
      </x:c>
      <x:c r="L3354" s="15" t="n">
        <x:v>35</x:v>
      </x:c>
      <x:c r="M3354" s="13" t="n">
        <x:f>J3354+(K3354+L3354)/1440</x:f>
        <x:v>46311.802083333336</x:v>
      </x:c>
      <x:c r="N3354" s="13" t="n">
        <x:f>VLOOKUP(C3354,'MES orders'!$A$8:$H$127,5,FALSE)</x:f>
        <x:v>46310.666666666664</x:v>
      </x:c>
      <x:c r="O3354" s="16" t="n">
        <x:f>MAX(0,(M3354-N3354)*24)</x:f>
        <x:v>27.250000000116415</x:v>
      </x:c>
      <x:c r="P3354" s="9" t="str">
        <x:v>No</x:v>
      </x:c>
      <x:c r="Q3354" s="15" t="n">
        <x:v>45</x:v>
      </x:c>
      <x:c r="R3354" s="13" t="n">
        <x:f>J3354+Q3354/1440</x:f>
        <x:v>46311.802083333336</x:v>
      </x:c>
      <x:c r="S3354" s="2" t="str">
        <x:f>VLOOKUP(C3354,'MES orders'!$A$8:$H$127,6,FALSE)</x:f>
        <x:v>Normal</x:v>
      </x:c>
      <x:c r="T3354" s="9" t="str"/>
    </x:row>
    <x:row r="3355" ht="22" customHeight="1">
      <x:c r="A3355" s="2" t="str">
        <x:v>L00318-010</x:v>
      </x:c>
      <x:c r="B3355" s="2" t="str">
        <x:v>L00318</x:v>
      </x:c>
      <x:c r="C3355" s="2" t="str">
        <x:v>SO-26064</x:v>
      </x:c>
      <x:c r="D3355" s="2" t="str">
        <x:v>R-S-SS</x:v>
      </x:c>
      <x:c r="E3355" s="14" t="n">
        <x:v>15</x:v>
      </x:c>
      <x:c r="F3355" s="2" t="str">
        <x:v>CNC machining</x:v>
      </x:c>
      <x:c r="G3355" s="9" t="str">
        <x:v>CNC-03</x:v>
      </x:c>
      <x:c r="H3355" s="15" t="n">
        <x:v>108</x:v>
      </x:c>
      <x:c r="I3355" s="9" t="str">
        <x:v>P14</x:v>
      </x:c>
      <x:c r="J3355" s="11" t="n">
        <x:v>46311.770833333336</x:v>
      </x:c>
      <x:c r="K3355" s="15" t="n">
        <x:v>18</x:v>
      </x:c>
      <x:c r="L3355" s="15" t="n">
        <x:v>45</x:v>
      </x:c>
      <x:c r="M3355" s="13" t="n">
        <x:f>J3355+(K3355+L3355)/1440</x:f>
        <x:v>46311.81458333333</x:v>
      </x:c>
      <x:c r="N3355" s="13" t="n">
        <x:f>VLOOKUP(C3355,'MES orders'!$A$8:$H$127,5,FALSE)</x:f>
        <x:v>46311.666666666664</x:v>
      </x:c>
      <x:c r="O3355" s="16" t="n">
        <x:f>MAX(0,(M3355-N3355)*24)</x:f>
        <x:v>3.550000000046566</x:v>
      </x:c>
      <x:c r="P3355" s="9" t="str">
        <x:v>No</x:v>
      </x:c>
      <x:c r="Q3355" s="15" t="n">
        <x:v>18</x:v>
      </x:c>
      <x:c r="R3355" s="13" t="n">
        <x:f>J3355+Q3355/1440</x:f>
        <x:v>46311.78333333333</x:v>
      </x:c>
      <x:c r="S3355" s="2" t="str">
        <x:f>VLOOKUP(C3355,'MES orders'!$A$8:$H$127,6,FALSE)</x:f>
        <x:v>High</x:v>
      </x:c>
      <x:c r="T3355" s="9" t="str"/>
    </x:row>
    <x:row r="3356" ht="22" customHeight="1">
      <x:c r="A3356" s="2" t="str">
        <x:v>L00319-010</x:v>
      </x:c>
      <x:c r="B3356" s="2" t="str">
        <x:v>L00319</x:v>
      </x:c>
      <x:c r="C3356" s="2" t="str">
        <x:v>SO-26064</x:v>
      </x:c>
      <x:c r="D3356" s="2" t="str">
        <x:v>R-S-SS</x:v>
      </x:c>
      <x:c r="E3356" s="14" t="n">
        <x:v>15</x:v>
      </x:c>
      <x:c r="F3356" s="2" t="str">
        <x:v>CNC machining</x:v>
      </x:c>
      <x:c r="G3356" s="9" t="str">
        <x:v>CNC-05</x:v>
      </x:c>
      <x:c r="H3356" s="15" t="n">
        <x:v>93</x:v>
      </x:c>
      <x:c r="I3356" s="9" t="str">
        <x:v>P15</x:v>
      </x:c>
      <x:c r="J3356" s="11" t="n">
        <x:v>46311.770833333336</x:v>
      </x:c>
      <x:c r="K3356" s="15" t="n">
        <x:v>18</x:v>
      </x:c>
      <x:c r="L3356" s="15" t="n">
        <x:v>45</x:v>
      </x:c>
      <x:c r="M3356" s="13" t="n">
        <x:f>J3356+(K3356+L3356)/1440</x:f>
        <x:v>46311.81458333333</x:v>
      </x:c>
      <x:c r="N3356" s="13" t="n">
        <x:f>VLOOKUP(C3356,'MES orders'!$A$8:$H$127,5,FALSE)</x:f>
        <x:v>46311.666666666664</x:v>
      </x:c>
      <x:c r="O3356" s="16" t="n">
        <x:f>MAX(0,(M3356-N3356)*24)</x:f>
        <x:v>3.550000000046566</x:v>
      </x:c>
      <x:c r="P3356" s="9" t="str">
        <x:v>No</x:v>
      </x:c>
      <x:c r="Q3356" s="15" t="n">
        <x:v>18</x:v>
      </x:c>
      <x:c r="R3356" s="13" t="n">
        <x:f>J3356+Q3356/1440</x:f>
        <x:v>46311.78333333333</x:v>
      </x:c>
      <x:c r="S3356" s="2" t="str">
        <x:f>VLOOKUP(C3356,'MES orders'!$A$8:$H$127,6,FALSE)</x:f>
        <x:v>High</x:v>
      </x:c>
      <x:c r="T3356" s="9" t="str"/>
    </x:row>
    <x:row r="3357" ht="22" customHeight="1">
      <x:c r="A3357" s="2" t="str">
        <x:v>L00593-050</x:v>
      </x:c>
      <x:c r="B3357" s="2" t="str">
        <x:v>L00593</x:v>
      </x:c>
      <x:c r="C3357" s="2" t="str">
        <x:v>SO-26119</x:v>
      </x:c>
      <x:c r="D3357" s="2" t="str">
        <x:v>S-L-AL</x:v>
      </x:c>
      <x:c r="E3357" s="14" t="n">
        <x:v>20</x:v>
      </x:c>
      <x:c r="F3357" s="2" t="str">
        <x:v>Sensor installation</x:v>
      </x:c>
      <x:c r="G3357" s="9" t="str">
        <x:v>EL-01</x:v>
      </x:c>
      <x:c r="H3357" s="15" t="n">
        <x:v>115</x:v>
      </x:c>
      <x:c r="I3357" s="9" t="str">
        <x:v>P19</x:v>
      </x:c>
      <x:c r="J3357" s="11" t="n">
        <x:v>46311.770833333336</x:v>
      </x:c>
      <x:c r="K3357" s="15" t="n">
        <x:v>8</x:v>
      </x:c>
      <x:c r="L3357" s="15" t="n">
        <x:v>32</x:v>
      </x:c>
      <x:c r="M3357" s="13" t="n">
        <x:f>J3357+(K3357+L3357)/1440</x:f>
        <x:v>46311.79861111112</x:v>
      </x:c>
      <x:c r="N3357" s="13" t="n">
        <x:f>VLOOKUP(C3357,'MES orders'!$A$8:$H$127,5,FALSE)</x:f>
        <x:v>46310.666666666664</x:v>
      </x:c>
      <x:c r="O3357" s="16" t="n">
        <x:f>MAX(0,(M3357-N3357)*24)</x:f>
        <x:v>27.166666666860692</x:v>
      </x:c>
      <x:c r="P3357" s="9" t="str">
        <x:v>No</x:v>
      </x:c>
      <x:c r="Q3357" s="15" t="n">
        <x:v>40</x:v>
      </x:c>
      <x:c r="R3357" s="13" t="n">
        <x:f>J3357+Q3357/1440</x:f>
        <x:v>46311.79861111112</x:v>
      </x:c>
      <x:c r="S3357" s="2" t="str">
        <x:f>VLOOKUP(C3357,'MES orders'!$A$8:$H$127,6,FALSE)</x:f>
        <x:v>Normal</x:v>
      </x:c>
      <x:c r="T3357" s="9" t="str"/>
    </x:row>
    <x:row r="3358" ht="22" customHeight="1">
      <x:c r="A3358" s="2" t="str">
        <x:v>L00594-050</x:v>
      </x:c>
      <x:c r="B3358" s="2" t="str">
        <x:v>L00594</x:v>
      </x:c>
      <x:c r="C3358" s="2" t="str">
        <x:v>SO-26119</x:v>
      </x:c>
      <x:c r="D3358" s="2" t="str">
        <x:v>S-L-AL</x:v>
      </x:c>
      <x:c r="E3358" s="14" t="n">
        <x:v>20</x:v>
      </x:c>
      <x:c r="F3358" s="2" t="str">
        <x:v>Sensor installation</x:v>
      </x:c>
      <x:c r="G3358" s="9" t="str">
        <x:v>EL-02</x:v>
      </x:c>
      <x:c r="H3358" s="15" t="n">
        <x:v>55</x:v>
      </x:c>
      <x:c r="I3358" s="9" t="str">
        <x:v>P20</x:v>
      </x:c>
      <x:c r="J3358" s="11" t="n">
        <x:v>46311.770833333336</x:v>
      </x:c>
      <x:c r="K3358" s="15" t="n">
        <x:v>8</x:v>
      </x:c>
      <x:c r="L3358" s="15" t="n">
        <x:v>32</x:v>
      </x:c>
      <x:c r="M3358" s="13" t="n">
        <x:f>J3358+(K3358+L3358)/1440</x:f>
        <x:v>46311.79861111112</x:v>
      </x:c>
      <x:c r="N3358" s="13" t="n">
        <x:f>VLOOKUP(C3358,'MES orders'!$A$8:$H$127,5,FALSE)</x:f>
        <x:v>46310.666666666664</x:v>
      </x:c>
      <x:c r="O3358" s="16" t="n">
        <x:f>MAX(0,(M3358-N3358)*24)</x:f>
        <x:v>27.166666666860692</x:v>
      </x:c>
      <x:c r="P3358" s="9" t="str">
        <x:v>No</x:v>
      </x:c>
      <x:c r="Q3358" s="15" t="n">
        <x:v>40</x:v>
      </x:c>
      <x:c r="R3358" s="13" t="n">
        <x:f>J3358+Q3358/1440</x:f>
        <x:v>46311.79861111112</x:v>
      </x:c>
      <x:c r="S3358" s="2" t="str">
        <x:f>VLOOKUP(C3358,'MES orders'!$A$8:$H$127,6,FALSE)</x:f>
        <x:v>Normal</x:v>
      </x:c>
      <x:c r="T3358" s="9" t="str"/>
    </x:row>
    <x:row r="3359" ht="22" customHeight="1">
      <x:c r="A3359" s="2" t="str">
        <x:v>L00317-020</x:v>
      </x:c>
      <x:c r="B3359" s="2" t="str">
        <x:v>L00317</x:v>
      </x:c>
      <x:c r="C3359" s="2" t="str">
        <x:v>SO-26064</x:v>
      </x:c>
      <x:c r="D3359" s="2" t="str">
        <x:v>R-S-SS</x:v>
      </x:c>
      <x:c r="E3359" s="14" t="n">
        <x:v>15</x:v>
      </x:c>
      <x:c r="F3359" s="2" t="str">
        <x:v>Deburr &amp; inspect</x:v>
      </x:c>
      <x:c r="G3359" s="9" t="str">
        <x:v>DB-01</x:v>
      </x:c>
      <x:c r="H3359" s="15" t="n">
        <x:v>315</x:v>
      </x:c>
      <x:c r="I3359" s="9" t="str">
        <x:v>P13</x:v>
      </x:c>
      <x:c r="J3359" s="11" t="n">
        <x:v>46311.78125</x:v>
      </x:c>
      <x:c r="K3359" s="15" t="n">
        <x:v>4</x:v>
      </x:c>
      <x:c r="L3359" s="15" t="n">
        <x:v>10</x:v>
      </x:c>
      <x:c r="M3359" s="13" t="n">
        <x:f>J3359+(K3359+L3359)/1440</x:f>
        <x:v>46311.790972222225</x:v>
      </x:c>
      <x:c r="N3359" s="13" t="n">
        <x:f>VLOOKUP(C3359,'MES orders'!$A$8:$H$127,5,FALSE)</x:f>
        <x:v>46311.666666666664</x:v>
      </x:c>
      <x:c r="O3359" s="16" t="n">
        <x:f>MAX(0,(M3359-N3359)*24)</x:f>
        <x:v>2.983333333453629</x:v>
      </x:c>
      <x:c r="P3359" s="9" t="str">
        <x:v>No</x:v>
      </x:c>
      <x:c r="Q3359" s="15" t="n">
        <x:v>14</x:v>
      </x:c>
      <x:c r="R3359" s="13" t="n">
        <x:f>J3359+Q3359/1440</x:f>
        <x:v>46311.790972222225</x:v>
      </x:c>
      <x:c r="S3359" s="2" t="str">
        <x:f>VLOOKUP(C3359,'MES orders'!$A$8:$H$127,6,FALSE)</x:f>
        <x:v>High</x:v>
      </x:c>
      <x:c r="T3359" s="9" t="str"/>
    </x:row>
    <x:row r="3360" ht="22" customHeight="1">
      <x:c r="A3360" s="2" t="str">
        <x:v>L00320-010</x:v>
      </x:c>
      <x:c r="B3360" s="2" t="str">
        <x:v>L00320</x:v>
      </x:c>
      <x:c r="C3360" s="2" t="str">
        <x:v>SO-26064</x:v>
      </x:c>
      <x:c r="D3360" s="2" t="str">
        <x:v>R-S-SS</x:v>
      </x:c>
      <x:c r="E3360" s="14" t="n">
        <x:v>15</x:v>
      </x:c>
      <x:c r="F3360" s="2" t="str">
        <x:v>CNC machining</x:v>
      </x:c>
      <x:c r="G3360" s="9" t="str">
        <x:v>CNC-04</x:v>
      </x:c>
      <x:c r="H3360" s="15" t="n">
        <x:v>104</x:v>
      </x:c>
      <x:c r="I3360" s="9" t="str">
        <x:v>P14</x:v>
      </x:c>
      <x:c r="J3360" s="11" t="n">
        <x:v>46311.78333333333</x:v>
      </x:c>
      <x:c r="K3360" s="15" t="n">
        <x:v>18</x:v>
      </x:c>
      <x:c r="L3360" s="15" t="n">
        <x:v>45</x:v>
      </x:c>
      <x:c r="M3360" s="13" t="n">
        <x:f>J3360+(K3360+L3360)/1440</x:f>
        <x:v>46311.82708333333</x:v>
      </x:c>
      <x:c r="N3360" s="13" t="n">
        <x:f>VLOOKUP(C3360,'MES orders'!$A$8:$H$127,5,FALSE)</x:f>
        <x:v>46311.666666666664</x:v>
      </x:c>
      <x:c r="O3360" s="16" t="n">
        <x:f>MAX(0,(M3360-N3360)*24)</x:f>
        <x:v>3.849999999976717</x:v>
      </x:c>
      <x:c r="P3360" s="9" t="str">
        <x:v>No</x:v>
      </x:c>
      <x:c r="Q3360" s="15" t="n">
        <x:v>18</x:v>
      </x:c>
      <x:c r="R3360" s="13" t="n">
        <x:f>J3360+Q3360/1440</x:f>
        <x:v>46311.79583333333</x:v>
      </x:c>
      <x:c r="S3360" s="2" t="str">
        <x:f>VLOOKUP(C3360,'MES orders'!$A$8:$H$127,6,FALSE)</x:f>
        <x:v>High</x:v>
      </x:c>
      <x:c r="T3360" s="9" t="str"/>
    </x:row>
    <x:row r="3361" ht="22" customHeight="1">
      <x:c r="A3361" s="2" t="str">
        <x:v>L00596-010</x:v>
      </x:c>
      <x:c r="B3361" s="2" t="str">
        <x:v>L00596</x:v>
      </x:c>
      <x:c r="C3361" s="2" t="str">
        <x:v>SO-26120</x:v>
      </x:c>
      <x:c r="D3361" s="2" t="str">
        <x:v>D-L-SS</x:v>
      </x:c>
      <x:c r="E3361" s="14" t="n">
        <x:v>25</x:v>
      </x:c>
      <x:c r="F3361" s="2" t="str">
        <x:v>CNC machining</x:v>
      </x:c>
      <x:c r="G3361" s="9" t="str">
        <x:v>CNC-06</x:v>
      </x:c>
      <x:c r="H3361" s="15" t="n">
        <x:v>86</x:v>
      </x:c>
      <x:c r="I3361" s="9" t="str">
        <x:v>P15</x:v>
      </x:c>
      <x:c r="J3361" s="11" t="n">
        <x:v>46311.78333333333</x:v>
      </x:c>
      <x:c r="K3361" s="15" t="n">
        <x:v>18</x:v>
      </x:c>
      <x:c r="L3361" s="15" t="n">
        <x:v>101</x:v>
      </x:c>
      <x:c r="M3361" s="13" t="n">
        <x:f>J3361+(K3361+L3361)/1440</x:f>
        <x:v>46311.86597222222</x:v>
      </x:c>
      <x:c r="N3361" s="13" t="n">
        <x:f>VLOOKUP(C3361,'MES orders'!$A$8:$H$127,5,FALSE)</x:f>
        <x:v>46311.666666666664</x:v>
      </x:c>
      <x:c r="O3361" s="16" t="n">
        <x:f>MAX(0,(M3361-N3361)*24)</x:f>
        <x:v>4.78333333338378</x:v>
      </x:c>
      <x:c r="P3361" s="9" t="str">
        <x:v>No</x:v>
      </x:c>
      <x:c r="Q3361" s="15" t="n">
        <x:v>18</x:v>
      </x:c>
      <x:c r="R3361" s="13" t="n">
        <x:f>J3361+Q3361/1440</x:f>
        <x:v>46311.79583333333</x:v>
      </x:c>
      <x:c r="S3361" s="2" t="str">
        <x:f>VLOOKUP(C3361,'MES orders'!$A$8:$H$127,6,FALSE)</x:f>
        <x:v>High</x:v>
      </x:c>
      <x:c r="T3361" s="9" t="str"/>
    </x:row>
    <x:row r="3362" ht="22" customHeight="1">
      <x:c r="A3362" s="2" t="str">
        <x:v>L00117-040</x:v>
      </x:c>
      <x:c r="B3362" s="2" t="str">
        <x:v>L00117</x:v>
      </x:c>
      <x:c r="C3362" s="2" t="str">
        <x:v>SO-26024</x:v>
      </x:c>
      <x:c r="D3362" s="2" t="str">
        <x:v>S-L-SS</x:v>
      </x:c>
      <x:c r="E3362" s="14" t="n">
        <x:v>10</x:v>
      </x:c>
      <x:c r="F3362" s="2" t="str">
        <x:v>Mechanical preassembly</x:v>
      </x:c>
      <x:c r="G3362" s="9" t="str">
        <x:v>AS-03</x:v>
      </x:c>
      <x:c r="H3362" s="15" t="n">
        <x:v>179</x:v>
      </x:c>
      <x:c r="I3362" s="9" t="str">
        <x:v>P18</x:v>
      </x:c>
      <x:c r="J3362" s="11" t="n">
        <x:v>46311.785416666666</x:v>
      </x:c>
      <x:c r="K3362" s="15" t="n">
        <x:v>6</x:v>
      </x:c>
      <x:c r="L3362" s="15" t="n">
        <x:v>15</x:v>
      </x:c>
      <x:c r="M3362" s="13" t="n">
        <x:f>J3362+(K3362+L3362)/1440</x:f>
        <x:v>46311.799999999996</x:v>
      </x:c>
      <x:c r="N3362" s="13" t="n">
        <x:f>VLOOKUP(C3362,'MES orders'!$A$8:$H$127,5,FALSE)</x:f>
        <x:v>46311.666666666664</x:v>
      </x:c>
      <x:c r="O3362" s="16" t="n">
        <x:f>MAX(0,(M3362-N3362)*24)</x:f>
        <x:v>3.199999999953434</x:v>
      </x:c>
      <x:c r="P3362" s="9" t="str">
        <x:v>No</x:v>
      </x:c>
      <x:c r="Q3362" s="15" t="n">
        <x:v>21</x:v>
      </x:c>
      <x:c r="R3362" s="13" t="n">
        <x:f>J3362+Q3362/1440</x:f>
        <x:v>46311.799999999996</x:v>
      </x:c>
      <x:c r="S3362" s="2" t="str">
        <x:f>VLOOKUP(C3362,'MES orders'!$A$8:$H$127,6,FALSE)</x:f>
        <x:v>Urgent</x:v>
      </x:c>
      <x:c r="T3362" s="9" t="str"/>
    </x:row>
    <x:row r="3363" ht="22" customHeight="1">
      <x:c r="A3363" s="2" t="str">
        <x:v>L00591-080</x:v>
      </x:c>
      <x:c r="B3363" s="2" t="str">
        <x:v>L00591</x:v>
      </x:c>
      <x:c r="C3363" s="2" t="str">
        <x:v>SO-26119</x:v>
      </x:c>
      <x:c r="D3363" s="2" t="str">
        <x:v>S-L-AL</x:v>
      </x:c>
      <x:c r="E3363" s="14" t="n">
        <x:v>20</x:v>
      </x:c>
      <x:c r="F3363" s="2" t="str">
        <x:v>Final leak / function test</x:v>
      </x:c>
      <x:c r="G3363" s="9" t="str">
        <x:v>QA-02</x:v>
      </x:c>
      <x:c r="H3363" s="15" t="n">
        <x:v>251</x:v>
      </x:c>
      <x:c r="I3363" s="9" t="str">
        <x:v>P23</x:v>
      </x:c>
      <x:c r="J3363" s="11" t="n">
        <x:v>46311.78958333333</x:v>
      </x:c>
      <x:c r="K3363" s="15" t="n">
        <x:v>10</x:v>
      </x:c>
      <x:c r="L3363" s="15" t="n">
        <x:v>24</x:v>
      </x:c>
      <x:c r="M3363" s="13" t="n">
        <x:f>J3363+(K3363+L3363)/1440</x:f>
        <x:v>46311.81319444444</x:v>
      </x:c>
      <x:c r="N3363" s="13" t="n">
        <x:f>VLOOKUP(C3363,'MES orders'!$A$8:$H$127,5,FALSE)</x:f>
        <x:v>46310.666666666664</x:v>
      </x:c>
      <x:c r="O3363" s="16" t="n">
        <x:f>MAX(0,(M3363-N3363)*24)</x:f>
        <x:v>27.51666666660458</x:v>
      </x:c>
      <x:c r="P3363" s="9" t="str">
        <x:v>No</x:v>
      </x:c>
      <x:c r="Q3363" s="15" t="n">
        <x:v>34</x:v>
      </x:c>
      <x:c r="R3363" s="13" t="n">
        <x:f>J3363+Q3363/1440</x:f>
        <x:v>46311.81319444444</x:v>
      </x:c>
      <x:c r="S3363" s="2" t="str">
        <x:f>VLOOKUP(C3363,'MES orders'!$A$8:$H$127,6,FALSE)</x:f>
        <x:v>Normal</x:v>
      </x:c>
      <x:c r="T3363" s="9" t="str"/>
    </x:row>
    <x:row r="3364" ht="22" customHeight="1">
      <x:c r="A3364" s="2" t="str">
        <x:v>L00119-030</x:v>
      </x:c>
      <x:c r="B3364" s="2" t="str">
        <x:v>L00119</x:v>
      </x:c>
      <x:c r="C3364" s="2" t="str">
        <x:v>SO-26024</x:v>
      </x:c>
      <x:c r="D3364" s="2" t="str">
        <x:v>S-L-SS</x:v>
      </x:c>
      <x:c r="E3364" s="14" t="n">
        <x:v>10</x:v>
      </x:c>
      <x:c r="F3364" s="2" t="str">
        <x:v>Wash &amp; dry</x:v>
      </x:c>
      <x:c r="G3364" s="9" t="str">
        <x:v>WS-01</x:v>
      </x:c>
      <x:c r="H3364" s="15" t="n">
        <x:v>307</x:v>
      </x:c>
      <x:c r="I3364" s="9" t="str">
        <x:v>P17</x:v>
      </x:c>
      <x:c r="J3364" s="11" t="n">
        <x:v>46311.78958333333</x:v>
      </x:c>
      <x:c r="K3364" s="15" t="n">
        <x:v>12</x:v>
      </x:c>
      <x:c r="L3364" s="15" t="n">
        <x:v>5</x:v>
      </x:c>
      <x:c r="M3364" s="13" t="n">
        <x:f>J3364+(K3364+L3364)/1440</x:f>
        <x:v>46311.80138888889</x:v>
      </x:c>
      <x:c r="N3364" s="13" t="n">
        <x:f>VLOOKUP(C3364,'MES orders'!$A$8:$H$127,5,FALSE)</x:f>
        <x:v>46311.666666666664</x:v>
      </x:c>
      <x:c r="O3364" s="16" t="n">
        <x:f>MAX(0,(M3364-N3364)*24)</x:f>
        <x:v>3.2333333333954215</x:v>
      </x:c>
      <x:c r="P3364" s="9" t="str">
        <x:v>No</x:v>
      </x:c>
      <x:c r="Q3364" s="15" t="n">
        <x:v>17</x:v>
      </x:c>
      <x:c r="R3364" s="13" t="n">
        <x:f>J3364+Q3364/1440</x:f>
        <x:v>46311.80138888889</x:v>
      </x:c>
      <x:c r="S3364" s="2" t="str">
        <x:f>VLOOKUP(C3364,'MES orders'!$A$8:$H$127,6,FALSE)</x:f>
        <x:v>Urgent</x:v>
      </x:c>
      <x:c r="T3364" s="9" t="str"/>
    </x:row>
    <x:row r="3365" ht="22" customHeight="1">
      <x:c r="A3365" s="2" t="str">
        <x:v>L00317-030</x:v>
      </x:c>
      <x:c r="B3365" s="2" t="str">
        <x:v>L00317</x:v>
      </x:c>
      <x:c r="C3365" s="2" t="str">
        <x:v>SO-26064</x:v>
      </x:c>
      <x:c r="D3365" s="2" t="str">
        <x:v>R-S-SS</x:v>
      </x:c>
      <x:c r="E3365" s="14" t="n">
        <x:v>15</x:v>
      </x:c>
      <x:c r="F3365" s="2" t="str">
        <x:v>Wash &amp; dry</x:v>
      </x:c>
      <x:c r="G3365" s="9" t="str">
        <x:v>WS-02</x:v>
      </x:c>
      <x:c r="H3365" s="15" t="n">
        <x:v>227</x:v>
      </x:c>
      <x:c r="I3365" s="9" t="str">
        <x:v>P13</x:v>
      </x:c>
      <x:c r="J3365" s="11" t="n">
        <x:v>46311.790972222225</x:v>
      </x:c>
      <x:c r="K3365" s="15" t="n">
        <x:v>12</x:v>
      </x:c>
      <x:c r="L3365" s="15" t="n">
        <x:v>5</x:v>
      </x:c>
      <x:c r="M3365" s="13" t="n">
        <x:f>J3365+(K3365+L3365)/1440</x:f>
        <x:v>46311.80277777778</x:v>
      </x:c>
      <x:c r="N3365" s="13" t="n">
        <x:f>VLOOKUP(C3365,'MES orders'!$A$8:$H$127,5,FALSE)</x:f>
        <x:v>46311.666666666664</x:v>
      </x:c>
      <x:c r="O3365" s="16" t="n">
        <x:f>MAX(0,(M3365-N3365)*24)</x:f>
        <x:v>3.266666666837409</x:v>
      </x:c>
      <x:c r="P3365" s="9" t="str">
        <x:v>No</x:v>
      </x:c>
      <x:c r="Q3365" s="15" t="n">
        <x:v>17</x:v>
      </x:c>
      <x:c r="R3365" s="13" t="n">
        <x:f>J3365+Q3365/1440</x:f>
        <x:v>46311.80277777778</x:v>
      </x:c>
      <x:c r="S3365" s="2" t="str">
        <x:f>VLOOKUP(C3365,'MES orders'!$A$8:$H$127,6,FALSE)</x:f>
        <x:v>High</x:v>
      </x:c>
      <x:c r="T3365" s="9" t="str"/>
    </x:row>
    <x:row r="3366" ht="22" customHeight="1">
      <x:c r="A3366" s="2" t="str">
        <x:v>L00118-040</x:v>
      </x:c>
      <x:c r="B3366" s="2" t="str">
        <x:v>L00118</x:v>
      </x:c>
      <x:c r="C3366" s="2" t="str">
        <x:v>SO-26024</x:v>
      </x:c>
      <x:c r="D3366" s="2" t="str">
        <x:v>S-L-SS</x:v>
      </x:c>
      <x:c r="E3366" s="14" t="n">
        <x:v>10</x:v>
      </x:c>
      <x:c r="F3366" s="2" t="str">
        <x:v>Mechanical preassembly</x:v>
      </x:c>
      <x:c r="G3366" s="9" t="str">
        <x:v>AS-02</x:v>
      </x:c>
      <x:c r="H3366" s="15" t="n">
        <x:v>220</x:v>
      </x:c>
      <x:c r="I3366" s="9" t="str">
        <x:v>P16</x:v>
      </x:c>
      <x:c r="J3366" s="11" t="n">
        <x:v>46311.79583333333</x:v>
      </x:c>
      <x:c r="K3366" s="15" t="n">
        <x:v>6</x:v>
      </x:c>
      <x:c r="L3366" s="15" t="n">
        <x:v>15</x:v>
      </x:c>
      <x:c r="M3366" s="13" t="n">
        <x:f>J3366+(K3366+L3366)/1440</x:f>
        <x:v>46311.81041666666</x:v>
      </x:c>
      <x:c r="N3366" s="13" t="n">
        <x:f>VLOOKUP(C3366,'MES orders'!$A$8:$H$127,5,FALSE)</x:f>
        <x:v>46311.666666666664</x:v>
      </x:c>
      <x:c r="O3366" s="16" t="n">
        <x:f>MAX(0,(M3366-N3366)*24)</x:f>
        <x:v>3.449999999895226</x:v>
      </x:c>
      <x:c r="P3366" s="9" t="str">
        <x:v>No</x:v>
      </x:c>
      <x:c r="Q3366" s="15" t="n">
        <x:v>21</x:v>
      </x:c>
      <x:c r="R3366" s="13" t="n">
        <x:f>J3366+Q3366/1440</x:f>
        <x:v>46311.81041666666</x:v>
      </x:c>
      <x:c r="S3366" s="2" t="str">
        <x:f>VLOOKUP(C3366,'MES orders'!$A$8:$H$127,6,FALSE)</x:f>
        <x:v>Urgent</x:v>
      </x:c>
      <x:c r="T3366" s="9" t="str"/>
    </x:row>
    <x:row r="3367" ht="22" customHeight="1">
      <x:c r="A3367" s="2" t="str">
        <x:v>L00595-050</x:v>
      </x:c>
      <x:c r="B3367" s="2" t="str">
        <x:v>L00595</x:v>
      </x:c>
      <x:c r="C3367" s="2" t="str">
        <x:v>SO-26119</x:v>
      </x:c>
      <x:c r="D3367" s="2" t="str">
        <x:v>S-L-AL</x:v>
      </x:c>
      <x:c r="E3367" s="14" t="n">
        <x:v>20</x:v>
      </x:c>
      <x:c r="F3367" s="2" t="str">
        <x:v>Sensor installation</x:v>
      </x:c>
      <x:c r="G3367" s="9" t="str">
        <x:v>EL-01</x:v>
      </x:c>
      <x:c r="H3367" s="15" t="n">
        <x:v>116</x:v>
      </x:c>
      <x:c r="I3367" s="9" t="str">
        <x:v>P19</x:v>
      </x:c>
      <x:c r="J3367" s="11" t="n">
        <x:v>46311.79861111111</x:v>
      </x:c>
      <x:c r="K3367" s="15" t="n">
        <x:v>8</x:v>
      </x:c>
      <x:c r="L3367" s="15" t="n">
        <x:v>32</x:v>
      </x:c>
      <x:c r="M3367" s="13" t="n">
        <x:f>J3367+(K3367+L3367)/1440</x:f>
        <x:v>46311.82638888889</x:v>
      </x:c>
      <x:c r="N3367" s="13" t="n">
        <x:f>VLOOKUP(C3367,'MES orders'!$A$8:$H$127,5,FALSE)</x:f>
        <x:v>46310.666666666664</x:v>
      </x:c>
      <x:c r="O3367" s="16" t="n">
        <x:f>MAX(0,(M3367-N3367)*24)</x:f>
        <x:v>27.833333333430346</x:v>
      </x:c>
      <x:c r="P3367" s="9" t="str">
        <x:v>No</x:v>
      </x:c>
      <x:c r="Q3367" s="15" t="n">
        <x:v>40</x:v>
      </x:c>
      <x:c r="R3367" s="13" t="n">
        <x:f>J3367+Q3367/1440</x:f>
        <x:v>46311.82638888889</x:v>
      </x:c>
      <x:c r="S3367" s="2" t="str">
        <x:f>VLOOKUP(C3367,'MES orders'!$A$8:$H$127,6,FALSE)</x:f>
        <x:v>Normal</x:v>
      </x:c>
      <x:c r="T3367" s="9" t="str"/>
    </x:row>
    <x:row r="3368" ht="22" customHeight="1">
      <x:c r="A3368" s="2" t="str">
        <x:v>L00116-050</x:v>
      </x:c>
      <x:c r="B3368" s="2" t="str">
        <x:v>L00116</x:v>
      </x:c>
      <x:c r="C3368" s="2" t="str">
        <x:v>SO-26024</x:v>
      </x:c>
      <x:c r="D3368" s="2" t="str">
        <x:v>S-L-SS</x:v>
      </x:c>
      <x:c r="E3368" s="14" t="n">
        <x:v>10</x:v>
      </x:c>
      <x:c r="F3368" s="2" t="str">
        <x:v>Sensor installation</x:v>
      </x:c>
      <x:c r="G3368" s="9" t="str">
        <x:v>EL-02</x:v>
      </x:c>
      <x:c r="H3368" s="15" t="n">
        <x:v>56</x:v>
      </x:c>
      <x:c r="I3368" s="9" t="str">
        <x:v>P20</x:v>
      </x:c>
      <x:c r="J3368" s="11" t="n">
        <x:v>46311.79861111111</x:v>
      </x:c>
      <x:c r="K3368" s="15" t="n">
        <x:v>8</x:v>
      </x:c>
      <x:c r="L3368" s="15" t="n">
        <x:v>16</x:v>
      </x:c>
      <x:c r="M3368" s="13" t="n">
        <x:f>J3368+(K3368+L3368)/1440</x:f>
        <x:v>46311.81527777778</x:v>
      </x:c>
      <x:c r="N3368" s="13" t="n">
        <x:f>VLOOKUP(C3368,'MES orders'!$A$8:$H$127,5,FALSE)</x:f>
        <x:v>46311.666666666664</x:v>
      </x:c>
      <x:c r="O3368" s="16" t="n">
        <x:f>MAX(0,(M3368-N3368)*24)</x:f>
        <x:v>3.56666666676756</x:v>
      </x:c>
      <x:c r="P3368" s="9" t="str">
        <x:v>No</x:v>
      </x:c>
      <x:c r="Q3368" s="15" t="n">
        <x:v>24</x:v>
      </x:c>
      <x:c r="R3368" s="13" t="n">
        <x:f>J3368+Q3368/1440</x:f>
        <x:v>46311.81527777778</x:v>
      </x:c>
      <x:c r="S3368" s="2" t="str">
        <x:f>VLOOKUP(C3368,'MES orders'!$A$8:$H$127,6,FALSE)</x:f>
        <x:v>Urgent</x:v>
      </x:c>
      <x:c r="T3368" s="9" t="str"/>
    </x:row>
    <x:row r="3369" ht="22" customHeight="1">
      <x:c r="A3369" s="2" t="str">
        <x:v>L00119-040</x:v>
      </x:c>
      <x:c r="B3369" s="2" t="str">
        <x:v>L00119</x:v>
      </x:c>
      <x:c r="C3369" s="2" t="str">
        <x:v>SO-26024</x:v>
      </x:c>
      <x:c r="D3369" s="2" t="str">
        <x:v>S-L-SS</x:v>
      </x:c>
      <x:c r="E3369" s="14" t="n">
        <x:v>10</x:v>
      </x:c>
      <x:c r="F3369" s="2" t="str">
        <x:v>Mechanical preassembly</x:v>
      </x:c>
      <x:c r="G3369" s="9" t="str">
        <x:v>AS-03</x:v>
      </x:c>
      <x:c r="H3369" s="15" t="n">
        <x:v>180</x:v>
      </x:c>
      <x:c r="I3369" s="9" t="str">
        <x:v>P18</x:v>
      </x:c>
      <x:c r="J3369" s="11" t="n">
        <x:v>46311.80138888889</x:v>
      </x:c>
      <x:c r="K3369" s="15" t="n">
        <x:v>6</x:v>
      </x:c>
      <x:c r="L3369" s="15" t="n">
        <x:v>15</x:v>
      </x:c>
      <x:c r="M3369" s="13" t="n">
        <x:f>J3369+(K3369+L3369)/1440</x:f>
        <x:v>46311.81597222222</x:v>
      </x:c>
      <x:c r="N3369" s="13" t="n">
        <x:f>VLOOKUP(C3369,'MES orders'!$A$8:$H$127,5,FALSE)</x:f>
        <x:v>46311.666666666664</x:v>
      </x:c>
      <x:c r="O3369" s="16" t="n">
        <x:f>MAX(0,(M3369-N3369)*24)</x:f>
        <x:v>3.583333333313931</x:v>
      </x:c>
      <x:c r="P3369" s="9" t="str">
        <x:v>No</x:v>
      </x:c>
      <x:c r="Q3369" s="15" t="n">
        <x:v>21</x:v>
      </x:c>
      <x:c r="R3369" s="13" t="n">
        <x:f>J3369+Q3369/1440</x:f>
        <x:v>46311.81597222222</x:v>
      </x:c>
      <x:c r="S3369" s="2" t="str">
        <x:f>VLOOKUP(C3369,'MES orders'!$A$8:$H$127,6,FALSE)</x:f>
        <x:v>Urgent</x:v>
      </x:c>
      <x:c r="T3369" s="9" t="str"/>
    </x:row>
    <x:row r="3370" ht="22" customHeight="1">
      <x:c r="A3370" s="2" t="str">
        <x:v>L00592-070</x:v>
      </x:c>
      <x:c r="B3370" s="2" t="str">
        <x:v>L00592</x:v>
      </x:c>
      <x:c r="C3370" s="2" t="str">
        <x:v>SO-26119</x:v>
      </x:c>
      <x:c r="D3370" s="2" t="str">
        <x:v>S-L-AL</x:v>
      </x:c>
      <x:c r="E3370" s="14" t="n">
        <x:v>20</x:v>
      </x:c>
      <x:c r="F3370" s="2" t="str">
        <x:v>Final assembly</x:v>
      </x:c>
      <x:c r="G3370" s="9" t="str">
        <x:v>AS-01</x:v>
      </x:c>
      <x:c r="H3370" s="15" t="n">
        <x:v>266</x:v>
      </x:c>
      <x:c r="I3370" s="9" t="str">
        <x:v>P17</x:v>
      </x:c>
      <x:c r="J3370" s="11" t="n">
        <x:v>46311.802083333336</x:v>
      </x:c>
      <x:c r="K3370" s="15" t="n">
        <x:v>5</x:v>
      </x:c>
      <x:c r="L3370" s="15" t="n">
        <x:v>22</x:v>
      </x:c>
      <x:c r="M3370" s="13" t="n">
        <x:f>J3370+(K3370+L3370)/1440</x:f>
        <x:v>46311.82083333334</x:v>
      </x:c>
      <x:c r="N3370" s="13" t="n">
        <x:f>VLOOKUP(C3370,'MES orders'!$A$8:$H$127,5,FALSE)</x:f>
        <x:v>46310.666666666664</x:v>
      </x:c>
      <x:c r="O3370" s="16" t="n">
        <x:f>MAX(0,(M3370-N3370)*24)</x:f>
        <x:v>27.700000000186265</x:v>
      </x:c>
      <x:c r="P3370" s="9" t="str">
        <x:v>No</x:v>
      </x:c>
      <x:c r="Q3370" s="15" t="n">
        <x:v>27</x:v>
      </x:c>
      <x:c r="R3370" s="13" t="n">
        <x:f>J3370+Q3370/1440</x:f>
        <x:v>46311.82083333334</x:v>
      </x:c>
      <x:c r="S3370" s="2" t="str">
        <x:f>VLOOKUP(C3370,'MES orders'!$A$8:$H$127,6,FALSE)</x:f>
        <x:v>Normal</x:v>
      </x:c>
      <x:c r="T3370" s="9" t="str"/>
    </x:row>
    <x:row r="3371" ht="22" customHeight="1">
      <x:c r="A3371" s="2" t="str">
        <x:v>L00593-060</x:v>
      </x:c>
      <x:c r="B3371" s="2" t="str">
        <x:v>L00593</x:v>
      </x:c>
      <x:c r="C3371" s="2" t="str">
        <x:v>SO-26119</x:v>
      </x:c>
      <x:c r="D3371" s="2" t="str">
        <x:v>S-L-AL</x:v>
      </x:c>
      <x:c r="E3371" s="14" t="n">
        <x:v>20</x:v>
      </x:c>
      <x:c r="F3371" s="2" t="str">
        <x:v>Sensor calibration</x:v>
      </x:c>
      <x:c r="G3371" s="9" t="str">
        <x:v>CAL-01</x:v>
      </x:c>
      <x:c r="H3371" s="15" t="n">
        <x:v>168</x:v>
      </x:c>
      <x:c r="I3371" s="9" t="str">
        <x:v>P21</x:v>
      </x:c>
      <x:c r="J3371" s="11" t="n">
        <x:v>46311.802083333336</x:v>
      </x:c>
      <x:c r="K3371" s="15" t="n">
        <x:v>10</x:v>
      </x:c>
      <x:c r="L3371" s="15" t="n">
        <x:v>35</x:v>
      </x:c>
      <x:c r="M3371" s="13" t="n">
        <x:f>J3371+(K3371+L3371)/1440</x:f>
        <x:v>46311.833333333336</x:v>
      </x:c>
      <x:c r="N3371" s="13" t="n">
        <x:f>VLOOKUP(C3371,'MES orders'!$A$8:$H$127,5,FALSE)</x:f>
        <x:v>46310.666666666664</x:v>
      </x:c>
      <x:c r="O3371" s="16" t="n">
        <x:f>MAX(0,(M3371-N3371)*24)</x:f>
        <x:v>28.000000000116415</x:v>
      </x:c>
      <x:c r="P3371" s="9" t="str">
        <x:v>No</x:v>
      </x:c>
      <x:c r="Q3371" s="15" t="n">
        <x:v>45</x:v>
      </x:c>
      <x:c r="R3371" s="13" t="n">
        <x:f>J3371+Q3371/1440</x:f>
        <x:v>46311.833333333336</x:v>
      </x:c>
      <x:c r="S3371" s="2" t="str">
        <x:f>VLOOKUP(C3371,'MES orders'!$A$8:$H$127,6,FALSE)</x:f>
        <x:v>Normal</x:v>
      </x:c>
      <x:c r="T3371" s="9" t="str"/>
    </x:row>
    <x:row r="3372" ht="22" customHeight="1">
      <x:c r="A3372" s="2" t="str">
        <x:v>L00037-030</x:v>
      </x:c>
      <x:c r="B3372" s="2" t="str">
        <x:v>L00037</x:v>
      </x:c>
      <x:c r="C3372" s="2" t="str">
        <x:v>SO-26008</x:v>
      </x:c>
      <x:c r="D3372" s="2" t="str">
        <x:v>S-C-SS</x:v>
      </x:c>
      <x:c r="E3372" s="14" t="n">
        <x:v>25</x:v>
      </x:c>
      <x:c r="F3372" s="2" t="str">
        <x:v>Wash &amp; dry</x:v>
      </x:c>
      <x:c r="G3372" s="9" t="str">
        <x:v>WS-01</x:v>
      </x:c>
      <x:c r="H3372" s="15" t="n">
        <x:v>308</x:v>
      </x:c>
      <x:c r="I3372" s="9" t="str">
        <x:v>P16</x:v>
      </x:c>
      <x:c r="J3372" s="11" t="n">
        <x:v>46311.81041666667</x:v>
      </x:c>
      <x:c r="K3372" s="15" t="n">
        <x:v>12</x:v>
      </x:c>
      <x:c r="L3372" s="15" t="n">
        <x:v>7</x:v>
      </x:c>
      <x:c r="M3372" s="13" t="n">
        <x:f>J3372+(K3372+L3372)/1440</x:f>
        <x:v>46311.82361111111</x:v>
      </x:c>
      <x:c r="N3372" s="13" t="n">
        <x:f>VLOOKUP(C3372,'MES orders'!$A$8:$H$127,5,FALSE)</x:f>
        <x:v>46311.666666666664</x:v>
      </x:c>
      <x:c r="O3372" s="16" t="n">
        <x:f>MAX(0,(M3372-N3372)*24)</x:f>
        <x:v>3.766666666720994</x:v>
      </x:c>
      <x:c r="P3372" s="9" t="str">
        <x:v>No</x:v>
      </x:c>
      <x:c r="Q3372" s="15" t="n">
        <x:v>19</x:v>
      </x:c>
      <x:c r="R3372" s="13" t="n">
        <x:f>J3372+Q3372/1440</x:f>
        <x:v>46311.82361111111</x:v>
      </x:c>
      <x:c r="S3372" s="2" t="str">
        <x:f>VLOOKUP(C3372,'MES orders'!$A$8:$H$127,6,FALSE)</x:f>
        <x:v>High</x:v>
      </x:c>
      <x:c r="T3372" s="9" t="str"/>
    </x:row>
    <x:row r="3373" ht="22" customHeight="1">
      <x:c r="A3373" s="2" t="str">
        <x:v>L00597-010</x:v>
      </x:c>
      <x:c r="B3373" s="2" t="str">
        <x:v>L00597</x:v>
      </x:c>
      <x:c r="C3373" s="2" t="str">
        <x:v>SO-26120</x:v>
      </x:c>
      <x:c r="D3373" s="2" t="str">
        <x:v>D-L-SS</x:v>
      </x:c>
      <x:c r="E3373" s="14" t="n">
        <x:v>25</x:v>
      </x:c>
      <x:c r="F3373" s="2" t="str">
        <x:v>CNC machining</x:v>
      </x:c>
      <x:c r="G3373" s="9" t="str">
        <x:v>CNC-03</x:v>
      </x:c>
      <x:c r="H3373" s="15" t="n">
        <x:v>109</x:v>
      </x:c>
      <x:c r="I3373" s="9" t="str">
        <x:v>P14</x:v>
      </x:c>
      <x:c r="J3373" s="11" t="n">
        <x:v>46311.81458333333</x:v>
      </x:c>
      <x:c r="K3373" s="15" t="n">
        <x:v>18</x:v>
      </x:c>
      <x:c r="L3373" s="15" t="n">
        <x:v>101</x:v>
      </x:c>
      <x:c r="M3373" s="13" t="n">
        <x:f>J3373+(K3373+L3373)/1440</x:f>
        <x:v>46311.89722222222</x:v>
      </x:c>
      <x:c r="N3373" s="13" t="n">
        <x:f>VLOOKUP(C3373,'MES orders'!$A$8:$H$127,5,FALSE)</x:f>
        <x:v>46311.666666666664</x:v>
      </x:c>
      <x:c r="O3373" s="16" t="n">
        <x:f>MAX(0,(M3373-N3373)*24)</x:f>
        <x:v>5.53333333338378</x:v>
      </x:c>
      <x:c r="P3373" s="9" t="str">
        <x:v>No</x:v>
      </x:c>
      <x:c r="Q3373" s="15" t="n">
        <x:v>18</x:v>
      </x:c>
      <x:c r="R3373" s="13" t="n">
        <x:f>J3373+Q3373/1440</x:f>
        <x:v>46311.82708333333</x:v>
      </x:c>
      <x:c r="S3373" s="2" t="str">
        <x:f>VLOOKUP(C3373,'MES orders'!$A$8:$H$127,6,FALSE)</x:f>
        <x:v>High</x:v>
      </x:c>
      <x:c r="T3373" s="9" t="str"/>
    </x:row>
    <x:row r="3374" ht="22" customHeight="1">
      <x:c r="A3374" s="2" t="str">
        <x:v>L00598-010</x:v>
      </x:c>
      <x:c r="B3374" s="2" t="str">
        <x:v>L00598</x:v>
      </x:c>
      <x:c r="C3374" s="2" t="str">
        <x:v>SO-26120</x:v>
      </x:c>
      <x:c r="D3374" s="2" t="str">
        <x:v>D-L-SS</x:v>
      </x:c>
      <x:c r="E3374" s="14" t="n">
        <x:v>25</x:v>
      </x:c>
      <x:c r="F3374" s="2" t="str">
        <x:v>CNC machining</x:v>
      </x:c>
      <x:c r="G3374" s="9" t="str">
        <x:v>CNC-05</x:v>
      </x:c>
      <x:c r="H3374" s="15" t="n">
        <x:v>94</x:v>
      </x:c>
      <x:c r="I3374" s="9" t="str">
        <x:v>P15</x:v>
      </x:c>
      <x:c r="J3374" s="11" t="n">
        <x:v>46311.81458333333</x:v>
      </x:c>
      <x:c r="K3374" s="15" t="n">
        <x:v>18</x:v>
      </x:c>
      <x:c r="L3374" s="15" t="n">
        <x:v>101</x:v>
      </x:c>
      <x:c r="M3374" s="13" t="n">
        <x:f>J3374+(K3374+L3374)/1440</x:f>
        <x:v>46311.89722222222</x:v>
      </x:c>
      <x:c r="N3374" s="13" t="n">
        <x:f>VLOOKUP(C3374,'MES orders'!$A$8:$H$127,5,FALSE)</x:f>
        <x:v>46311.666666666664</x:v>
      </x:c>
      <x:c r="O3374" s="16" t="n">
        <x:f>MAX(0,(M3374-N3374)*24)</x:f>
        <x:v>5.53333333338378</x:v>
      </x:c>
      <x:c r="P3374" s="9" t="str">
        <x:v>No</x:v>
      </x:c>
      <x:c r="Q3374" s="15" t="n">
        <x:v>18</x:v>
      </x:c>
      <x:c r="R3374" s="13" t="n">
        <x:f>J3374+Q3374/1440</x:f>
        <x:v>46311.82708333333</x:v>
      </x:c>
      <x:c r="S3374" s="2" t="str">
        <x:f>VLOOKUP(C3374,'MES orders'!$A$8:$H$127,6,FALSE)</x:f>
        <x:v>High</x:v>
      </x:c>
      <x:c r="T3374" s="9" t="str"/>
    </x:row>
    <x:row r="3375" ht="22" customHeight="1">
      <x:c r="A3375" s="2" t="str">
        <x:v>L00319-020</x:v>
      </x:c>
      <x:c r="B3375" s="2" t="str">
        <x:v>L00319</x:v>
      </x:c>
      <x:c r="C3375" s="2" t="str">
        <x:v>SO-26064</x:v>
      </x:c>
      <x:c r="D3375" s="2" t="str">
        <x:v>R-S-SS</x:v>
      </x:c>
      <x:c r="E3375" s="14" t="n">
        <x:v>15</x:v>
      </x:c>
      <x:c r="F3375" s="2" t="str">
        <x:v>Deburr &amp; inspect</x:v>
      </x:c>
      <x:c r="G3375" s="9" t="str">
        <x:v>DB-02</x:v>
      </x:c>
      <x:c r="H3375" s="15" t="n">
        <x:v>223</x:v>
      </x:c>
      <x:c r="I3375" s="9" t="str">
        <x:v>P13</x:v>
      </x:c>
      <x:c r="J3375" s="11" t="n">
        <x:v>46311.81458333333</x:v>
      </x:c>
      <x:c r="K3375" s="15" t="n">
        <x:v>4</x:v>
      </x:c>
      <x:c r="L3375" s="15" t="n">
        <x:v>10</x:v>
      </x:c>
      <x:c r="M3375" s="13" t="n">
        <x:f>J3375+(K3375+L3375)/1440</x:f>
        <x:v>46311.82430555556</x:v>
      </x:c>
      <x:c r="N3375" s="13" t="n">
        <x:f>VLOOKUP(C3375,'MES orders'!$A$8:$H$127,5,FALSE)</x:f>
        <x:v>46311.666666666664</x:v>
      </x:c>
      <x:c r="O3375" s="16" t="n">
        <x:f>MAX(0,(M3375-N3375)*24)</x:f>
        <x:v>3.7833333334419876</x:v>
      </x:c>
      <x:c r="P3375" s="9" t="str">
        <x:v>No</x:v>
      </x:c>
      <x:c r="Q3375" s="15" t="n">
        <x:v>14</x:v>
      </x:c>
      <x:c r="R3375" s="13" t="n">
        <x:f>J3375+Q3375/1440</x:f>
        <x:v>46311.82430555556</x:v>
      </x:c>
      <x:c r="S3375" s="2" t="str">
        <x:f>VLOOKUP(C3375,'MES orders'!$A$8:$H$127,6,FALSE)</x:f>
        <x:v>High</x:v>
      </x:c>
      <x:c r="T3375" s="9" t="str"/>
    </x:row>
    <x:row r="3376" ht="22" customHeight="1">
      <x:c r="A3376" s="2" t="str">
        <x:v>L00117-050</x:v>
      </x:c>
      <x:c r="B3376" s="2" t="str">
        <x:v>L00117</x:v>
      </x:c>
      <x:c r="C3376" s="2" t="str">
        <x:v>SO-26024</x:v>
      </x:c>
      <x:c r="D3376" s="2" t="str">
        <x:v>S-L-SS</x:v>
      </x:c>
      <x:c r="E3376" s="14" t="n">
        <x:v>10</x:v>
      </x:c>
      <x:c r="F3376" s="2" t="str">
        <x:v>Sensor installation</x:v>
      </x:c>
      <x:c r="G3376" s="9" t="str">
        <x:v>EL-02</x:v>
      </x:c>
      <x:c r="H3376" s="15" t="n">
        <x:v>57</x:v>
      </x:c>
      <x:c r="I3376" s="9" t="str">
        <x:v>P20</x:v>
      </x:c>
      <x:c r="J3376" s="11" t="n">
        <x:v>46311.81527777778</x:v>
      </x:c>
      <x:c r="K3376" s="15" t="n">
        <x:v>8</x:v>
      </x:c>
      <x:c r="L3376" s="15" t="n">
        <x:v>16</x:v>
      </x:c>
      <x:c r="M3376" s="13" t="n">
        <x:f>J3376+(K3376+L3376)/1440</x:f>
        <x:v>46311.83194444445</x:v>
      </x:c>
      <x:c r="N3376" s="13" t="n">
        <x:f>VLOOKUP(C3376,'MES orders'!$A$8:$H$127,5,FALSE)</x:f>
        <x:v>46311.666666666664</x:v>
      </x:c>
      <x:c r="O3376" s="16" t="n">
        <x:f>MAX(0,(M3376-N3376)*24)</x:f>
        <x:v>3.9666666668490507</x:v>
      </x:c>
      <x:c r="P3376" s="9" t="str">
        <x:v>No</x:v>
      </x:c>
      <x:c r="Q3376" s="15" t="n">
        <x:v>24</x:v>
      </x:c>
      <x:c r="R3376" s="13" t="n">
        <x:f>J3376+Q3376/1440</x:f>
        <x:v>46311.83194444445</x:v>
      </x:c>
      <x:c r="S3376" s="2" t="str">
        <x:f>VLOOKUP(C3376,'MES orders'!$A$8:$H$127,6,FALSE)</x:f>
        <x:v>Urgent</x:v>
      </x:c>
      <x:c r="T3376" s="9" t="str"/>
    </x:row>
    <x:row r="3377" ht="22" customHeight="1">
      <x:c r="A3377" s="2" t="str">
        <x:v>L00038-030</x:v>
      </x:c>
      <x:c r="B3377" s="2" t="str">
        <x:v>L00038</x:v>
      </x:c>
      <x:c r="C3377" s="2" t="str">
        <x:v>SO-26008</x:v>
      </x:c>
      <x:c r="D3377" s="2" t="str">
        <x:v>S-C-SS</x:v>
      </x:c>
      <x:c r="E3377" s="14" t="n">
        <x:v>25</x:v>
      </x:c>
      <x:c r="F3377" s="2" t="str">
        <x:v>Wash &amp; dry</x:v>
      </x:c>
      <x:c r="G3377" s="9" t="str">
        <x:v>WS-02</x:v>
      </x:c>
      <x:c r="H3377" s="15" t="n">
        <x:v>228</x:v>
      </x:c>
      <x:c r="I3377" s="9" t="str">
        <x:v>P18</x:v>
      </x:c>
      <x:c r="J3377" s="11" t="n">
        <x:v>46311.81597222222</x:v>
      </x:c>
      <x:c r="K3377" s="15" t="n">
        <x:v>12</x:v>
      </x:c>
      <x:c r="L3377" s="15" t="n">
        <x:v>7</x:v>
      </x:c>
      <x:c r="M3377" s="13" t="n">
        <x:f>J3377+(K3377+L3377)/1440</x:f>
        <x:v>46311.82916666666</x:v>
      </x:c>
      <x:c r="N3377" s="13" t="n">
        <x:f>VLOOKUP(C3377,'MES orders'!$A$8:$H$127,5,FALSE)</x:f>
        <x:v>46311.666666666664</x:v>
      </x:c>
      <x:c r="O3377" s="16" t="n">
        <x:f>MAX(0,(M3377-N3377)*24)</x:f>
        <x:v>3.8999999999650754</x:v>
      </x:c>
      <x:c r="P3377" s="9" t="str">
        <x:v>No</x:v>
      </x:c>
      <x:c r="Q3377" s="15" t="n">
        <x:v>19</x:v>
      </x:c>
      <x:c r="R3377" s="13" t="n">
        <x:f>J3377+Q3377/1440</x:f>
        <x:v>46311.82916666666</x:v>
      </x:c>
      <x:c r="S3377" s="2" t="str">
        <x:f>VLOOKUP(C3377,'MES orders'!$A$8:$H$127,6,FALSE)</x:f>
        <x:v>High</x:v>
      </x:c>
      <x:c r="T3377" s="9" t="str"/>
    </x:row>
    <x:row r="3378" ht="22" customHeight="1">
      <x:c r="A3378" s="2" t="str">
        <x:v>L00040-020</x:v>
      </x:c>
      <x:c r="B3378" s="2" t="str">
        <x:v>L00040</x:v>
      </x:c>
      <x:c r="C3378" s="2" t="str">
        <x:v>SO-26008</x:v>
      </x:c>
      <x:c r="D3378" s="2" t="str">
        <x:v>S-C-SS</x:v>
      </x:c>
      <x:c r="E3378" s="14" t="n">
        <x:v>25</x:v>
      </x:c>
      <x:c r="F3378" s="2" t="str">
        <x:v>Deburr &amp; inspect</x:v>
      </x:c>
      <x:c r="G3378" s="9" t="str">
        <x:v>DB-01</x:v>
      </x:c>
      <x:c r="H3378" s="15" t="n">
        <x:v>316</x:v>
      </x:c>
      <x:c r="I3378" s="9" t="str">
        <x:v>P17</x:v>
      </x:c>
      <x:c r="J3378" s="11" t="n">
        <x:v>46311.82083333333</x:v>
      </x:c>
      <x:c r="K3378" s="15" t="n">
        <x:v>4</x:v>
      </x:c>
      <x:c r="L3378" s="15" t="n">
        <x:v>14</x:v>
      </x:c>
      <x:c r="M3378" s="13" t="n">
        <x:f>J3378+(K3378+L3378)/1440</x:f>
        <x:v>46311.83333333333</x:v>
      </x:c>
      <x:c r="N3378" s="13" t="n">
        <x:f>VLOOKUP(C3378,'MES orders'!$A$8:$H$127,5,FALSE)</x:f>
        <x:v>46311.666666666664</x:v>
      </x:c>
      <x:c r="O3378" s="16" t="n">
        <x:f>MAX(0,(M3378-N3378)*24)</x:f>
        <x:v>3.9999999999417923</x:v>
      </x:c>
      <x:c r="P3378" s="9" t="str">
        <x:v>No</x:v>
      </x:c>
      <x:c r="Q3378" s="15" t="n">
        <x:v>18</x:v>
      </x:c>
      <x:c r="R3378" s="13" t="n">
        <x:f>J3378+Q3378/1440</x:f>
        <x:v>46311.83333333333</x:v>
      </x:c>
      <x:c r="S3378" s="2" t="str">
        <x:f>VLOOKUP(C3378,'MES orders'!$A$8:$H$127,6,FALSE)</x:f>
        <x:v>High</x:v>
      </x:c>
      <x:c r="T3378" s="9" t="str"/>
    </x:row>
    <x:row r="3379" ht="22" customHeight="1">
      <x:c r="A3379" s="2" t="str">
        <x:v>L00592-080</x:v>
      </x:c>
      <x:c r="B3379" s="2" t="str">
        <x:v>L00592</x:v>
      </x:c>
      <x:c r="C3379" s="2" t="str">
        <x:v>SO-26119</x:v>
      </x:c>
      <x:c r="D3379" s="2" t="str">
        <x:v>S-L-AL</x:v>
      </x:c>
      <x:c r="E3379" s="14" t="n">
        <x:v>20</x:v>
      </x:c>
      <x:c r="F3379" s="2" t="str">
        <x:v>Final leak / function test</x:v>
      </x:c>
      <x:c r="G3379" s="9" t="str">
        <x:v>QA-02</x:v>
      </x:c>
      <x:c r="H3379" s="15" t="n">
        <x:v>252</x:v>
      </x:c>
      <x:c r="I3379" s="9" t="str">
        <x:v>P23</x:v>
      </x:c>
      <x:c r="J3379" s="11" t="n">
        <x:v>46311.82083333333</x:v>
      </x:c>
      <x:c r="K3379" s="15" t="n">
        <x:v>10</x:v>
      </x:c>
      <x:c r="L3379" s="15" t="n">
        <x:v>24</x:v>
      </x:c>
      <x:c r="M3379" s="13" t="n">
        <x:f>J3379+(K3379+L3379)/1440</x:f>
        <x:v>46311.84444444444</x:v>
      </x:c>
      <x:c r="N3379" s="13" t="n">
        <x:f>VLOOKUP(C3379,'MES orders'!$A$8:$H$127,5,FALSE)</x:f>
        <x:v>46310.666666666664</x:v>
      </x:c>
      <x:c r="O3379" s="16" t="n">
        <x:f>MAX(0,(M3379-N3379)*24)</x:f>
        <x:v>28.26666666660458</x:v>
      </x:c>
      <x:c r="P3379" s="9" t="str">
        <x:v>No</x:v>
      </x:c>
      <x:c r="Q3379" s="15" t="n">
        <x:v>34</x:v>
      </x:c>
      <x:c r="R3379" s="13" t="n">
        <x:f>J3379+Q3379/1440</x:f>
        <x:v>46311.84444444444</x:v>
      </x:c>
      <x:c r="S3379" s="2" t="str">
        <x:f>VLOOKUP(C3379,'MES orders'!$A$8:$H$127,6,FALSE)</x:f>
        <x:v>Normal</x:v>
      </x:c>
      <x:c r="T3379" s="9" t="str"/>
    </x:row>
    <x:row r="3380" ht="22" customHeight="1">
      <x:c r="A3380" s="2" t="str">
        <x:v>L00037-040</x:v>
      </x:c>
      <x:c r="B3380" s="2" t="str">
        <x:v>L00037</x:v>
      </x:c>
      <x:c r="C3380" s="2" t="str">
        <x:v>SO-26008</x:v>
      </x:c>
      <x:c r="D3380" s="2" t="str">
        <x:v>S-C-SS</x:v>
      </x:c>
      <x:c r="E3380" s="14" t="n">
        <x:v>25</x:v>
      </x:c>
      <x:c r="F3380" s="2" t="str">
        <x:v>Mechanical preassembly</x:v>
      </x:c>
      <x:c r="G3380" s="9" t="str">
        <x:v>AS-02</x:v>
      </x:c>
      <x:c r="H3380" s="15" t="n">
        <x:v>221</x:v>
      </x:c>
      <x:c r="I3380" s="9" t="str">
        <x:v>P16</x:v>
      </x:c>
      <x:c r="J3380" s="11" t="n">
        <x:v>46311.82361111111</x:v>
      </x:c>
      <x:c r="K3380" s="15" t="n">
        <x:v>6</x:v>
      </x:c>
      <x:c r="L3380" s="15" t="n">
        <x:v>22</x:v>
      </x:c>
      <x:c r="M3380" s="13" t="n">
        <x:f>J3380+(K3380+L3380)/1440</x:f>
        <x:v>46311.84305555555</x:v>
      </x:c>
      <x:c r="N3380" s="13" t="n">
        <x:f>VLOOKUP(C3380,'MES orders'!$A$8:$H$127,5,FALSE)</x:f>
        <x:v>46311.666666666664</x:v>
      </x:c>
      <x:c r="O3380" s="16" t="n">
        <x:f>MAX(0,(M3380-N3380)*24)</x:f>
        <x:v>4.233333333337214</x:v>
      </x:c>
      <x:c r="P3380" s="9" t="str">
        <x:v>No</x:v>
      </x:c>
      <x:c r="Q3380" s="15" t="n">
        <x:v>28</x:v>
      </x:c>
      <x:c r="R3380" s="13" t="n">
        <x:f>J3380+Q3380/1440</x:f>
        <x:v>46311.84305555555</x:v>
      </x:c>
      <x:c r="S3380" s="2" t="str">
        <x:f>VLOOKUP(C3380,'MES orders'!$A$8:$H$127,6,FALSE)</x:f>
        <x:v>High</x:v>
      </x:c>
      <x:c r="T3380" s="9" t="str"/>
    </x:row>
    <x:row r="3381" ht="22" customHeight="1">
      <x:c r="A3381" s="2" t="str">
        <x:v>L00319-030</x:v>
      </x:c>
      <x:c r="B3381" s="2" t="str">
        <x:v>L00319</x:v>
      </x:c>
      <x:c r="C3381" s="2" t="str">
        <x:v>SO-26064</x:v>
      </x:c>
      <x:c r="D3381" s="2" t="str">
        <x:v>R-S-SS</x:v>
      </x:c>
      <x:c r="E3381" s="14" t="n">
        <x:v>15</x:v>
      </x:c>
      <x:c r="F3381" s="2" t="str">
        <x:v>Wash &amp; dry</x:v>
      </x:c>
      <x:c r="G3381" s="9" t="str">
        <x:v>WS-01</x:v>
      </x:c>
      <x:c r="H3381" s="15" t="n">
        <x:v>309</x:v>
      </x:c>
      <x:c r="I3381" s="9" t="str">
        <x:v>P13</x:v>
      </x:c>
      <x:c r="J3381" s="11" t="n">
        <x:v>46311.82430555556</x:v>
      </x:c>
      <x:c r="K3381" s="15" t="n">
        <x:v>12</x:v>
      </x:c>
      <x:c r="L3381" s="15" t="n">
        <x:v>5</x:v>
      </x:c>
      <x:c r="M3381" s="13" t="n">
        <x:f>J3381+(K3381+L3381)/1440</x:f>
        <x:v>46311.836111111115</x:v>
      </x:c>
      <x:c r="N3381" s="13" t="n">
        <x:f>VLOOKUP(C3381,'MES orders'!$A$8:$H$127,5,FALSE)</x:f>
        <x:v>46311.666666666664</x:v>
      </x:c>
      <x:c r="O3381" s="16" t="n">
        <x:f>MAX(0,(M3381-N3381)*24)</x:f>
        <x:v>4.066666666825768</x:v>
      </x:c>
      <x:c r="P3381" s="9" t="str">
        <x:v>No</x:v>
      </x:c>
      <x:c r="Q3381" s="15" t="n">
        <x:v>17</x:v>
      </x:c>
      <x:c r="R3381" s="13" t="n">
        <x:f>J3381+Q3381/1440</x:f>
        <x:v>46311.836111111115</x:v>
      </x:c>
      <x:c r="S3381" s="2" t="str">
        <x:f>VLOOKUP(C3381,'MES orders'!$A$8:$H$127,6,FALSE)</x:f>
        <x:v>High</x:v>
      </x:c>
      <x:c r="T3381" s="9" t="str"/>
    </x:row>
    <x:row r="3382" ht="22" customHeight="1">
      <x:c r="A3382" s="2" t="str">
        <x:v>L00118-050</x:v>
      </x:c>
      <x:c r="B3382" s="2" t="str">
        <x:v>L00118</x:v>
      </x:c>
      <x:c r="C3382" s="2" t="str">
        <x:v>SO-26024</x:v>
      </x:c>
      <x:c r="D3382" s="2" t="str">
        <x:v>S-L-SS</x:v>
      </x:c>
      <x:c r="E3382" s="14" t="n">
        <x:v>10</x:v>
      </x:c>
      <x:c r="F3382" s="2" t="str">
        <x:v>Sensor installation</x:v>
      </x:c>
      <x:c r="G3382" s="9" t="str">
        <x:v>EL-01</x:v>
      </x:c>
      <x:c r="H3382" s="15" t="n">
        <x:v>117</x:v>
      </x:c>
      <x:c r="I3382" s="9" t="str">
        <x:v>P19</x:v>
      </x:c>
      <x:c r="J3382" s="11" t="n">
        <x:v>46311.82638888889</x:v>
      </x:c>
      <x:c r="K3382" s="15" t="n">
        <x:v>8</x:v>
      </x:c>
      <x:c r="L3382" s="15" t="n">
        <x:v>16</x:v>
      </x:c>
      <x:c r="M3382" s="13" t="n">
        <x:f>J3382+(K3382+L3382)/1440</x:f>
        <x:v>46311.84305555556</x:v>
      </x:c>
      <x:c r="N3382" s="13" t="n">
        <x:f>VLOOKUP(C3382,'MES orders'!$A$8:$H$127,5,FALSE)</x:f>
        <x:v>46311.666666666664</x:v>
      </x:c>
      <x:c r="O3382" s="16" t="n">
        <x:f>MAX(0,(M3382-N3382)*24)</x:f>
        <x:v>4.233333333511837</x:v>
      </x:c>
      <x:c r="P3382" s="9" t="str">
        <x:v>No</x:v>
      </x:c>
      <x:c r="Q3382" s="15" t="n">
        <x:v>24</x:v>
      </x:c>
      <x:c r="R3382" s="13" t="n">
        <x:f>J3382+Q3382/1440</x:f>
        <x:v>46311.84305555556</x:v>
      </x:c>
      <x:c r="S3382" s="2" t="str">
        <x:f>VLOOKUP(C3382,'MES orders'!$A$8:$H$127,6,FALSE)</x:f>
        <x:v>Urgent</x:v>
      </x:c>
      <x:c r="T3382" s="9" t="str"/>
    </x:row>
    <x:row r="3383" ht="22" customHeight="1">
      <x:c r="A3383" s="2" t="str">
        <x:v>L00599-010</x:v>
      </x:c>
      <x:c r="B3383" s="2" t="str">
        <x:v>L00599</x:v>
      </x:c>
      <x:c r="C3383" s="2" t="str">
        <x:v>SO-26120</x:v>
      </x:c>
      <x:c r="D3383" s="2" t="str">
        <x:v>D-L-SS</x:v>
      </x:c>
      <x:c r="E3383" s="14" t="n">
        <x:v>25</x:v>
      </x:c>
      <x:c r="F3383" s="2" t="str">
        <x:v>CNC machining</x:v>
      </x:c>
      <x:c r="G3383" s="9" t="str">
        <x:v>CNC-04</x:v>
      </x:c>
      <x:c r="H3383" s="15" t="n">
        <x:v>105</x:v>
      </x:c>
      <x:c r="I3383" s="9" t="str">
        <x:v>P14</x:v>
      </x:c>
      <x:c r="J3383" s="11" t="n">
        <x:v>46311.82708333333</x:v>
      </x:c>
      <x:c r="K3383" s="15" t="n">
        <x:v>18</x:v>
      </x:c>
      <x:c r="L3383" s="15" t="n">
        <x:v>101</x:v>
      </x:c>
      <x:c r="M3383" s="13" t="n">
        <x:f>J3383+(K3383+L3383)/1440</x:f>
        <x:v>46311.90972222222</x:v>
      </x:c>
      <x:c r="N3383" s="13" t="n">
        <x:f>VLOOKUP(C3383,'MES orders'!$A$8:$H$127,5,FALSE)</x:f>
        <x:v>46311.666666666664</x:v>
      </x:c>
      <x:c r="O3383" s="16" t="n">
        <x:f>MAX(0,(M3383-N3383)*24)</x:f>
        <x:v>5.833333333313931</x:v>
      </x:c>
      <x:c r="P3383" s="9" t="str">
        <x:v>No</x:v>
      </x:c>
      <x:c r="Q3383" s="15" t="n">
        <x:v>18</x:v>
      </x:c>
      <x:c r="R3383" s="13" t="n">
        <x:f>J3383+Q3383/1440</x:f>
        <x:v>46311.83958333333</x:v>
      </x:c>
      <x:c r="S3383" s="2" t="str">
        <x:f>VLOOKUP(C3383,'MES orders'!$A$8:$H$127,6,FALSE)</x:f>
        <x:v>High</x:v>
      </x:c>
      <x:c r="T3383" s="9" t="str"/>
    </x:row>
    <x:row r="3384" ht="22" customHeight="1">
      <x:c r="A3384" s="2" t="str">
        <x:v>L00038-040</x:v>
      </x:c>
      <x:c r="B3384" s="2" t="str">
        <x:v>L00038</x:v>
      </x:c>
      <x:c r="C3384" s="2" t="str">
        <x:v>SO-26008</x:v>
      </x:c>
      <x:c r="D3384" s="2" t="str">
        <x:v>S-C-SS</x:v>
      </x:c>
      <x:c r="E3384" s="14" t="n">
        <x:v>25</x:v>
      </x:c>
      <x:c r="F3384" s="2" t="str">
        <x:v>Mechanical preassembly</x:v>
      </x:c>
      <x:c r="G3384" s="9" t="str">
        <x:v>AS-03</x:v>
      </x:c>
      <x:c r="H3384" s="15" t="n">
        <x:v>181</x:v>
      </x:c>
      <x:c r="I3384" s="9" t="str">
        <x:v>P18</x:v>
      </x:c>
      <x:c r="J3384" s="11" t="n">
        <x:v>46311.82916666667</x:v>
      </x:c>
      <x:c r="K3384" s="15" t="n">
        <x:v>6</x:v>
      </x:c>
      <x:c r="L3384" s="15" t="n">
        <x:v>22</x:v>
      </x:c>
      <x:c r="M3384" s="13" t="n">
        <x:f>J3384+(K3384+L3384)/1440</x:f>
        <x:v>46311.84861111111</x:v>
      </x:c>
      <x:c r="N3384" s="13" t="n">
        <x:f>VLOOKUP(C3384,'MES orders'!$A$8:$H$127,5,FALSE)</x:f>
        <x:v>46311.666666666664</x:v>
      </x:c>
      <x:c r="O3384" s="16" t="n">
        <x:f>MAX(0,(M3384-N3384)*24)</x:f>
        <x:v>4.366666666755918</x:v>
      </x:c>
      <x:c r="P3384" s="9" t="str">
        <x:v>No</x:v>
      </x:c>
      <x:c r="Q3384" s="15" t="n">
        <x:v>28</x:v>
      </x:c>
      <x:c r="R3384" s="13" t="n">
        <x:f>J3384+Q3384/1440</x:f>
        <x:v>46311.84861111111</x:v>
      </x:c>
      <x:c r="S3384" s="2" t="str">
        <x:f>VLOOKUP(C3384,'MES orders'!$A$8:$H$127,6,FALSE)</x:f>
        <x:v>High</x:v>
      </x:c>
      <x:c r="T3384" s="9" t="str"/>
    </x:row>
    <x:row r="3385" ht="22" customHeight="1">
      <x:c r="A3385" s="2" t="str">
        <x:v>L00119-050</x:v>
      </x:c>
      <x:c r="B3385" s="2" t="str">
        <x:v>L00119</x:v>
      </x:c>
      <x:c r="C3385" s="2" t="str">
        <x:v>SO-26024</x:v>
      </x:c>
      <x:c r="D3385" s="2" t="str">
        <x:v>S-L-SS</x:v>
      </x:c>
      <x:c r="E3385" s="14" t="n">
        <x:v>10</x:v>
      </x:c>
      <x:c r="F3385" s="2" t="str">
        <x:v>Sensor installation</x:v>
      </x:c>
      <x:c r="G3385" s="9" t="str">
        <x:v>EL-02</x:v>
      </x:c>
      <x:c r="H3385" s="15" t="n">
        <x:v>58</x:v>
      </x:c>
      <x:c r="I3385" s="9" t="str">
        <x:v>P20</x:v>
      </x:c>
      <x:c r="J3385" s="11" t="n">
        <x:v>46311.83194444444</x:v>
      </x:c>
      <x:c r="K3385" s="15" t="n">
        <x:v>8</x:v>
      </x:c>
      <x:c r="L3385" s="15" t="n">
        <x:v>16</x:v>
      </x:c>
      <x:c r="M3385" s="13" t="n">
        <x:f>J3385+(K3385+L3385)/1440</x:f>
        <x:v>46311.84861111111</x:v>
      </x:c>
      <x:c r="N3385" s="13" t="n">
        <x:f>VLOOKUP(C3385,'MES orders'!$A$8:$H$127,5,FALSE)</x:f>
        <x:v>46311.666666666664</x:v>
      </x:c>
      <x:c r="O3385" s="16" t="n">
        <x:f>MAX(0,(M3385-N3385)*24)</x:f>
        <x:v>4.366666666755918</x:v>
      </x:c>
      <x:c r="P3385" s="9" t="str">
        <x:v>No</x:v>
      </x:c>
      <x:c r="Q3385" s="15" t="n">
        <x:v>24</x:v>
      </x:c>
      <x:c r="R3385" s="13" t="n">
        <x:f>J3385+Q3385/1440</x:f>
        <x:v>46311.84861111111</x:v>
      </x:c>
      <x:c r="S3385" s="2" t="str">
        <x:f>VLOOKUP(C3385,'MES orders'!$A$8:$H$127,6,FALSE)</x:f>
        <x:v>Urgent</x:v>
      </x:c>
      <x:c r="T3385" s="9" t="str"/>
    </x:row>
    <x:row r="3386" ht="22" customHeight="1">
      <x:c r="A3386" s="2" t="str">
        <x:v>L00593-070</x:v>
      </x:c>
      <x:c r="B3386" s="2" t="str">
        <x:v>L00593</x:v>
      </x:c>
      <x:c r="C3386" s="2" t="str">
        <x:v>SO-26119</x:v>
      </x:c>
      <x:c r="D3386" s="2" t="str">
        <x:v>S-L-AL</x:v>
      </x:c>
      <x:c r="E3386" s="14" t="n">
        <x:v>20</x:v>
      </x:c>
      <x:c r="F3386" s="2" t="str">
        <x:v>Final assembly</x:v>
      </x:c>
      <x:c r="G3386" s="9" t="str">
        <x:v>AS-01</x:v>
      </x:c>
      <x:c r="H3386" s="15" t="n">
        <x:v>267</x:v>
      </x:c>
      <x:c r="I3386" s="9" t="str">
        <x:v>P17</x:v>
      </x:c>
      <x:c r="J3386" s="11" t="n">
        <x:v>46311.833333333336</x:v>
      </x:c>
      <x:c r="K3386" s="15" t="n">
        <x:v>5</x:v>
      </x:c>
      <x:c r="L3386" s="15" t="n">
        <x:v>22</x:v>
      </x:c>
      <x:c r="M3386" s="13" t="n">
        <x:f>J3386+(K3386+L3386)/1440</x:f>
        <x:v>46311.85208333334</x:v>
      </x:c>
      <x:c r="N3386" s="13" t="n">
        <x:f>VLOOKUP(C3386,'MES orders'!$A$8:$H$127,5,FALSE)</x:f>
        <x:v>46310.666666666664</x:v>
      </x:c>
      <x:c r="O3386" s="16" t="n">
        <x:f>MAX(0,(M3386-N3386)*24)</x:f>
        <x:v>28.450000000186265</x:v>
      </x:c>
      <x:c r="P3386" s="9" t="str">
        <x:v>No</x:v>
      </x:c>
      <x:c r="Q3386" s="15" t="n">
        <x:v>27</x:v>
      </x:c>
      <x:c r="R3386" s="13" t="n">
        <x:f>J3386+Q3386/1440</x:f>
        <x:v>46311.85208333334</x:v>
      </x:c>
      <x:c r="S3386" s="2" t="str">
        <x:f>VLOOKUP(C3386,'MES orders'!$A$8:$H$127,6,FALSE)</x:f>
        <x:v>Normal</x:v>
      </x:c>
      <x:c r="T3386" s="9" t="str"/>
    </x:row>
    <x:row r="3387" ht="22" customHeight="1">
      <x:c r="A3387" s="2" t="str">
        <x:v>L00594-060</x:v>
      </x:c>
      <x:c r="B3387" s="2" t="str">
        <x:v>L00594</x:v>
      </x:c>
      <x:c r="C3387" s="2" t="str">
        <x:v>SO-26119</x:v>
      </x:c>
      <x:c r="D3387" s="2" t="str">
        <x:v>S-L-AL</x:v>
      </x:c>
      <x:c r="E3387" s="14" t="n">
        <x:v>20</x:v>
      </x:c>
      <x:c r="F3387" s="2" t="str">
        <x:v>Sensor calibration</x:v>
      </x:c>
      <x:c r="G3387" s="9" t="str">
        <x:v>CAL-01</x:v>
      </x:c>
      <x:c r="H3387" s="15" t="n">
        <x:v>169</x:v>
      </x:c>
      <x:c r="I3387" s="9" t="str">
        <x:v>P21</x:v>
      </x:c>
      <x:c r="J3387" s="11" t="n">
        <x:v>46311.833333333336</x:v>
      </x:c>
      <x:c r="K3387" s="15" t="n">
        <x:v>10</x:v>
      </x:c>
      <x:c r="L3387" s="15" t="n">
        <x:v>35</x:v>
      </x:c>
      <x:c r="M3387" s="13" t="n">
        <x:f>J3387+(K3387+L3387)/1440</x:f>
        <x:v>46311.864583333336</x:v>
      </x:c>
      <x:c r="N3387" s="13" t="n">
        <x:f>VLOOKUP(C3387,'MES orders'!$A$8:$H$127,5,FALSE)</x:f>
        <x:v>46310.666666666664</x:v>
      </x:c>
      <x:c r="O3387" s="16" t="n">
        <x:f>MAX(0,(M3387-N3387)*24)</x:f>
        <x:v>28.750000000116415</x:v>
      </x:c>
      <x:c r="P3387" s="9" t="str">
        <x:v>No</x:v>
      </x:c>
      <x:c r="Q3387" s="15" t="n">
        <x:v>45</x:v>
      </x:c>
      <x:c r="R3387" s="13" t="n">
        <x:f>J3387+Q3387/1440</x:f>
        <x:v>46311.864583333336</x:v>
      </x:c>
      <x:c r="S3387" s="2" t="str">
        <x:f>VLOOKUP(C3387,'MES orders'!$A$8:$H$127,6,FALSE)</x:f>
        <x:v>Normal</x:v>
      </x:c>
      <x:c r="T3387" s="9" t="str"/>
    </x:row>
    <x:row r="3388" ht="22" customHeight="1">
      <x:c r="A3388" s="2" t="str">
        <x:v>L00319-040</x:v>
      </x:c>
      <x:c r="B3388" s="2" t="str">
        <x:v>L00319</x:v>
      </x:c>
      <x:c r="C3388" s="2" t="str">
        <x:v>SO-26064</x:v>
      </x:c>
      <x:c r="D3388" s="2" t="str">
        <x:v>R-S-SS</x:v>
      </x:c>
      <x:c r="E3388" s="14" t="n">
        <x:v>15</x:v>
      </x:c>
      <x:c r="F3388" s="2" t="str">
        <x:v>Mechanical assembly</x:v>
      </x:c>
      <x:c r="G3388" s="9" t="str">
        <x:v>AS-04</x:v>
      </x:c>
      <x:c r="H3388" s="15" t="n">
        <x:v>120</x:v>
      </x:c>
      <x:c r="I3388" s="9" t="str">
        <x:v>P13</x:v>
      </x:c>
      <x:c r="J3388" s="11" t="n">
        <x:v>46311.83611111111</x:v>
      </x:c>
      <x:c r="K3388" s="15" t="n">
        <x:v>8</x:v>
      </x:c>
      <x:c r="L3388" s="15" t="n">
        <x:v>27</x:v>
      </x:c>
      <x:c r="M3388" s="13" t="n">
        <x:f>J3388+(K3388+L3388)/1440</x:f>
        <x:v>46311.86041666666</x:v>
      </x:c>
      <x:c r="N3388" s="13" t="n">
        <x:f>VLOOKUP(C3388,'MES orders'!$A$8:$H$127,5,FALSE)</x:f>
        <x:v>46311.666666666664</x:v>
      </x:c>
      <x:c r="O3388" s="16" t="n">
        <x:f>MAX(0,(M3388-N3388)*24)</x:f>
        <x:v>4.649999999965075</x:v>
      </x:c>
      <x:c r="P3388" s="9" t="str">
        <x:v>No</x:v>
      </x:c>
      <x:c r="Q3388" s="15" t="n">
        <x:v>35</x:v>
      </x:c>
      <x:c r="R3388" s="13" t="n">
        <x:f>J3388+Q3388/1440</x:f>
        <x:v>46311.86041666666</x:v>
      </x:c>
      <x:c r="S3388" s="2" t="str">
        <x:f>VLOOKUP(C3388,'MES orders'!$A$8:$H$127,6,FALSE)</x:f>
        <x:v>High</x:v>
      </x:c>
      <x:c r="T3388" s="9" t="str"/>
    </x:row>
    <x:row r="3389" ht="22" customHeight="1">
      <x:c r="A3389" s="2" t="str">
        <x:v>L00036-050</x:v>
      </x:c>
      <x:c r="B3389" s="2" t="str">
        <x:v>L00036</x:v>
      </x:c>
      <x:c r="C3389" s="2" t="str">
        <x:v>SO-26008</x:v>
      </x:c>
      <x:c r="D3389" s="2" t="str">
        <x:v>S-C-SS</x:v>
      </x:c>
      <x:c r="E3389" s="14" t="n">
        <x:v>25</x:v>
      </x:c>
      <x:c r="F3389" s="2" t="str">
        <x:v>Sensor installation</x:v>
      </x:c>
      <x:c r="G3389" s="9" t="str">
        <x:v>EL-01</x:v>
      </x:c>
      <x:c r="H3389" s="15" t="n">
        <x:v>118</x:v>
      </x:c>
      <x:c r="I3389" s="9" t="str">
        <x:v>P19</x:v>
      </x:c>
      <x:c r="J3389" s="11" t="n">
        <x:v>46311.84305555555</x:v>
      </x:c>
      <x:c r="K3389" s="15" t="n">
        <x:v>8</x:v>
      </x:c>
      <x:c r="L3389" s="15" t="n">
        <x:v>24</x:v>
      </x:c>
      <x:c r="M3389" s="13" t="n">
        <x:f>J3389+(K3389+L3389)/1440</x:f>
        <x:v>46311.865277777775</x:v>
      </x:c>
      <x:c r="N3389" s="13" t="n">
        <x:f>VLOOKUP(C3389,'MES orders'!$A$8:$H$127,5,FALSE)</x:f>
        <x:v>46311.666666666664</x:v>
      </x:c>
      <x:c r="O3389" s="16" t="n">
        <x:f>MAX(0,(M3389-N3389)*24)</x:f>
        <x:v>4.766666666662786</x:v>
      </x:c>
      <x:c r="P3389" s="9" t="str">
        <x:v>No</x:v>
      </x:c>
      <x:c r="Q3389" s="15" t="n">
        <x:v>32</x:v>
      </x:c>
      <x:c r="R3389" s="13" t="n">
        <x:f>J3389+Q3389/1440</x:f>
        <x:v>46311.865277777775</x:v>
      </x:c>
      <x:c r="S3389" s="2" t="str">
        <x:f>VLOOKUP(C3389,'MES orders'!$A$8:$H$127,6,FALSE)</x:f>
        <x:v>High</x:v>
      </x:c>
      <x:c r="T3389" s="9" t="str"/>
    </x:row>
    <x:row r="3390" ht="22" customHeight="1">
      <x:c r="A3390" s="2" t="str">
        <x:v>L00039-030</x:v>
      </x:c>
      <x:c r="B3390" s="2" t="str">
        <x:v>L00039</x:v>
      </x:c>
      <x:c r="C3390" s="2" t="str">
        <x:v>SO-26008</x:v>
      </x:c>
      <x:c r="D3390" s="2" t="str">
        <x:v>S-C-SS</x:v>
      </x:c>
      <x:c r="E3390" s="14" t="n">
        <x:v>25</x:v>
      </x:c>
      <x:c r="F3390" s="2" t="str">
        <x:v>Wash &amp; dry</x:v>
      </x:c>
      <x:c r="G3390" s="9" t="str">
        <x:v>WS-01</x:v>
      </x:c>
      <x:c r="H3390" s="15" t="n">
        <x:v>310</x:v>
      </x:c>
      <x:c r="I3390" s="9" t="str">
        <x:v>P16</x:v>
      </x:c>
      <x:c r="J3390" s="11" t="n">
        <x:v>46311.84305555555</x:v>
      </x:c>
      <x:c r="K3390" s="15" t="n">
        <x:v>12</x:v>
      </x:c>
      <x:c r="L3390" s="15" t="n">
        <x:v>7</x:v>
      </x:c>
      <x:c r="M3390" s="13" t="n">
        <x:f>J3390+(K3390+L3390)/1440</x:f>
        <x:v>46311.85625</x:v>
      </x:c>
      <x:c r="N3390" s="13" t="n">
        <x:f>VLOOKUP(C3390,'MES orders'!$A$8:$H$127,5,FALSE)</x:f>
        <x:v>46311.666666666664</x:v>
      </x:c>
      <x:c r="O3390" s="16" t="n">
        <x:f>MAX(0,(M3390-N3390)*24)</x:f>
        <x:v>4.5499999999883585</x:v>
      </x:c>
      <x:c r="P3390" s="9" t="str">
        <x:v>No</x:v>
      </x:c>
      <x:c r="Q3390" s="15" t="n">
        <x:v>19</x:v>
      </x:c>
      <x:c r="R3390" s="13" t="n">
        <x:f>J3390+Q3390/1440</x:f>
        <x:v>46311.85625</x:v>
      </x:c>
      <x:c r="S3390" s="2" t="str">
        <x:f>VLOOKUP(C3390,'MES orders'!$A$8:$H$127,6,FALSE)</x:f>
        <x:v>High</x:v>
      </x:c>
      <x:c r="T3390" s="9" t="str"/>
    </x:row>
    <x:row r="3391" ht="22" customHeight="1">
      <x:c r="A3391" s="2" t="str">
        <x:v>L00037-050</x:v>
      </x:c>
      <x:c r="B3391" s="2" t="str">
        <x:v>L00037</x:v>
      </x:c>
      <x:c r="C3391" s="2" t="str">
        <x:v>SO-26008</x:v>
      </x:c>
      <x:c r="D3391" s="2" t="str">
        <x:v>S-C-SS</x:v>
      </x:c>
      <x:c r="E3391" s="14" t="n">
        <x:v>25</x:v>
      </x:c>
      <x:c r="F3391" s="2" t="str">
        <x:v>Sensor installation</x:v>
      </x:c>
      <x:c r="G3391" s="9" t="str">
        <x:v>EL-02</x:v>
      </x:c>
      <x:c r="H3391" s="15" t="n">
        <x:v>59</x:v>
      </x:c>
      <x:c r="I3391" s="9" t="str">
        <x:v>P20</x:v>
      </x:c>
      <x:c r="J3391" s="11" t="n">
        <x:v>46311.84861111111</x:v>
      </x:c>
      <x:c r="K3391" s="15" t="n">
        <x:v>8</x:v>
      </x:c>
      <x:c r="L3391" s="15" t="n">
        <x:v>24</x:v>
      </x:c>
      <x:c r="M3391" s="13" t="n">
        <x:f>J3391+(K3391+L3391)/1440</x:f>
        <x:v>46311.870833333334</x:v>
      </x:c>
      <x:c r="N3391" s="13" t="n">
        <x:f>VLOOKUP(C3391,'MES orders'!$A$8:$H$127,5,FALSE)</x:f>
        <x:v>46311.666666666664</x:v>
      </x:c>
      <x:c r="O3391" s="16" t="n">
        <x:f>MAX(0,(M3391-N3391)*24)</x:f>
        <x:v>4.900000000081491</x:v>
      </x:c>
      <x:c r="P3391" s="9" t="str">
        <x:v>No</x:v>
      </x:c>
      <x:c r="Q3391" s="15" t="n">
        <x:v>32</x:v>
      </x:c>
      <x:c r="R3391" s="13" t="n">
        <x:f>J3391+Q3391/1440</x:f>
        <x:v>46311.870833333334</x:v>
      </x:c>
      <x:c r="S3391" s="2" t="str">
        <x:f>VLOOKUP(C3391,'MES orders'!$A$8:$H$127,6,FALSE)</x:f>
        <x:v>High</x:v>
      </x:c>
      <x:c r="T3391" s="9" t="str"/>
    </x:row>
    <x:row r="3392" ht="22" customHeight="1">
      <x:c r="A3392" s="2" t="str">
        <x:v>L00040-030</x:v>
      </x:c>
      <x:c r="B3392" s="2" t="str">
        <x:v>L00040</x:v>
      </x:c>
      <x:c r="C3392" s="2" t="str">
        <x:v>SO-26008</x:v>
      </x:c>
      <x:c r="D3392" s="2" t="str">
        <x:v>S-C-SS</x:v>
      </x:c>
      <x:c r="E3392" s="14" t="n">
        <x:v>25</x:v>
      </x:c>
      <x:c r="F3392" s="2" t="str">
        <x:v>Wash &amp; dry</x:v>
      </x:c>
      <x:c r="G3392" s="9" t="str">
        <x:v>WS-02</x:v>
      </x:c>
      <x:c r="H3392" s="15" t="n">
        <x:v>229</x:v>
      </x:c>
      <x:c r="I3392" s="9" t="str">
        <x:v>P18</x:v>
      </x:c>
      <x:c r="J3392" s="11" t="n">
        <x:v>46311.84861111111</x:v>
      </x:c>
      <x:c r="K3392" s="15" t="n">
        <x:v>12</x:v>
      </x:c>
      <x:c r="L3392" s="15" t="n">
        <x:v>7</x:v>
      </x:c>
      <x:c r="M3392" s="13" t="n">
        <x:f>J3392+(K3392+L3392)/1440</x:f>
        <x:v>46311.861805555556</x:v>
      </x:c>
      <x:c r="N3392" s="13" t="n">
        <x:f>VLOOKUP(C3392,'MES orders'!$A$8:$H$127,5,FALSE)</x:f>
        <x:v>46311.666666666664</x:v>
      </x:c>
      <x:c r="O3392" s="16" t="n">
        <x:f>MAX(0,(M3392-N3392)*24)</x:f>
        <x:v>4.683333333407063</x:v>
      </x:c>
      <x:c r="P3392" s="9" t="str">
        <x:v>No</x:v>
      </x:c>
      <x:c r="Q3392" s="15" t="n">
        <x:v>19</x:v>
      </x:c>
      <x:c r="R3392" s="13" t="n">
        <x:f>J3392+Q3392/1440</x:f>
        <x:v>46311.861805555556</x:v>
      </x:c>
      <x:c r="S3392" s="2" t="str">
        <x:f>VLOOKUP(C3392,'MES orders'!$A$8:$H$127,6,FALSE)</x:f>
        <x:v>High</x:v>
      </x:c>
      <x:c r="T3392" s="9" t="str"/>
    </x:row>
    <x:row r="3393" ht="22" customHeight="1">
      <x:c r="A3393" s="2" t="str">
        <x:v>L00316-020</x:v>
      </x:c>
      <x:c r="B3393" s="2" t="str">
        <x:v>L00316</x:v>
      </x:c>
      <x:c r="C3393" s="2" t="str">
        <x:v>SO-26064</x:v>
      </x:c>
      <x:c r="D3393" s="2" t="str">
        <x:v>R-S-SS</x:v>
      </x:c>
      <x:c r="E3393" s="14" t="n">
        <x:v>15</x:v>
      </x:c>
      <x:c r="F3393" s="2" t="str">
        <x:v>Deburr &amp; inspect</x:v>
      </x:c>
      <x:c r="G3393" s="9" t="str">
        <x:v>DB-01</x:v>
      </x:c>
      <x:c r="H3393" s="15" t="n">
        <x:v>317</x:v>
      </x:c>
      <x:c r="I3393" s="9" t="str">
        <x:v>P17</x:v>
      </x:c>
      <x:c r="J3393" s="11" t="n">
        <x:v>46311.85208333333</x:v>
      </x:c>
      <x:c r="K3393" s="15" t="n">
        <x:v>4</x:v>
      </x:c>
      <x:c r="L3393" s="15" t="n">
        <x:v>10</x:v>
      </x:c>
      <x:c r="M3393" s="13" t="n">
        <x:f>J3393+(K3393+L3393)/1440</x:f>
        <x:v>46311.861805555556</x:v>
      </x:c>
      <x:c r="N3393" s="13" t="n">
        <x:f>VLOOKUP(C3393,'MES orders'!$A$8:$H$127,5,FALSE)</x:f>
        <x:v>46311.666666666664</x:v>
      </x:c>
      <x:c r="O3393" s="16" t="n">
        <x:f>MAX(0,(M3393-N3393)*24)</x:f>
        <x:v>4.683333333407063</x:v>
      </x:c>
      <x:c r="P3393" s="9" t="str">
        <x:v>No</x:v>
      </x:c>
      <x:c r="Q3393" s="15" t="n">
        <x:v>14</x:v>
      </x:c>
      <x:c r="R3393" s="13" t="n">
        <x:f>J3393+Q3393/1440</x:f>
        <x:v>46311.861805555556</x:v>
      </x:c>
      <x:c r="S3393" s="2" t="str">
        <x:f>VLOOKUP(C3393,'MES orders'!$A$8:$H$127,6,FALSE)</x:f>
        <x:v>High</x:v>
      </x:c>
      <x:c r="T3393" s="9" t="str"/>
    </x:row>
    <x:row r="3394" ht="22" customHeight="1">
      <x:c r="A3394" s="2" t="str">
        <x:v>L00593-080</x:v>
      </x:c>
      <x:c r="B3394" s="2" t="str">
        <x:v>L00593</x:v>
      </x:c>
      <x:c r="C3394" s="2" t="str">
        <x:v>SO-26119</x:v>
      </x:c>
      <x:c r="D3394" s="2" t="str">
        <x:v>S-L-AL</x:v>
      </x:c>
      <x:c r="E3394" s="14" t="n">
        <x:v>20</x:v>
      </x:c>
      <x:c r="F3394" s="2" t="str">
        <x:v>Final leak / function test</x:v>
      </x:c>
      <x:c r="G3394" s="9" t="str">
        <x:v>QA-02</x:v>
      </x:c>
      <x:c r="H3394" s="15" t="n">
        <x:v>253</x:v>
      </x:c>
      <x:c r="I3394" s="9" t="str">
        <x:v>P23</x:v>
      </x:c>
      <x:c r="J3394" s="11" t="n">
        <x:v>46311.85208333333</x:v>
      </x:c>
      <x:c r="K3394" s="15" t="n">
        <x:v>10</x:v>
      </x:c>
      <x:c r="L3394" s="15" t="n">
        <x:v>24</x:v>
      </x:c>
      <x:c r="M3394" s="13" t="n">
        <x:f>J3394+(K3394+L3394)/1440</x:f>
        <x:v>46311.87569444444</x:v>
      </x:c>
      <x:c r="N3394" s="13" t="n">
        <x:f>VLOOKUP(C3394,'MES orders'!$A$8:$H$127,5,FALSE)</x:f>
        <x:v>46310.666666666664</x:v>
      </x:c>
      <x:c r="O3394" s="16" t="n">
        <x:f>MAX(0,(M3394-N3394)*24)</x:f>
        <x:v>29.01666666660458</x:v>
      </x:c>
      <x:c r="P3394" s="9" t="str">
        <x:v>No</x:v>
      </x:c>
      <x:c r="Q3394" s="15" t="n">
        <x:v>34</x:v>
      </x:c>
      <x:c r="R3394" s="13" t="n">
        <x:f>J3394+Q3394/1440</x:f>
        <x:v>46311.87569444444</x:v>
      </x:c>
      <x:c r="S3394" s="2" t="str">
        <x:f>VLOOKUP(C3394,'MES orders'!$A$8:$H$127,6,FALSE)</x:f>
        <x:v>Normal</x:v>
      </x:c>
      <x:c r="T3394" s="9" t="str"/>
    </x:row>
    <x:row r="3395" ht="22" customHeight="1">
      <x:c r="A3395" s="2" t="str">
        <x:v>L00039-040</x:v>
      </x:c>
      <x:c r="B3395" s="2" t="str">
        <x:v>L00039</x:v>
      </x:c>
      <x:c r="C3395" s="2" t="str">
        <x:v>SO-26008</x:v>
      </x:c>
      <x:c r="D3395" s="2" t="str">
        <x:v>S-C-SS</x:v>
      </x:c>
      <x:c r="E3395" s="14" t="n">
        <x:v>25</x:v>
      </x:c>
      <x:c r="F3395" s="2" t="str">
        <x:v>Mechanical preassembly</x:v>
      </x:c>
      <x:c r="G3395" s="9" t="str">
        <x:v>AS-02</x:v>
      </x:c>
      <x:c r="H3395" s="15" t="n">
        <x:v>222</x:v>
      </x:c>
      <x:c r="I3395" s="9" t="str">
        <x:v>P16</x:v>
      </x:c>
      <x:c r="J3395" s="11" t="n">
        <x:v>46311.85625</x:v>
      </x:c>
      <x:c r="K3395" s="15" t="n">
        <x:v>6</x:v>
      </x:c>
      <x:c r="L3395" s="15" t="n">
        <x:v>22</x:v>
      </x:c>
      <x:c r="M3395" s="13" t="n">
        <x:f>J3395+(K3395+L3395)/1440</x:f>
        <x:v>46311.87569444444</x:v>
      </x:c>
      <x:c r="N3395" s="13" t="n">
        <x:f>VLOOKUP(C3395,'MES orders'!$A$8:$H$127,5,FALSE)</x:f>
        <x:v>46311.666666666664</x:v>
      </x:c>
      <x:c r="O3395" s="16" t="n">
        <x:f>MAX(0,(M3395-N3395)*24)</x:f>
        <x:v>5.0166666666045785</x:v>
      </x:c>
      <x:c r="P3395" s="9" t="str">
        <x:v>No</x:v>
      </x:c>
      <x:c r="Q3395" s="15" t="n">
        <x:v>28</x:v>
      </x:c>
      <x:c r="R3395" s="13" t="n">
        <x:f>J3395+Q3395/1440</x:f>
        <x:v>46311.87569444444</x:v>
      </x:c>
      <x:c r="S3395" s="2" t="str">
        <x:f>VLOOKUP(C3395,'MES orders'!$A$8:$H$127,6,FALSE)</x:f>
        <x:v>High</x:v>
      </x:c>
      <x:c r="T3395" s="9" t="str"/>
    </x:row>
    <x:row r="3396" ht="22" customHeight="1">
      <x:c r="A3396" s="2" t="str">
        <x:v>L00040-040</x:v>
      </x:c>
      <x:c r="B3396" s="2" t="str">
        <x:v>L00040</x:v>
      </x:c>
      <x:c r="C3396" s="2" t="str">
        <x:v>SO-26008</x:v>
      </x:c>
      <x:c r="D3396" s="2" t="str">
        <x:v>S-C-SS</x:v>
      </x:c>
      <x:c r="E3396" s="14" t="n">
        <x:v>25</x:v>
      </x:c>
      <x:c r="F3396" s="2" t="str">
        <x:v>Mechanical preassembly</x:v>
      </x:c>
      <x:c r="G3396" s="9" t="str">
        <x:v>AS-03</x:v>
      </x:c>
      <x:c r="H3396" s="15" t="n">
        <x:v>182</x:v>
      </x:c>
      <x:c r="I3396" s="9" t="str">
        <x:v>P18</x:v>
      </x:c>
      <x:c r="J3396" s="11" t="n">
        <x:v>46311.861805555556</x:v>
      </x:c>
      <x:c r="K3396" s="15" t="n">
        <x:v>6</x:v>
      </x:c>
      <x:c r="L3396" s="15" t="n">
        <x:v>22</x:v>
      </x:c>
      <x:c r="M3396" s="13" t="n">
        <x:f>J3396+(K3396+L3396)/1440</x:f>
        <x:v>46311.88125</x:v>
      </x:c>
      <x:c r="N3396" s="13" t="n">
        <x:f>VLOOKUP(C3396,'MES orders'!$A$8:$H$127,5,FALSE)</x:f>
        <x:v>46311.666666666664</x:v>
      </x:c>
      <x:c r="O3396" s="16" t="n">
        <x:f>MAX(0,(M3396-N3396)*24)</x:f>
        <x:v>5.150000000023283</x:v>
      </x:c>
      <x:c r="P3396" s="9" t="str">
        <x:v>No</x:v>
      </x:c>
      <x:c r="Q3396" s="15" t="n">
        <x:v>28</x:v>
      </x:c>
      <x:c r="R3396" s="13" t="n">
        <x:f>J3396+Q3396/1440</x:f>
        <x:v>46311.88125</x:v>
      </x:c>
      <x:c r="S3396" s="2" t="str">
        <x:f>VLOOKUP(C3396,'MES orders'!$A$8:$H$127,6,FALSE)</x:f>
        <x:v>High</x:v>
      </x:c>
      <x:c r="T3396" s="9" t="str"/>
    </x:row>
    <x:row r="3397" ht="22" customHeight="1">
      <x:c r="A3397" s="2" t="str">
        <x:v>L00594-070</x:v>
      </x:c>
      <x:c r="B3397" s="2" t="str">
        <x:v>L00594</x:v>
      </x:c>
      <x:c r="C3397" s="2" t="str">
        <x:v>SO-26119</x:v>
      </x:c>
      <x:c r="D3397" s="2" t="str">
        <x:v>S-L-AL</x:v>
      </x:c>
      <x:c r="E3397" s="14" t="n">
        <x:v>20</x:v>
      </x:c>
      <x:c r="F3397" s="2" t="str">
        <x:v>Final assembly</x:v>
      </x:c>
      <x:c r="G3397" s="9" t="str">
        <x:v>AS-01</x:v>
      </x:c>
      <x:c r="H3397" s="15" t="n">
        <x:v>268</x:v>
      </x:c>
      <x:c r="I3397" s="9" t="str">
        <x:v>P17</x:v>
      </x:c>
      <x:c r="J3397" s="11" t="n">
        <x:v>46311.864583333336</x:v>
      </x:c>
      <x:c r="K3397" s="15" t="n">
        <x:v>5</x:v>
      </x:c>
      <x:c r="L3397" s="15" t="n">
        <x:v>22</x:v>
      </x:c>
      <x:c r="M3397" s="13" t="n">
        <x:f>J3397+(K3397+L3397)/1440</x:f>
        <x:v>46311.88333333334</x:v>
      </x:c>
      <x:c r="N3397" s="13" t="n">
        <x:f>VLOOKUP(C3397,'MES orders'!$A$8:$H$127,5,FALSE)</x:f>
        <x:v>46310.666666666664</x:v>
      </x:c>
      <x:c r="O3397" s="16" t="n">
        <x:f>MAX(0,(M3397-N3397)*24)</x:f>
        <x:v>29.200000000186265</x:v>
      </x:c>
      <x:c r="P3397" s="9" t="str">
        <x:v>No</x:v>
      </x:c>
      <x:c r="Q3397" s="15" t="n">
        <x:v>27</x:v>
      </x:c>
      <x:c r="R3397" s="13" t="n">
        <x:f>J3397+Q3397/1440</x:f>
        <x:v>46311.88333333334</x:v>
      </x:c>
      <x:c r="S3397" s="2" t="str">
        <x:f>VLOOKUP(C3397,'MES orders'!$A$8:$H$127,6,FALSE)</x:f>
        <x:v>Normal</x:v>
      </x:c>
      <x:c r="T3397" s="9" t="str"/>
    </x:row>
    <x:row r="3398" ht="22" customHeight="1">
      <x:c r="A3398" s="2" t="str">
        <x:v>L00595-060</x:v>
      </x:c>
      <x:c r="B3398" s="2" t="str">
        <x:v>L00595</x:v>
      </x:c>
      <x:c r="C3398" s="2" t="str">
        <x:v>SO-26119</x:v>
      </x:c>
      <x:c r="D3398" s="2" t="str">
        <x:v>S-L-AL</x:v>
      </x:c>
      <x:c r="E3398" s="14" t="n">
        <x:v>20</x:v>
      </x:c>
      <x:c r="F3398" s="2" t="str">
        <x:v>Sensor calibration</x:v>
      </x:c>
      <x:c r="G3398" s="9" t="str">
        <x:v>CAL-01</x:v>
      </x:c>
      <x:c r="H3398" s="15" t="n">
        <x:v>170</x:v>
      </x:c>
      <x:c r="I3398" s="9" t="str">
        <x:v>P21</x:v>
      </x:c>
      <x:c r="J3398" s="11" t="n">
        <x:v>46311.864583333336</x:v>
      </x:c>
      <x:c r="K3398" s="15" t="n">
        <x:v>10</x:v>
      </x:c>
      <x:c r="L3398" s="15" t="n">
        <x:v>35</x:v>
      </x:c>
      <x:c r="M3398" s="13" t="n">
        <x:f>J3398+(K3398+L3398)/1440</x:f>
        <x:v>46311.895833333336</x:v>
      </x:c>
      <x:c r="N3398" s="13" t="n">
        <x:f>VLOOKUP(C3398,'MES orders'!$A$8:$H$127,5,FALSE)</x:f>
        <x:v>46310.666666666664</x:v>
      </x:c>
      <x:c r="O3398" s="16" t="n">
        <x:f>MAX(0,(M3398-N3398)*24)</x:f>
        <x:v>29.500000000116415</x:v>
      </x:c>
      <x:c r="P3398" s="9" t="str">
        <x:v>No</x:v>
      </x:c>
      <x:c r="Q3398" s="15" t="n">
        <x:v>45</x:v>
      </x:c>
      <x:c r="R3398" s="13" t="n">
        <x:f>J3398+Q3398/1440</x:f>
        <x:v>46311.895833333336</x:v>
      </x:c>
      <x:c r="S3398" s="2" t="str">
        <x:f>VLOOKUP(C3398,'MES orders'!$A$8:$H$127,6,FALSE)</x:f>
        <x:v>Normal</x:v>
      </x:c>
      <x:c r="T3398" s="9" t="str"/>
    </x:row>
    <x:row r="3399" ht="22" customHeight="1">
      <x:c r="A3399" s="2" t="str">
        <x:v>L00038-050</x:v>
      </x:c>
      <x:c r="B3399" s="2" t="str">
        <x:v>L00038</x:v>
      </x:c>
      <x:c r="C3399" s="2" t="str">
        <x:v>SO-26008</x:v>
      </x:c>
      <x:c r="D3399" s="2" t="str">
        <x:v>S-C-SS</x:v>
      </x:c>
      <x:c r="E3399" s="14" t="n">
        <x:v>25</x:v>
      </x:c>
      <x:c r="F3399" s="2" t="str">
        <x:v>Sensor installation</x:v>
      </x:c>
      <x:c r="G3399" s="9" t="str">
        <x:v>EL-01</x:v>
      </x:c>
      <x:c r="H3399" s="15" t="n">
        <x:v>119</x:v>
      </x:c>
      <x:c r="I3399" s="9" t="str">
        <x:v>P19</x:v>
      </x:c>
      <x:c r="J3399" s="11" t="n">
        <x:v>46311.865277777775</x:v>
      </x:c>
      <x:c r="K3399" s="15" t="n">
        <x:v>8</x:v>
      </x:c>
      <x:c r="L3399" s="15" t="n">
        <x:v>24</x:v>
      </x:c>
      <x:c r="M3399" s="13" t="n">
        <x:f>J3399+(K3399+L3399)/1440</x:f>
        <x:v>46311.8875</x:v>
      </x:c>
      <x:c r="N3399" s="13" t="n">
        <x:f>VLOOKUP(C3399,'MES orders'!$A$8:$H$127,5,FALSE)</x:f>
        <x:v>46311.666666666664</x:v>
      </x:c>
      <x:c r="O3399" s="16" t="n">
        <x:f>MAX(0,(M3399-N3399)*24)</x:f>
        <x:v>5.2999999999883585</x:v>
      </x:c>
      <x:c r="P3399" s="9" t="str">
        <x:v>No</x:v>
      </x:c>
      <x:c r="Q3399" s="15" t="n">
        <x:v>32</x:v>
      </x:c>
      <x:c r="R3399" s="13" t="n">
        <x:f>J3399+Q3399/1440</x:f>
        <x:v>46311.8875</x:v>
      </x:c>
      <x:c r="S3399" s="2" t="str">
        <x:f>VLOOKUP(C3399,'MES orders'!$A$8:$H$127,6,FALSE)</x:f>
        <x:v>High</x:v>
      </x:c>
      <x:c r="T3399" s="9" t="str"/>
    </x:row>
    <x:row r="3400" ht="22" customHeight="1">
      <x:c r="A3400" s="2" t="str">
        <x:v>L00076-010</x:v>
      </x:c>
      <x:c r="B3400" s="2" t="str">
        <x:v>L00076</x:v>
      </x:c>
      <x:c r="C3400" s="2" t="str">
        <x:v>SO-26016</x:v>
      </x:c>
      <x:c r="D3400" s="2" t="str">
        <x:v>S-S-SS</x:v>
      </x:c>
      <x:c r="E3400" s="14" t="n">
        <x:v>10</x:v>
      </x:c>
      <x:c r="F3400" s="2" t="str">
        <x:v>CNC machining</x:v>
      </x:c>
      <x:c r="G3400" s="9" t="str">
        <x:v>CNC-06</x:v>
      </x:c>
      <x:c r="H3400" s="15" t="n">
        <x:v>87</x:v>
      </x:c>
      <x:c r="I3400" s="9" t="str">
        <x:v>P14</x:v>
      </x:c>
      <x:c r="J3400" s="11" t="n">
        <x:v>46311.86597222222</x:v>
      </x:c>
      <x:c r="K3400" s="15" t="n">
        <x:v>18</x:v>
      </x:c>
      <x:c r="L3400" s="15" t="n">
        <x:v>30</x:v>
      </x:c>
      <x:c r="M3400" s="13" t="n">
        <x:f>J3400+(K3400+L3400)/1440</x:f>
        <x:v>46311.899305555555</x:v>
      </x:c>
      <x:c r="N3400" s="13" t="n">
        <x:f>VLOOKUP(C3400,'MES orders'!$A$8:$H$127,5,FALSE)</x:f>
        <x:v>46311.666666666664</x:v>
      </x:c>
      <x:c r="O3400" s="16" t="n">
        <x:f>MAX(0,(M3400-N3400)*24)</x:f>
        <x:v>5.583333333372138</x:v>
      </x:c>
      <x:c r="P3400" s="9" t="str">
        <x:v>No</x:v>
      </x:c>
      <x:c r="Q3400" s="15" t="n">
        <x:v>18</x:v>
      </x:c>
      <x:c r="R3400" s="13" t="n">
        <x:f>J3400+Q3400/1440</x:f>
        <x:v>46311.87847222222</x:v>
      </x:c>
      <x:c r="S3400" s="2" t="str">
        <x:f>VLOOKUP(C3400,'MES orders'!$A$8:$H$127,6,FALSE)</x:f>
        <x:v>Normal</x:v>
      </x:c>
      <x:c r="T3400" s="9" t="str"/>
    </x:row>
    <x:row r="3401" ht="22" customHeight="1">
      <x:c r="A3401" s="2" t="str">
        <x:v>L00596-020</x:v>
      </x:c>
      <x:c r="B3401" s="2" t="str">
        <x:v>L00596</x:v>
      </x:c>
      <x:c r="C3401" s="2" t="str">
        <x:v>SO-26120</x:v>
      </x:c>
      <x:c r="D3401" s="2" t="str">
        <x:v>D-L-SS</x:v>
      </x:c>
      <x:c r="E3401" s="14" t="n">
        <x:v>25</x:v>
      </x:c>
      <x:c r="F3401" s="2" t="str">
        <x:v>Deburr &amp; inspect</x:v>
      </x:c>
      <x:c r="G3401" s="9" t="str">
        <x:v>DB-02</x:v>
      </x:c>
      <x:c r="H3401" s="15" t="n">
        <x:v>224</x:v>
      </x:c>
      <x:c r="I3401" s="9" t="str">
        <x:v>P13</x:v>
      </x:c>
      <x:c r="J3401" s="11" t="n">
        <x:v>46311.86597222222</x:v>
      </x:c>
      <x:c r="K3401" s="15" t="n">
        <x:v>4</x:v>
      </x:c>
      <x:c r="L3401" s="15" t="n">
        <x:v>24</x:v>
      </x:c>
      <x:c r="M3401" s="13" t="n">
        <x:f>J3401+(K3401+L3401)/1440</x:f>
        <x:v>46311.885416666664</x:v>
      </x:c>
      <x:c r="N3401" s="13" t="n">
        <x:f>VLOOKUP(C3401,'MES orders'!$A$8:$H$127,5,FALSE)</x:f>
        <x:v>46311.666666666664</x:v>
      </x:c>
      <x:c r="O3401" s="16" t="n">
        <x:f>MAX(0,(M3401-N3401)*24)</x:f>
        <x:v>5.25</x:v>
      </x:c>
      <x:c r="P3401" s="9" t="str">
        <x:v>No</x:v>
      </x:c>
      <x:c r="Q3401" s="15" t="n">
        <x:v>28</x:v>
      </x:c>
      <x:c r="R3401" s="13" t="n">
        <x:f>J3401+Q3401/1440</x:f>
        <x:v>46311.885416666664</x:v>
      </x:c>
      <x:c r="S3401" s="2" t="str">
        <x:f>VLOOKUP(C3401,'MES orders'!$A$8:$H$127,6,FALSE)</x:f>
        <x:v>High</x:v>
      </x:c>
      <x:c r="T3401" s="9" t="str"/>
    </x:row>
    <x:row r="3402" ht="22" customHeight="1">
      <x:c r="A3402" s="2" t="str">
        <x:v>L00039-050</x:v>
      </x:c>
      <x:c r="B3402" s="2" t="str">
        <x:v>L00039</x:v>
      </x:c>
      <x:c r="C3402" s="2" t="str">
        <x:v>SO-26008</x:v>
      </x:c>
      <x:c r="D3402" s="2" t="str">
        <x:v>S-C-SS</x:v>
      </x:c>
      <x:c r="E3402" s="14" t="n">
        <x:v>25</x:v>
      </x:c>
      <x:c r="F3402" s="2" t="str">
        <x:v>Sensor installation</x:v>
      </x:c>
      <x:c r="G3402" s="9" t="str">
        <x:v>EL-02</x:v>
      </x:c>
      <x:c r="H3402" s="15" t="n">
        <x:v>60</x:v>
      </x:c>
      <x:c r="I3402" s="9" t="str">
        <x:v>P20</x:v>
      </x:c>
      <x:c r="J3402" s="11" t="n">
        <x:v>46311.87569444445</x:v>
      </x:c>
      <x:c r="K3402" s="15" t="n">
        <x:v>8</x:v>
      </x:c>
      <x:c r="L3402" s="15" t="n">
        <x:v>24</x:v>
      </x:c>
      <x:c r="M3402" s="13" t="n">
        <x:f>J3402+(K3402+L3402)/1440</x:f>
        <x:v>46311.89791666667</x:v>
      </x:c>
      <x:c r="N3402" s="13" t="n">
        <x:f>VLOOKUP(C3402,'MES orders'!$A$8:$H$127,5,FALSE)</x:f>
        <x:v>46311.666666666664</x:v>
      </x:c>
      <x:c r="O3402" s="16" t="n">
        <x:f>MAX(0,(M3402-N3402)*24)</x:f>
        <x:v>5.550000000104774</x:v>
      </x:c>
      <x:c r="P3402" s="9" t="str">
        <x:v>No</x:v>
      </x:c>
      <x:c r="Q3402" s="15" t="n">
        <x:v>32</x:v>
      </x:c>
      <x:c r="R3402" s="13" t="n">
        <x:f>J3402+Q3402/1440</x:f>
        <x:v>46311.89791666667</x:v>
      </x:c>
      <x:c r="S3402" s="2" t="str">
        <x:f>VLOOKUP(C3402,'MES orders'!$A$8:$H$127,6,FALSE)</x:f>
        <x:v>High</x:v>
      </x:c>
      <x:c r="T3402" s="9" t="str"/>
    </x:row>
    <x:row r="3403" ht="22" customHeight="1">
      <x:c r="A3403" s="2" t="str">
        <x:v>L00316-030</x:v>
      </x:c>
      <x:c r="B3403" s="2" t="str">
        <x:v>L00316</x:v>
      </x:c>
      <x:c r="C3403" s="2" t="str">
        <x:v>SO-26064</x:v>
      </x:c>
      <x:c r="D3403" s="2" t="str">
        <x:v>R-S-SS</x:v>
      </x:c>
      <x:c r="E3403" s="14" t="n">
        <x:v>15</x:v>
      </x:c>
      <x:c r="F3403" s="2" t="str">
        <x:v>Wash &amp; dry</x:v>
      </x:c>
      <x:c r="G3403" s="9" t="str">
        <x:v>WS-01</x:v>
      </x:c>
      <x:c r="H3403" s="15" t="n">
        <x:v>311</x:v>
      </x:c>
      <x:c r="I3403" s="9" t="str">
        <x:v>P16</x:v>
      </x:c>
      <x:c r="J3403" s="11" t="n">
        <x:v>46311.87569444445</x:v>
      </x:c>
      <x:c r="K3403" s="15" t="n">
        <x:v>12</x:v>
      </x:c>
      <x:c r="L3403" s="15" t="n">
        <x:v>5</x:v>
      </x:c>
      <x:c r="M3403" s="13" t="n">
        <x:f>J3403+(K3403+L3403)/1440</x:f>
        <x:v>46311.887500000004</x:v>
      </x:c>
      <x:c r="N3403" s="13" t="n">
        <x:f>VLOOKUP(C3403,'MES orders'!$A$8:$H$127,5,FALSE)</x:f>
        <x:v>46311.666666666664</x:v>
      </x:c>
      <x:c r="O3403" s="16" t="n">
        <x:f>MAX(0,(M3403-N3403)*24)</x:f>
        <x:v>5.3000000001629815</x:v>
      </x:c>
      <x:c r="P3403" s="9" t="str">
        <x:v>No</x:v>
      </x:c>
      <x:c r="Q3403" s="15" t="n">
        <x:v>17</x:v>
      </x:c>
      <x:c r="R3403" s="13" t="n">
        <x:f>J3403+Q3403/1440</x:f>
        <x:v>46311.887500000004</x:v>
      </x:c>
      <x:c r="S3403" s="2" t="str">
        <x:f>VLOOKUP(C3403,'MES orders'!$A$8:$H$127,6,FALSE)</x:f>
        <x:v>High</x:v>
      </x:c>
      <x:c r="T3403" s="9" t="str"/>
    </x:row>
    <x:row r="3404" ht="22" customHeight="1">
      <x:c r="A3404" s="2" t="str">
        <x:v>L00317-040</x:v>
      </x:c>
      <x:c r="B3404" s="2" t="str">
        <x:v>L00317</x:v>
      </x:c>
      <x:c r="C3404" s="2" t="str">
        <x:v>SO-26064</x:v>
      </x:c>
      <x:c r="D3404" s="2" t="str">
        <x:v>R-S-SS</x:v>
      </x:c>
      <x:c r="E3404" s="14" t="n">
        <x:v>15</x:v>
      </x:c>
      <x:c r="F3404" s="2" t="str">
        <x:v>Mechanical assembly</x:v>
      </x:c>
      <x:c r="G3404" s="9" t="str">
        <x:v>AS-03</x:v>
      </x:c>
      <x:c r="H3404" s="15" t="n">
        <x:v>183</x:v>
      </x:c>
      <x:c r="I3404" s="9" t="str">
        <x:v>P18</x:v>
      </x:c>
      <x:c r="J3404" s="11" t="n">
        <x:v>46311.88125</x:v>
      </x:c>
      <x:c r="K3404" s="15" t="n">
        <x:v>8</x:v>
      </x:c>
      <x:c r="L3404" s="15" t="n">
        <x:v>27</x:v>
      </x:c>
      <x:c r="M3404" s="13" t="n">
        <x:f>J3404+(K3404+L3404)/1440</x:f>
        <x:v>46311.90555555555</x:v>
      </x:c>
      <x:c r="N3404" s="13" t="n">
        <x:f>VLOOKUP(C3404,'MES orders'!$A$8:$H$127,5,FALSE)</x:f>
        <x:v>46311.666666666664</x:v>
      </x:c>
      <x:c r="O3404" s="16" t="n">
        <x:f>MAX(0,(M3404-N3404)*24)</x:f>
        <x:v>5.733333333337214</x:v>
      </x:c>
      <x:c r="P3404" s="9" t="str">
        <x:v>No</x:v>
      </x:c>
      <x:c r="Q3404" s="15" t="n">
        <x:v>35</x:v>
      </x:c>
      <x:c r="R3404" s="13" t="n">
        <x:f>J3404+Q3404/1440</x:f>
        <x:v>46311.90555555555</x:v>
      </x:c>
      <x:c r="S3404" s="2" t="str">
        <x:f>VLOOKUP(C3404,'MES orders'!$A$8:$H$127,6,FALSE)</x:f>
        <x:v>High</x:v>
      </x:c>
      <x:c r="T3404" s="9" t="str"/>
    </x:row>
    <x:row r="3405" ht="22" customHeight="1">
      <x:c r="A3405" s="2" t="str">
        <x:v>L00318-020</x:v>
      </x:c>
      <x:c r="B3405" s="2" t="str">
        <x:v>L00318</x:v>
      </x:c>
      <x:c r="C3405" s="2" t="str">
        <x:v>SO-26064</x:v>
      </x:c>
      <x:c r="D3405" s="2" t="str">
        <x:v>R-S-SS</x:v>
      </x:c>
      <x:c r="E3405" s="14" t="n">
        <x:v>15</x:v>
      </x:c>
      <x:c r="F3405" s="2" t="str">
        <x:v>Deburr &amp; inspect</x:v>
      </x:c>
      <x:c r="G3405" s="9" t="str">
        <x:v>DB-01</x:v>
      </x:c>
      <x:c r="H3405" s="15" t="n">
        <x:v>318</x:v>
      </x:c>
      <x:c r="I3405" s="9" t="str">
        <x:v>P17</x:v>
      </x:c>
      <x:c r="J3405" s="11" t="n">
        <x:v>46311.88333333333</x:v>
      </x:c>
      <x:c r="K3405" s="15" t="n">
        <x:v>4</x:v>
      </x:c>
      <x:c r="L3405" s="15" t="n">
        <x:v>10</x:v>
      </x:c>
      <x:c r="M3405" s="13" t="n">
        <x:f>J3405+(K3405+L3405)/1440</x:f>
        <x:v>46311.893055555556</x:v>
      </x:c>
      <x:c r="N3405" s="13" t="n">
        <x:f>VLOOKUP(C3405,'MES orders'!$A$8:$H$127,5,FALSE)</x:f>
        <x:v>46311.666666666664</x:v>
      </x:c>
      <x:c r="O3405" s="16" t="n">
        <x:f>MAX(0,(M3405-N3405)*24)</x:f>
        <x:v>5.433333333407063</x:v>
      </x:c>
      <x:c r="P3405" s="9" t="str">
        <x:v>No</x:v>
      </x:c>
      <x:c r="Q3405" s="15" t="n">
        <x:v>14</x:v>
      </x:c>
      <x:c r="R3405" s="13" t="n">
        <x:f>J3405+Q3405/1440</x:f>
        <x:v>46311.893055555556</x:v>
      </x:c>
      <x:c r="S3405" s="2" t="str">
        <x:f>VLOOKUP(C3405,'MES orders'!$A$8:$H$127,6,FALSE)</x:f>
        <x:v>High</x:v>
      </x:c>
      <x:c r="T3405" s="9" t="str"/>
    </x:row>
    <x:row r="3406" ht="22" customHeight="1">
      <x:c r="A3406" s="2" t="str">
        <x:v>L00594-080</x:v>
      </x:c>
      <x:c r="B3406" s="2" t="str">
        <x:v>L00594</x:v>
      </x:c>
      <x:c r="C3406" s="2" t="str">
        <x:v>SO-26119</x:v>
      </x:c>
      <x:c r="D3406" s="2" t="str">
        <x:v>S-L-AL</x:v>
      </x:c>
      <x:c r="E3406" s="14" t="n">
        <x:v>20</x:v>
      </x:c>
      <x:c r="F3406" s="2" t="str">
        <x:v>Final leak / function test</x:v>
      </x:c>
      <x:c r="G3406" s="9" t="str">
        <x:v>QA-02</x:v>
      </x:c>
      <x:c r="H3406" s="15" t="n">
        <x:v>254</x:v>
      </x:c>
      <x:c r="I3406" s="9" t="str">
        <x:v>P23</x:v>
      </x:c>
      <x:c r="J3406" s="11" t="n">
        <x:v>46311.88333333333</x:v>
      </x:c>
      <x:c r="K3406" s="15" t="n">
        <x:v>10</x:v>
      </x:c>
      <x:c r="L3406" s="15" t="n">
        <x:v>24</x:v>
      </x:c>
      <x:c r="M3406" s="13" t="n">
        <x:f>J3406+(K3406+L3406)/1440</x:f>
        <x:v>46311.90694444444</x:v>
      </x:c>
      <x:c r="N3406" s="13" t="n">
        <x:f>VLOOKUP(C3406,'MES orders'!$A$8:$H$127,5,FALSE)</x:f>
        <x:v>46310.666666666664</x:v>
      </x:c>
      <x:c r="O3406" s="16" t="n">
        <x:f>MAX(0,(M3406-N3406)*24)</x:f>
        <x:v>29.76666666660458</x:v>
      </x:c>
      <x:c r="P3406" s="9" t="str">
        <x:v>No</x:v>
      </x:c>
      <x:c r="Q3406" s="15" t="n">
        <x:v>34</x:v>
      </x:c>
      <x:c r="R3406" s="13" t="n">
        <x:f>J3406+Q3406/1440</x:f>
        <x:v>46311.90694444444</x:v>
      </x:c>
      <x:c r="S3406" s="2" t="str">
        <x:f>VLOOKUP(C3406,'MES orders'!$A$8:$H$127,6,FALSE)</x:f>
        <x:v>Normal</x:v>
      </x:c>
      <x:c r="T3406" s="9" t="str"/>
    </x:row>
    <x:row r="3407" ht="22" customHeight="1">
      <x:c r="A3407" s="2" t="str">
        <x:v>L00596-030</x:v>
      </x:c>
      <x:c r="B3407" s="2" t="str">
        <x:v>L00596</x:v>
      </x:c>
      <x:c r="C3407" s="2" t="str">
        <x:v>SO-26120</x:v>
      </x:c>
      <x:c r="D3407" s="2" t="str">
        <x:v>D-L-SS</x:v>
      </x:c>
      <x:c r="E3407" s="14" t="n">
        <x:v>25</x:v>
      </x:c>
      <x:c r="F3407" s="2" t="str">
        <x:v>Wash &amp; dry</x:v>
      </x:c>
      <x:c r="G3407" s="9" t="str">
        <x:v>WS-02</x:v>
      </x:c>
      <x:c r="H3407" s="15" t="n">
        <x:v>230</x:v>
      </x:c>
      <x:c r="I3407" s="9" t="str">
        <x:v>P14</x:v>
      </x:c>
      <x:c r="J3407" s="11" t="n">
        <x:v>46311.885416666664</x:v>
      </x:c>
      <x:c r="K3407" s="15" t="n">
        <x:v>12</x:v>
      </x:c>
      <x:c r="L3407" s="15" t="n">
        <x:v>12</x:v>
      </x:c>
      <x:c r="M3407" s="13" t="n">
        <x:f>J3407+(K3407+L3407)/1440</x:f>
        <x:v>46311.902083333334</x:v>
      </x:c>
      <x:c r="N3407" s="13" t="n">
        <x:f>VLOOKUP(C3407,'MES orders'!$A$8:$H$127,5,FALSE)</x:f>
        <x:v>46311.666666666664</x:v>
      </x:c>
      <x:c r="O3407" s="16" t="n">
        <x:f>MAX(0,(M3407-N3407)*24)</x:f>
        <x:v>5.650000000081491</x:v>
      </x:c>
      <x:c r="P3407" s="9" t="str">
        <x:v>No</x:v>
      </x:c>
      <x:c r="Q3407" s="15" t="n">
        <x:v>24</x:v>
      </x:c>
      <x:c r="R3407" s="13" t="n">
        <x:f>J3407+Q3407/1440</x:f>
        <x:v>46311.902083333334</x:v>
      </x:c>
      <x:c r="S3407" s="2" t="str">
        <x:f>VLOOKUP(C3407,'MES orders'!$A$8:$H$127,6,FALSE)</x:f>
        <x:v>High</x:v>
      </x:c>
      <x:c r="T3407" s="9" t="str"/>
    </x:row>
    <x:row r="3408" ht="22" customHeight="1">
      <x:c r="A3408" s="2" t="str">
        <x:v>L00316-040</x:v>
      </x:c>
      <x:c r="B3408" s="2" t="str">
        <x:v>L00316</x:v>
      </x:c>
      <x:c r="C3408" s="2" t="str">
        <x:v>SO-26064</x:v>
      </x:c>
      <x:c r="D3408" s="2" t="str">
        <x:v>R-S-SS</x:v>
      </x:c>
      <x:c r="E3408" s="14" t="n">
        <x:v>15</x:v>
      </x:c>
      <x:c r="F3408" s="2" t="str">
        <x:v>Mechanical assembly</x:v>
      </x:c>
      <x:c r="G3408" s="9" t="str">
        <x:v>AS-02</x:v>
      </x:c>
      <x:c r="H3408" s="15" t="n">
        <x:v>223</x:v>
      </x:c>
      <x:c r="I3408" s="9" t="str">
        <x:v>P16</x:v>
      </x:c>
      <x:c r="J3408" s="11" t="n">
        <x:v>46311.8875</x:v>
      </x:c>
      <x:c r="K3408" s="15" t="n">
        <x:v>8</x:v>
      </x:c>
      <x:c r="L3408" s="15" t="n">
        <x:v>27</x:v>
      </x:c>
      <x:c r="M3408" s="13" t="n">
        <x:f>J3408+(K3408+L3408)/1440</x:f>
        <x:v>46311.91180555555</x:v>
      </x:c>
      <x:c r="N3408" s="13" t="n">
        <x:f>VLOOKUP(C3408,'MES orders'!$A$8:$H$127,5,FALSE)</x:f>
        <x:v>46311.666666666664</x:v>
      </x:c>
      <x:c r="O3408" s="16" t="n">
        <x:f>MAX(0,(M3408-N3408)*24)</x:f>
        <x:v>5.883333333302289</x:v>
      </x:c>
      <x:c r="P3408" s="9" t="str">
        <x:v>No</x:v>
      </x:c>
      <x:c r="Q3408" s="15" t="n">
        <x:v>35</x:v>
      </x:c>
      <x:c r="R3408" s="13" t="n">
        <x:f>J3408+Q3408/1440</x:f>
        <x:v>46311.91180555555</x:v>
      </x:c>
      <x:c r="S3408" s="2" t="str">
        <x:f>VLOOKUP(C3408,'MES orders'!$A$8:$H$127,6,FALSE)</x:f>
        <x:v>High</x:v>
      </x:c>
      <x:c r="T3408" s="9" t="str"/>
    </x:row>
    <x:row r="3409" ht="22" customHeight="1">
      <x:c r="A3409" s="2" t="str">
        <x:v>L00040-050</x:v>
      </x:c>
      <x:c r="B3409" s="2" t="str">
        <x:v>L00040</x:v>
      </x:c>
      <x:c r="C3409" s="2" t="str">
        <x:v>SO-26008</x:v>
      </x:c>
      <x:c r="D3409" s="2" t="str">
        <x:v>S-C-SS</x:v>
      </x:c>
      <x:c r="E3409" s="14" t="n">
        <x:v>25</x:v>
      </x:c>
      <x:c r="F3409" s="2" t="str">
        <x:v>Sensor installation</x:v>
      </x:c>
      <x:c r="G3409" s="9" t="str">
        <x:v>EL-01</x:v>
      </x:c>
      <x:c r="H3409" s="15" t="n">
        <x:v>120</x:v>
      </x:c>
      <x:c r="I3409" s="9" t="str">
        <x:v>P19</x:v>
      </x:c>
      <x:c r="J3409" s="11" t="n">
        <x:v>46311.8875</x:v>
      </x:c>
      <x:c r="K3409" s="15" t="n">
        <x:v>8</x:v>
      </x:c>
      <x:c r="L3409" s="15" t="n">
        <x:v>24</x:v>
      </x:c>
      <x:c r="M3409" s="13" t="n">
        <x:f>J3409+(K3409+L3409)/1440</x:f>
        <x:v>46311.90972222222</x:v>
      </x:c>
      <x:c r="N3409" s="13" t="n">
        <x:f>VLOOKUP(C3409,'MES orders'!$A$8:$H$127,5,FALSE)</x:f>
        <x:v>46311.666666666664</x:v>
      </x:c>
      <x:c r="O3409" s="16" t="n">
        <x:f>MAX(0,(M3409-N3409)*24)</x:f>
        <x:v>5.833333333313931</x:v>
      </x:c>
      <x:c r="P3409" s="9" t="str">
        <x:v>No</x:v>
      </x:c>
      <x:c r="Q3409" s="15" t="n">
        <x:v>32</x:v>
      </x:c>
      <x:c r="R3409" s="13" t="n">
        <x:f>J3409+Q3409/1440</x:f>
        <x:v>46311.90972222222</x:v>
      </x:c>
      <x:c r="S3409" s="2" t="str">
        <x:f>VLOOKUP(C3409,'MES orders'!$A$8:$H$127,6,FALSE)</x:f>
        <x:v>High</x:v>
      </x:c>
      <x:c r="T3409" s="9" t="str"/>
    </x:row>
    <x:row r="3410" ht="22" customHeight="1">
      <x:c r="A3410" s="2" t="str">
        <x:v>L00318-030</x:v>
      </x:c>
      <x:c r="B3410" s="2" t="str">
        <x:v>L00318</x:v>
      </x:c>
      <x:c r="C3410" s="2" t="str">
        <x:v>SO-26064</x:v>
      </x:c>
      <x:c r="D3410" s="2" t="str">
        <x:v>R-S-SS</x:v>
      </x:c>
      <x:c r="E3410" s="14" t="n">
        <x:v>15</x:v>
      </x:c>
      <x:c r="F3410" s="2" t="str">
        <x:v>Wash &amp; dry</x:v>
      </x:c>
      <x:c r="G3410" s="9" t="str">
        <x:v>WS-01</x:v>
      </x:c>
      <x:c r="H3410" s="15" t="n">
        <x:v>312</x:v>
      </x:c>
      <x:c r="I3410" s="9" t="str">
        <x:v>P13</x:v>
      </x:c>
      <x:c r="J3410" s="11" t="n">
        <x:v>46311.893055555556</x:v>
      </x:c>
      <x:c r="K3410" s="15" t="n">
        <x:v>12</x:v>
      </x:c>
      <x:c r="L3410" s="15" t="n">
        <x:v>5</x:v>
      </x:c>
      <x:c r="M3410" s="13" t="n">
        <x:f>J3410+(K3410+L3410)/1440</x:f>
        <x:v>46311.904861111114</x:v>
      </x:c>
      <x:c r="N3410" s="13" t="n">
        <x:f>VLOOKUP(C3410,'MES orders'!$A$8:$H$127,5,FALSE)</x:f>
        <x:v>46311.666666666664</x:v>
      </x:c>
      <x:c r="O3410" s="16" t="n">
        <x:f>MAX(0,(M3410-N3410)*24)</x:f>
        <x:v>5.716666666790843</x:v>
      </x:c>
      <x:c r="P3410" s="9" t="str">
        <x:v>No</x:v>
      </x:c>
      <x:c r="Q3410" s="15" t="n">
        <x:v>17</x:v>
      </x:c>
      <x:c r="R3410" s="13" t="n">
        <x:f>J3410+Q3410/1440</x:f>
        <x:v>46311.904861111114</x:v>
      </x:c>
      <x:c r="S3410" s="2" t="str">
        <x:f>VLOOKUP(C3410,'MES orders'!$A$8:$H$127,6,FALSE)</x:f>
        <x:v>High</x:v>
      </x:c>
      <x:c r="T3410" s="9" t="str"/>
    </x:row>
    <x:row r="3411" ht="22" customHeight="1">
      <x:c r="A3411" s="2" t="str">
        <x:v>L00595-070</x:v>
      </x:c>
      <x:c r="B3411" s="2" t="str">
        <x:v>L00595</x:v>
      </x:c>
      <x:c r="C3411" s="2" t="str">
        <x:v>SO-26119</x:v>
      </x:c>
      <x:c r="D3411" s="2" t="str">
        <x:v>S-L-AL</x:v>
      </x:c>
      <x:c r="E3411" s="14" t="n">
        <x:v>20</x:v>
      </x:c>
      <x:c r="F3411" s="2" t="str">
        <x:v>Final assembly</x:v>
      </x:c>
      <x:c r="G3411" s="9" t="str">
        <x:v>AS-01</x:v>
      </x:c>
      <x:c r="H3411" s="15" t="n">
        <x:v>269</x:v>
      </x:c>
      <x:c r="I3411" s="9" t="str">
        <x:v>P17</x:v>
      </x:c>
      <x:c r="J3411" s="11" t="n">
        <x:v>46311.895833333336</x:v>
      </x:c>
      <x:c r="K3411" s="15" t="n">
        <x:v>5</x:v>
      </x:c>
      <x:c r="L3411" s="15" t="n">
        <x:v>22</x:v>
      </x:c>
      <x:c r="M3411" s="13" t="n">
        <x:f>J3411+(K3411+L3411)/1440</x:f>
        <x:v>46311.91458333334</x:v>
      </x:c>
      <x:c r="N3411" s="13" t="n">
        <x:f>VLOOKUP(C3411,'MES orders'!$A$8:$H$127,5,FALSE)</x:f>
        <x:v>46310.666666666664</x:v>
      </x:c>
      <x:c r="O3411" s="16" t="n">
        <x:f>MAX(0,(M3411-N3411)*24)</x:f>
        <x:v>29.950000000186265</x:v>
      </x:c>
      <x:c r="P3411" s="9" t="str">
        <x:v>No</x:v>
      </x:c>
      <x:c r="Q3411" s="15" t="n">
        <x:v>27</x:v>
      </x:c>
      <x:c r="R3411" s="13" t="n">
        <x:f>J3411+Q3411/1440</x:f>
        <x:v>46311.91458333334</x:v>
      </x:c>
      <x:c r="S3411" s="2" t="str">
        <x:f>VLOOKUP(C3411,'MES orders'!$A$8:$H$127,6,FALSE)</x:f>
        <x:v>Normal</x:v>
      </x:c>
      <x:c r="T3411" s="9" t="str"/>
    </x:row>
    <x:row r="3412" ht="22" customHeight="1">
      <x:c r="A3412" s="2" t="str">
        <x:v>L00116-060</x:v>
      </x:c>
      <x:c r="B3412" s="2" t="str">
        <x:v>L00116</x:v>
      </x:c>
      <x:c r="C3412" s="2" t="str">
        <x:v>SO-26024</x:v>
      </x:c>
      <x:c r="D3412" s="2" t="str">
        <x:v>S-L-SS</x:v>
      </x:c>
      <x:c r="E3412" s="14" t="n">
        <x:v>10</x:v>
      </x:c>
      <x:c r="F3412" s="2" t="str">
        <x:v>Sensor calibration</x:v>
      </x:c>
      <x:c r="G3412" s="9" t="str">
        <x:v>CAL-01</x:v>
      </x:c>
      <x:c r="H3412" s="15" t="n">
        <x:v>171</x:v>
      </x:c>
      <x:c r="I3412" s="9" t="str">
        <x:v>P21</x:v>
      </x:c>
      <x:c r="J3412" s="11" t="n">
        <x:v>46311.895833333336</x:v>
      </x:c>
      <x:c r="K3412" s="15" t="n">
        <x:v>10</x:v>
      </x:c>
      <x:c r="L3412" s="15" t="n">
        <x:v>18</x:v>
      </x:c>
      <x:c r="M3412" s="13" t="n">
        <x:f>J3412+(K3412+L3412)/1440</x:f>
        <x:v>46311.91527777778</x:v>
      </x:c>
      <x:c r="N3412" s="13" t="n">
        <x:f>VLOOKUP(C3412,'MES orders'!$A$8:$H$127,5,FALSE)</x:f>
        <x:v>46311.666666666664</x:v>
      </x:c>
      <x:c r="O3412" s="16" t="n">
        <x:f>MAX(0,(M3412-N3412)*24)</x:f>
        <x:v>5.966666666732635</x:v>
      </x:c>
      <x:c r="P3412" s="9" t="str">
        <x:v>No</x:v>
      </x:c>
      <x:c r="Q3412" s="15" t="n">
        <x:v>28</x:v>
      </x:c>
      <x:c r="R3412" s="13" t="n">
        <x:f>J3412+Q3412/1440</x:f>
        <x:v>46311.91527777778</x:v>
      </x:c>
      <x:c r="S3412" s="2" t="str">
        <x:f>VLOOKUP(C3412,'MES orders'!$A$8:$H$127,6,FALSE)</x:f>
        <x:v>Urgent</x:v>
      </x:c>
      <x:c r="T3412" s="9" t="str"/>
    </x:row>
    <x:row r="3413" ht="22" customHeight="1">
      <x:c r="A3413" s="2" t="str">
        <x:v>L00597-020</x:v>
      </x:c>
      <x:c r="B3413" s="2" t="str">
        <x:v>L00597</x:v>
      </x:c>
      <x:c r="C3413" s="2" t="str">
        <x:v>SO-26120</x:v>
      </x:c>
      <x:c r="D3413" s="2" t="str">
        <x:v>D-L-SS</x:v>
      </x:c>
      <x:c r="E3413" s="14" t="n">
        <x:v>25</x:v>
      </x:c>
      <x:c r="F3413" s="2" t="str">
        <x:v>Deburr &amp; inspect</x:v>
      </x:c>
      <x:c r="G3413" s="9" t="str">
        <x:v>DB-02</x:v>
      </x:c>
      <x:c r="H3413" s="15" t="n">
        <x:v>225</x:v>
      </x:c>
      <x:c r="I3413" s="9" t="str">
        <x:v>P15</x:v>
      </x:c>
      <x:c r="J3413" s="11" t="n">
        <x:v>46311.89722222222</x:v>
      </x:c>
      <x:c r="K3413" s="15" t="n">
        <x:v>4</x:v>
      </x:c>
      <x:c r="L3413" s="15" t="n">
        <x:v>24</x:v>
      </x:c>
      <x:c r="M3413" s="13" t="n">
        <x:f>J3413+(K3413+L3413)/1440</x:f>
        <x:v>46311.916666666664</x:v>
      </x:c>
      <x:c r="N3413" s="13" t="n">
        <x:f>VLOOKUP(C3413,'MES orders'!$A$8:$H$127,5,FALSE)</x:f>
        <x:v>46311.666666666664</x:v>
      </x:c>
      <x:c r="O3413" s="16" t="n">
        <x:f>MAX(0,(M3413-N3413)*24)</x:f>
        <x:v>6</x:v>
      </x:c>
      <x:c r="P3413" s="9" t="str">
        <x:v>No</x:v>
      </x:c>
      <x:c r="Q3413" s="15" t="n">
        <x:v>28</x:v>
      </x:c>
      <x:c r="R3413" s="13" t="n">
        <x:f>J3413+Q3413/1440</x:f>
        <x:v>46311.916666666664</x:v>
      </x:c>
      <x:c r="S3413" s="2" t="str">
        <x:f>VLOOKUP(C3413,'MES orders'!$A$8:$H$127,6,FALSE)</x:f>
        <x:v>High</x:v>
      </x:c>
      <x:c r="T3413" s="9" t="str"/>
    </x:row>
    <x:row r="3414" ht="22" customHeight="1">
      <x:c r="A3414" s="2" t="str">
        <x:v>L00319-050</x:v>
      </x:c>
      <x:c r="B3414" s="2" t="str">
        <x:v>L00319</x:v>
      </x:c>
      <x:c r="C3414" s="2" t="str">
        <x:v>SO-26064</x:v>
      </x:c>
      <x:c r="D3414" s="2" t="str">
        <x:v>R-S-SS</x:v>
      </x:c>
      <x:c r="E3414" s="14" t="n">
        <x:v>15</x:v>
      </x:c>
      <x:c r="F3414" s="2" t="str">
        <x:v>Valve adjustment</x:v>
      </x:c>
      <x:c r="G3414" s="9" t="str">
        <x:v>AS-04</x:v>
      </x:c>
      <x:c r="H3414" s="15" t="n">
        <x:v>121</x:v>
      </x:c>
      <x:c r="I3414" s="9" t="str">
        <x:v>P20</x:v>
      </x:c>
      <x:c r="J3414" s="11" t="n">
        <x:v>46311.89791666667</x:v>
      </x:c>
      <x:c r="K3414" s="15" t="n">
        <x:v>6</x:v>
      </x:c>
      <x:c r="L3414" s="15" t="n">
        <x:v>16</x:v>
      </x:c>
      <x:c r="M3414" s="13" t="n">
        <x:f>J3414+(K3414+L3414)/1440</x:f>
        <x:v>46311.913194444445</x:v>
      </x:c>
      <x:c r="N3414" s="13" t="n">
        <x:f>VLOOKUP(C3414,'MES orders'!$A$8:$H$127,5,FALSE)</x:f>
        <x:v>46311.666666666664</x:v>
      </x:c>
      <x:c r="O3414" s="16" t="n">
        <x:f>MAX(0,(M3414-N3414)*24)</x:f>
        <x:v>5.916666666744277</x:v>
      </x:c>
      <x:c r="P3414" s="9" t="str">
        <x:v>No</x:v>
      </x:c>
      <x:c r="Q3414" s="15" t="n">
        <x:v>22</x:v>
      </x:c>
      <x:c r="R3414" s="13" t="n">
        <x:f>J3414+Q3414/1440</x:f>
        <x:v>46311.913194444445</x:v>
      </x:c>
      <x:c r="S3414" s="2" t="str">
        <x:f>VLOOKUP(C3414,'MES orders'!$A$8:$H$127,6,FALSE)</x:f>
        <x:v>High</x:v>
      </x:c>
      <x:c r="T3414" s="9" t="str"/>
    </x:row>
    <x:row r="3415" ht="22" customHeight="1">
      <x:c r="A3415" s="2" t="str">
        <x:v>L00320-020</x:v>
      </x:c>
      <x:c r="B3415" s="2" t="str">
        <x:v>L00320</x:v>
      </x:c>
      <x:c r="C3415" s="2" t="str">
        <x:v>SO-26064</x:v>
      </x:c>
      <x:c r="D3415" s="2" t="str">
        <x:v>R-S-SS</x:v>
      </x:c>
      <x:c r="E3415" s="14" t="n">
        <x:v>15</x:v>
      </x:c>
      <x:c r="F3415" s="2" t="str">
        <x:v>Deburr &amp; inspect</x:v>
      </x:c>
      <x:c r="G3415" s="9" t="str">
        <x:v>DB-01</x:v>
      </x:c>
      <x:c r="H3415" s="15" t="n">
        <x:v>319</x:v>
      </x:c>
      <x:c r="I3415" s="9" t="str">
        <x:v>P18</x:v>
      </x:c>
      <x:c r="J3415" s="11" t="n">
        <x:v>46311.90555555555</x:v>
      </x:c>
      <x:c r="K3415" s="15" t="n">
        <x:v>4</x:v>
      </x:c>
      <x:c r="L3415" s="15" t="n">
        <x:v>10</x:v>
      </x:c>
      <x:c r="M3415" s="13" t="n">
        <x:f>J3415+(K3415+L3415)/1440</x:f>
        <x:v>46311.91527777778</x:v>
      </x:c>
      <x:c r="N3415" s="13" t="n">
        <x:f>VLOOKUP(C3415,'MES orders'!$A$8:$H$127,5,FALSE)</x:f>
        <x:v>46311.666666666664</x:v>
      </x:c>
      <x:c r="O3415" s="16" t="n">
        <x:f>MAX(0,(M3415-N3415)*24)</x:f>
        <x:v>5.966666666732635</x:v>
      </x:c>
      <x:c r="P3415" s="9" t="str">
        <x:v>No</x:v>
      </x:c>
      <x:c r="Q3415" s="15" t="n">
        <x:v>14</x:v>
      </x:c>
      <x:c r="R3415" s="13" t="n">
        <x:f>J3415+Q3415/1440</x:f>
        <x:v>46311.91527777778</x:v>
      </x:c>
      <x:c r="S3415" s="2" t="str">
        <x:f>VLOOKUP(C3415,'MES orders'!$A$8:$H$127,6,FALSE)</x:f>
        <x:v>High</x:v>
      </x:c>
      <x:c r="T3415" s="9" t="str"/>
    </x:row>
    <x:row r="3416" ht="22" customHeight="1">
      <x:c r="A3416" s="2" t="str">
        <x:v>L00116-070</x:v>
      </x:c>
      <x:c r="B3416" s="2" t="str">
        <x:v>L00116</x:v>
      </x:c>
      <x:c r="C3416" s="2" t="str">
        <x:v>SO-26024</x:v>
      </x:c>
      <x:c r="D3416" s="2" t="str">
        <x:v>S-L-SS</x:v>
      </x:c>
      <x:c r="E3416" s="14" t="n">
        <x:v>10</x:v>
      </x:c>
      <x:c r="F3416" s="2" t="str">
        <x:v>Final assembly</x:v>
      </x:c>
      <x:c r="G3416" s="9" t="str">
        <x:v>AS-01</x:v>
      </x:c>
      <x:c r="H3416" s="15" t="n">
        <x:v>270</x:v>
      </x:c>
      <x:c r="I3416" s="9" t="str">
        <x:v>P05</x:v>
      </x:c>
      <x:c r="J3416" s="11" t="n">
        <x:v>46314.25</x:v>
      </x:c>
      <x:c r="K3416" s="15" t="n">
        <x:v>5</x:v>
      </x:c>
      <x:c r="L3416" s="15" t="n">
        <x:v>11</x:v>
      </x:c>
      <x:c r="M3416" s="13" t="n">
        <x:f>J3416+(K3416+L3416)/1440</x:f>
        <x:v>46314.26111111111</x:v>
      </x:c>
      <x:c r="N3416" s="13" t="n">
        <x:f>VLOOKUP(C3416,'MES orders'!$A$8:$H$127,5,FALSE)</x:f>
        <x:v>46311.666666666664</x:v>
      </x:c>
      <x:c r="O3416" s="16" t="n">
        <x:f>MAX(0,(M3416-N3416)*24)</x:f>
        <x:v>62.266666666720994</x:v>
      </x:c>
      <x:c r="P3416" s="9" t="str">
        <x:v>No</x:v>
      </x:c>
      <x:c r="Q3416" s="15" t="n">
        <x:v>16</x:v>
      </x:c>
      <x:c r="R3416" s="13" t="n">
        <x:f>J3416+Q3416/1440</x:f>
        <x:v>46314.26111111111</x:v>
      </x:c>
      <x:c r="S3416" s="2" t="str">
        <x:f>VLOOKUP(C3416,'MES orders'!$A$8:$H$127,6,FALSE)</x:f>
        <x:v>Urgent</x:v>
      </x:c>
      <x:c r="T3416" s="9" t="str"/>
    </x:row>
    <x:row r="3417" ht="22" customHeight="1">
      <x:c r="A3417" s="2" t="str">
        <x:v>L00316-050</x:v>
      </x:c>
      <x:c r="B3417" s="2" t="str">
        <x:v>L00316</x:v>
      </x:c>
      <x:c r="C3417" s="2" t="str">
        <x:v>SO-26064</x:v>
      </x:c>
      <x:c r="D3417" s="2" t="str">
        <x:v>R-S-SS</x:v>
      </x:c>
      <x:c r="E3417" s="14" t="n">
        <x:v>15</x:v>
      </x:c>
      <x:c r="F3417" s="2" t="str">
        <x:v>Valve adjustment</x:v>
      </x:c>
      <x:c r="G3417" s="9" t="str">
        <x:v>AS-02</x:v>
      </x:c>
      <x:c r="H3417" s="15" t="n">
        <x:v>224</x:v>
      </x:c>
      <x:c r="I3417" s="9" t="str">
        <x:v>P06</x:v>
      </x:c>
      <x:c r="J3417" s="11" t="n">
        <x:v>46314.25</x:v>
      </x:c>
      <x:c r="K3417" s="15" t="n">
        <x:v>6</x:v>
      </x:c>
      <x:c r="L3417" s="15" t="n">
        <x:v>16</x:v>
      </x:c>
      <x:c r="M3417" s="13" t="n">
        <x:f>J3417+(K3417+L3417)/1440</x:f>
        <x:v>46314.26527777778</x:v>
      </x:c>
      <x:c r="N3417" s="13" t="n">
        <x:f>VLOOKUP(C3417,'MES orders'!$A$8:$H$127,5,FALSE)</x:f>
        <x:v>46311.666666666664</x:v>
      </x:c>
      <x:c r="O3417" s="16" t="n">
        <x:f>MAX(0,(M3417-N3417)*24)</x:f>
        <x:v>62.36666666669771</x:v>
      </x:c>
      <x:c r="P3417" s="9" t="str">
        <x:v>No</x:v>
      </x:c>
      <x:c r="Q3417" s="15" t="n">
        <x:v>22</x:v>
      </x:c>
      <x:c r="R3417" s="13" t="n">
        <x:f>J3417+Q3417/1440</x:f>
        <x:v>46314.26527777778</x:v>
      </x:c>
      <x:c r="S3417" s="2" t="str">
        <x:f>VLOOKUP(C3417,'MES orders'!$A$8:$H$127,6,FALSE)</x:f>
        <x:v>High</x:v>
      </x:c>
      <x:c r="T3417" s="9" t="str"/>
    </x:row>
    <x:row r="3418" ht="22" customHeight="1">
      <x:c r="A3418" s="2" t="str">
        <x:v>L00318-040</x:v>
      </x:c>
      <x:c r="B3418" s="2" t="str">
        <x:v>L00318</x:v>
      </x:c>
      <x:c r="C3418" s="2" t="str">
        <x:v>SO-26064</x:v>
      </x:c>
      <x:c r="D3418" s="2" t="str">
        <x:v>R-S-SS</x:v>
      </x:c>
      <x:c r="E3418" s="14" t="n">
        <x:v>15</x:v>
      </x:c>
      <x:c r="F3418" s="2" t="str">
        <x:v>Mechanical assembly</x:v>
      </x:c>
      <x:c r="G3418" s="9" t="str">
        <x:v>AS-03</x:v>
      </x:c>
      <x:c r="H3418" s="15" t="n">
        <x:v>184</x:v>
      </x:c>
      <x:c r="I3418" s="9" t="str">
        <x:v>P04</x:v>
      </x:c>
      <x:c r="J3418" s="11" t="n">
        <x:v>46314.25</x:v>
      </x:c>
      <x:c r="K3418" s="15" t="n">
        <x:v>8</x:v>
      </x:c>
      <x:c r="L3418" s="15" t="n">
        <x:v>27</x:v>
      </x:c>
      <x:c r="M3418" s="13" t="n">
        <x:f>J3418+(K3418+L3418)/1440</x:f>
        <x:v>46314.274305555555</x:v>
      </x:c>
      <x:c r="N3418" s="13" t="n">
        <x:f>VLOOKUP(C3418,'MES orders'!$A$8:$H$127,5,FALSE)</x:f>
        <x:v>46311.666666666664</x:v>
      </x:c>
      <x:c r="O3418" s="16" t="n">
        <x:f>MAX(0,(M3418-N3418)*24)</x:f>
        <x:v>62.58333333337214</x:v>
      </x:c>
      <x:c r="P3418" s="9" t="str">
        <x:v>No</x:v>
      </x:c>
      <x:c r="Q3418" s="15" t="n">
        <x:v>35</x:v>
      </x:c>
      <x:c r="R3418" s="13" t="n">
        <x:f>J3418+Q3418/1440</x:f>
        <x:v>46314.274305555555</x:v>
      </x:c>
      <x:c r="S3418" s="2" t="str">
        <x:f>VLOOKUP(C3418,'MES orders'!$A$8:$H$127,6,FALSE)</x:f>
        <x:v>High</x:v>
      </x:c>
      <x:c r="T3418" s="9" t="str"/>
    </x:row>
    <x:row r="3419" ht="22" customHeight="1">
      <x:c r="A3419" s="2" t="str">
        <x:v>L00117-060</x:v>
      </x:c>
      <x:c r="B3419" s="2" t="str">
        <x:v>L00117</x:v>
      </x:c>
      <x:c r="C3419" s="2" t="str">
        <x:v>SO-26024</x:v>
      </x:c>
      <x:c r="D3419" s="2" t="str">
        <x:v>S-L-SS</x:v>
      </x:c>
      <x:c r="E3419" s="14" t="n">
        <x:v>10</x:v>
      </x:c>
      <x:c r="F3419" s="2" t="str">
        <x:v>Sensor calibration</x:v>
      </x:c>
      <x:c r="G3419" s="9" t="str">
        <x:v>CAL-01</x:v>
      </x:c>
      <x:c r="H3419" s="15" t="n">
        <x:v>172</x:v>
      </x:c>
      <x:c r="I3419" s="9" t="str">
        <x:v>P09</x:v>
      </x:c>
      <x:c r="J3419" s="11" t="n">
        <x:v>46314.25</x:v>
      </x:c>
      <x:c r="K3419" s="15" t="n">
        <x:v>10</x:v>
      </x:c>
      <x:c r="L3419" s="15" t="n">
        <x:v>18</x:v>
      </x:c>
      <x:c r="M3419" s="13" t="n">
        <x:f>J3419+(K3419+L3419)/1440</x:f>
        <x:v>46314.26944444444</x:v>
      </x:c>
      <x:c r="N3419" s="13" t="n">
        <x:f>VLOOKUP(C3419,'MES orders'!$A$8:$H$127,5,FALSE)</x:f>
        <x:v>46311.666666666664</x:v>
      </x:c>
      <x:c r="O3419" s="16" t="n">
        <x:f>MAX(0,(M3419-N3419)*24)</x:f>
        <x:v>62.46666666667443</x:v>
      </x:c>
      <x:c r="P3419" s="9" t="str">
        <x:v>No</x:v>
      </x:c>
      <x:c r="Q3419" s="15" t="n">
        <x:v>28</x:v>
      </x:c>
      <x:c r="R3419" s="13" t="n">
        <x:f>J3419+Q3419/1440</x:f>
        <x:v>46314.26944444444</x:v>
      </x:c>
      <x:c r="S3419" s="2" t="str">
        <x:f>VLOOKUP(C3419,'MES orders'!$A$8:$H$127,6,FALSE)</x:f>
        <x:v>Urgent</x:v>
      </x:c>
      <x:c r="T3419" s="9" t="str"/>
    </x:row>
    <x:row r="3420" ht="22" customHeight="1">
      <x:c r="A3420" s="2" t="str">
        <x:v>L00600-010</x:v>
      </x:c>
      <x:c r="B3420" s="2" t="str">
        <x:v>L00600</x:v>
      </x:c>
      <x:c r="C3420" s="2" t="str">
        <x:v>SO-26120</x:v>
      </x:c>
      <x:c r="D3420" s="2" t="str">
        <x:v>D-L-SS</x:v>
      </x:c>
      <x:c r="E3420" s="14" t="n">
        <x:v>25</x:v>
      </x:c>
      <x:c r="F3420" s="2" t="str">
        <x:v>CNC machining</x:v>
      </x:c>
      <x:c r="G3420" s="9" t="str">
        <x:v>CNC-03</x:v>
      </x:c>
      <x:c r="H3420" s="15" t="n">
        <x:v>110</x:v>
      </x:c>
      <x:c r="I3420" s="9" t="str">
        <x:v>P03</x:v>
      </x:c>
      <x:c r="J3420" s="11" t="n">
        <x:v>46314.25</x:v>
      </x:c>
      <x:c r="K3420" s="15" t="n">
        <x:v>18</x:v>
      </x:c>
      <x:c r="L3420" s="15" t="n">
        <x:v>101</x:v>
      </x:c>
      <x:c r="M3420" s="13" t="n">
        <x:f>J3420+(K3420+L3420)/1440</x:f>
        <x:v>46314.33263888889</x:v>
      </x:c>
      <x:c r="N3420" s="13" t="n">
        <x:f>VLOOKUP(C3420,'MES orders'!$A$8:$H$127,5,FALSE)</x:f>
        <x:v>46311.666666666664</x:v>
      </x:c>
      <x:c r="O3420" s="16" t="n">
        <x:f>MAX(0,(M3420-N3420)*24)</x:f>
        <x:v>63.98333333339542</x:v>
      </x:c>
      <x:c r="P3420" s="9" t="str">
        <x:v>No</x:v>
      </x:c>
      <x:c r="Q3420" s="15" t="n">
        <x:v>18</x:v>
      </x:c>
      <x:c r="R3420" s="13" t="n">
        <x:f>J3420+Q3420/1440</x:f>
        <x:v>46314.2625</x:v>
      </x:c>
      <x:c r="S3420" s="2" t="str">
        <x:f>VLOOKUP(C3420,'MES orders'!$A$8:$H$127,6,FALSE)</x:f>
        <x:v>High</x:v>
      </x:c>
      <x:c r="T3420" s="9" t="str"/>
    </x:row>
    <x:row r="3421" ht="22" customHeight="1">
      <x:c r="A3421" s="2" t="str">
        <x:v>L00598-020</x:v>
      </x:c>
      <x:c r="B3421" s="2" t="str">
        <x:v>L00598</x:v>
      </x:c>
      <x:c r="C3421" s="2" t="str">
        <x:v>SO-26120</x:v>
      </x:c>
      <x:c r="D3421" s="2" t="str">
        <x:v>D-L-SS</x:v>
      </x:c>
      <x:c r="E3421" s="14" t="n">
        <x:v>25</x:v>
      </x:c>
      <x:c r="F3421" s="2" t="str">
        <x:v>Deburr &amp; inspect</x:v>
      </x:c>
      <x:c r="G3421" s="9" t="str">
        <x:v>DB-01</x:v>
      </x:c>
      <x:c r="H3421" s="15" t="n">
        <x:v>320</x:v>
      </x:c>
      <x:c r="I3421" s="9" t="str">
        <x:v>P01</x:v>
      </x:c>
      <x:c r="J3421" s="11" t="n">
        <x:v>46314.25</x:v>
      </x:c>
      <x:c r="K3421" s="15" t="n">
        <x:v>4</x:v>
      </x:c>
      <x:c r="L3421" s="15" t="n">
        <x:v>24</x:v>
      </x:c>
      <x:c r="M3421" s="13" t="n">
        <x:f>J3421+(K3421+L3421)/1440</x:f>
        <x:v>46314.26944444444</x:v>
      </x:c>
      <x:c r="N3421" s="13" t="n">
        <x:f>VLOOKUP(C3421,'MES orders'!$A$8:$H$127,5,FALSE)</x:f>
        <x:v>46311.666666666664</x:v>
      </x:c>
      <x:c r="O3421" s="16" t="n">
        <x:f>MAX(0,(M3421-N3421)*24)</x:f>
        <x:v>62.46666666667443</x:v>
      </x:c>
      <x:c r="P3421" s="9" t="str">
        <x:v>No</x:v>
      </x:c>
      <x:c r="Q3421" s="15" t="n">
        <x:v>28</x:v>
      </x:c>
      <x:c r="R3421" s="13" t="n">
        <x:f>J3421+Q3421/1440</x:f>
        <x:v>46314.26944444444</x:v>
      </x:c>
      <x:c r="S3421" s="2" t="str">
        <x:f>VLOOKUP(C3421,'MES orders'!$A$8:$H$127,6,FALSE)</x:f>
        <x:v>High</x:v>
      </x:c>
      <x:c r="T3421" s="9" t="str"/>
    </x:row>
    <x:row r="3422" ht="22" customHeight="1">
      <x:c r="A3422" s="2" t="str">
        <x:v>L00599-020</x:v>
      </x:c>
      <x:c r="B3422" s="2" t="str">
        <x:v>L00599</x:v>
      </x:c>
      <x:c r="C3422" s="2" t="str">
        <x:v>SO-26120</x:v>
      </x:c>
      <x:c r="D3422" s="2" t="str">
        <x:v>D-L-SS</x:v>
      </x:c>
      <x:c r="E3422" s="14" t="n">
        <x:v>25</x:v>
      </x:c>
      <x:c r="F3422" s="2" t="str">
        <x:v>Deburr &amp; inspect</x:v>
      </x:c>
      <x:c r="G3422" s="9" t="str">
        <x:v>DB-02</x:v>
      </x:c>
      <x:c r="H3422" s="15" t="n">
        <x:v>226</x:v>
      </x:c>
      <x:c r="I3422" s="9" t="str">
        <x:v>P02</x:v>
      </x:c>
      <x:c r="J3422" s="11" t="n">
        <x:v>46314.25</x:v>
      </x:c>
      <x:c r="K3422" s="15" t="n">
        <x:v>4</x:v>
      </x:c>
      <x:c r="L3422" s="15" t="n">
        <x:v>24</x:v>
      </x:c>
      <x:c r="M3422" s="13" t="n">
        <x:f>J3422+(K3422+L3422)/1440</x:f>
        <x:v>46314.26944444444</x:v>
      </x:c>
      <x:c r="N3422" s="13" t="n">
        <x:f>VLOOKUP(C3422,'MES orders'!$A$8:$H$127,5,FALSE)</x:f>
        <x:v>46311.666666666664</x:v>
      </x:c>
      <x:c r="O3422" s="16" t="n">
        <x:f>MAX(0,(M3422-N3422)*24)</x:f>
        <x:v>62.46666666667443</x:v>
      </x:c>
      <x:c r="P3422" s="9" t="str">
        <x:v>No</x:v>
      </x:c>
      <x:c r="Q3422" s="15" t="n">
        <x:v>28</x:v>
      </x:c>
      <x:c r="R3422" s="13" t="n">
        <x:f>J3422+Q3422/1440</x:f>
        <x:v>46314.26944444444</x:v>
      </x:c>
      <x:c r="S3422" s="2" t="str">
        <x:f>VLOOKUP(C3422,'MES orders'!$A$8:$H$127,6,FALSE)</x:f>
        <x:v>High</x:v>
      </x:c>
      <x:c r="T3422" s="9" t="str"/>
    </x:row>
    <x:row r="3423" ht="22" customHeight="1">
      <x:c r="A3423" s="2" t="str">
        <x:v>L00595-080</x:v>
      </x:c>
      <x:c r="B3423" s="2" t="str">
        <x:v>L00595</x:v>
      </x:c>
      <x:c r="C3423" s="2" t="str">
        <x:v>SO-26119</x:v>
      </x:c>
      <x:c r="D3423" s="2" t="str">
        <x:v>S-L-AL</x:v>
      </x:c>
      <x:c r="E3423" s="14" t="n">
        <x:v>20</x:v>
      </x:c>
      <x:c r="F3423" s="2" t="str">
        <x:v>Final leak / function test</x:v>
      </x:c>
      <x:c r="G3423" s="9" t="str">
        <x:v>QA-02</x:v>
      </x:c>
      <x:c r="H3423" s="15" t="n">
        <x:v>255</x:v>
      </x:c>
      <x:c r="I3423" s="9" t="str">
        <x:v>P11</x:v>
      </x:c>
      <x:c r="J3423" s="11" t="n">
        <x:v>46314.25</x:v>
      </x:c>
      <x:c r="K3423" s="15" t="n">
        <x:v>10</x:v>
      </x:c>
      <x:c r="L3423" s="15" t="n">
        <x:v>24</x:v>
      </x:c>
      <x:c r="M3423" s="13" t="n">
        <x:f>J3423+(K3423+L3423)/1440</x:f>
        <x:v>46314.27361111111</x:v>
      </x:c>
      <x:c r="N3423" s="13" t="n">
        <x:f>VLOOKUP(C3423,'MES orders'!$A$8:$H$127,5,FALSE)</x:f>
        <x:v>46310.666666666664</x:v>
      </x:c>
      <x:c r="O3423" s="16" t="n">
        <x:f>MAX(0,(M3423-N3423)*24)</x:f>
        <x:v>86.56666666665114</x:v>
      </x:c>
      <x:c r="P3423" s="9" t="str">
        <x:v>No</x:v>
      </x:c>
      <x:c r="Q3423" s="15" t="n">
        <x:v>34</x:v>
      </x:c>
      <x:c r="R3423" s="13" t="n">
        <x:f>J3423+Q3423/1440</x:f>
        <x:v>46314.27361111111</x:v>
      </x:c>
      <x:c r="S3423" s="2" t="str">
        <x:f>VLOOKUP(C3423,'MES orders'!$A$8:$H$127,6,FALSE)</x:f>
        <x:v>Normal</x:v>
      </x:c>
      <x:c r="T3423" s="9" t="str"/>
    </x:row>
    <x:row r="3424" ht="22" customHeight="1">
      <x:c r="A3424" s="2" t="str">
        <x:v>L00116-080</x:v>
      </x:c>
      <x:c r="B3424" s="2" t="str">
        <x:v>L00116</x:v>
      </x:c>
      <x:c r="C3424" s="2" t="str">
        <x:v>SO-26024</x:v>
      </x:c>
      <x:c r="D3424" s="2" t="str">
        <x:v>S-L-SS</x:v>
      </x:c>
      <x:c r="E3424" s="14" t="n">
        <x:v>10</x:v>
      </x:c>
      <x:c r="F3424" s="2" t="str">
        <x:v>Final leak / function test</x:v>
      </x:c>
      <x:c r="G3424" s="9" t="str">
        <x:v>QA-03</x:v>
      </x:c>
      <x:c r="H3424" s="15" t="n">
        <x:v>149</x:v>
      </x:c>
      <x:c r="I3424" s="9" t="str">
        <x:v>P12</x:v>
      </x:c>
      <x:c r="J3424" s="11" t="n">
        <x:v>46314.26111111111</x:v>
      </x:c>
      <x:c r="K3424" s="15" t="n">
        <x:v>10</x:v>
      </x:c>
      <x:c r="L3424" s="15" t="n">
        <x:v>12</x:v>
      </x:c>
      <x:c r="M3424" s="13" t="n">
        <x:f>J3424+(K3424+L3424)/1440</x:f>
        <x:v>46314.27638888889</x:v>
      </x:c>
      <x:c r="N3424" s="13" t="n">
        <x:f>VLOOKUP(C3424,'MES orders'!$A$8:$H$127,5,FALSE)</x:f>
        <x:v>46311.666666666664</x:v>
      </x:c>
      <x:c r="O3424" s="16" t="n">
        <x:f>MAX(0,(M3424-N3424)*24)</x:f>
        <x:v>62.6333333333605</x:v>
      </x:c>
      <x:c r="P3424" s="9" t="str">
        <x:v>No</x:v>
      </x:c>
      <x:c r="Q3424" s="15" t="n">
        <x:v>22</x:v>
      </x:c>
      <x:c r="R3424" s="13" t="n">
        <x:f>J3424+Q3424/1440</x:f>
        <x:v>46314.27638888889</x:v>
      </x:c>
      <x:c r="S3424" s="2" t="str">
        <x:f>VLOOKUP(C3424,'MES orders'!$A$8:$H$127,6,FALSE)</x:f>
        <x:v>Urgent</x:v>
      </x:c>
      <x:c r="T3424" s="9" t="str"/>
    </x:row>
    <x:row r="3425" ht="22" customHeight="1">
      <x:c r="A3425" s="2" t="str">
        <x:v>L00077-010</x:v>
      </x:c>
      <x:c r="B3425" s="2" t="str">
        <x:v>L00077</x:v>
      </x:c>
      <x:c r="C3425" s="2" t="str">
        <x:v>SO-26016</x:v>
      </x:c>
      <x:c r="D3425" s="2" t="str">
        <x:v>S-S-SS</x:v>
      </x:c>
      <x:c r="E3425" s="14" t="n">
        <x:v>10</x:v>
      </x:c>
      <x:c r="F3425" s="2" t="str">
        <x:v>CNC machining</x:v>
      </x:c>
      <x:c r="G3425" s="9" t="str">
        <x:v>CNC-04</x:v>
      </x:c>
      <x:c r="H3425" s="15" t="n">
        <x:v>106</x:v>
      </x:c>
      <x:c r="I3425" s="9" t="str">
        <x:v>P03</x:v>
      </x:c>
      <x:c r="J3425" s="11" t="n">
        <x:v>46314.2625</x:v>
      </x:c>
      <x:c r="K3425" s="15" t="n">
        <x:v>18</x:v>
      </x:c>
      <x:c r="L3425" s="15" t="n">
        <x:v>30</x:v>
      </x:c>
      <x:c r="M3425" s="13" t="n">
        <x:f>J3425+(K3425+L3425)/1440</x:f>
        <x:v>46314.29583333333</x:v>
      </x:c>
      <x:c r="N3425" s="13" t="n">
        <x:f>VLOOKUP(C3425,'MES orders'!$A$8:$H$127,5,FALSE)</x:f>
        <x:v>46311.666666666664</x:v>
      </x:c>
      <x:c r="O3425" s="16" t="n">
        <x:f>MAX(0,(M3425-N3425)*24)</x:f>
        <x:v>63.09999999997672</x:v>
      </x:c>
      <x:c r="P3425" s="9" t="str">
        <x:v>No</x:v>
      </x:c>
      <x:c r="Q3425" s="15" t="n">
        <x:v>18</x:v>
      </x:c>
      <x:c r="R3425" s="13" t="n">
        <x:f>J3425+Q3425/1440</x:f>
        <x:v>46314.274999999994</x:v>
      </x:c>
      <x:c r="S3425" s="2" t="str">
        <x:f>VLOOKUP(C3425,'MES orders'!$A$8:$H$127,6,FALSE)</x:f>
        <x:v>Normal</x:v>
      </x:c>
      <x:c r="T3425" s="9" t="str"/>
    </x:row>
    <x:row r="3426" ht="22" customHeight="1">
      <x:c r="A3426" s="2" t="str">
        <x:v>L00317-050</x:v>
      </x:c>
      <x:c r="B3426" s="2" t="str">
        <x:v>L00317</x:v>
      </x:c>
      <x:c r="C3426" s="2" t="str">
        <x:v>SO-26064</x:v>
      </x:c>
      <x:c r="D3426" s="2" t="str">
        <x:v>R-S-SS</x:v>
      </x:c>
      <x:c r="E3426" s="14" t="n">
        <x:v>15</x:v>
      </x:c>
      <x:c r="F3426" s="2" t="str">
        <x:v>Valve adjustment</x:v>
      </x:c>
      <x:c r="G3426" s="9" t="str">
        <x:v>AS-02</x:v>
      </x:c>
      <x:c r="H3426" s="15" t="n">
        <x:v>225</x:v>
      </x:c>
      <x:c r="I3426" s="9" t="str">
        <x:v>P06</x:v>
      </x:c>
      <x:c r="J3426" s="11" t="n">
        <x:v>46314.26527777778</x:v>
      </x:c>
      <x:c r="K3426" s="15" t="n">
        <x:v>6</x:v>
      </x:c>
      <x:c r="L3426" s="15" t="n">
        <x:v>16</x:v>
      </x:c>
      <x:c r="M3426" s="13" t="n">
        <x:f>J3426+(K3426+L3426)/1440</x:f>
        <x:v>46314.28055555555</x:v>
      </x:c>
      <x:c r="N3426" s="13" t="n">
        <x:f>VLOOKUP(C3426,'MES orders'!$A$8:$H$127,5,FALSE)</x:f>
        <x:v>46311.666666666664</x:v>
      </x:c>
      <x:c r="O3426" s="16" t="n">
        <x:f>MAX(0,(M3426-N3426)*24)</x:f>
        <x:v>62.733333333337214</x:v>
      </x:c>
      <x:c r="P3426" s="9" t="str">
        <x:v>No</x:v>
      </x:c>
      <x:c r="Q3426" s="15" t="n">
        <x:v>22</x:v>
      </x:c>
      <x:c r="R3426" s="13" t="n">
        <x:f>J3426+Q3426/1440</x:f>
        <x:v>46314.28055555555</x:v>
      </x:c>
      <x:c r="S3426" s="2" t="str">
        <x:f>VLOOKUP(C3426,'MES orders'!$A$8:$H$127,6,FALSE)</x:f>
        <x:v>High</x:v>
      </x:c>
      <x:c r="T3426" s="9" t="str"/>
    </x:row>
    <x:row r="3427" ht="22" customHeight="1">
      <x:c r="A3427" s="2" t="str">
        <x:v>L00117-070</x:v>
      </x:c>
      <x:c r="B3427" s="2" t="str">
        <x:v>L00117</x:v>
      </x:c>
      <x:c r="C3427" s="2" t="str">
        <x:v>SO-26024</x:v>
      </x:c>
      <x:c r="D3427" s="2" t="str">
        <x:v>S-L-SS</x:v>
      </x:c>
      <x:c r="E3427" s="14" t="n">
        <x:v>10</x:v>
      </x:c>
      <x:c r="F3427" s="2" t="str">
        <x:v>Final assembly</x:v>
      </x:c>
      <x:c r="G3427" s="9" t="str">
        <x:v>AS-01</x:v>
      </x:c>
      <x:c r="H3427" s="15" t="n">
        <x:v>271</x:v>
      </x:c>
      <x:c r="I3427" s="9" t="str">
        <x:v>P05</x:v>
      </x:c>
      <x:c r="J3427" s="11" t="n">
        <x:v>46314.26944444444</x:v>
      </x:c>
      <x:c r="K3427" s="15" t="n">
        <x:v>5</x:v>
      </x:c>
      <x:c r="L3427" s="15" t="n">
        <x:v>11</x:v>
      </x:c>
      <x:c r="M3427" s="13" t="n">
        <x:f>J3427+(K3427+L3427)/1440</x:f>
        <x:v>46314.28055555555</x:v>
      </x:c>
      <x:c r="N3427" s="13" t="n">
        <x:f>VLOOKUP(C3427,'MES orders'!$A$8:$H$127,5,FALSE)</x:f>
        <x:v>46311.666666666664</x:v>
      </x:c>
      <x:c r="O3427" s="16" t="n">
        <x:f>MAX(0,(M3427-N3427)*24)</x:f>
        <x:v>62.733333333337214</x:v>
      </x:c>
      <x:c r="P3427" s="9" t="str">
        <x:v>No</x:v>
      </x:c>
      <x:c r="Q3427" s="15" t="n">
        <x:v>16</x:v>
      </x:c>
      <x:c r="R3427" s="13" t="n">
        <x:f>J3427+Q3427/1440</x:f>
        <x:v>46314.28055555555</x:v>
      </x:c>
      <x:c r="S3427" s="2" t="str">
        <x:f>VLOOKUP(C3427,'MES orders'!$A$8:$H$127,6,FALSE)</x:f>
        <x:v>Urgent</x:v>
      </x:c>
      <x:c r="T3427" s="9" t="str"/>
    </x:row>
    <x:row r="3428" ht="22" customHeight="1">
      <x:c r="A3428" s="2" t="str">
        <x:v>L00118-060</x:v>
      </x:c>
      <x:c r="B3428" s="2" t="str">
        <x:v>L00118</x:v>
      </x:c>
      <x:c r="C3428" s="2" t="str">
        <x:v>SO-26024</x:v>
      </x:c>
      <x:c r="D3428" s="2" t="str">
        <x:v>S-L-SS</x:v>
      </x:c>
      <x:c r="E3428" s="14" t="n">
        <x:v>10</x:v>
      </x:c>
      <x:c r="F3428" s="2" t="str">
        <x:v>Sensor calibration</x:v>
      </x:c>
      <x:c r="G3428" s="9" t="str">
        <x:v>CAL-01</x:v>
      </x:c>
      <x:c r="H3428" s="15" t="n">
        <x:v>173</x:v>
      </x:c>
      <x:c r="I3428" s="9" t="str">
        <x:v>P09</x:v>
      </x:c>
      <x:c r="J3428" s="11" t="n">
        <x:v>46314.26944444444</x:v>
      </x:c>
      <x:c r="K3428" s="15" t="n">
        <x:v>10</x:v>
      </x:c>
      <x:c r="L3428" s="15" t="n">
        <x:v>18</x:v>
      </x:c>
      <x:c r="M3428" s="13" t="n">
        <x:f>J3428+(K3428+L3428)/1440</x:f>
        <x:v>46314.288888888885</x:v>
      </x:c>
      <x:c r="N3428" s="13" t="n">
        <x:f>VLOOKUP(C3428,'MES orders'!$A$8:$H$127,5,FALSE)</x:f>
        <x:v>46311.666666666664</x:v>
      </x:c>
      <x:c r="O3428" s="16" t="n">
        <x:f>MAX(0,(M3428-N3428)*24)</x:f>
        <x:v>62.93333333329065</x:v>
      </x:c>
      <x:c r="P3428" s="9" t="str">
        <x:v>No</x:v>
      </x:c>
      <x:c r="Q3428" s="15" t="n">
        <x:v>28</x:v>
      </x:c>
      <x:c r="R3428" s="13" t="n">
        <x:f>J3428+Q3428/1440</x:f>
        <x:v>46314.288888888885</x:v>
      </x:c>
      <x:c r="S3428" s="2" t="str">
        <x:f>VLOOKUP(C3428,'MES orders'!$A$8:$H$127,6,FALSE)</x:f>
        <x:v>Urgent</x:v>
      </x:c>
      <x:c r="T3428" s="9" t="str"/>
    </x:row>
    <x:row r="3429" ht="22" customHeight="1">
      <x:c r="A3429" s="2" t="str">
        <x:v>L00078-010</x:v>
      </x:c>
      <x:c r="B3429" s="2" t="str">
        <x:v>L00078</x:v>
      </x:c>
      <x:c r="C3429" s="2" t="str">
        <x:v>SO-26016</x:v>
      </x:c>
      <x:c r="D3429" s="2" t="str">
        <x:v>S-S-SS</x:v>
      </x:c>
      <x:c r="E3429" s="14" t="n">
        <x:v>10</x:v>
      </x:c>
      <x:c r="F3429" s="2" t="str">
        <x:v>CNC machining</x:v>
      </x:c>
      <x:c r="G3429" s="9" t="str">
        <x:v>CNC-05</x:v>
      </x:c>
      <x:c r="H3429" s="15" t="n">
        <x:v>95</x:v>
      </x:c>
      <x:c r="I3429" s="9" t="str">
        <x:v>P02</x:v>
      </x:c>
      <x:c r="J3429" s="11" t="n">
        <x:v>46314.26944444444</x:v>
      </x:c>
      <x:c r="K3429" s="15" t="n">
        <x:v>18</x:v>
      </x:c>
      <x:c r="L3429" s="15" t="n">
        <x:v>30</x:v>
      </x:c>
      <x:c r="M3429" s="13" t="n">
        <x:f>J3429+(K3429+L3429)/1440</x:f>
        <x:v>46314.302777777775</x:v>
      </x:c>
      <x:c r="N3429" s="13" t="n">
        <x:f>VLOOKUP(C3429,'MES orders'!$A$8:$H$127,5,FALSE)</x:f>
        <x:v>46311.666666666664</x:v>
      </x:c>
      <x:c r="O3429" s="16" t="n">
        <x:f>MAX(0,(M3429-N3429)*24)</x:f>
        <x:v>63.266666666662786</x:v>
      </x:c>
      <x:c r="P3429" s="9" t="str">
        <x:v>No</x:v>
      </x:c>
      <x:c r="Q3429" s="15" t="n">
        <x:v>18</x:v>
      </x:c>
      <x:c r="R3429" s="13" t="n">
        <x:f>J3429+Q3429/1440</x:f>
        <x:v>46314.28194444444</x:v>
      </x:c>
      <x:c r="S3429" s="2" t="str">
        <x:f>VLOOKUP(C3429,'MES orders'!$A$8:$H$127,6,FALSE)</x:f>
        <x:v>Normal</x:v>
      </x:c>
      <x:c r="T3429" s="9" t="str"/>
    </x:row>
    <x:row r="3430" ht="22" customHeight="1">
      <x:c r="A3430" s="2" t="str">
        <x:v>L00598-030</x:v>
      </x:c>
      <x:c r="B3430" s="2" t="str">
        <x:v>L00598</x:v>
      </x:c>
      <x:c r="C3430" s="2" t="str">
        <x:v>SO-26120</x:v>
      </x:c>
      <x:c r="D3430" s="2" t="str">
        <x:v>D-L-SS</x:v>
      </x:c>
      <x:c r="E3430" s="14" t="n">
        <x:v>25</x:v>
      </x:c>
      <x:c r="F3430" s="2" t="str">
        <x:v>Wash &amp; dry</x:v>
      </x:c>
      <x:c r="G3430" s="9" t="str">
        <x:v>WS-02</x:v>
      </x:c>
      <x:c r="H3430" s="15" t="n">
        <x:v>231</x:v>
      </x:c>
      <x:c r="I3430" s="9" t="str">
        <x:v>P01</x:v>
      </x:c>
      <x:c r="J3430" s="11" t="n">
        <x:v>46314.26944444444</x:v>
      </x:c>
      <x:c r="K3430" s="15" t="n">
        <x:v>12</x:v>
      </x:c>
      <x:c r="L3430" s="15" t="n">
        <x:v>12</x:v>
      </x:c>
      <x:c r="M3430" s="13" t="n">
        <x:f>J3430+(K3430+L3430)/1440</x:f>
        <x:v>46314.28611111111</x:v>
      </x:c>
      <x:c r="N3430" s="13" t="n">
        <x:f>VLOOKUP(C3430,'MES orders'!$A$8:$H$127,5,FALSE)</x:f>
        <x:v>46311.666666666664</x:v>
      </x:c>
      <x:c r="O3430" s="16" t="n">
        <x:f>MAX(0,(M3430-N3430)*24)</x:f>
        <x:v>62.86666666675592</x:v>
      </x:c>
      <x:c r="P3430" s="9" t="str">
        <x:v>No</x:v>
      </x:c>
      <x:c r="Q3430" s="15" t="n">
        <x:v>24</x:v>
      </x:c>
      <x:c r="R3430" s="13" t="n">
        <x:f>J3430+Q3430/1440</x:f>
        <x:v>46314.28611111111</x:v>
      </x:c>
      <x:c r="S3430" s="2" t="str">
        <x:f>VLOOKUP(C3430,'MES orders'!$A$8:$H$127,6,FALSE)</x:f>
        <x:v>High</x:v>
      </x:c>
      <x:c r="T3430" s="9" t="str"/>
    </x:row>
    <x:row r="3431" ht="22" customHeight="1">
      <x:c r="A3431" s="2" t="str">
        <x:v>L00320-030</x:v>
      </x:c>
      <x:c r="B3431" s="2" t="str">
        <x:v>L00320</x:v>
      </x:c>
      <x:c r="C3431" s="2" t="str">
        <x:v>SO-26064</x:v>
      </x:c>
      <x:c r="D3431" s="2" t="str">
        <x:v>R-S-SS</x:v>
      </x:c>
      <x:c r="E3431" s="14" t="n">
        <x:v>15</x:v>
      </x:c>
      <x:c r="F3431" s="2" t="str">
        <x:v>Wash &amp; dry</x:v>
      </x:c>
      <x:c r="G3431" s="9" t="str">
        <x:v>WS-01</x:v>
      </x:c>
      <x:c r="H3431" s="15" t="n">
        <x:v>313</x:v>
      </x:c>
      <x:c r="I3431" s="9" t="str">
        <x:v>P04</x:v>
      </x:c>
      <x:c r="J3431" s="11" t="n">
        <x:v>46314.274305555555</x:v>
      </x:c>
      <x:c r="K3431" s="15" t="n">
        <x:v>12</x:v>
      </x:c>
      <x:c r="L3431" s="15" t="n">
        <x:v>5</x:v>
      </x:c>
      <x:c r="M3431" s="13" t="n">
        <x:f>J3431+(K3431+L3431)/1440</x:f>
        <x:v>46314.28611111111</x:v>
      </x:c>
      <x:c r="N3431" s="13" t="n">
        <x:f>VLOOKUP(C3431,'MES orders'!$A$8:$H$127,5,FALSE)</x:f>
        <x:v>46311.666666666664</x:v>
      </x:c>
      <x:c r="O3431" s="16" t="n">
        <x:f>MAX(0,(M3431-N3431)*24)</x:f>
        <x:v>62.86666666675592</x:v>
      </x:c>
      <x:c r="P3431" s="9" t="str">
        <x:v>No</x:v>
      </x:c>
      <x:c r="Q3431" s="15" t="n">
        <x:v>17</x:v>
      </x:c>
      <x:c r="R3431" s="13" t="n">
        <x:f>J3431+Q3431/1440</x:f>
        <x:v>46314.28611111111</x:v>
      </x:c>
      <x:c r="S3431" s="2" t="str">
        <x:f>VLOOKUP(C3431,'MES orders'!$A$8:$H$127,6,FALSE)</x:f>
        <x:v>High</x:v>
      </x:c>
      <x:c r="T3431" s="9" t="str"/>
    </x:row>
    <x:row r="3432" ht="22" customHeight="1">
      <x:c r="A3432" s="2" t="str">
        <x:v>L00079-010</x:v>
      </x:c>
      <x:c r="B3432" s="2" t="str">
        <x:v>L00079</x:v>
      </x:c>
      <x:c r="C3432" s="2" t="str">
        <x:v>SO-26016</x:v>
      </x:c>
      <x:c r="D3432" s="2" t="str">
        <x:v>S-S-SS</x:v>
      </x:c>
      <x:c r="E3432" s="14" t="n">
        <x:v>10</x:v>
      </x:c>
      <x:c r="F3432" s="2" t="str">
        <x:v>CNC machining</x:v>
      </x:c>
      <x:c r="G3432" s="9" t="str">
        <x:v>CNC-06</x:v>
      </x:c>
      <x:c r="H3432" s="15" t="n">
        <x:v>88</x:v>
      </x:c>
      <x:c r="I3432" s="9" t="str">
        <x:v>P03</x:v>
      </x:c>
      <x:c r="J3432" s="11" t="n">
        <x:v>46314.275</x:v>
      </x:c>
      <x:c r="K3432" s="15" t="n">
        <x:v>18</x:v>
      </x:c>
      <x:c r="L3432" s="15" t="n">
        <x:v>30</x:v>
      </x:c>
      <x:c r="M3432" s="13" t="n">
        <x:f>J3432+(K3432+L3432)/1440</x:f>
        <x:v>46314.308333333334</x:v>
      </x:c>
      <x:c r="N3432" s="13" t="n">
        <x:f>VLOOKUP(C3432,'MES orders'!$A$8:$H$127,5,FALSE)</x:f>
        <x:v>46311.666666666664</x:v>
      </x:c>
      <x:c r="O3432" s="16" t="n">
        <x:f>MAX(0,(M3432-N3432)*24)</x:f>
        <x:v>63.40000000008149</x:v>
      </x:c>
      <x:c r="P3432" s="9" t="str">
        <x:v>No</x:v>
      </x:c>
      <x:c r="Q3432" s="15" t="n">
        <x:v>18</x:v>
      </x:c>
      <x:c r="R3432" s="13" t="n">
        <x:f>J3432+Q3432/1440</x:f>
        <x:v>46314.2875</x:v>
      </x:c>
      <x:c r="S3432" s="2" t="str">
        <x:f>VLOOKUP(C3432,'MES orders'!$A$8:$H$127,6,FALSE)</x:f>
        <x:v>Normal</x:v>
      </x:c>
      <x:c r="T3432" s="9" t="str"/>
    </x:row>
    <x:row r="3433" ht="22" customHeight="1">
      <x:c r="A3433" s="2" t="str">
        <x:v>L00316-060</x:v>
      </x:c>
      <x:c r="B3433" s="2" t="str">
        <x:v>L00316</x:v>
      </x:c>
      <x:c r="C3433" s="2" t="str">
        <x:v>SO-26064</x:v>
      </x:c>
      <x:c r="D3433" s="2" t="str">
        <x:v>R-S-SS</x:v>
      </x:c>
      <x:c r="E3433" s="14" t="n">
        <x:v>15</x:v>
      </x:c>
      <x:c r="F3433" s="2" t="str">
        <x:v>Final leak / function test</x:v>
      </x:c>
      <x:c r="G3433" s="9" t="str">
        <x:v>QA-03</x:v>
      </x:c>
      <x:c r="H3433" s="15" t="n">
        <x:v>150</x:v>
      </x:c>
      <x:c r="I3433" s="9" t="str">
        <x:v>P12</x:v>
      </x:c>
      <x:c r="J3433" s="11" t="n">
        <x:v>46314.27638888889</x:v>
      </x:c>
      <x:c r="K3433" s="15" t="n">
        <x:v>10</x:v>
      </x:c>
      <x:c r="L3433" s="15" t="n">
        <x:v>14</x:v>
      </x:c>
      <x:c r="M3433" s="13" t="n">
        <x:f>J3433+(K3433+L3433)/1440</x:f>
        <x:v>46314.29305555556</x:v>
      </x:c>
      <x:c r="N3433" s="13" t="n">
        <x:f>VLOOKUP(C3433,'MES orders'!$A$8:$H$127,5,FALSE)</x:f>
        <x:v>46311.666666666664</x:v>
      </x:c>
      <x:c r="O3433" s="16" t="n">
        <x:f>MAX(0,(M3433-N3433)*24)</x:f>
        <x:v>63.03333333344199</x:v>
      </x:c>
      <x:c r="P3433" s="9" t="str">
        <x:v>No</x:v>
      </x:c>
      <x:c r="Q3433" s="15" t="n">
        <x:v>24</x:v>
      </x:c>
      <x:c r="R3433" s="13" t="n">
        <x:f>J3433+Q3433/1440</x:f>
        <x:v>46314.29305555556</x:v>
      </x:c>
      <x:c r="S3433" s="2" t="str">
        <x:f>VLOOKUP(C3433,'MES orders'!$A$8:$H$127,6,FALSE)</x:f>
        <x:v>High</x:v>
      </x:c>
      <x:c r="T3433" s="9" t="str"/>
    </x:row>
    <x:row r="3434" ht="22" customHeight="1">
      <x:c r="A3434" s="2" t="str">
        <x:v>L00318-050</x:v>
      </x:c>
      <x:c r="B3434" s="2" t="str">
        <x:v>L00318</x:v>
      </x:c>
      <x:c r="C3434" s="2" t="str">
        <x:v>SO-26064</x:v>
      </x:c>
      <x:c r="D3434" s="2" t="str">
        <x:v>R-S-SS</x:v>
      </x:c>
      <x:c r="E3434" s="14" t="n">
        <x:v>15</x:v>
      </x:c>
      <x:c r="F3434" s="2" t="str">
        <x:v>Valve adjustment</x:v>
      </x:c>
      <x:c r="G3434" s="9" t="str">
        <x:v>AS-02</x:v>
      </x:c>
      <x:c r="H3434" s="15" t="n">
        <x:v>226</x:v>
      </x:c>
      <x:c r="I3434" s="9" t="str">
        <x:v>P06</x:v>
      </x:c>
      <x:c r="J3434" s="11" t="n">
        <x:v>46314.28055555555</x:v>
      </x:c>
      <x:c r="K3434" s="15" t="n">
        <x:v>6</x:v>
      </x:c>
      <x:c r="L3434" s="15" t="n">
        <x:v>16</x:v>
      </x:c>
      <x:c r="M3434" s="13" t="n">
        <x:f>J3434+(K3434+L3434)/1440</x:f>
        <x:v>46314.29583333333</x:v>
      </x:c>
      <x:c r="N3434" s="13" t="n">
        <x:f>VLOOKUP(C3434,'MES orders'!$A$8:$H$127,5,FALSE)</x:f>
        <x:v>46311.666666666664</x:v>
      </x:c>
      <x:c r="O3434" s="16" t="n">
        <x:f>MAX(0,(M3434-N3434)*24)</x:f>
        <x:v>63.09999999997672</x:v>
      </x:c>
      <x:c r="P3434" s="9" t="str">
        <x:v>No</x:v>
      </x:c>
      <x:c r="Q3434" s="15" t="n">
        <x:v>22</x:v>
      </x:c>
      <x:c r="R3434" s="13" t="n">
        <x:f>J3434+Q3434/1440</x:f>
        <x:v>46314.29583333333</x:v>
      </x:c>
      <x:c r="S3434" s="2" t="str">
        <x:f>VLOOKUP(C3434,'MES orders'!$A$8:$H$127,6,FALSE)</x:f>
        <x:v>High</x:v>
      </x:c>
      <x:c r="T3434" s="9" t="str"/>
    </x:row>
    <x:row r="3435" ht="22" customHeight="1">
      <x:c r="A3435" s="2" t="str">
        <x:v>L00076-020</x:v>
      </x:c>
      <x:c r="B3435" s="2" t="str">
        <x:v>L00076</x:v>
      </x:c>
      <x:c r="C3435" s="2" t="str">
        <x:v>SO-26016</x:v>
      </x:c>
      <x:c r="D3435" s="2" t="str">
        <x:v>S-S-SS</x:v>
      </x:c>
      <x:c r="E3435" s="14" t="n">
        <x:v>10</x:v>
      </x:c>
      <x:c r="F3435" s="2" t="str">
        <x:v>Deburr &amp; inspect</x:v>
      </x:c>
      <x:c r="G3435" s="9" t="str">
        <x:v>DB-01</x:v>
      </x:c>
      <x:c r="H3435" s="15" t="n">
        <x:v>321</x:v>
      </x:c>
      <x:c r="I3435" s="9" t="str">
        <x:v>P05</x:v>
      </x:c>
      <x:c r="J3435" s="11" t="n">
        <x:v>46314.28055555555</x:v>
      </x:c>
      <x:c r="K3435" s="15" t="n">
        <x:v>4</x:v>
      </x:c>
      <x:c r="L3435" s="15" t="n">
        <x:v>7</x:v>
      </x:c>
      <x:c r="M3435" s="13" t="n">
        <x:f>J3435+(K3435+L3435)/1440</x:f>
        <x:v>46314.288194444445</x:v>
      </x:c>
      <x:c r="N3435" s="13" t="n">
        <x:f>VLOOKUP(C3435,'MES orders'!$A$8:$H$127,5,FALSE)</x:f>
        <x:v>46311.666666666664</x:v>
      </x:c>
      <x:c r="O3435" s="16" t="n">
        <x:f>MAX(0,(M3435-N3435)*24)</x:f>
        <x:v>62.91666666674428</x:v>
      </x:c>
      <x:c r="P3435" s="9" t="str">
        <x:v>No</x:v>
      </x:c>
      <x:c r="Q3435" s="15" t="n">
        <x:v>11</x:v>
      </x:c>
      <x:c r="R3435" s="13" t="n">
        <x:f>J3435+Q3435/1440</x:f>
        <x:v>46314.288194444445</x:v>
      </x:c>
      <x:c r="S3435" s="2" t="str">
        <x:f>VLOOKUP(C3435,'MES orders'!$A$8:$H$127,6,FALSE)</x:f>
        <x:v>Normal</x:v>
      </x:c>
      <x:c r="T3435" s="9" t="str"/>
    </x:row>
    <x:row r="3436" ht="22" customHeight="1">
      <x:c r="A3436" s="2" t="str">
        <x:v>L00117-080</x:v>
      </x:c>
      <x:c r="B3436" s="2" t="str">
        <x:v>L00117</x:v>
      </x:c>
      <x:c r="C3436" s="2" t="str">
        <x:v>SO-26024</x:v>
      </x:c>
      <x:c r="D3436" s="2" t="str">
        <x:v>S-L-SS</x:v>
      </x:c>
      <x:c r="E3436" s="14" t="n">
        <x:v>10</x:v>
      </x:c>
      <x:c r="F3436" s="2" t="str">
        <x:v>Final leak / function test</x:v>
      </x:c>
      <x:c r="G3436" s="9" t="str">
        <x:v>QA-02</x:v>
      </x:c>
      <x:c r="H3436" s="15" t="n">
        <x:v>256</x:v>
      </x:c>
      <x:c r="I3436" s="9" t="str">
        <x:v>P11</x:v>
      </x:c>
      <x:c r="J3436" s="11" t="n">
        <x:v>46314.28055555555</x:v>
      </x:c>
      <x:c r="K3436" s="15" t="n">
        <x:v>10</x:v>
      </x:c>
      <x:c r="L3436" s="15" t="n">
        <x:v>12</x:v>
      </x:c>
      <x:c r="M3436" s="13" t="n">
        <x:f>J3436+(K3436+L3436)/1440</x:f>
        <x:v>46314.29583333333</x:v>
      </x:c>
      <x:c r="N3436" s="13" t="n">
        <x:f>VLOOKUP(C3436,'MES orders'!$A$8:$H$127,5,FALSE)</x:f>
        <x:v>46311.666666666664</x:v>
      </x:c>
      <x:c r="O3436" s="16" t="n">
        <x:f>MAX(0,(M3436-N3436)*24)</x:f>
        <x:v>63.09999999997672</x:v>
      </x:c>
      <x:c r="P3436" s="9" t="str">
        <x:v>No</x:v>
      </x:c>
      <x:c r="Q3436" s="15" t="n">
        <x:v>22</x:v>
      </x:c>
      <x:c r="R3436" s="13" t="n">
        <x:f>J3436+Q3436/1440</x:f>
        <x:v>46314.29583333333</x:v>
      </x:c>
      <x:c r="S3436" s="2" t="str">
        <x:f>VLOOKUP(C3436,'MES orders'!$A$8:$H$127,6,FALSE)</x:f>
        <x:v>Urgent</x:v>
      </x:c>
      <x:c r="T3436" s="9" t="str"/>
    </x:row>
    <x:row r="3437" ht="22" customHeight="1">
      <x:c r="A3437" s="2" t="str">
        <x:v>L00320-040</x:v>
      </x:c>
      <x:c r="B3437" s="2" t="str">
        <x:v>L00320</x:v>
      </x:c>
      <x:c r="C3437" s="2" t="str">
        <x:v>SO-26064</x:v>
      </x:c>
      <x:c r="D3437" s="2" t="str">
        <x:v>R-S-SS</x:v>
      </x:c>
      <x:c r="E3437" s="14" t="n">
        <x:v>15</x:v>
      </x:c>
      <x:c r="F3437" s="2" t="str">
        <x:v>Mechanical assembly</x:v>
      </x:c>
      <x:c r="G3437" s="9" t="str">
        <x:v>AS-03</x:v>
      </x:c>
      <x:c r="H3437" s="15" t="n">
        <x:v>185</x:v>
      </x:c>
      <x:c r="I3437" s="9" t="str">
        <x:v>P04</x:v>
      </x:c>
      <x:c r="J3437" s="11" t="n">
        <x:v>46314.28611111111</x:v>
      </x:c>
      <x:c r="K3437" s="15" t="n">
        <x:v>8</x:v>
      </x:c>
      <x:c r="L3437" s="15" t="n">
        <x:v>27</x:v>
      </x:c>
      <x:c r="M3437" s="13" t="n">
        <x:f>J3437+(K3437+L3437)/1440</x:f>
        <x:v>46314.31041666667</x:v>
      </x:c>
      <x:c r="N3437" s="13" t="n">
        <x:f>VLOOKUP(C3437,'MES orders'!$A$8:$H$127,5,FALSE)</x:f>
        <x:v>46311.666666666664</x:v>
      </x:c>
      <x:c r="O3437" s="16" t="n">
        <x:f>MAX(0,(M3437-N3437)*24)</x:f>
        <x:v>63.45000000006985</x:v>
      </x:c>
      <x:c r="P3437" s="9" t="str">
        <x:v>No</x:v>
      </x:c>
      <x:c r="Q3437" s="15" t="n">
        <x:v>35</x:v>
      </x:c>
      <x:c r="R3437" s="13" t="n">
        <x:f>J3437+Q3437/1440</x:f>
        <x:v>46314.31041666667</x:v>
      </x:c>
      <x:c r="S3437" s="2" t="str">
        <x:f>VLOOKUP(C3437,'MES orders'!$A$8:$H$127,6,FALSE)</x:f>
        <x:v>High</x:v>
      </x:c>
      <x:c r="T3437" s="9" t="str"/>
    </x:row>
    <x:row r="3438" ht="22" customHeight="1">
      <x:c r="A3438" s="2" t="str">
        <x:v>L00599-030</x:v>
      </x:c>
      <x:c r="B3438" s="2" t="str">
        <x:v>L00599</x:v>
      </x:c>
      <x:c r="C3438" s="2" t="str">
        <x:v>SO-26120</x:v>
      </x:c>
      <x:c r="D3438" s="2" t="str">
        <x:v>D-L-SS</x:v>
      </x:c>
      <x:c r="E3438" s="14" t="n">
        <x:v>25</x:v>
      </x:c>
      <x:c r="F3438" s="2" t="str">
        <x:v>Wash &amp; dry</x:v>
      </x:c>
      <x:c r="G3438" s="9" t="str">
        <x:v>WS-01</x:v>
      </x:c>
      <x:c r="H3438" s="15" t="n">
        <x:v>314</x:v>
      </x:c>
      <x:c r="I3438" s="9" t="str">
        <x:v>P01</x:v>
      </x:c>
      <x:c r="J3438" s="11" t="n">
        <x:v>46314.28611111111</x:v>
      </x:c>
      <x:c r="K3438" s="15" t="n">
        <x:v>12</x:v>
      </x:c>
      <x:c r="L3438" s="15" t="n">
        <x:v>12</x:v>
      </x:c>
      <x:c r="M3438" s="13" t="n">
        <x:f>J3438+(K3438+L3438)/1440</x:f>
        <x:v>46314.30277777778</x:v>
      </x:c>
      <x:c r="N3438" s="13" t="n">
        <x:f>VLOOKUP(C3438,'MES orders'!$A$8:$H$127,5,FALSE)</x:f>
        <x:v>46311.666666666664</x:v>
      </x:c>
      <x:c r="O3438" s="16" t="n">
        <x:f>MAX(0,(M3438-N3438)*24)</x:f>
        <x:v>63.26666666683741</x:v>
      </x:c>
      <x:c r="P3438" s="9" t="str">
        <x:v>No</x:v>
      </x:c>
      <x:c r="Q3438" s="15" t="n">
        <x:v>24</x:v>
      </x:c>
      <x:c r="R3438" s="13" t="n">
        <x:f>J3438+Q3438/1440</x:f>
        <x:v>46314.30277777778</x:v>
      </x:c>
      <x:c r="S3438" s="2" t="str">
        <x:f>VLOOKUP(C3438,'MES orders'!$A$8:$H$127,6,FALSE)</x:f>
        <x:v>High</x:v>
      </x:c>
      <x:c r="T3438" s="9" t="str"/>
    </x:row>
    <x:row r="3439" ht="22" customHeight="1">
      <x:c r="A3439" s="2" t="str">
        <x:v>L00118-070</x:v>
      </x:c>
      <x:c r="B3439" s="2" t="str">
        <x:v>L00118</x:v>
      </x:c>
      <x:c r="C3439" s="2" t="str">
        <x:v>SO-26024</x:v>
      </x:c>
      <x:c r="D3439" s="2" t="str">
        <x:v>S-L-SS</x:v>
      </x:c>
      <x:c r="E3439" s="14" t="n">
        <x:v>10</x:v>
      </x:c>
      <x:c r="F3439" s="2" t="str">
        <x:v>Final assembly</x:v>
      </x:c>
      <x:c r="G3439" s="9" t="str">
        <x:v>AS-01</x:v>
      </x:c>
      <x:c r="H3439" s="15" t="n">
        <x:v>272</x:v>
      </x:c>
      <x:c r="I3439" s="9" t="str">
        <x:v>P05</x:v>
      </x:c>
      <x:c r="J3439" s="11" t="n">
        <x:v>46314.28888888889</x:v>
      </x:c>
      <x:c r="K3439" s="15" t="n">
        <x:v>5</x:v>
      </x:c>
      <x:c r="L3439" s="15" t="n">
        <x:v>11</x:v>
      </x:c>
      <x:c r="M3439" s="13" t="n">
        <x:f>J3439+(K3439+L3439)/1440</x:f>
        <x:v>46314.3</x:v>
      </x:c>
      <x:c r="N3439" s="13" t="n">
        <x:f>VLOOKUP(C3439,'MES orders'!$A$8:$H$127,5,FALSE)</x:f>
        <x:v>46311.666666666664</x:v>
      </x:c>
      <x:c r="O3439" s="16" t="n">
        <x:f>MAX(0,(M3439-N3439)*24)</x:f>
        <x:v>63.20000000012806</x:v>
      </x:c>
      <x:c r="P3439" s="9" t="str">
        <x:v>No</x:v>
      </x:c>
      <x:c r="Q3439" s="15" t="n">
        <x:v>16</x:v>
      </x:c>
      <x:c r="R3439" s="13" t="n">
        <x:f>J3439+Q3439/1440</x:f>
        <x:v>46314.3</x:v>
      </x:c>
      <x:c r="S3439" s="2" t="str">
        <x:f>VLOOKUP(C3439,'MES orders'!$A$8:$H$127,6,FALSE)</x:f>
        <x:v>Urgent</x:v>
      </x:c>
      <x:c r="T3439" s="9" t="str"/>
    </x:row>
    <x:row r="3440" ht="22" customHeight="1">
      <x:c r="A3440" s="2" t="str">
        <x:v>L00119-060</x:v>
      </x:c>
      <x:c r="B3440" s="2" t="str">
        <x:v>L00119</x:v>
      </x:c>
      <x:c r="C3440" s="2" t="str">
        <x:v>SO-26024</x:v>
      </x:c>
      <x:c r="D3440" s="2" t="str">
        <x:v>S-L-SS</x:v>
      </x:c>
      <x:c r="E3440" s="14" t="n">
        <x:v>10</x:v>
      </x:c>
      <x:c r="F3440" s="2" t="str">
        <x:v>Sensor calibration</x:v>
      </x:c>
      <x:c r="G3440" s="9" t="str">
        <x:v>CAL-01</x:v>
      </x:c>
      <x:c r="H3440" s="15" t="n">
        <x:v>174</x:v>
      </x:c>
      <x:c r="I3440" s="9" t="str">
        <x:v>P09</x:v>
      </x:c>
      <x:c r="J3440" s="11" t="n">
        <x:v>46314.28888888889</x:v>
      </x:c>
      <x:c r="K3440" s="15" t="n">
        <x:v>10</x:v>
      </x:c>
      <x:c r="L3440" s="15" t="n">
        <x:v>18</x:v>
      </x:c>
      <x:c r="M3440" s="13" t="n">
        <x:f>J3440+(K3440+L3440)/1440</x:f>
        <x:v>46314.308333333334</x:v>
      </x:c>
      <x:c r="N3440" s="13" t="n">
        <x:f>VLOOKUP(C3440,'MES orders'!$A$8:$H$127,5,FALSE)</x:f>
        <x:v>46311.666666666664</x:v>
      </x:c>
      <x:c r="O3440" s="16" t="n">
        <x:f>MAX(0,(M3440-N3440)*24)</x:f>
        <x:v>63.40000000008149</x:v>
      </x:c>
      <x:c r="P3440" s="9" t="str">
        <x:v>No</x:v>
      </x:c>
      <x:c r="Q3440" s="15" t="n">
        <x:v>28</x:v>
      </x:c>
      <x:c r="R3440" s="13" t="n">
        <x:f>J3440+Q3440/1440</x:f>
        <x:v>46314.308333333334</x:v>
      </x:c>
      <x:c r="S3440" s="2" t="str">
        <x:f>VLOOKUP(C3440,'MES orders'!$A$8:$H$127,6,FALSE)</x:f>
        <x:v>Urgent</x:v>
      </x:c>
      <x:c r="T3440" s="9" t="str"/>
    </x:row>
    <x:row r="3441" ht="22" customHeight="1">
      <x:c r="A3441" s="2" t="str">
        <x:v>L00317-060</x:v>
      </x:c>
      <x:c r="B3441" s="2" t="str">
        <x:v>L00317</x:v>
      </x:c>
      <x:c r="C3441" s="2" t="str">
        <x:v>SO-26064</x:v>
      </x:c>
      <x:c r="D3441" s="2" t="str">
        <x:v>R-S-SS</x:v>
      </x:c>
      <x:c r="E3441" s="14" t="n">
        <x:v>15</x:v>
      </x:c>
      <x:c r="F3441" s="2" t="str">
        <x:v>Final leak / function test</x:v>
      </x:c>
      <x:c r="G3441" s="9" t="str">
        <x:v>QA-03</x:v>
      </x:c>
      <x:c r="H3441" s="15" t="n">
        <x:v>151</x:v>
      </x:c>
      <x:c r="I3441" s="9" t="str">
        <x:v>P12</x:v>
      </x:c>
      <x:c r="J3441" s="11" t="n">
        <x:v>46314.29305555556</x:v>
      </x:c>
      <x:c r="K3441" s="15" t="n">
        <x:v>10</x:v>
      </x:c>
      <x:c r="L3441" s="15" t="n">
        <x:v>14</x:v>
      </x:c>
      <x:c r="M3441" s="13" t="n">
        <x:f>J3441+(K3441+L3441)/1440</x:f>
        <x:v>46314.30972222223</x:v>
      </x:c>
      <x:c r="N3441" s="13" t="n">
        <x:f>VLOOKUP(C3441,'MES orders'!$A$8:$H$127,5,FALSE)</x:f>
        <x:v>46311.666666666664</x:v>
      </x:c>
      <x:c r="O3441" s="16" t="n">
        <x:f>MAX(0,(M3441-N3441)*24)</x:f>
        <x:v>63.43333333352348</x:v>
      </x:c>
      <x:c r="P3441" s="9" t="str">
        <x:v>No</x:v>
      </x:c>
      <x:c r="Q3441" s="15" t="n">
        <x:v>24</x:v>
      </x:c>
      <x:c r="R3441" s="13" t="n">
        <x:f>J3441+Q3441/1440</x:f>
        <x:v>46314.30972222223</x:v>
      </x:c>
      <x:c r="S3441" s="2" t="str">
        <x:f>VLOOKUP(C3441,'MES orders'!$A$8:$H$127,6,FALSE)</x:f>
        <x:v>High</x:v>
      </x:c>
      <x:c r="T3441" s="9" t="str"/>
    </x:row>
    <x:row r="3442" ht="22" customHeight="1">
      <x:c r="A3442" s="2" t="str">
        <x:v>L00080-010</x:v>
      </x:c>
      <x:c r="B3442" s="2" t="str">
        <x:v>L00080</x:v>
      </x:c>
      <x:c r="C3442" s="2" t="str">
        <x:v>SO-26016</x:v>
      </x:c>
      <x:c r="D3442" s="2" t="str">
        <x:v>S-S-SS</x:v>
      </x:c>
      <x:c r="E3442" s="14" t="n">
        <x:v>10</x:v>
      </x:c>
      <x:c r="F3442" s="2" t="str">
        <x:v>CNC machining</x:v>
      </x:c>
      <x:c r="G3442" s="9" t="str">
        <x:v>CNC-04</x:v>
      </x:c>
      <x:c r="H3442" s="15" t="n">
        <x:v>107</x:v>
      </x:c>
      <x:c r="I3442" s="9" t="str">
        <x:v>P03</x:v>
      </x:c>
      <x:c r="J3442" s="11" t="n">
        <x:v>46314.29583333333</x:v>
      </x:c>
      <x:c r="K3442" s="15" t="n">
        <x:v>18</x:v>
      </x:c>
      <x:c r="L3442" s="15" t="n">
        <x:v>30</x:v>
      </x:c>
      <x:c r="M3442" s="13" t="n">
        <x:f>J3442+(K3442+L3442)/1440</x:f>
        <x:v>46314.32916666666</x:v>
      </x:c>
      <x:c r="N3442" s="13" t="n">
        <x:f>VLOOKUP(C3442,'MES orders'!$A$8:$H$127,5,FALSE)</x:f>
        <x:v>46311.666666666664</x:v>
      </x:c>
      <x:c r="O3442" s="16" t="n">
        <x:f>MAX(0,(M3442-N3442)*24)</x:f>
        <x:v>63.899999999965075</x:v>
      </x:c>
      <x:c r="P3442" s="9" t="str">
        <x:v>No</x:v>
      </x:c>
      <x:c r="Q3442" s="15" t="n">
        <x:v>18</x:v>
      </x:c>
      <x:c r="R3442" s="13" t="n">
        <x:f>J3442+Q3442/1440</x:f>
        <x:v>46314.30833333333</x:v>
      </x:c>
      <x:c r="S3442" s="2" t="str">
        <x:f>VLOOKUP(C3442,'MES orders'!$A$8:$H$127,6,FALSE)</x:f>
        <x:v>Normal</x:v>
      </x:c>
      <x:c r="T3442" s="9" t="str"/>
    </x:row>
    <x:row r="3443" ht="22" customHeight="1">
      <x:c r="A3443" s="2" t="str">
        <x:v>L00076-030</x:v>
      </x:c>
      <x:c r="B3443" s="2" t="str">
        <x:v>L00076</x:v>
      </x:c>
      <x:c r="C3443" s="2" t="str">
        <x:v>SO-26016</x:v>
      </x:c>
      <x:c r="D3443" s="2" t="str">
        <x:v>S-S-SS</x:v>
      </x:c>
      <x:c r="E3443" s="14" t="n">
        <x:v>10</x:v>
      </x:c>
      <x:c r="F3443" s="2" t="str">
        <x:v>Wash &amp; dry</x:v>
      </x:c>
      <x:c r="G3443" s="9" t="str">
        <x:v>WS-02</x:v>
      </x:c>
      <x:c r="H3443" s="15" t="n">
        <x:v>232</x:v>
      </x:c>
      <x:c r="I3443" s="9" t="str">
        <x:v>P06</x:v>
      </x:c>
      <x:c r="J3443" s="11" t="n">
        <x:v>46314.29583333333</x:v>
      </x:c>
      <x:c r="K3443" s="15" t="n">
        <x:v>12</x:v>
      </x:c>
      <x:c r="L3443" s="15" t="n">
        <x:v>4</x:v>
      </x:c>
      <x:c r="M3443" s="13" t="n">
        <x:f>J3443+(K3443+L3443)/1440</x:f>
        <x:v>46314.30694444444</x:v>
      </x:c>
      <x:c r="N3443" s="13" t="n">
        <x:f>VLOOKUP(C3443,'MES orders'!$A$8:$H$127,5,FALSE)</x:f>
        <x:v>46311.666666666664</x:v>
      </x:c>
      <x:c r="O3443" s="16" t="n">
        <x:f>MAX(0,(M3443-N3443)*24)</x:f>
        <x:v>63.3666666666395</x:v>
      </x:c>
      <x:c r="P3443" s="9" t="str">
        <x:v>No</x:v>
      </x:c>
      <x:c r="Q3443" s="15" t="n">
        <x:v>16</x:v>
      </x:c>
      <x:c r="R3443" s="13" t="n">
        <x:f>J3443+Q3443/1440</x:f>
        <x:v>46314.30694444444</x:v>
      </x:c>
      <x:c r="S3443" s="2" t="str">
        <x:f>VLOOKUP(C3443,'MES orders'!$A$8:$H$127,6,FALSE)</x:f>
        <x:v>Normal</x:v>
      </x:c>
      <x:c r="T3443" s="9" t="str"/>
    </x:row>
    <x:row r="3444" ht="22" customHeight="1">
      <x:c r="A3444" s="2" t="str">
        <x:v>L00077-020</x:v>
      </x:c>
      <x:c r="B3444" s="2" t="str">
        <x:v>L00077</x:v>
      </x:c>
      <x:c r="C3444" s="2" t="str">
        <x:v>SO-26016</x:v>
      </x:c>
      <x:c r="D3444" s="2" t="str">
        <x:v>S-S-SS</x:v>
      </x:c>
      <x:c r="E3444" s="14" t="n">
        <x:v>10</x:v>
      </x:c>
      <x:c r="F3444" s="2" t="str">
        <x:v>Deburr &amp; inspect</x:v>
      </x:c>
      <x:c r="G3444" s="9" t="str">
        <x:v>DB-01</x:v>
      </x:c>
      <x:c r="H3444" s="15" t="n">
        <x:v>322</x:v>
      </x:c>
      <x:c r="I3444" s="9" t="str">
        <x:v>P05</x:v>
      </x:c>
      <x:c r="J3444" s="11" t="n">
        <x:v>46314.3</x:v>
      </x:c>
      <x:c r="K3444" s="15" t="n">
        <x:v>4</x:v>
      </x:c>
      <x:c r="L3444" s="15" t="n">
        <x:v>7</x:v>
      </x:c>
      <x:c r="M3444" s="13" t="n">
        <x:f>J3444+(K3444+L3444)/1440</x:f>
        <x:v>46314.307638888895</x:v>
      </x:c>
      <x:c r="N3444" s="13" t="n">
        <x:f>VLOOKUP(C3444,'MES orders'!$A$8:$H$127,5,FALSE)</x:f>
        <x:v>46311.666666666664</x:v>
      </x:c>
      <x:c r="O3444" s="16" t="n">
        <x:f>MAX(0,(M3444-N3444)*24)</x:f>
        <x:v>63.38333333353512</x:v>
      </x:c>
      <x:c r="P3444" s="9" t="str">
        <x:v>No</x:v>
      </x:c>
      <x:c r="Q3444" s="15" t="n">
        <x:v>11</x:v>
      </x:c>
      <x:c r="R3444" s="13" t="n">
        <x:f>J3444+Q3444/1440</x:f>
        <x:v>46314.307638888895</x:v>
      </x:c>
      <x:c r="S3444" s="2" t="str">
        <x:f>VLOOKUP(C3444,'MES orders'!$A$8:$H$127,6,FALSE)</x:f>
        <x:v>Normal</x:v>
      </x:c>
      <x:c r="T3444" s="9" t="str"/>
    </x:row>
    <x:row r="3445" ht="22" customHeight="1">
      <x:c r="A3445" s="2" t="str">
        <x:v>L00118-080</x:v>
      </x:c>
      <x:c r="B3445" s="2" t="str">
        <x:v>L00118</x:v>
      </x:c>
      <x:c r="C3445" s="2" t="str">
        <x:v>SO-26024</x:v>
      </x:c>
      <x:c r="D3445" s="2" t="str">
        <x:v>S-L-SS</x:v>
      </x:c>
      <x:c r="E3445" s="14" t="n">
        <x:v>10</x:v>
      </x:c>
      <x:c r="F3445" s="2" t="str">
        <x:v>Final leak / function test</x:v>
      </x:c>
      <x:c r="G3445" s="9" t="str">
        <x:v>QA-02</x:v>
      </x:c>
      <x:c r="H3445" s="15" t="n">
        <x:v>257</x:v>
      </x:c>
      <x:c r="I3445" s="9" t="str">
        <x:v>P11</x:v>
      </x:c>
      <x:c r="J3445" s="11" t="n">
        <x:v>46314.3</x:v>
      </x:c>
      <x:c r="K3445" s="15" t="n">
        <x:v>10</x:v>
      </x:c>
      <x:c r="L3445" s="15" t="n">
        <x:v>12</x:v>
      </x:c>
      <x:c r="M3445" s="13" t="n">
        <x:f>J3445+(K3445+L3445)/1440</x:f>
        <x:v>46314.31527777778</x:v>
      </x:c>
      <x:c r="N3445" s="13" t="n">
        <x:f>VLOOKUP(C3445,'MES orders'!$A$8:$H$127,5,FALSE)</x:f>
        <x:v>46311.666666666664</x:v>
      </x:c>
      <x:c r="O3445" s="16" t="n">
        <x:f>MAX(0,(M3445-N3445)*24)</x:f>
        <x:v>63.56666666676756</x:v>
      </x:c>
      <x:c r="P3445" s="9" t="str">
        <x:v>No</x:v>
      </x:c>
      <x:c r="Q3445" s="15" t="n">
        <x:v>22</x:v>
      </x:c>
      <x:c r="R3445" s="13" t="n">
        <x:f>J3445+Q3445/1440</x:f>
        <x:v>46314.31527777778</x:v>
      </x:c>
      <x:c r="S3445" s="2" t="str">
        <x:f>VLOOKUP(C3445,'MES orders'!$A$8:$H$127,6,FALSE)</x:f>
        <x:v>Urgent</x:v>
      </x:c>
      <x:c r="T3445" s="9" t="str"/>
    </x:row>
    <x:row r="3446" ht="22" customHeight="1">
      <x:c r="A3446" s="2" t="str">
        <x:v>L00599-040</x:v>
      </x:c>
      <x:c r="B3446" s="2" t="str">
        <x:v>L00599</x:v>
      </x:c>
      <x:c r="C3446" s="2" t="str">
        <x:v>SO-26120</x:v>
      </x:c>
      <x:c r="D3446" s="2" t="str">
        <x:v>D-L-SS</x:v>
      </x:c>
      <x:c r="E3446" s="14" t="n">
        <x:v>25</x:v>
      </x:c>
      <x:c r="F3446" s="2" t="str">
        <x:v>Mechanical assembly</x:v>
      </x:c>
      <x:c r="G3446" s="9" t="str">
        <x:v>AS-04</x:v>
      </x:c>
      <x:c r="H3446" s="15" t="n">
        <x:v>122</x:v>
      </x:c>
      <x:c r="I3446" s="9" t="str">
        <x:v>P01</x:v>
      </x:c>
      <x:c r="J3446" s="11" t="n">
        <x:v>46314.302777777775</x:v>
      </x:c>
      <x:c r="K3446" s="15" t="n">
        <x:v>8</x:v>
      </x:c>
      <x:c r="L3446" s="15" t="n">
        <x:v>61</x:v>
      </x:c>
      <x:c r="M3446" s="13" t="n">
        <x:f>J3446+(K3446+L3446)/1440</x:f>
        <x:v>46314.350694444445</x:v>
      </x:c>
      <x:c r="N3446" s="13" t="n">
        <x:f>VLOOKUP(C3446,'MES orders'!$A$8:$H$127,5,FALSE)</x:f>
        <x:v>46311.666666666664</x:v>
      </x:c>
      <x:c r="O3446" s="16" t="n">
        <x:f>MAX(0,(M3446-N3446)*24)</x:f>
        <x:v>64.41666666674428</x:v>
      </x:c>
      <x:c r="P3446" s="9" t="str">
        <x:v>No</x:v>
      </x:c>
      <x:c r="Q3446" s="15" t="n">
        <x:v>69</x:v>
      </x:c>
      <x:c r="R3446" s="13" t="n">
        <x:f>J3446+Q3446/1440</x:f>
        <x:v>46314.350694444445</x:v>
      </x:c>
      <x:c r="S3446" s="2" t="str">
        <x:f>VLOOKUP(C3446,'MES orders'!$A$8:$H$127,6,FALSE)</x:f>
        <x:v>High</x:v>
      </x:c>
      <x:c r="T3446" s="9" t="str"/>
    </x:row>
    <x:row r="3447" ht="22" customHeight="1">
      <x:c r="A3447" s="2" t="str">
        <x:v>L00077-030</x:v>
      </x:c>
      <x:c r="B3447" s="2" t="str">
        <x:v>L00077</x:v>
      </x:c>
      <x:c r="C3447" s="2" t="str">
        <x:v>SO-26016</x:v>
      </x:c>
      <x:c r="D3447" s="2" t="str">
        <x:v>S-S-SS</x:v>
      </x:c>
      <x:c r="E3447" s="14" t="n">
        <x:v>10</x:v>
      </x:c>
      <x:c r="F3447" s="2" t="str">
        <x:v>Wash &amp; dry</x:v>
      </x:c>
      <x:c r="G3447" s="9" t="str">
        <x:v>WS-01</x:v>
      </x:c>
      <x:c r="H3447" s="15" t="n">
        <x:v>315</x:v>
      </x:c>
      <x:c r="I3447" s="9" t="str">
        <x:v>P02</x:v>
      </x:c>
      <x:c r="J3447" s="11" t="n">
        <x:v>46314.30763888889</x:v>
      </x:c>
      <x:c r="K3447" s="15" t="n">
        <x:v>12</x:v>
      </x:c>
      <x:c r="L3447" s="15" t="n">
        <x:v>4</x:v>
      </x:c>
      <x:c r="M3447" s="13" t="n">
        <x:f>J3447+(K3447+L3447)/1440</x:f>
        <x:v>46314.31875</x:v>
      </x:c>
      <x:c r="N3447" s="13" t="n">
        <x:f>VLOOKUP(C3447,'MES orders'!$A$8:$H$127,5,FALSE)</x:f>
        <x:v>46311.666666666664</x:v>
      </x:c>
      <x:c r="O3447" s="16" t="n">
        <x:f>MAX(0,(M3447-N3447)*24)</x:f>
        <x:v>63.65000000002328</x:v>
      </x:c>
      <x:c r="P3447" s="9" t="str">
        <x:v>No</x:v>
      </x:c>
      <x:c r="Q3447" s="15" t="n">
        <x:v>16</x:v>
      </x:c>
      <x:c r="R3447" s="13" t="n">
        <x:f>J3447+Q3447/1440</x:f>
        <x:v>46314.31875</x:v>
      </x:c>
      <x:c r="S3447" s="2" t="str">
        <x:f>VLOOKUP(C3447,'MES orders'!$A$8:$H$127,6,FALSE)</x:f>
        <x:v>Normal</x:v>
      </x:c>
      <x:c r="T3447" s="9" t="str"/>
    </x:row>
    <x:row r="3448" ht="22" customHeight="1">
      <x:c r="A3448" s="2" t="str">
        <x:v>L00119-070</x:v>
      </x:c>
      <x:c r="B3448" s="2" t="str">
        <x:v>L00119</x:v>
      </x:c>
      <x:c r="C3448" s="2" t="str">
        <x:v>SO-26024</x:v>
      </x:c>
      <x:c r="D3448" s="2" t="str">
        <x:v>S-L-SS</x:v>
      </x:c>
      <x:c r="E3448" s="14" t="n">
        <x:v>10</x:v>
      </x:c>
      <x:c r="F3448" s="2" t="str">
        <x:v>Final assembly</x:v>
      </x:c>
      <x:c r="G3448" s="9" t="str">
        <x:v>AS-01</x:v>
      </x:c>
      <x:c r="H3448" s="15" t="n">
        <x:v>273</x:v>
      </x:c>
      <x:c r="I3448" s="9" t="str">
        <x:v>P05</x:v>
      </x:c>
      <x:c r="J3448" s="11" t="n">
        <x:v>46314.308333333334</x:v>
      </x:c>
      <x:c r="K3448" s="15" t="n">
        <x:v>5</x:v>
      </x:c>
      <x:c r="L3448" s="15" t="n">
        <x:v>11</x:v>
      </x:c>
      <x:c r="M3448" s="13" t="n">
        <x:f>J3448+(K3448+L3448)/1440</x:f>
        <x:v>46314.319444444445</x:v>
      </x:c>
      <x:c r="N3448" s="13" t="n">
        <x:f>VLOOKUP(C3448,'MES orders'!$A$8:$H$127,5,FALSE)</x:f>
        <x:v>46311.666666666664</x:v>
      </x:c>
      <x:c r="O3448" s="16" t="n">
        <x:f>MAX(0,(M3448-N3448)*24)</x:f>
        <x:v>63.66666666674428</x:v>
      </x:c>
      <x:c r="P3448" s="9" t="str">
        <x:v>No</x:v>
      </x:c>
      <x:c r="Q3448" s="15" t="n">
        <x:v>16</x:v>
      </x:c>
      <x:c r="R3448" s="13" t="n">
        <x:f>J3448+Q3448/1440</x:f>
        <x:v>46314.319444444445</x:v>
      </x:c>
      <x:c r="S3448" s="2" t="str">
        <x:f>VLOOKUP(C3448,'MES orders'!$A$8:$H$127,6,FALSE)</x:f>
        <x:v>Urgent</x:v>
      </x:c>
      <x:c r="T3448" s="9" t="str"/>
    </x:row>
    <x:row r="3449" ht="22" customHeight="1">
      <x:c r="A3449" s="2" t="str">
        <x:v>L00120-060</x:v>
      </x:c>
      <x:c r="B3449" s="2" t="str">
        <x:v>L00120</x:v>
      </x:c>
      <x:c r="C3449" s="2" t="str">
        <x:v>SO-26024</x:v>
      </x:c>
      <x:c r="D3449" s="2" t="str">
        <x:v>S-L-SS</x:v>
      </x:c>
      <x:c r="E3449" s="14" t="n">
        <x:v>10</x:v>
      </x:c>
      <x:c r="F3449" s="2" t="str">
        <x:v>Sensor calibration</x:v>
      </x:c>
      <x:c r="G3449" s="9" t="str">
        <x:v>CAL-01</x:v>
      </x:c>
      <x:c r="H3449" s="15" t="n">
        <x:v>175</x:v>
      </x:c>
      <x:c r="I3449" s="9" t="str">
        <x:v>P09</x:v>
      </x:c>
      <x:c r="J3449" s="11" t="n">
        <x:v>46314.308333333334</x:v>
      </x:c>
      <x:c r="K3449" s="15" t="n">
        <x:v>10</x:v>
      </x:c>
      <x:c r="L3449" s="15" t="n">
        <x:v>18</x:v>
      </x:c>
      <x:c r="M3449" s="13" t="n">
        <x:f>J3449+(K3449+L3449)/1440</x:f>
        <x:v>46314.32777777778</x:v>
      </x:c>
      <x:c r="N3449" s="13" t="n">
        <x:f>VLOOKUP(C3449,'MES orders'!$A$8:$H$127,5,FALSE)</x:f>
        <x:v>46311.666666666664</x:v>
      </x:c>
      <x:c r="O3449" s="16" t="n">
        <x:f>MAX(0,(M3449-N3449)*24)</x:f>
        <x:v>63.86666666669771</x:v>
      </x:c>
      <x:c r="P3449" s="9" t="str">
        <x:v>No</x:v>
      </x:c>
      <x:c r="Q3449" s="15" t="n">
        <x:v>28</x:v>
      </x:c>
      <x:c r="R3449" s="13" t="n">
        <x:f>J3449+Q3449/1440</x:f>
        <x:v>46314.32777777778</x:v>
      </x:c>
      <x:c r="S3449" s="2" t="str">
        <x:f>VLOOKUP(C3449,'MES orders'!$A$8:$H$127,6,FALSE)</x:f>
        <x:v>Urgent</x:v>
      </x:c>
      <x:c r="T3449" s="9" t="str"/>
    </x:row>
    <x:row r="3450" ht="22" customHeight="1">
      <x:c r="A3450" s="2" t="str">
        <x:v>L00156-010</x:v>
      </x:c>
      <x:c r="B3450" s="2" t="str">
        <x:v>L00156</x:v>
      </x:c>
      <x:c r="C3450" s="2" t="str">
        <x:v>SO-26032</x:v>
      </x:c>
      <x:c r="D3450" s="2" t="str">
        <x:v>D-C-SS</x:v>
      </x:c>
      <x:c r="E3450" s="14" t="n">
        <x:v>15</x:v>
      </x:c>
      <x:c r="F3450" s="2" t="str">
        <x:v>CNC machining</x:v>
      </x:c>
      <x:c r="G3450" s="9" t="str">
        <x:v>CNC-05</x:v>
      </x:c>
      <x:c r="H3450" s="15" t="n">
        <x:v>96</x:v>
      </x:c>
      <x:c r="I3450" s="9" t="str">
        <x:v>P03</x:v>
      </x:c>
      <x:c r="J3450" s="11" t="n">
        <x:v>46314.308333333334</x:v>
      </x:c>
      <x:c r="K3450" s="15" t="n">
        <x:v>18</x:v>
      </x:c>
      <x:c r="L3450" s="15" t="n">
        <x:v>36</x:v>
      </x:c>
      <x:c r="M3450" s="13" t="n">
        <x:f>J3450+(K3450+L3450)/1440</x:f>
        <x:v>46314.34583333333</x:v>
      </x:c>
      <x:c r="N3450" s="13" t="n">
        <x:f>VLOOKUP(C3450,'MES orders'!$A$8:$H$127,5,FALSE)</x:f>
        <x:v>46311.666666666664</x:v>
      </x:c>
      <x:c r="O3450" s="16" t="n">
        <x:f>MAX(0,(M3450-N3450)*24)</x:f>
        <x:v>64.30000000004657</x:v>
      </x:c>
      <x:c r="P3450" s="9" t="str">
        <x:v>No</x:v>
      </x:c>
      <x:c r="Q3450" s="15" t="n">
        <x:v>18</x:v>
      </x:c>
      <x:c r="R3450" s="13" t="n">
        <x:f>J3450+Q3450/1440</x:f>
        <x:v>46314.32083333333</x:v>
      </x:c>
      <x:c r="S3450" s="2" t="str">
        <x:f>VLOOKUP(C3450,'MES orders'!$A$8:$H$127,6,FALSE)</x:f>
        <x:v>Normal</x:v>
      </x:c>
      <x:c r="T3450" s="9" t="str"/>
    </x:row>
    <x:row r="3451" ht="22" customHeight="1">
      <x:c r="A3451" s="2" t="str">
        <x:v>L00318-060</x:v>
      </x:c>
      <x:c r="B3451" s="2" t="str">
        <x:v>L00318</x:v>
      </x:c>
      <x:c r="C3451" s="2" t="str">
        <x:v>SO-26064</x:v>
      </x:c>
      <x:c r="D3451" s="2" t="str">
        <x:v>R-S-SS</x:v>
      </x:c>
      <x:c r="E3451" s="14" t="n">
        <x:v>15</x:v>
      </x:c>
      <x:c r="F3451" s="2" t="str">
        <x:v>Final leak / function test</x:v>
      </x:c>
      <x:c r="G3451" s="9" t="str">
        <x:v>QA-03</x:v>
      </x:c>
      <x:c r="H3451" s="15" t="n">
        <x:v>152</x:v>
      </x:c>
      <x:c r="I3451" s="9" t="str">
        <x:v>P12</x:v>
      </x:c>
      <x:c r="J3451" s="11" t="n">
        <x:v>46314.30972222222</x:v>
      </x:c>
      <x:c r="K3451" s="15" t="n">
        <x:v>10</x:v>
      </x:c>
      <x:c r="L3451" s="15" t="n">
        <x:v>14</x:v>
      </x:c>
      <x:c r="M3451" s="13" t="n">
        <x:f>J3451+(K3451+L3451)/1440</x:f>
        <x:v>46314.32638888889</x:v>
      </x:c>
      <x:c r="N3451" s="13" t="n">
        <x:f>VLOOKUP(C3451,'MES orders'!$A$8:$H$127,5,FALSE)</x:f>
        <x:v>46311.666666666664</x:v>
      </x:c>
      <x:c r="O3451" s="16" t="n">
        <x:f>MAX(0,(M3451-N3451)*24)</x:f>
        <x:v>63.833333333430346</x:v>
      </x:c>
      <x:c r="P3451" s="9" t="str">
        <x:v>No</x:v>
      </x:c>
      <x:c r="Q3451" s="15" t="n">
        <x:v>24</x:v>
      </x:c>
      <x:c r="R3451" s="13" t="n">
        <x:f>J3451+Q3451/1440</x:f>
        <x:v>46314.32638888889</x:v>
      </x:c>
      <x:c r="S3451" s="2" t="str">
        <x:f>VLOOKUP(C3451,'MES orders'!$A$8:$H$127,6,FALSE)</x:f>
        <x:v>High</x:v>
      </x:c>
      <x:c r="T3451" s="9" t="str"/>
    </x:row>
    <x:row r="3452" ht="22" customHeight="1">
      <x:c r="A3452" s="2" t="str">
        <x:v>L00320-050</x:v>
      </x:c>
      <x:c r="B3452" s="2" t="str">
        <x:v>L00320</x:v>
      </x:c>
      <x:c r="C3452" s="2" t="str">
        <x:v>SO-26064</x:v>
      </x:c>
      <x:c r="D3452" s="2" t="str">
        <x:v>R-S-SS</x:v>
      </x:c>
      <x:c r="E3452" s="14" t="n">
        <x:v>15</x:v>
      </x:c>
      <x:c r="F3452" s="2" t="str">
        <x:v>Valve adjustment</x:v>
      </x:c>
      <x:c r="G3452" s="9" t="str">
        <x:v>AS-02</x:v>
      </x:c>
      <x:c r="H3452" s="15" t="n">
        <x:v>227</x:v>
      </x:c>
      <x:c r="I3452" s="9" t="str">
        <x:v>P06</x:v>
      </x:c>
      <x:c r="J3452" s="11" t="n">
        <x:v>46314.31041666667</x:v>
      </x:c>
      <x:c r="K3452" s="15" t="n">
        <x:v>6</x:v>
      </x:c>
      <x:c r="L3452" s="15" t="n">
        <x:v>16</x:v>
      </x:c>
      <x:c r="M3452" s="13" t="n">
        <x:f>J3452+(K3452+L3452)/1440</x:f>
        <x:v>46314.325694444444</x:v>
      </x:c>
      <x:c r="N3452" s="13" t="n">
        <x:f>VLOOKUP(C3452,'MES orders'!$A$8:$H$127,5,FALSE)</x:f>
        <x:v>46311.666666666664</x:v>
      </x:c>
      <x:c r="O3452" s="16" t="n">
        <x:f>MAX(0,(M3452-N3452)*24)</x:f>
        <x:v>63.81666666670935</x:v>
      </x:c>
      <x:c r="P3452" s="9" t="str">
        <x:v>No</x:v>
      </x:c>
      <x:c r="Q3452" s="15" t="n">
        <x:v>22</x:v>
      </x:c>
      <x:c r="R3452" s="13" t="n">
        <x:f>J3452+Q3452/1440</x:f>
        <x:v>46314.325694444444</x:v>
      </x:c>
      <x:c r="S3452" s="2" t="str">
        <x:f>VLOOKUP(C3452,'MES orders'!$A$8:$H$127,6,FALSE)</x:f>
        <x:v>High</x:v>
      </x:c>
      <x:c r="T3452" s="9" t="str"/>
    </x:row>
    <x:row r="3453" ht="22" customHeight="1">
      <x:c r="A3453" s="2" t="str">
        <x:v>L00596-040</x:v>
      </x:c>
      <x:c r="B3453" s="2" t="str">
        <x:v>L00596</x:v>
      </x:c>
      <x:c r="C3453" s="2" t="str">
        <x:v>SO-26120</x:v>
      </x:c>
      <x:c r="D3453" s="2" t="str">
        <x:v>D-L-SS</x:v>
      </x:c>
      <x:c r="E3453" s="14" t="n">
        <x:v>25</x:v>
      </x:c>
      <x:c r="F3453" s="2" t="str">
        <x:v>Mechanical assembly</x:v>
      </x:c>
      <x:c r="G3453" s="9" t="str">
        <x:v>AS-03</x:v>
      </x:c>
      <x:c r="H3453" s="15" t="n">
        <x:v>186</x:v>
      </x:c>
      <x:c r="I3453" s="9" t="str">
        <x:v>P04</x:v>
      </x:c>
      <x:c r="J3453" s="11" t="n">
        <x:v>46314.31041666667</x:v>
      </x:c>
      <x:c r="K3453" s="15" t="n">
        <x:v>8</x:v>
      </x:c>
      <x:c r="L3453" s="15" t="n">
        <x:v>61</x:v>
      </x:c>
      <x:c r="M3453" s="13" t="n">
        <x:f>J3453+(K3453+L3453)/1440</x:f>
        <x:v>46314.35833333334</x:v>
      </x:c>
      <x:c r="N3453" s="13" t="n">
        <x:f>VLOOKUP(C3453,'MES orders'!$A$8:$H$127,5,FALSE)</x:f>
        <x:v>46311.666666666664</x:v>
      </x:c>
      <x:c r="O3453" s="16" t="n">
        <x:f>MAX(0,(M3453-N3453)*24)</x:f>
        <x:v>64.60000000015134</x:v>
      </x:c>
      <x:c r="P3453" s="9" t="str">
        <x:v>No</x:v>
      </x:c>
      <x:c r="Q3453" s="15" t="n">
        <x:v>69</x:v>
      </x:c>
      <x:c r="R3453" s="13" t="n">
        <x:f>J3453+Q3453/1440</x:f>
        <x:v>46314.35833333334</x:v>
      </x:c>
      <x:c r="S3453" s="2" t="str">
        <x:f>VLOOKUP(C3453,'MES orders'!$A$8:$H$127,6,FALSE)</x:f>
        <x:v>High</x:v>
      </x:c>
      <x:c r="T3453" s="9" t="str"/>
    </x:row>
    <x:row r="3454" ht="22" customHeight="1">
      <x:c r="A3454" s="2" t="str">
        <x:v>L00157-010</x:v>
      </x:c>
      <x:c r="B3454" s="2" t="str">
        <x:v>L00157</x:v>
      </x:c>
      <x:c r="C3454" s="2" t="str">
        <x:v>SO-26032</x:v>
      </x:c>
      <x:c r="D3454" s="2" t="str">
        <x:v>D-C-SS</x:v>
      </x:c>
      <x:c r="E3454" s="14" t="n">
        <x:v>15</x:v>
      </x:c>
      <x:c r="F3454" s="2" t="str">
        <x:v>CNC machining</x:v>
      </x:c>
      <x:c r="G3454" s="9" t="str">
        <x:v>CNC-06</x:v>
      </x:c>
      <x:c r="H3454" s="15" t="n">
        <x:v>89</x:v>
      </x:c>
      <x:c r="I3454" s="9" t="str">
        <x:v>P02</x:v>
      </x:c>
      <x:c r="J3454" s="11" t="n">
        <x:v>46314.31875</x:v>
      </x:c>
      <x:c r="K3454" s="15" t="n">
        <x:v>18</x:v>
      </x:c>
      <x:c r="L3454" s="15" t="n">
        <x:v>36</x:v>
      </x:c>
      <x:c r="M3454" s="13" t="n">
        <x:f>J3454+(K3454+L3454)/1440</x:f>
        <x:v>46314.35625</x:v>
      </x:c>
      <x:c r="N3454" s="13" t="n">
        <x:f>VLOOKUP(C3454,'MES orders'!$A$8:$H$127,5,FALSE)</x:f>
        <x:v>46311.666666666664</x:v>
      </x:c>
      <x:c r="O3454" s="16" t="n">
        <x:f>MAX(0,(M3454-N3454)*24)</x:f>
        <x:v>64.54999999998836</x:v>
      </x:c>
      <x:c r="P3454" s="9" t="str">
        <x:v>No</x:v>
      </x:c>
      <x:c r="Q3454" s="15" t="n">
        <x:v>18</x:v>
      </x:c>
      <x:c r="R3454" s="13" t="n">
        <x:f>J3454+Q3454/1440</x:f>
        <x:v>46314.331249999996</x:v>
      </x:c>
      <x:c r="S3454" s="2" t="str">
        <x:f>VLOOKUP(C3454,'MES orders'!$A$8:$H$127,6,FALSE)</x:f>
        <x:v>Normal</x:v>
      </x:c>
      <x:c r="T3454" s="9" t="str"/>
    </x:row>
    <x:row r="3455" ht="22" customHeight="1">
      <x:c r="A3455" s="2" t="str">
        <x:v>L00078-020</x:v>
      </x:c>
      <x:c r="B3455" s="2" t="str">
        <x:v>L00078</x:v>
      </x:c>
      <x:c r="C3455" s="2" t="str">
        <x:v>SO-26016</x:v>
      </x:c>
      <x:c r="D3455" s="2" t="str">
        <x:v>S-S-SS</x:v>
      </x:c>
      <x:c r="E3455" s="14" t="n">
        <x:v>10</x:v>
      </x:c>
      <x:c r="F3455" s="2" t="str">
        <x:v>Deburr &amp; inspect</x:v>
      </x:c>
      <x:c r="G3455" s="9" t="str">
        <x:v>DB-01</x:v>
      </x:c>
      <x:c r="H3455" s="15" t="n">
        <x:v>323</x:v>
      </x:c>
      <x:c r="I3455" s="9" t="str">
        <x:v>P05</x:v>
      </x:c>
      <x:c r="J3455" s="11" t="n">
        <x:v>46314.319444444445</x:v>
      </x:c>
      <x:c r="K3455" s="15" t="n">
        <x:v>4</x:v>
      </x:c>
      <x:c r="L3455" s="15" t="n">
        <x:v>7</x:v>
      </x:c>
      <x:c r="M3455" s="13" t="n">
        <x:f>J3455+(K3455+L3455)/1440</x:f>
        <x:v>46314.32708333334</x:v>
      </x:c>
      <x:c r="N3455" s="13" t="n">
        <x:f>VLOOKUP(C3455,'MES orders'!$A$8:$H$127,5,FALSE)</x:f>
        <x:v>46311.666666666664</x:v>
      </x:c>
      <x:c r="O3455" s="16" t="n">
        <x:f>MAX(0,(M3455-N3455)*24)</x:f>
        <x:v>63.85000000015134</x:v>
      </x:c>
      <x:c r="P3455" s="9" t="str">
        <x:v>No</x:v>
      </x:c>
      <x:c r="Q3455" s="15" t="n">
        <x:v>11</x:v>
      </x:c>
      <x:c r="R3455" s="13" t="n">
        <x:f>J3455+Q3455/1440</x:f>
        <x:v>46314.32708333334</x:v>
      </x:c>
      <x:c r="S3455" s="2" t="str">
        <x:f>VLOOKUP(C3455,'MES orders'!$A$8:$H$127,6,FALSE)</x:f>
        <x:v>Normal</x:v>
      </x:c>
      <x:c r="T3455" s="9" t="str"/>
    </x:row>
    <x:row r="3456" ht="22" customHeight="1">
      <x:c r="A3456" s="2" t="str">
        <x:v>L00119-080</x:v>
      </x:c>
      <x:c r="B3456" s="2" t="str">
        <x:v>L00119</x:v>
      </x:c>
      <x:c r="C3456" s="2" t="str">
        <x:v>SO-26024</x:v>
      </x:c>
      <x:c r="D3456" s="2" t="str">
        <x:v>S-L-SS</x:v>
      </x:c>
      <x:c r="E3456" s="14" t="n">
        <x:v>10</x:v>
      </x:c>
      <x:c r="F3456" s="2" t="str">
        <x:v>Final leak / function test</x:v>
      </x:c>
      <x:c r="G3456" s="9" t="str">
        <x:v>QA-02</x:v>
      </x:c>
      <x:c r="H3456" s="15" t="n">
        <x:v>258</x:v>
      </x:c>
      <x:c r="I3456" s="9" t="str">
        <x:v>P11</x:v>
      </x:c>
      <x:c r="J3456" s="11" t="n">
        <x:v>46314.319444444445</x:v>
      </x:c>
      <x:c r="K3456" s="15" t="n">
        <x:v>10</x:v>
      </x:c>
      <x:c r="L3456" s="15" t="n">
        <x:v>12</x:v>
      </x:c>
      <x:c r="M3456" s="13" t="n">
        <x:f>J3456+(K3456+L3456)/1440</x:f>
        <x:v>46314.33472222222</x:v>
      </x:c>
      <x:c r="N3456" s="13" t="n">
        <x:f>VLOOKUP(C3456,'MES orders'!$A$8:$H$127,5,FALSE)</x:f>
        <x:v>46311.666666666664</x:v>
      </x:c>
      <x:c r="O3456" s="16" t="n">
        <x:f>MAX(0,(M3456-N3456)*24)</x:f>
        <x:v>64.03333333338378</x:v>
      </x:c>
      <x:c r="P3456" s="9" t="str">
        <x:v>No</x:v>
      </x:c>
      <x:c r="Q3456" s="15" t="n">
        <x:v>22</x:v>
      </x:c>
      <x:c r="R3456" s="13" t="n">
        <x:f>J3456+Q3456/1440</x:f>
        <x:v>46314.33472222222</x:v>
      </x:c>
      <x:c r="S3456" s="2" t="str">
        <x:f>VLOOKUP(C3456,'MES orders'!$A$8:$H$127,6,FALSE)</x:f>
        <x:v>Urgent</x:v>
      </x:c>
      <x:c r="T3456" s="9" t="str"/>
    </x:row>
    <x:row r="3457" ht="22" customHeight="1">
      <x:c r="A3457" s="2" t="str">
        <x:v>L00597-030</x:v>
      </x:c>
      <x:c r="B3457" s="2" t="str">
        <x:v>L00597</x:v>
      </x:c>
      <x:c r="C3457" s="2" t="str">
        <x:v>SO-26120</x:v>
      </x:c>
      <x:c r="D3457" s="2" t="str">
        <x:v>D-L-SS</x:v>
      </x:c>
      <x:c r="E3457" s="14" t="n">
        <x:v>25</x:v>
      </x:c>
      <x:c r="F3457" s="2" t="str">
        <x:v>Wash &amp; dry</x:v>
      </x:c>
      <x:c r="G3457" s="9" t="str">
        <x:v>WS-01</x:v>
      </x:c>
      <x:c r="H3457" s="15" t="n">
        <x:v>316</x:v>
      </x:c>
      <x:c r="I3457" s="9" t="str">
        <x:v>P06</x:v>
      </x:c>
      <x:c r="J3457" s="11" t="n">
        <x:v>46314.325694444444</x:v>
      </x:c>
      <x:c r="K3457" s="15" t="n">
        <x:v>12</x:v>
      </x:c>
      <x:c r="L3457" s="15" t="n">
        <x:v>12</x:v>
      </x:c>
      <x:c r="M3457" s="13" t="n">
        <x:f>J3457+(K3457+L3457)/1440</x:f>
        <x:v>46314.342361111114</x:v>
      </x:c>
      <x:c r="N3457" s="13" t="n">
        <x:f>VLOOKUP(C3457,'MES orders'!$A$8:$H$127,5,FALSE)</x:f>
        <x:v>46311.666666666664</x:v>
      </x:c>
      <x:c r="O3457" s="16" t="n">
        <x:f>MAX(0,(M3457-N3457)*24)</x:f>
        <x:v>64.21666666679084</x:v>
      </x:c>
      <x:c r="P3457" s="9" t="str">
        <x:v>No</x:v>
      </x:c>
      <x:c r="Q3457" s="15" t="n">
        <x:v>24</x:v>
      </x:c>
      <x:c r="R3457" s="13" t="n">
        <x:f>J3457+Q3457/1440</x:f>
        <x:v>46314.342361111114</x:v>
      </x:c>
      <x:c r="S3457" s="2" t="str">
        <x:f>VLOOKUP(C3457,'MES orders'!$A$8:$H$127,6,FALSE)</x:f>
        <x:v>High</x:v>
      </x:c>
      <x:c r="T3457" s="9" t="str"/>
    </x:row>
    <x:row r="3458" ht="22" customHeight="1">
      <x:c r="A3458" s="2" t="str">
        <x:v>L00319-060</x:v>
      </x:c>
      <x:c r="B3458" s="2" t="str">
        <x:v>L00319</x:v>
      </x:c>
      <x:c r="C3458" s="2" t="str">
        <x:v>SO-26064</x:v>
      </x:c>
      <x:c r="D3458" s="2" t="str">
        <x:v>R-S-SS</x:v>
      </x:c>
      <x:c r="E3458" s="14" t="n">
        <x:v>15</x:v>
      </x:c>
      <x:c r="F3458" s="2" t="str">
        <x:v>Final leak / function test</x:v>
      </x:c>
      <x:c r="G3458" s="9" t="str">
        <x:v>QA-03</x:v>
      </x:c>
      <x:c r="H3458" s="15" t="n">
        <x:v>153</x:v>
      </x:c>
      <x:c r="I3458" s="9" t="str">
        <x:v>P12</x:v>
      </x:c>
      <x:c r="J3458" s="11" t="n">
        <x:v>46314.32638888889</x:v>
      </x:c>
      <x:c r="K3458" s="15" t="n">
        <x:v>10</x:v>
      </x:c>
      <x:c r="L3458" s="15" t="n">
        <x:v>14</x:v>
      </x:c>
      <x:c r="M3458" s="13" t="n">
        <x:f>J3458+(K3458+L3458)/1440</x:f>
        <x:v>46314.34305555556</x:v>
      </x:c>
      <x:c r="N3458" s="13" t="n">
        <x:f>VLOOKUP(C3458,'MES orders'!$A$8:$H$127,5,FALSE)</x:f>
        <x:v>46311.666666666664</x:v>
      </x:c>
      <x:c r="O3458" s="16" t="n">
        <x:f>MAX(0,(M3458-N3458)*24)</x:f>
        <x:v>64.23333333351184</x:v>
      </x:c>
      <x:c r="P3458" s="9" t="str">
        <x:v>No</x:v>
      </x:c>
      <x:c r="Q3458" s="15" t="n">
        <x:v>24</x:v>
      </x:c>
      <x:c r="R3458" s="13" t="n">
        <x:f>J3458+Q3458/1440</x:f>
        <x:v>46314.34305555556</x:v>
      </x:c>
      <x:c r="S3458" s="2" t="str">
        <x:f>VLOOKUP(C3458,'MES orders'!$A$8:$H$127,6,FALSE)</x:f>
        <x:v>High</x:v>
      </x:c>
      <x:c r="T3458" s="9" t="str"/>
    </x:row>
    <x:row r="3459" ht="22" customHeight="1">
      <x:c r="A3459" s="2" t="str">
        <x:v>L00120-070</x:v>
      </x:c>
      <x:c r="B3459" s="2" t="str">
        <x:v>L00120</x:v>
      </x:c>
      <x:c r="C3459" s="2" t="str">
        <x:v>SO-26024</x:v>
      </x:c>
      <x:c r="D3459" s="2" t="str">
        <x:v>S-L-SS</x:v>
      </x:c>
      <x:c r="E3459" s="14" t="n">
        <x:v>10</x:v>
      </x:c>
      <x:c r="F3459" s="2" t="str">
        <x:v>Final assembly</x:v>
      </x:c>
      <x:c r="G3459" s="9" t="str">
        <x:v>AS-01</x:v>
      </x:c>
      <x:c r="H3459" s="15" t="n">
        <x:v>274</x:v>
      </x:c>
      <x:c r="I3459" s="9" t="str">
        <x:v>P05</x:v>
      </x:c>
      <x:c r="J3459" s="11" t="n">
        <x:v>46314.32777777778</x:v>
      </x:c>
      <x:c r="K3459" s="15" t="n">
        <x:v>5</x:v>
      </x:c>
      <x:c r="L3459" s="15" t="n">
        <x:v>11</x:v>
      </x:c>
      <x:c r="M3459" s="13" t="n">
        <x:f>J3459+(K3459+L3459)/1440</x:f>
        <x:v>46314.33888888889</x:v>
      </x:c>
      <x:c r="N3459" s="13" t="n">
        <x:f>VLOOKUP(C3459,'MES orders'!$A$8:$H$127,5,FALSE)</x:f>
        <x:v>46311.666666666664</x:v>
      </x:c>
      <x:c r="O3459" s="16" t="n">
        <x:f>MAX(0,(M3459-N3459)*24)</x:f>
        <x:v>64.1333333333605</x:v>
      </x:c>
      <x:c r="P3459" s="9" t="str">
        <x:v>No</x:v>
      </x:c>
      <x:c r="Q3459" s="15" t="n">
        <x:v>16</x:v>
      </x:c>
      <x:c r="R3459" s="13" t="n">
        <x:f>J3459+Q3459/1440</x:f>
        <x:v>46314.33888888889</x:v>
      </x:c>
      <x:c r="S3459" s="2" t="str">
        <x:f>VLOOKUP(C3459,'MES orders'!$A$8:$H$127,6,FALSE)</x:f>
        <x:v>Urgent</x:v>
      </x:c>
      <x:c r="T3459" s="9" t="str"/>
    </x:row>
    <x:row r="3460" ht="22" customHeight="1">
      <x:c r="A3460" s="2" t="str">
        <x:v>L00036-060</x:v>
      </x:c>
      <x:c r="B3460" s="2" t="str">
        <x:v>L00036</x:v>
      </x:c>
      <x:c r="C3460" s="2" t="str">
        <x:v>SO-26008</x:v>
      </x:c>
      <x:c r="D3460" s="2" t="str">
        <x:v>S-C-SS</x:v>
      </x:c>
      <x:c r="E3460" s="14" t="n">
        <x:v>25</x:v>
      </x:c>
      <x:c r="F3460" s="2" t="str">
        <x:v>Sensor calibration</x:v>
      </x:c>
      <x:c r="G3460" s="9" t="str">
        <x:v>CAL-01</x:v>
      </x:c>
      <x:c r="H3460" s="15" t="n">
        <x:v>176</x:v>
      </x:c>
      <x:c r="I3460" s="9" t="str">
        <x:v>P09</x:v>
      </x:c>
      <x:c r="J3460" s="11" t="n">
        <x:v>46314.32777777778</x:v>
      </x:c>
      <x:c r="K3460" s="15" t="n">
        <x:v>10</x:v>
      </x:c>
      <x:c r="L3460" s="15" t="n">
        <x:v>26</x:v>
      </x:c>
      <x:c r="M3460" s="13" t="n">
        <x:f>J3460+(K3460+L3460)/1440</x:f>
        <x:v>46314.35277777778</x:v>
      </x:c>
      <x:c r="N3460" s="13" t="n">
        <x:f>VLOOKUP(C3460,'MES orders'!$A$8:$H$127,5,FALSE)</x:f>
        <x:v>46311.666666666664</x:v>
      </x:c>
      <x:c r="O3460" s="16" t="n">
        <x:f>MAX(0,(M3460-N3460)*24)</x:f>
        <x:v>64.46666666673264</x:v>
      </x:c>
      <x:c r="P3460" s="9" t="str">
        <x:v>No</x:v>
      </x:c>
      <x:c r="Q3460" s="15" t="n">
        <x:v>36</x:v>
      </x:c>
      <x:c r="R3460" s="13" t="n">
        <x:f>J3460+Q3460/1440</x:f>
        <x:v>46314.35277777778</x:v>
      </x:c>
      <x:c r="S3460" s="2" t="str">
        <x:f>VLOOKUP(C3460,'MES orders'!$A$8:$H$127,6,FALSE)</x:f>
        <x:v>High</x:v>
      </x:c>
      <x:c r="T3460" s="9" t="str"/>
    </x:row>
    <x:row r="3461" ht="22" customHeight="1">
      <x:c r="A3461" s="2" t="str">
        <x:v>L00158-010</x:v>
      </x:c>
      <x:c r="B3461" s="2" t="str">
        <x:v>L00158</x:v>
      </x:c>
      <x:c r="C3461" s="2" t="str">
        <x:v>SO-26032</x:v>
      </x:c>
      <x:c r="D3461" s="2" t="str">
        <x:v>D-C-SS</x:v>
      </x:c>
      <x:c r="E3461" s="14" t="n">
        <x:v>15</x:v>
      </x:c>
      <x:c r="F3461" s="2" t="str">
        <x:v>CNC machining</x:v>
      </x:c>
      <x:c r="G3461" s="9" t="str">
        <x:v>CNC-04</x:v>
      </x:c>
      <x:c r="H3461" s="15" t="n">
        <x:v>108</x:v>
      </x:c>
      <x:c r="I3461" s="9" t="str">
        <x:v>P03</x:v>
      </x:c>
      <x:c r="J3461" s="11" t="n">
        <x:v>46314.32916666667</x:v>
      </x:c>
      <x:c r="K3461" s="15" t="n">
        <x:v>18</x:v>
      </x:c>
      <x:c r="L3461" s="15" t="n">
        <x:v>36</x:v>
      </x:c>
      <x:c r="M3461" s="13" t="n">
        <x:f>J3461+(K3461+L3461)/1440</x:f>
        <x:v>46314.36666666667</x:v>
      </x:c>
      <x:c r="N3461" s="13" t="n">
        <x:f>VLOOKUP(C3461,'MES orders'!$A$8:$H$127,5,FALSE)</x:f>
        <x:v>46311.666666666664</x:v>
      </x:c>
      <x:c r="O3461" s="16" t="n">
        <x:f>MAX(0,(M3461-N3461)*24)</x:f>
        <x:v>64.80000000010477</x:v>
      </x:c>
      <x:c r="P3461" s="9" t="str">
        <x:v>No</x:v>
      </x:c>
      <x:c r="Q3461" s="15" t="n">
        <x:v>18</x:v>
      </x:c>
      <x:c r="R3461" s="13" t="n">
        <x:f>J3461+Q3461/1440</x:f>
        <x:v>46314.34166666667</x:v>
      </x:c>
      <x:c r="S3461" s="2" t="str">
        <x:f>VLOOKUP(C3461,'MES orders'!$A$8:$H$127,6,FALSE)</x:f>
        <x:v>Normal</x:v>
      </x:c>
      <x:c r="T3461" s="9" t="str"/>
    </x:row>
    <x:row r="3462" ht="22" customHeight="1">
      <x:c r="A3462" s="2" t="str">
        <x:v>L00159-010</x:v>
      </x:c>
      <x:c r="B3462" s="2" t="str">
        <x:v>L00159</x:v>
      </x:c>
      <x:c r="C3462" s="2" t="str">
        <x:v>SO-26032</x:v>
      </x:c>
      <x:c r="D3462" s="2" t="str">
        <x:v>D-C-SS</x:v>
      </x:c>
      <x:c r="E3462" s="14" t="n">
        <x:v>15</x:v>
      </x:c>
      <x:c r="F3462" s="2" t="str">
        <x:v>CNC machining</x:v>
      </x:c>
      <x:c r="G3462" s="9" t="str">
        <x:v>CNC-03</x:v>
      </x:c>
      <x:c r="H3462" s="15" t="n">
        <x:v>111</x:v>
      </x:c>
      <x:c r="I3462" s="9" t="str">
        <x:v>P02</x:v>
      </x:c>
      <x:c r="J3462" s="11" t="n">
        <x:v>46314.33263888889</x:v>
      </x:c>
      <x:c r="K3462" s="15" t="n">
        <x:v>18</x:v>
      </x:c>
      <x:c r="L3462" s="15" t="n">
        <x:v>36</x:v>
      </x:c>
      <x:c r="M3462" s="13" t="n">
        <x:f>J3462+(K3462+L3462)/1440</x:f>
        <x:v>46314.37013888889</x:v>
      </x:c>
      <x:c r="N3462" s="13" t="n">
        <x:f>VLOOKUP(C3462,'MES orders'!$A$8:$H$127,5,FALSE)</x:f>
        <x:v>46311.666666666664</x:v>
      </x:c>
      <x:c r="O3462" s="16" t="n">
        <x:f>MAX(0,(M3462-N3462)*24)</x:f>
        <x:v>64.8833333333605</x:v>
      </x:c>
      <x:c r="P3462" s="9" t="str">
        <x:v>No</x:v>
      </x:c>
      <x:c r="Q3462" s="15" t="n">
        <x:v>18</x:v>
      </x:c>
      <x:c r="R3462" s="13" t="n">
        <x:f>J3462+Q3462/1440</x:f>
        <x:v>46314.345138888886</x:v>
      </x:c>
      <x:c r="S3462" s="2" t="str">
        <x:f>VLOOKUP(C3462,'MES orders'!$A$8:$H$127,6,FALSE)</x:f>
        <x:v>Normal</x:v>
      </x:c>
      <x:c r="T3462" s="9" t="str"/>
    </x:row>
    <x:row r="3463" ht="22" customHeight="1">
      <x:c r="A3463" s="2" t="str">
        <x:v>L00076-040</x:v>
      </x:c>
      <x:c r="B3463" s="2" t="str">
        <x:v>L00076</x:v>
      </x:c>
      <x:c r="C3463" s="2" t="str">
        <x:v>SO-26016</x:v>
      </x:c>
      <x:c r="D3463" s="2" t="str">
        <x:v>S-S-SS</x:v>
      </x:c>
      <x:c r="E3463" s="14" t="n">
        <x:v>10</x:v>
      </x:c>
      <x:c r="F3463" s="2" t="str">
        <x:v>Mechanical preassembly</x:v>
      </x:c>
      <x:c r="G3463" s="9" t="str">
        <x:v>AS-01</x:v>
      </x:c>
      <x:c r="H3463" s="15" t="n">
        <x:v>275</x:v>
      </x:c>
      <x:c r="I3463" s="9" t="str">
        <x:v>P05</x:v>
      </x:c>
      <x:c r="J3463" s="11" t="n">
        <x:v>46314.33888888889</x:v>
      </x:c>
      <x:c r="K3463" s="15" t="n">
        <x:v>6</x:v>
      </x:c>
      <x:c r="L3463" s="15" t="n">
        <x:v>11</x:v>
      </x:c>
      <x:c r="M3463" s="13" t="n">
        <x:f>J3463+(K3463+L3463)/1440</x:f>
        <x:v>46314.350694444445</x:v>
      </x:c>
      <x:c r="N3463" s="13" t="n">
        <x:f>VLOOKUP(C3463,'MES orders'!$A$8:$H$127,5,FALSE)</x:f>
        <x:v>46311.666666666664</x:v>
      </x:c>
      <x:c r="O3463" s="16" t="n">
        <x:f>MAX(0,(M3463-N3463)*24)</x:f>
        <x:v>64.41666666674428</x:v>
      </x:c>
      <x:c r="P3463" s="9" t="str">
        <x:v>No</x:v>
      </x:c>
      <x:c r="Q3463" s="15" t="n">
        <x:v>17</x:v>
      </x:c>
      <x:c r="R3463" s="13" t="n">
        <x:f>J3463+Q3463/1440</x:f>
        <x:v>46314.350694444445</x:v>
      </x:c>
      <x:c r="S3463" s="2" t="str">
        <x:f>VLOOKUP(C3463,'MES orders'!$A$8:$H$127,6,FALSE)</x:f>
        <x:v>Normal</x:v>
      </x:c>
      <x:c r="T3463" s="9" t="str"/>
    </x:row>
    <x:row r="3464" ht="22" customHeight="1">
      <x:c r="A3464" s="2" t="str">
        <x:v>L00120-080</x:v>
      </x:c>
      <x:c r="B3464" s="2" t="str">
        <x:v>L00120</x:v>
      </x:c>
      <x:c r="C3464" s="2" t="str">
        <x:v>SO-26024</x:v>
      </x:c>
      <x:c r="D3464" s="2" t="str">
        <x:v>S-L-SS</x:v>
      </x:c>
      <x:c r="E3464" s="14" t="n">
        <x:v>10</x:v>
      </x:c>
      <x:c r="F3464" s="2" t="str">
        <x:v>Final leak / function test</x:v>
      </x:c>
      <x:c r="G3464" s="9" t="str">
        <x:v>QA-02</x:v>
      </x:c>
      <x:c r="H3464" s="15" t="n">
        <x:v>259</x:v>
      </x:c>
      <x:c r="I3464" s="9" t="str">
        <x:v>P11</x:v>
      </x:c>
      <x:c r="J3464" s="11" t="n">
        <x:v>46314.33888888889</x:v>
      </x:c>
      <x:c r="K3464" s="15" t="n">
        <x:v>10</x:v>
      </x:c>
      <x:c r="L3464" s="15" t="n">
        <x:v>12</x:v>
      </x:c>
      <x:c r="M3464" s="13" t="n">
        <x:f>J3464+(K3464+L3464)/1440</x:f>
        <x:v>46314.354166666664</x:v>
      </x:c>
      <x:c r="N3464" s="13" t="n">
        <x:f>VLOOKUP(C3464,'MES orders'!$A$8:$H$127,5,FALSE)</x:f>
        <x:v>46311.666666666664</x:v>
      </x:c>
      <x:c r="O3464" s="16" t="n">
        <x:f>MAX(0,(M3464-N3464)*24)</x:f>
        <x:v>64.5</x:v>
      </x:c>
      <x:c r="P3464" s="9" t="str">
        <x:v>No</x:v>
      </x:c>
      <x:c r="Q3464" s="15" t="n">
        <x:v>22</x:v>
      </x:c>
      <x:c r="R3464" s="13" t="n">
        <x:f>J3464+Q3464/1440</x:f>
        <x:v>46314.354166666664</x:v>
      </x:c>
      <x:c r="S3464" s="2" t="str">
        <x:f>VLOOKUP(C3464,'MES orders'!$A$8:$H$127,6,FALSE)</x:f>
        <x:v>Urgent</x:v>
      </x:c>
      <x:c r="T3464" s="9" t="str"/>
    </x:row>
    <x:row r="3465" ht="22" customHeight="1">
      <x:c r="A3465" s="2" t="str">
        <x:v>L00597-040</x:v>
      </x:c>
      <x:c r="B3465" s="2" t="str">
        <x:v>L00597</x:v>
      </x:c>
      <x:c r="C3465" s="2" t="str">
        <x:v>SO-26120</x:v>
      </x:c>
      <x:c r="D3465" s="2" t="str">
        <x:v>D-L-SS</x:v>
      </x:c>
      <x:c r="E3465" s="14" t="n">
        <x:v>25</x:v>
      </x:c>
      <x:c r="F3465" s="2" t="str">
        <x:v>Mechanical assembly</x:v>
      </x:c>
      <x:c r="G3465" s="9" t="str">
        <x:v>AS-02</x:v>
      </x:c>
      <x:c r="H3465" s="15" t="n">
        <x:v>228</x:v>
      </x:c>
      <x:c r="I3465" s="9" t="str">
        <x:v>P06</x:v>
      </x:c>
      <x:c r="J3465" s="11" t="n">
        <x:v>46314.342361111114</x:v>
      </x:c>
      <x:c r="K3465" s="15" t="n">
        <x:v>8</x:v>
      </x:c>
      <x:c r="L3465" s="15" t="n">
        <x:v>61</x:v>
      </x:c>
      <x:c r="M3465" s="13" t="n">
        <x:f>J3465+(K3465+L3465)/1440</x:f>
        <x:v>46314.390277777784</x:v>
      </x:c>
      <x:c r="N3465" s="13" t="n">
        <x:f>VLOOKUP(C3465,'MES orders'!$A$8:$H$127,5,FALSE)</x:f>
        <x:v>46311.666666666664</x:v>
      </x:c>
      <x:c r="O3465" s="16" t="n">
        <x:f>MAX(0,(M3465-N3465)*24)</x:f>
        <x:v>65.36666666687233</x:v>
      </x:c>
      <x:c r="P3465" s="9" t="str">
        <x:v>No</x:v>
      </x:c>
      <x:c r="Q3465" s="15" t="n">
        <x:v>69</x:v>
      </x:c>
      <x:c r="R3465" s="13" t="n">
        <x:f>J3465+Q3465/1440</x:f>
        <x:v>46314.390277777784</x:v>
      </x:c>
      <x:c r="S3465" s="2" t="str">
        <x:f>VLOOKUP(C3465,'MES orders'!$A$8:$H$127,6,FALSE)</x:f>
        <x:v>High</x:v>
      </x:c>
      <x:c r="T3465" s="9" t="str"/>
    </x:row>
    <x:row r="3466" ht="22" customHeight="1">
      <x:c r="A3466" s="2" t="str">
        <x:v>L00320-060</x:v>
      </x:c>
      <x:c r="B3466" s="2" t="str">
        <x:v>L00320</x:v>
      </x:c>
      <x:c r="C3466" s="2" t="str">
        <x:v>SO-26064</x:v>
      </x:c>
      <x:c r="D3466" s="2" t="str">
        <x:v>R-S-SS</x:v>
      </x:c>
      <x:c r="E3466" s="14" t="n">
        <x:v>15</x:v>
      </x:c>
      <x:c r="F3466" s="2" t="str">
        <x:v>Final leak / function test</x:v>
      </x:c>
      <x:c r="G3466" s="9" t="str">
        <x:v>QA-03</x:v>
      </x:c>
      <x:c r="H3466" s="15" t="n">
        <x:v>154</x:v>
      </x:c>
      <x:c r="I3466" s="9" t="str">
        <x:v>P12</x:v>
      </x:c>
      <x:c r="J3466" s="11" t="n">
        <x:v>46314.34305555555</x:v>
      </x:c>
      <x:c r="K3466" s="15" t="n">
        <x:v>10</x:v>
      </x:c>
      <x:c r="L3466" s="15" t="n">
        <x:v>14</x:v>
      </x:c>
      <x:c r="M3466" s="13" t="n">
        <x:f>J3466+(K3466+L3466)/1440</x:f>
        <x:v>46314.35972222222</x:v>
      </x:c>
      <x:c r="N3466" s="13" t="n">
        <x:f>VLOOKUP(C3466,'MES orders'!$A$8:$H$127,5,FALSE)</x:f>
        <x:v>46311.666666666664</x:v>
      </x:c>
      <x:c r="O3466" s="16" t="n">
        <x:f>MAX(0,(M3466-N3466)*24)</x:f>
        <x:v>64.6333333334187</x:v>
      </x:c>
      <x:c r="P3466" s="9" t="str">
        <x:v>No</x:v>
      </x:c>
      <x:c r="Q3466" s="15" t="n">
        <x:v>24</x:v>
      </x:c>
      <x:c r="R3466" s="13" t="n">
        <x:f>J3466+Q3466/1440</x:f>
        <x:v>46314.35972222222</x:v>
      </x:c>
      <x:c r="S3466" s="2" t="str">
        <x:f>VLOOKUP(C3466,'MES orders'!$A$8:$H$127,6,FALSE)</x:f>
        <x:v>High</x:v>
      </x:c>
      <x:c r="T3466" s="9" t="str"/>
    </x:row>
    <x:row r="3467" ht="22" customHeight="1">
      <x:c r="A3467" s="2" t="str">
        <x:v>L00160-010</x:v>
      </x:c>
      <x:c r="B3467" s="2" t="str">
        <x:v>L00160</x:v>
      </x:c>
      <x:c r="C3467" s="2" t="str">
        <x:v>SO-26032</x:v>
      </x:c>
      <x:c r="D3467" s="2" t="str">
        <x:v>D-C-SS</x:v>
      </x:c>
      <x:c r="E3467" s="14" t="n">
        <x:v>15</x:v>
      </x:c>
      <x:c r="F3467" s="2" t="str">
        <x:v>CNC machining</x:v>
      </x:c>
      <x:c r="G3467" s="9" t="str">
        <x:v>CNC-05</x:v>
      </x:c>
      <x:c r="H3467" s="15" t="n">
        <x:v>97</x:v>
      </x:c>
      <x:c r="I3467" s="9" t="str">
        <x:v>P03</x:v>
      </x:c>
      <x:c r="J3467" s="11" t="n">
        <x:v>46314.34583333333</x:v>
      </x:c>
      <x:c r="K3467" s="15" t="n">
        <x:v>18</x:v>
      </x:c>
      <x:c r="L3467" s="15" t="n">
        <x:v>36</x:v>
      </x:c>
      <x:c r="M3467" s="13" t="n">
        <x:f>J3467+(K3467+L3467)/1440</x:f>
        <x:v>46314.38333333333</x:v>
      </x:c>
      <x:c r="N3467" s="13" t="n">
        <x:f>VLOOKUP(C3467,'MES orders'!$A$8:$H$127,5,FALSE)</x:f>
        <x:v>46311.666666666664</x:v>
      </x:c>
      <x:c r="O3467" s="16" t="n">
        <x:f>MAX(0,(M3467-N3467)*24)</x:f>
        <x:v>65.20000000001164</x:v>
      </x:c>
      <x:c r="P3467" s="9" t="str">
        <x:v>No</x:v>
      </x:c>
      <x:c r="Q3467" s="15" t="n">
        <x:v>18</x:v>
      </x:c>
      <x:c r="R3467" s="13" t="n">
        <x:f>J3467+Q3467/1440</x:f>
        <x:v>46314.35833333333</x:v>
      </x:c>
      <x:c r="S3467" s="2" t="str">
        <x:f>VLOOKUP(C3467,'MES orders'!$A$8:$H$127,6,FALSE)</x:f>
        <x:v>Normal</x:v>
      </x:c>
      <x:c r="T3467" s="9" t="str"/>
    </x:row>
    <x:row r="3468" ht="22" customHeight="1">
      <x:c r="A3468" s="2" t="str">
        <x:v>L00156-020</x:v>
      </x:c>
      <x:c r="B3468" s="2" t="str">
        <x:v>L00156</x:v>
      </x:c>
      <x:c r="C3468" s="2" t="str">
        <x:v>SO-26032</x:v>
      </x:c>
      <x:c r="D3468" s="2" t="str">
        <x:v>D-C-SS</x:v>
      </x:c>
      <x:c r="E3468" s="14" t="n">
        <x:v>15</x:v>
      </x:c>
      <x:c r="F3468" s="2" t="str">
        <x:v>Deburr &amp; inspect</x:v>
      </x:c>
      <x:c r="G3468" s="9" t="str">
        <x:v>DB-01</x:v>
      </x:c>
      <x:c r="H3468" s="15" t="n">
        <x:v>324</x:v>
      </x:c>
      <x:c r="I3468" s="9" t="str">
        <x:v>P02</x:v>
      </x:c>
      <x:c r="J3468" s="11" t="n">
        <x:v>46314.34583333333</x:v>
      </x:c>
      <x:c r="K3468" s="15" t="n">
        <x:v>4</x:v>
      </x:c>
      <x:c r="L3468" s="15" t="n">
        <x:v>8</x:v>
      </x:c>
      <x:c r="M3468" s="13" t="n">
        <x:f>J3468+(K3468+L3468)/1440</x:f>
        <x:v>46314.354166666664</x:v>
      </x:c>
      <x:c r="N3468" s="13" t="n">
        <x:f>VLOOKUP(C3468,'MES orders'!$A$8:$H$127,5,FALSE)</x:f>
        <x:v>46311.666666666664</x:v>
      </x:c>
      <x:c r="O3468" s="16" t="n">
        <x:f>MAX(0,(M3468-N3468)*24)</x:f>
        <x:v>64.5</x:v>
      </x:c>
      <x:c r="P3468" s="9" t="str">
        <x:v>No</x:v>
      </x:c>
      <x:c r="Q3468" s="15" t="n">
        <x:v>12</x:v>
      </x:c>
      <x:c r="R3468" s="13" t="n">
        <x:f>J3468+Q3468/1440</x:f>
        <x:v>46314.354166666664</x:v>
      </x:c>
      <x:c r="S3468" s="2" t="str">
        <x:f>VLOOKUP(C3468,'MES orders'!$A$8:$H$127,6,FALSE)</x:f>
        <x:v>Normal</x:v>
      </x:c>
      <x:c r="T3468" s="9" t="str"/>
    </x:row>
    <x:row r="3469" ht="22" customHeight="1">
      <x:c r="A3469" s="2" t="str">
        <x:v>L00076-050</x:v>
      </x:c>
      <x:c r="B3469" s="2" t="str">
        <x:v>L00076</x:v>
      </x:c>
      <x:c r="C3469" s="2" t="str">
        <x:v>SO-26016</x:v>
      </x:c>
      <x:c r="D3469" s="2" t="str">
        <x:v>S-S-SS</x:v>
      </x:c>
      <x:c r="E3469" s="14" t="n">
        <x:v>10</x:v>
      </x:c>
      <x:c r="F3469" s="2" t="str">
        <x:v>Sensor installation</x:v>
      </x:c>
      <x:c r="G3469" s="9" t="str">
        <x:v>EL-01</x:v>
      </x:c>
      <x:c r="H3469" s="15" t="n">
        <x:v>121</x:v>
      </x:c>
      <x:c r="I3469" s="9" t="str">
        <x:v>P07</x:v>
      </x:c>
      <x:c r="J3469" s="11" t="n">
        <x:v>46314.350694444445</x:v>
      </x:c>
      <x:c r="K3469" s="15" t="n">
        <x:v>8</x:v>
      </x:c>
      <x:c r="L3469" s="15" t="n">
        <x:v>12</x:v>
      </x:c>
      <x:c r="M3469" s="13" t="n">
        <x:f>J3469+(K3469+L3469)/1440</x:f>
        <x:v>46314.364583333336</x:v>
      </x:c>
      <x:c r="N3469" s="13" t="n">
        <x:f>VLOOKUP(C3469,'MES orders'!$A$8:$H$127,5,FALSE)</x:f>
        <x:v>46311.666666666664</x:v>
      </x:c>
      <x:c r="O3469" s="16" t="n">
        <x:f>MAX(0,(M3469-N3469)*24)</x:f>
        <x:v>64.75000000011642</x:v>
      </x:c>
      <x:c r="P3469" s="9" t="str">
        <x:v>No</x:v>
      </x:c>
      <x:c r="Q3469" s="15" t="n">
        <x:v>20</x:v>
      </x:c>
      <x:c r="R3469" s="13" t="n">
        <x:f>J3469+Q3469/1440</x:f>
        <x:v>46314.364583333336</x:v>
      </x:c>
      <x:c r="S3469" s="2" t="str">
        <x:f>VLOOKUP(C3469,'MES orders'!$A$8:$H$127,6,FALSE)</x:f>
        <x:v>Normal</x:v>
      </x:c>
      <x:c r="T3469" s="9" t="str"/>
    </x:row>
    <x:row r="3470" ht="22" customHeight="1">
      <x:c r="A3470" s="2" t="str">
        <x:v>L00036-070</x:v>
      </x:c>
      <x:c r="B3470" s="2" t="str">
        <x:v>L00036</x:v>
      </x:c>
      <x:c r="C3470" s="2" t="str">
        <x:v>SO-26008</x:v>
      </x:c>
      <x:c r="D3470" s="2" t="str">
        <x:v>S-C-SS</x:v>
      </x:c>
      <x:c r="E3470" s="14" t="n">
        <x:v>25</x:v>
      </x:c>
      <x:c r="F3470" s="2" t="str">
        <x:v>Final assembly</x:v>
      </x:c>
      <x:c r="G3470" s="9" t="str">
        <x:v>AS-01</x:v>
      </x:c>
      <x:c r="H3470" s="15" t="n">
        <x:v>276</x:v>
      </x:c>
      <x:c r="I3470" s="9" t="str">
        <x:v>P05</x:v>
      </x:c>
      <x:c r="J3470" s="11" t="n">
        <x:v>46314.35277777778</x:v>
      </x:c>
      <x:c r="K3470" s="15" t="n">
        <x:v>5</x:v>
      </x:c>
      <x:c r="L3470" s="15" t="n">
        <x:v>16</x:v>
      </x:c>
      <x:c r="M3470" s="13" t="n">
        <x:f>J3470+(K3470+L3470)/1440</x:f>
        <x:v>46314.36736111111</x:v>
      </x:c>
      <x:c r="N3470" s="13" t="n">
        <x:f>VLOOKUP(C3470,'MES orders'!$A$8:$H$127,5,FALSE)</x:f>
        <x:v>46311.666666666664</x:v>
      </x:c>
      <x:c r="O3470" s="16" t="n">
        <x:f>MAX(0,(M3470-N3470)*24)</x:f>
        <x:v>64.81666666665114</x:v>
      </x:c>
      <x:c r="P3470" s="9" t="str">
        <x:v>No</x:v>
      </x:c>
      <x:c r="Q3470" s="15" t="n">
        <x:v>21</x:v>
      </x:c>
      <x:c r="R3470" s="13" t="n">
        <x:f>J3470+Q3470/1440</x:f>
        <x:v>46314.36736111111</x:v>
      </x:c>
      <x:c r="S3470" s="2" t="str">
        <x:f>VLOOKUP(C3470,'MES orders'!$A$8:$H$127,6,FALSE)</x:f>
        <x:v>High</x:v>
      </x:c>
      <x:c r="T3470" s="9" t="str"/>
    </x:row>
    <x:row r="3471" ht="22" customHeight="1">
      <x:c r="A3471" s="2" t="str">
        <x:v>L00037-060</x:v>
      </x:c>
      <x:c r="B3471" s="2" t="str">
        <x:v>L00037</x:v>
      </x:c>
      <x:c r="C3471" s="2" t="str">
        <x:v>SO-26008</x:v>
      </x:c>
      <x:c r="D3471" s="2" t="str">
        <x:v>S-C-SS</x:v>
      </x:c>
      <x:c r="E3471" s="14" t="n">
        <x:v>25</x:v>
      </x:c>
      <x:c r="F3471" s="2" t="str">
        <x:v>Sensor calibration</x:v>
      </x:c>
      <x:c r="G3471" s="9" t="str">
        <x:v>CAL-01</x:v>
      </x:c>
      <x:c r="H3471" s="15" t="n">
        <x:v>177</x:v>
      </x:c>
      <x:c r="I3471" s="9" t="str">
        <x:v>P09</x:v>
      </x:c>
      <x:c r="J3471" s="11" t="n">
        <x:v>46314.35277777778</x:v>
      </x:c>
      <x:c r="K3471" s="15" t="n">
        <x:v>10</x:v>
      </x:c>
      <x:c r="L3471" s="15" t="n">
        <x:v>26</x:v>
      </x:c>
      <x:c r="M3471" s="13" t="n">
        <x:f>J3471+(K3471+L3471)/1440</x:f>
        <x:v>46314.37777777778</x:v>
      </x:c>
      <x:c r="N3471" s="13" t="n">
        <x:f>VLOOKUP(C3471,'MES orders'!$A$8:$H$127,5,FALSE)</x:f>
        <x:v>46311.666666666664</x:v>
      </x:c>
      <x:c r="O3471" s="16" t="n">
        <x:f>MAX(0,(M3471-N3471)*24)</x:f>
        <x:v>65.06666666676756</x:v>
      </x:c>
      <x:c r="P3471" s="9" t="str">
        <x:v>No</x:v>
      </x:c>
      <x:c r="Q3471" s="15" t="n">
        <x:v>36</x:v>
      </x:c>
      <x:c r="R3471" s="13" t="n">
        <x:f>J3471+Q3471/1440</x:f>
        <x:v>46314.37777777778</x:v>
      </x:c>
      <x:c r="S3471" s="2" t="str">
        <x:f>VLOOKUP(C3471,'MES orders'!$A$8:$H$127,6,FALSE)</x:f>
        <x:v>High</x:v>
      </x:c>
      <x:c r="T3471" s="9" t="str"/>
    </x:row>
    <x:row r="3472" ht="22" customHeight="1">
      <x:c r="A3472" s="2" t="str">
        <x:v>L00156-030</x:v>
      </x:c>
      <x:c r="B3472" s="2" t="str">
        <x:v>L00156</x:v>
      </x:c>
      <x:c r="C3472" s="2" t="str">
        <x:v>SO-26032</x:v>
      </x:c>
      <x:c r="D3472" s="2" t="str">
        <x:v>D-C-SS</x:v>
      </x:c>
      <x:c r="E3472" s="14" t="n">
        <x:v>15</x:v>
      </x:c>
      <x:c r="F3472" s="2" t="str">
        <x:v>Wash &amp; dry</x:v>
      </x:c>
      <x:c r="G3472" s="9" t="str">
        <x:v>WS-01</x:v>
      </x:c>
      <x:c r="H3472" s="15" t="n">
        <x:v>317</x:v>
      </x:c>
      <x:c r="I3472" s="9" t="str">
        <x:v>P01</x:v>
      </x:c>
      <x:c r="J3472" s="11" t="n">
        <x:v>46314.354166666664</x:v>
      </x:c>
      <x:c r="K3472" s="15" t="n">
        <x:v>12</x:v>
      </x:c>
      <x:c r="L3472" s="15" t="n">
        <x:v>4</x:v>
      </x:c>
      <x:c r="M3472" s="13" t="n">
        <x:f>J3472+(K3472+L3472)/1440</x:f>
        <x:v>46314.365277777775</x:v>
      </x:c>
      <x:c r="N3472" s="13" t="n">
        <x:f>VLOOKUP(C3472,'MES orders'!$A$8:$H$127,5,FALSE)</x:f>
        <x:v>46311.666666666664</x:v>
      </x:c>
      <x:c r="O3472" s="16" t="n">
        <x:f>MAX(0,(M3472-N3472)*24)</x:f>
        <x:v>64.76666666666279</x:v>
      </x:c>
      <x:c r="P3472" s="9" t="str">
        <x:v>No</x:v>
      </x:c>
      <x:c r="Q3472" s="15" t="n">
        <x:v>16</x:v>
      </x:c>
      <x:c r="R3472" s="13" t="n">
        <x:f>J3472+Q3472/1440</x:f>
        <x:v>46314.365277777775</x:v>
      </x:c>
      <x:c r="S3472" s="2" t="str">
        <x:f>VLOOKUP(C3472,'MES orders'!$A$8:$H$127,6,FALSE)</x:f>
        <x:v>Normal</x:v>
      </x:c>
      <x:c r="T3472" s="9" t="str"/>
    </x:row>
    <x:row r="3473" ht="22" customHeight="1">
      <x:c r="A3473" s="2" t="str">
        <x:v>L00157-020</x:v>
      </x:c>
      <x:c r="B3473" s="2" t="str">
        <x:v>L00157</x:v>
      </x:c>
      <x:c r="C3473" s="2" t="str">
        <x:v>SO-26032</x:v>
      </x:c>
      <x:c r="D3473" s="2" t="str">
        <x:v>D-C-SS</x:v>
      </x:c>
      <x:c r="E3473" s="14" t="n">
        <x:v>15</x:v>
      </x:c>
      <x:c r="F3473" s="2" t="str">
        <x:v>Deburr &amp; inspect</x:v>
      </x:c>
      <x:c r="G3473" s="9" t="str">
        <x:v>DB-01</x:v>
      </x:c>
      <x:c r="H3473" s="15" t="n">
        <x:v>325</x:v>
      </x:c>
      <x:c r="I3473" s="9" t="str">
        <x:v>P02</x:v>
      </x:c>
      <x:c r="J3473" s="11" t="n">
        <x:v>46314.35625</x:v>
      </x:c>
      <x:c r="K3473" s="15" t="n">
        <x:v>4</x:v>
      </x:c>
      <x:c r="L3473" s="15" t="n">
        <x:v>8</x:v>
      </x:c>
      <x:c r="M3473" s="13" t="n">
        <x:f>J3473+(K3473+L3473)/1440</x:f>
        <x:v>46314.36458333333</x:v>
      </x:c>
      <x:c r="N3473" s="13" t="n">
        <x:f>VLOOKUP(C3473,'MES orders'!$A$8:$H$127,5,FALSE)</x:f>
        <x:v>46311.666666666664</x:v>
      </x:c>
      <x:c r="O3473" s="16" t="n">
        <x:f>MAX(0,(M3473-N3473)*24)</x:f>
        <x:v>64.74999999994179</x:v>
      </x:c>
      <x:c r="P3473" s="9" t="str">
        <x:v>No</x:v>
      </x:c>
      <x:c r="Q3473" s="15" t="n">
        <x:v>12</x:v>
      </x:c>
      <x:c r="R3473" s="13" t="n">
        <x:f>J3473+Q3473/1440</x:f>
        <x:v>46314.36458333333</x:v>
      </x:c>
      <x:c r="S3473" s="2" t="str">
        <x:f>VLOOKUP(C3473,'MES orders'!$A$8:$H$127,6,FALSE)</x:f>
        <x:v>Normal</x:v>
      </x:c>
      <x:c r="T3473" s="9" t="str"/>
    </x:row>
    <x:row r="3474" ht="22" customHeight="1">
      <x:c r="A3474" s="2" t="str">
        <x:v>L00598-040</x:v>
      </x:c>
      <x:c r="B3474" s="2" t="str">
        <x:v>L00598</x:v>
      </x:c>
      <x:c r="C3474" s="2" t="str">
        <x:v>SO-26120</x:v>
      </x:c>
      <x:c r="D3474" s="2" t="str">
        <x:v>D-L-SS</x:v>
      </x:c>
      <x:c r="E3474" s="14" t="n">
        <x:v>25</x:v>
      </x:c>
      <x:c r="F3474" s="2" t="str">
        <x:v>Mechanical assembly</x:v>
      </x:c>
      <x:c r="G3474" s="9" t="str">
        <x:v>AS-03</x:v>
      </x:c>
      <x:c r="H3474" s="15" t="n">
        <x:v>187</x:v>
      </x:c>
      <x:c r="I3474" s="9" t="str">
        <x:v>P04</x:v>
      </x:c>
      <x:c r="J3474" s="11" t="n">
        <x:v>46314.35833333333</x:v>
      </x:c>
      <x:c r="K3474" s="15" t="n">
        <x:v>8</x:v>
      </x:c>
      <x:c r="L3474" s="15" t="n">
        <x:v>61</x:v>
      </x:c>
      <x:c r="M3474" s="13" t="n">
        <x:f>J3474+(K3474+L3474)/1440</x:f>
        <x:v>46314.40625</x:v>
      </x:c>
      <x:c r="N3474" s="13" t="n">
        <x:f>VLOOKUP(C3474,'MES orders'!$A$8:$H$127,5,FALSE)</x:f>
        <x:v>46311.666666666664</x:v>
      </x:c>
      <x:c r="O3474" s="16" t="n">
        <x:f>MAX(0,(M3474-N3474)*24)</x:f>
        <x:v>65.75000000005821</x:v>
      </x:c>
      <x:c r="P3474" s="9" t="str">
        <x:v>No</x:v>
      </x:c>
      <x:c r="Q3474" s="15" t="n">
        <x:v>69</x:v>
      </x:c>
      <x:c r="R3474" s="13" t="n">
        <x:f>J3474+Q3474/1440</x:f>
        <x:v>46314.40625</x:v>
      </x:c>
      <x:c r="S3474" s="2" t="str">
        <x:f>VLOOKUP(C3474,'MES orders'!$A$8:$H$127,6,FALSE)</x:f>
        <x:v>High</x:v>
      </x:c>
      <x:c r="T3474" s="9" t="str"/>
    </x:row>
    <x:row r="3475" ht="22" customHeight="1">
      <x:c r="A3475" s="2" t="str">
        <x:v>L00596-050</x:v>
      </x:c>
      <x:c r="B3475" s="2" t="str">
        <x:v>L00596</x:v>
      </x:c>
      <x:c r="C3475" s="2" t="str">
        <x:v>SO-26120</x:v>
      </x:c>
      <x:c r="D3475" s="2" t="str">
        <x:v>D-L-SS</x:v>
      </x:c>
      <x:c r="E3475" s="14" t="n">
        <x:v>25</x:v>
      </x:c>
      <x:c r="F3475" s="2" t="str">
        <x:v>Final leak / function test</x:v>
      </x:c>
      <x:c r="G3475" s="9" t="str">
        <x:v>QA-01</x:v>
      </x:c>
      <x:c r="H3475" s="15" t="n">
        <x:v>125</x:v>
      </x:c>
      <x:c r="I3475" s="9" t="str">
        <x:v>P12</x:v>
      </x:c>
      <x:c r="J3475" s="11" t="n">
        <x:v>46314.35972222222</x:v>
      </x:c>
      <x:c r="K3475" s="15" t="n">
        <x:v>10</x:v>
      </x:c>
      <x:c r="L3475" s="15" t="n">
        <x:v>30</x:v>
      </x:c>
      <x:c r="M3475" s="13" t="n">
        <x:f>J3475+(K3475+L3475)/1440</x:f>
        <x:v>46314.387500000004</x:v>
      </x:c>
      <x:c r="N3475" s="13" t="n">
        <x:f>VLOOKUP(C3475,'MES orders'!$A$8:$H$127,5,FALSE)</x:f>
        <x:v>46311.666666666664</x:v>
      </x:c>
      <x:c r="O3475" s="16" t="n">
        <x:f>MAX(0,(M3475-N3475)*24)</x:f>
        <x:v>65.30000000016298</x:v>
      </x:c>
      <x:c r="P3475" s="9" t="str">
        <x:v>No</x:v>
      </x:c>
      <x:c r="Q3475" s="15" t="n">
        <x:v>40</x:v>
      </x:c>
      <x:c r="R3475" s="13" t="n">
        <x:f>J3475+Q3475/1440</x:f>
        <x:v>46314.387500000004</x:v>
      </x:c>
      <x:c r="S3475" s="2" t="str">
        <x:f>VLOOKUP(C3475,'MES orders'!$A$8:$H$127,6,FALSE)</x:f>
        <x:v>High</x:v>
      </x:c>
      <x:c r="T3475" s="9" t="str"/>
    </x:row>
    <x:row r="3476" ht="22" customHeight="1">
      <x:c r="A3476" s="2" t="str">
        <x:v>L00157-030</x:v>
      </x:c>
      <x:c r="B3476" s="2" t="str">
        <x:v>L00157</x:v>
      </x:c>
      <x:c r="C3476" s="2" t="str">
        <x:v>SO-26032</x:v>
      </x:c>
      <x:c r="D3476" s="2" t="str">
        <x:v>D-C-SS</x:v>
      </x:c>
      <x:c r="E3476" s="14" t="n">
        <x:v>15</x:v>
      </x:c>
      <x:c r="F3476" s="2" t="str">
        <x:v>Wash &amp; dry</x:v>
      </x:c>
      <x:c r="G3476" s="9" t="str">
        <x:v>WS-02</x:v>
      </x:c>
      <x:c r="H3476" s="15" t="n">
        <x:v>233</x:v>
      </x:c>
      <x:c r="I3476" s="9" t="str">
        <x:v>P02</x:v>
      </x:c>
      <x:c r="J3476" s="11" t="n">
        <x:v>46314.364583333336</x:v>
      </x:c>
      <x:c r="K3476" s="15" t="n">
        <x:v>12</x:v>
      </x:c>
      <x:c r="L3476" s="15" t="n">
        <x:v>4</x:v>
      </x:c>
      <x:c r="M3476" s="13" t="n">
        <x:f>J3476+(K3476+L3476)/1440</x:f>
        <x:v>46314.37569444445</x:v>
      </x:c>
      <x:c r="N3476" s="13" t="n">
        <x:f>VLOOKUP(C3476,'MES orders'!$A$8:$H$127,5,FALSE)</x:f>
        <x:v>46311.666666666664</x:v>
      </x:c>
      <x:c r="O3476" s="16" t="n">
        <x:f>MAX(0,(M3476-N3476)*24)</x:f>
        <x:v>65.0166666667792</x:v>
      </x:c>
      <x:c r="P3476" s="9" t="str">
        <x:v>No</x:v>
      </x:c>
      <x:c r="Q3476" s="15" t="n">
        <x:v>16</x:v>
      </x:c>
      <x:c r="R3476" s="13" t="n">
        <x:f>J3476+Q3476/1440</x:f>
        <x:v>46314.37569444445</x:v>
      </x:c>
      <x:c r="S3476" s="2" t="str">
        <x:f>VLOOKUP(C3476,'MES orders'!$A$8:$H$127,6,FALSE)</x:f>
        <x:v>Normal</x:v>
      </x:c>
      <x:c r="T3476" s="9" t="str"/>
    </x:row>
    <x:row r="3477" ht="22" customHeight="1">
      <x:c r="A3477" s="2" t="str">
        <x:v>L00156-040</x:v>
      </x:c>
      <x:c r="B3477" s="2" t="str">
        <x:v>L00156</x:v>
      </x:c>
      <x:c r="C3477" s="2" t="str">
        <x:v>SO-26032</x:v>
      </x:c>
      <x:c r="D3477" s="2" t="str">
        <x:v>D-C-SS</x:v>
      </x:c>
      <x:c r="E3477" s="14" t="n">
        <x:v>15</x:v>
      </x:c>
      <x:c r="F3477" s="2" t="str">
        <x:v>Mechanical assembly</x:v>
      </x:c>
      <x:c r="G3477" s="9" t="str">
        <x:v>AS-04</x:v>
      </x:c>
      <x:c r="H3477" s="15" t="n">
        <x:v>123</x:v>
      </x:c>
      <x:c r="I3477" s="9" t="str">
        <x:v>P01</x:v>
      </x:c>
      <x:c r="J3477" s="11" t="n">
        <x:v>46314.365277777775</x:v>
      </x:c>
      <x:c r="K3477" s="15" t="n">
        <x:v>8</x:v>
      </x:c>
      <x:c r="L3477" s="15" t="n">
        <x:v>22</x:v>
      </x:c>
      <x:c r="M3477" s="13" t="n">
        <x:f>J3477+(K3477+L3477)/1440</x:f>
        <x:v>46314.38611111111</x:v>
      </x:c>
      <x:c r="N3477" s="13" t="n">
        <x:f>VLOOKUP(C3477,'MES orders'!$A$8:$H$127,5,FALSE)</x:f>
        <x:v>46311.666666666664</x:v>
      </x:c>
      <x:c r="O3477" s="16" t="n">
        <x:f>MAX(0,(M3477-N3477)*24)</x:f>
        <x:v>65.266666666721</x:v>
      </x:c>
      <x:c r="P3477" s="9" t="str">
        <x:v>No</x:v>
      </x:c>
      <x:c r="Q3477" s="15" t="n">
        <x:v>30</x:v>
      </x:c>
      <x:c r="R3477" s="13" t="n">
        <x:f>J3477+Q3477/1440</x:f>
        <x:v>46314.38611111111</x:v>
      </x:c>
      <x:c r="S3477" s="2" t="str">
        <x:f>VLOOKUP(C3477,'MES orders'!$A$8:$H$127,6,FALSE)</x:f>
        <x:v>Normal</x:v>
      </x:c>
      <x:c r="T3477" s="9" t="str"/>
    </x:row>
    <x:row r="3478" ht="22" customHeight="1">
      <x:c r="A3478" s="2" t="str">
        <x:v>L00158-020</x:v>
      </x:c>
      <x:c r="B3478" s="2" t="str">
        <x:v>L00158</x:v>
      </x:c>
      <x:c r="C3478" s="2" t="str">
        <x:v>SO-26032</x:v>
      </x:c>
      <x:c r="D3478" s="2" t="str">
        <x:v>D-C-SS</x:v>
      </x:c>
      <x:c r="E3478" s="14" t="n">
        <x:v>15</x:v>
      </x:c>
      <x:c r="F3478" s="2" t="str">
        <x:v>Deburr &amp; inspect</x:v>
      </x:c>
      <x:c r="G3478" s="9" t="str">
        <x:v>DB-02</x:v>
      </x:c>
      <x:c r="H3478" s="15" t="n">
        <x:v>227</x:v>
      </x:c>
      <x:c r="I3478" s="9" t="str">
        <x:v>P03</x:v>
      </x:c>
      <x:c r="J3478" s="11" t="n">
        <x:v>46314.36666666667</x:v>
      </x:c>
      <x:c r="K3478" s="15" t="n">
        <x:v>4</x:v>
      </x:c>
      <x:c r="L3478" s="15" t="n">
        <x:v>8</x:v>
      </x:c>
      <x:c r="M3478" s="13" t="n">
        <x:f>J3478+(K3478+L3478)/1440</x:f>
        <x:v>46314.375</x:v>
      </x:c>
      <x:c r="N3478" s="13" t="n">
        <x:f>VLOOKUP(C3478,'MES orders'!$A$8:$H$127,5,FALSE)</x:f>
        <x:v>46311.666666666664</x:v>
      </x:c>
      <x:c r="O3478" s="16" t="n">
        <x:f>MAX(0,(M3478-N3478)*24)</x:f>
        <x:v>65.00000000005821</x:v>
      </x:c>
      <x:c r="P3478" s="9" t="str">
        <x:v>No</x:v>
      </x:c>
      <x:c r="Q3478" s="15" t="n">
        <x:v>12</x:v>
      </x:c>
      <x:c r="R3478" s="13" t="n">
        <x:f>J3478+Q3478/1440</x:f>
        <x:v>46314.375</x:v>
      </x:c>
      <x:c r="S3478" s="2" t="str">
        <x:f>VLOOKUP(C3478,'MES orders'!$A$8:$H$127,6,FALSE)</x:f>
        <x:v>Normal</x:v>
      </x:c>
      <x:c r="T3478" s="9" t="str"/>
    </x:row>
    <x:row r="3479" ht="22" customHeight="1">
      <x:c r="A3479" s="2" t="str">
        <x:v>L00079-020</x:v>
      </x:c>
      <x:c r="B3479" s="2" t="str">
        <x:v>L00079</x:v>
      </x:c>
      <x:c r="C3479" s="2" t="str">
        <x:v>SO-26016</x:v>
      </x:c>
      <x:c r="D3479" s="2" t="str">
        <x:v>S-S-SS</x:v>
      </x:c>
      <x:c r="E3479" s="14" t="n">
        <x:v>10</x:v>
      </x:c>
      <x:c r="F3479" s="2" t="str">
        <x:v>Deburr &amp; inspect</x:v>
      </x:c>
      <x:c r="G3479" s="9" t="str">
        <x:v>DB-01</x:v>
      </x:c>
      <x:c r="H3479" s="15" t="n">
        <x:v>326</x:v>
      </x:c>
      <x:c r="I3479" s="9" t="str">
        <x:v>P05</x:v>
      </x:c>
      <x:c r="J3479" s="11" t="n">
        <x:v>46314.36736111111</x:v>
      </x:c>
      <x:c r="K3479" s="15" t="n">
        <x:v>4</x:v>
      </x:c>
      <x:c r="L3479" s="15" t="n">
        <x:v>7</x:v>
      </x:c>
      <x:c r="M3479" s="13" t="n">
        <x:f>J3479+(K3479+L3479)/1440</x:f>
        <x:v>46314.375</x:v>
      </x:c>
      <x:c r="N3479" s="13" t="n">
        <x:f>VLOOKUP(C3479,'MES orders'!$A$8:$H$127,5,FALSE)</x:f>
        <x:v>46311.666666666664</x:v>
      </x:c>
      <x:c r="O3479" s="16" t="n">
        <x:f>MAX(0,(M3479-N3479)*24)</x:f>
        <x:v>65.00000000005821</x:v>
      </x:c>
      <x:c r="P3479" s="9" t="str">
        <x:v>No</x:v>
      </x:c>
      <x:c r="Q3479" s="15" t="n">
        <x:v>11</x:v>
      </x:c>
      <x:c r="R3479" s="13" t="n">
        <x:f>J3479+Q3479/1440</x:f>
        <x:v>46314.375</x:v>
      </x:c>
      <x:c r="S3479" s="2" t="str">
        <x:f>VLOOKUP(C3479,'MES orders'!$A$8:$H$127,6,FALSE)</x:f>
        <x:v>Normal</x:v>
      </x:c>
      <x:c r="T3479" s="9" t="str"/>
    </x:row>
    <x:row r="3480" ht="22" customHeight="1">
      <x:c r="A3480" s="2" t="str">
        <x:v>L00036-080</x:v>
      </x:c>
      <x:c r="B3480" s="2" t="str">
        <x:v>L00036</x:v>
      </x:c>
      <x:c r="C3480" s="2" t="str">
        <x:v>SO-26008</x:v>
      </x:c>
      <x:c r="D3480" s="2" t="str">
        <x:v>S-C-SS</x:v>
      </x:c>
      <x:c r="E3480" s="14" t="n">
        <x:v>25</x:v>
      </x:c>
      <x:c r="F3480" s="2" t="str">
        <x:v>Final leak / function test</x:v>
      </x:c>
      <x:c r="G3480" s="9" t="str">
        <x:v>QA-02</x:v>
      </x:c>
      <x:c r="H3480" s="15" t="n">
        <x:v>260</x:v>
      </x:c>
      <x:c r="I3480" s="9" t="str">
        <x:v>P11</x:v>
      </x:c>
      <x:c r="J3480" s="11" t="n">
        <x:v>46314.36736111111</x:v>
      </x:c>
      <x:c r="K3480" s="15" t="n">
        <x:v>10</x:v>
      </x:c>
      <x:c r="L3480" s="15" t="n">
        <x:v>18</x:v>
      </x:c>
      <x:c r="M3480" s="13" t="n">
        <x:f>J3480+(K3480+L3480)/1440</x:f>
        <x:v>46314.38680555555</x:v>
      </x:c>
      <x:c r="N3480" s="13" t="n">
        <x:f>VLOOKUP(C3480,'MES orders'!$A$8:$H$127,5,FALSE)</x:f>
        <x:v>46311.666666666664</x:v>
      </x:c>
      <x:c r="O3480" s="16" t="n">
        <x:f>MAX(0,(M3480-N3480)*24)</x:f>
        <x:v>65.28333333326736</x:v>
      </x:c>
      <x:c r="P3480" s="9" t="str">
        <x:v>No</x:v>
      </x:c>
      <x:c r="Q3480" s="15" t="n">
        <x:v>28</x:v>
      </x:c>
      <x:c r="R3480" s="13" t="n">
        <x:f>J3480+Q3480/1440</x:f>
        <x:v>46314.38680555555</x:v>
      </x:c>
      <x:c r="S3480" s="2" t="str">
        <x:f>VLOOKUP(C3480,'MES orders'!$A$8:$H$127,6,FALSE)</x:f>
        <x:v>High</x:v>
      </x:c>
      <x:c r="T3480" s="9" t="str"/>
    </x:row>
    <x:row r="3481" ht="22" customHeight="1">
      <x:c r="A3481" s="2" t="str">
        <x:v>L00158-030</x:v>
      </x:c>
      <x:c r="B3481" s="2" t="str">
        <x:v>L00158</x:v>
      </x:c>
      <x:c r="C3481" s="2" t="str">
        <x:v>SO-26032</x:v>
      </x:c>
      <x:c r="D3481" s="2" t="str">
        <x:v>D-C-SS</x:v>
      </x:c>
      <x:c r="E3481" s="14" t="n">
        <x:v>15</x:v>
      </x:c>
      <x:c r="F3481" s="2" t="str">
        <x:v>Wash &amp; dry</x:v>
      </x:c>
      <x:c r="G3481" s="9" t="str">
        <x:v>WS-01</x:v>
      </x:c>
      <x:c r="H3481" s="15" t="n">
        <x:v>318</x:v>
      </x:c>
      <x:c r="I3481" s="9" t="str">
        <x:v>P03</x:v>
      </x:c>
      <x:c r="J3481" s="11" t="n">
        <x:v>46314.375</x:v>
      </x:c>
      <x:c r="K3481" s="15" t="n">
        <x:v>12</x:v>
      </x:c>
      <x:c r="L3481" s="15" t="n">
        <x:v>4</x:v>
      </x:c>
      <x:c r="M3481" s="13" t="n">
        <x:f>J3481+(K3481+L3481)/1440</x:f>
        <x:v>46314.38611111111</x:v>
      </x:c>
      <x:c r="N3481" s="13" t="n">
        <x:f>VLOOKUP(C3481,'MES orders'!$A$8:$H$127,5,FALSE)</x:f>
        <x:v>46311.666666666664</x:v>
      </x:c>
      <x:c r="O3481" s="16" t="n">
        <x:f>MAX(0,(M3481-N3481)*24)</x:f>
        <x:v>65.266666666721</x:v>
      </x:c>
      <x:c r="P3481" s="9" t="str">
        <x:v>No</x:v>
      </x:c>
      <x:c r="Q3481" s="15" t="n">
        <x:v>16</x:v>
      </x:c>
      <x:c r="R3481" s="13" t="n">
        <x:f>J3481+Q3481/1440</x:f>
        <x:v>46314.38611111111</x:v>
      </x:c>
      <x:c r="S3481" s="2" t="str">
        <x:f>VLOOKUP(C3481,'MES orders'!$A$8:$H$127,6,FALSE)</x:f>
        <x:v>Normal</x:v>
      </x:c>
      <x:c r="T3481" s="9" t="str"/>
    </x:row>
    <x:row r="3482" ht="22" customHeight="1">
      <x:c r="A3482" s="2" t="str">
        <x:v>L00157-040</x:v>
      </x:c>
      <x:c r="B3482" s="2" t="str">
        <x:v>L00157</x:v>
      </x:c>
      <x:c r="C3482" s="2" t="str">
        <x:v>SO-26032</x:v>
      </x:c>
      <x:c r="D3482" s="2" t="str">
        <x:v>D-C-SS</x:v>
      </x:c>
      <x:c r="E3482" s="14" t="n">
        <x:v>15</x:v>
      </x:c>
      <x:c r="F3482" s="2" t="str">
        <x:v>Mechanical assembly</x:v>
      </x:c>
      <x:c r="G3482" s="9" t="str">
        <x:v>AS-05</x:v>
      </x:c>
      <x:c r="H3482" s="15" t="n">
        <x:v>70</x:v>
      </x:c>
      <x:c r="I3482" s="9" t="str">
        <x:v>P02</x:v>
      </x:c>
      <x:c r="J3482" s="11" t="n">
        <x:v>46314.37569444445</x:v>
      </x:c>
      <x:c r="K3482" s="15" t="n">
        <x:v>8</x:v>
      </x:c>
      <x:c r="L3482" s="15" t="n">
        <x:v>22</x:v>
      </x:c>
      <x:c r="M3482" s="13" t="n">
        <x:f>J3482+(K3482+L3482)/1440</x:f>
        <x:v>46314.39652777778</x:v>
      </x:c>
      <x:c r="N3482" s="13" t="n">
        <x:f>VLOOKUP(C3482,'MES orders'!$A$8:$H$127,5,FALSE)</x:f>
        <x:v>46311.666666666664</x:v>
      </x:c>
      <x:c r="O3482" s="16" t="n">
        <x:f>MAX(0,(M3482-N3482)*24)</x:f>
        <x:v>65.51666666683741</x:v>
      </x:c>
      <x:c r="P3482" s="9" t="str">
        <x:v>No</x:v>
      </x:c>
      <x:c r="Q3482" s="15" t="n">
        <x:v>30</x:v>
      </x:c>
      <x:c r="R3482" s="13" t="n">
        <x:f>J3482+Q3482/1440</x:f>
        <x:v>46314.39652777778</x:v>
      </x:c>
      <x:c r="S3482" s="2" t="str">
        <x:f>VLOOKUP(C3482,'MES orders'!$A$8:$H$127,6,FALSE)</x:f>
        <x:v>Normal</x:v>
      </x:c>
      <x:c r="T3482" s="9" t="str"/>
    </x:row>
    <x:row r="3483" ht="22" customHeight="1">
      <x:c r="A3483" s="2" t="str">
        <x:v>L00037-070</x:v>
      </x:c>
      <x:c r="B3483" s="2" t="str">
        <x:v>L00037</x:v>
      </x:c>
      <x:c r="C3483" s="2" t="str">
        <x:v>SO-26008</x:v>
      </x:c>
      <x:c r="D3483" s="2" t="str">
        <x:v>S-C-SS</x:v>
      </x:c>
      <x:c r="E3483" s="14" t="n">
        <x:v>25</x:v>
      </x:c>
      <x:c r="F3483" s="2" t="str">
        <x:v>Final assembly</x:v>
      </x:c>
      <x:c r="G3483" s="9" t="str">
        <x:v>AS-01</x:v>
      </x:c>
      <x:c r="H3483" s="15" t="n">
        <x:v>277</x:v>
      </x:c>
      <x:c r="I3483" s="9" t="str">
        <x:v>P05</x:v>
      </x:c>
      <x:c r="J3483" s="11" t="n">
        <x:v>46314.37777777778</x:v>
      </x:c>
      <x:c r="K3483" s="15" t="n">
        <x:v>5</x:v>
      </x:c>
      <x:c r="L3483" s="15" t="n">
        <x:v>16</x:v>
      </x:c>
      <x:c r="M3483" s="13" t="n">
        <x:f>J3483+(K3483+L3483)/1440</x:f>
        <x:v>46314.39236111111</x:v>
      </x:c>
      <x:c r="N3483" s="13" t="n">
        <x:f>VLOOKUP(C3483,'MES orders'!$A$8:$H$127,5,FALSE)</x:f>
        <x:v>46311.666666666664</x:v>
      </x:c>
      <x:c r="O3483" s="16" t="n">
        <x:f>MAX(0,(M3483-N3483)*24)</x:f>
        <x:v>65.41666666668607</x:v>
      </x:c>
      <x:c r="P3483" s="9" t="str">
        <x:v>No</x:v>
      </x:c>
      <x:c r="Q3483" s="15" t="n">
        <x:v>21</x:v>
      </x:c>
      <x:c r="R3483" s="13" t="n">
        <x:f>J3483+Q3483/1440</x:f>
        <x:v>46314.39236111111</x:v>
      </x:c>
      <x:c r="S3483" s="2" t="str">
        <x:f>VLOOKUP(C3483,'MES orders'!$A$8:$H$127,6,FALSE)</x:f>
        <x:v>High</x:v>
      </x:c>
      <x:c r="T3483" s="9" t="str"/>
    </x:row>
    <x:row r="3484" ht="22" customHeight="1">
      <x:c r="A3484" s="2" t="str">
        <x:v>L00038-060</x:v>
      </x:c>
      <x:c r="B3484" s="2" t="str">
        <x:v>L00038</x:v>
      </x:c>
      <x:c r="C3484" s="2" t="str">
        <x:v>SO-26008</x:v>
      </x:c>
      <x:c r="D3484" s="2" t="str">
        <x:v>S-C-SS</x:v>
      </x:c>
      <x:c r="E3484" s="14" t="n">
        <x:v>25</x:v>
      </x:c>
      <x:c r="F3484" s="2" t="str">
        <x:v>Sensor calibration</x:v>
      </x:c>
      <x:c r="G3484" s="9" t="str">
        <x:v>CAL-01</x:v>
      </x:c>
      <x:c r="H3484" s="15" t="n">
        <x:v>178</x:v>
      </x:c>
      <x:c r="I3484" s="9" t="str">
        <x:v>P09</x:v>
      </x:c>
      <x:c r="J3484" s="11" t="n">
        <x:v>46314.37777777778</x:v>
      </x:c>
      <x:c r="K3484" s="15" t="n">
        <x:v>10</x:v>
      </x:c>
      <x:c r="L3484" s="15" t="n">
        <x:v>26</x:v>
      </x:c>
      <x:c r="M3484" s="13" t="n">
        <x:f>J3484+(K3484+L3484)/1440</x:f>
        <x:v>46314.40277777778</x:v>
      </x:c>
      <x:c r="N3484" s="13" t="n">
        <x:f>VLOOKUP(C3484,'MES orders'!$A$8:$H$127,5,FALSE)</x:f>
        <x:v>46311.666666666664</x:v>
      </x:c>
      <x:c r="O3484" s="16" t="n">
        <x:f>MAX(0,(M3484-N3484)*24)</x:f>
        <x:v>65.66666666680248</x:v>
      </x:c>
      <x:c r="P3484" s="9" t="str">
        <x:v>No</x:v>
      </x:c>
      <x:c r="Q3484" s="15" t="n">
        <x:v>36</x:v>
      </x:c>
      <x:c r="R3484" s="13" t="n">
        <x:f>J3484+Q3484/1440</x:f>
        <x:v>46314.40277777778</x:v>
      </x:c>
      <x:c r="S3484" s="2" t="str">
        <x:f>VLOOKUP(C3484,'MES orders'!$A$8:$H$127,6,FALSE)</x:f>
        <x:v>High</x:v>
      </x:c>
      <x:c r="T3484" s="9" t="str"/>
    </x:row>
    <x:row r="3485" ht="22" customHeight="1">
      <x:c r="A3485" s="2" t="str">
        <x:v>L00160-020</x:v>
      </x:c>
      <x:c r="B3485" s="2" t="str">
        <x:v>L00160</x:v>
      </x:c>
      <x:c r="C3485" s="2" t="str">
        <x:v>SO-26032</x:v>
      </x:c>
      <x:c r="D3485" s="2" t="str">
        <x:v>D-C-SS</x:v>
      </x:c>
      <x:c r="E3485" s="14" t="n">
        <x:v>15</x:v>
      </x:c>
      <x:c r="F3485" s="2" t="str">
        <x:v>Deburr &amp; inspect</x:v>
      </x:c>
      <x:c r="G3485" s="9" t="str">
        <x:v>DB-02</x:v>
      </x:c>
      <x:c r="H3485" s="15" t="n">
        <x:v>228</x:v>
      </x:c>
      <x:c r="I3485" s="9" t="str">
        <x:v>P07</x:v>
      </x:c>
      <x:c r="J3485" s="11" t="n">
        <x:v>46314.38333333333</x:v>
      </x:c>
      <x:c r="K3485" s="15" t="n">
        <x:v>4</x:v>
      </x:c>
      <x:c r="L3485" s="15" t="n">
        <x:v>8</x:v>
      </x:c>
      <x:c r="M3485" s="13" t="n">
        <x:f>J3485+(K3485+L3485)/1440</x:f>
        <x:v>46314.39166666666</x:v>
      </x:c>
      <x:c r="N3485" s="13" t="n">
        <x:f>VLOOKUP(C3485,'MES orders'!$A$8:$H$127,5,FALSE)</x:f>
        <x:v>46311.666666666664</x:v>
      </x:c>
      <x:c r="O3485" s="16" t="n">
        <x:f>MAX(0,(M3485-N3485)*24)</x:f>
        <x:v>65.39999999996508</x:v>
      </x:c>
      <x:c r="P3485" s="9" t="str">
        <x:v>No</x:v>
      </x:c>
      <x:c r="Q3485" s="15" t="n">
        <x:v>12</x:v>
      </x:c>
      <x:c r="R3485" s="13" t="n">
        <x:f>J3485+Q3485/1440</x:f>
        <x:v>46314.39166666666</x:v>
      </x:c>
      <x:c r="S3485" s="2" t="str">
        <x:f>VLOOKUP(C3485,'MES orders'!$A$8:$H$127,6,FALSE)</x:f>
        <x:v>Normal</x:v>
      </x:c>
      <x:c r="T3485" s="9" t="str"/>
    </x:row>
    <x:row r="3486" ht="22" customHeight="1">
      <x:c r="A3486" s="2" t="str">
        <x:v>L00158-040</x:v>
      </x:c>
      <x:c r="B3486" s="2" t="str">
        <x:v>L00158</x:v>
      </x:c>
      <x:c r="C3486" s="2" t="str">
        <x:v>SO-26032</x:v>
      </x:c>
      <x:c r="D3486" s="2" t="str">
        <x:v>D-C-SS</x:v>
      </x:c>
      <x:c r="E3486" s="14" t="n">
        <x:v>15</x:v>
      </x:c>
      <x:c r="F3486" s="2" t="str">
        <x:v>Mechanical assembly</x:v>
      </x:c>
      <x:c r="G3486" s="9" t="str">
        <x:v>AS-04</x:v>
      </x:c>
      <x:c r="H3486" s="15" t="n">
        <x:v>124</x:v>
      </x:c>
      <x:c r="I3486" s="9" t="str">
        <x:v>P01</x:v>
      </x:c>
      <x:c r="J3486" s="11" t="n">
        <x:v>46314.38611111111</x:v>
      </x:c>
      <x:c r="K3486" s="15" t="n">
        <x:v>8</x:v>
      </x:c>
      <x:c r="L3486" s="15" t="n">
        <x:v>22</x:v>
      </x:c>
      <x:c r="M3486" s="13" t="n">
        <x:f>J3486+(K3486+L3486)/1440</x:f>
        <x:v>46314.40694444445</x:v>
      </x:c>
      <x:c r="N3486" s="13" t="n">
        <x:f>VLOOKUP(C3486,'MES orders'!$A$8:$H$127,5,FALSE)</x:f>
        <x:v>46311.666666666664</x:v>
      </x:c>
      <x:c r="O3486" s="16" t="n">
        <x:f>MAX(0,(M3486-N3486)*24)</x:f>
        <x:v>65.7666666667792</x:v>
      </x:c>
      <x:c r="P3486" s="9" t="str">
        <x:v>No</x:v>
      </x:c>
      <x:c r="Q3486" s="15" t="n">
        <x:v>30</x:v>
      </x:c>
      <x:c r="R3486" s="13" t="n">
        <x:f>J3486+Q3486/1440</x:f>
        <x:v>46314.40694444445</x:v>
      </x:c>
      <x:c r="S3486" s="2" t="str">
        <x:f>VLOOKUP(C3486,'MES orders'!$A$8:$H$127,6,FALSE)</x:f>
        <x:v>Normal</x:v>
      </x:c>
      <x:c r="T3486" s="9" t="str"/>
    </x:row>
    <x:row r="3487" ht="22" customHeight="1">
      <x:c r="A3487" s="2" t="str">
        <x:v>L00599-050</x:v>
      </x:c>
      <x:c r="B3487" s="2" t="str">
        <x:v>L00599</x:v>
      </x:c>
      <x:c r="C3487" s="2" t="str">
        <x:v>SO-26120</x:v>
      </x:c>
      <x:c r="D3487" s="2" t="str">
        <x:v>D-L-SS</x:v>
      </x:c>
      <x:c r="E3487" s="14" t="n">
        <x:v>25</x:v>
      </x:c>
      <x:c r="F3487" s="2" t="str">
        <x:v>Final leak / function test</x:v>
      </x:c>
      <x:c r="G3487" s="9" t="str">
        <x:v>QA-01</x:v>
      </x:c>
      <x:c r="H3487" s="15" t="n">
        <x:v>126</x:v>
      </x:c>
      <x:c r="I3487" s="9" t="str">
        <x:v>P12</x:v>
      </x:c>
      <x:c r="J3487" s="11" t="n">
        <x:v>46314.3875</x:v>
      </x:c>
      <x:c r="K3487" s="15" t="n">
        <x:v>10</x:v>
      </x:c>
      <x:c r="L3487" s="15" t="n">
        <x:v>30</x:v>
      </x:c>
      <x:c r="M3487" s="13" t="n">
        <x:f>J3487+(K3487+L3487)/1440</x:f>
        <x:v>46314.41527777778</x:v>
      </x:c>
      <x:c r="N3487" s="13" t="n">
        <x:f>VLOOKUP(C3487,'MES orders'!$A$8:$H$127,5,FALSE)</x:f>
        <x:v>46311.666666666664</x:v>
      </x:c>
      <x:c r="O3487" s="16" t="n">
        <x:f>MAX(0,(M3487-N3487)*24)</x:f>
        <x:v>65.96666666673264</x:v>
      </x:c>
      <x:c r="P3487" s="9" t="str">
        <x:v>No</x:v>
      </x:c>
      <x:c r="Q3487" s="15" t="n">
        <x:v>40</x:v>
      </x:c>
      <x:c r="R3487" s="13" t="n">
        <x:f>J3487+Q3487/1440</x:f>
        <x:v>46314.41527777778</x:v>
      </x:c>
      <x:c r="S3487" s="2" t="str">
        <x:f>VLOOKUP(C3487,'MES orders'!$A$8:$H$127,6,FALSE)</x:f>
        <x:v>High</x:v>
      </x:c>
      <x:c r="T3487" s="9" t="str"/>
    </x:row>
    <x:row r="3488" ht="22" customHeight="1">
      <x:c r="A3488" s="2" t="str">
        <x:v>L00600-020</x:v>
      </x:c>
      <x:c r="B3488" s="2" t="str">
        <x:v>L00600</x:v>
      </x:c>
      <x:c r="C3488" s="2" t="str">
        <x:v>SO-26120</x:v>
      </x:c>
      <x:c r="D3488" s="2" t="str">
        <x:v>D-L-SS</x:v>
      </x:c>
      <x:c r="E3488" s="14" t="n">
        <x:v>25</x:v>
      </x:c>
      <x:c r="F3488" s="2" t="str">
        <x:v>Deburr &amp; inspect</x:v>
      </x:c>
      <x:c r="G3488" s="9" t="str">
        <x:v>DB-01</x:v>
      </x:c>
      <x:c r="H3488" s="15" t="n">
        <x:v>327</x:v>
      </x:c>
      <x:c r="I3488" s="9" t="str">
        <x:v>P06</x:v>
      </x:c>
      <x:c r="J3488" s="11" t="n">
        <x:v>46314.39027777778</x:v>
      </x:c>
      <x:c r="K3488" s="15" t="n">
        <x:v>4</x:v>
      </x:c>
      <x:c r="L3488" s="15" t="n">
        <x:v>24</x:v>
      </x:c>
      <x:c r="M3488" s="13" t="n">
        <x:f>J3488+(K3488+L3488)/1440</x:f>
        <x:v>46314.40972222222</x:v>
      </x:c>
      <x:c r="N3488" s="13" t="n">
        <x:f>VLOOKUP(C3488,'MES orders'!$A$8:$H$127,5,FALSE)</x:f>
        <x:v>46311.666666666664</x:v>
      </x:c>
      <x:c r="O3488" s="16" t="n">
        <x:f>MAX(0,(M3488-N3488)*24)</x:f>
        <x:v>65.83333333331393</x:v>
      </x:c>
      <x:c r="P3488" s="9" t="str">
        <x:v>No</x:v>
      </x:c>
      <x:c r="Q3488" s="15" t="n">
        <x:v>28</x:v>
      </x:c>
      <x:c r="R3488" s="13" t="n">
        <x:f>J3488+Q3488/1440</x:f>
        <x:v>46314.40972222222</x:v>
      </x:c>
      <x:c r="S3488" s="2" t="str">
        <x:f>VLOOKUP(C3488,'MES orders'!$A$8:$H$127,6,FALSE)</x:f>
        <x:v>High</x:v>
      </x:c>
      <x:c r="T3488" s="9" t="str"/>
    </x:row>
    <x:row r="3489" ht="22" customHeight="1">
      <x:c r="A3489" s="2" t="str">
        <x:v>L00160-030</x:v>
      </x:c>
      <x:c r="B3489" s="2" t="str">
        <x:v>L00160</x:v>
      </x:c>
      <x:c r="C3489" s="2" t="str">
        <x:v>SO-26032</x:v>
      </x:c>
      <x:c r="D3489" s="2" t="str">
        <x:v>D-C-SS</x:v>
      </x:c>
      <x:c r="E3489" s="14" t="n">
        <x:v>15</x:v>
      </x:c>
      <x:c r="F3489" s="2" t="str">
        <x:v>Wash &amp; dry</x:v>
      </x:c>
      <x:c r="G3489" s="9" t="str">
        <x:v>WS-01</x:v>
      </x:c>
      <x:c r="H3489" s="15" t="n">
        <x:v>319</x:v>
      </x:c>
      <x:c r="I3489" s="9" t="str">
        <x:v>P03</x:v>
      </x:c>
      <x:c r="J3489" s="11" t="n">
        <x:v>46314.39166666667</x:v>
      </x:c>
      <x:c r="K3489" s="15" t="n">
        <x:v>12</x:v>
      </x:c>
      <x:c r="L3489" s="15" t="n">
        <x:v>4</x:v>
      </x:c>
      <x:c r="M3489" s="13" t="n">
        <x:f>J3489+(K3489+L3489)/1440</x:f>
        <x:v>46314.40277777778</x:v>
      </x:c>
      <x:c r="N3489" s="13" t="n">
        <x:f>VLOOKUP(C3489,'MES orders'!$A$8:$H$127,5,FALSE)</x:f>
        <x:v>46311.666666666664</x:v>
      </x:c>
      <x:c r="O3489" s="16" t="n">
        <x:f>MAX(0,(M3489-N3489)*24)</x:f>
        <x:v>65.66666666680248</x:v>
      </x:c>
      <x:c r="P3489" s="9" t="str">
        <x:v>No</x:v>
      </x:c>
      <x:c r="Q3489" s="15" t="n">
        <x:v>16</x:v>
      </x:c>
      <x:c r="R3489" s="13" t="n">
        <x:f>J3489+Q3489/1440</x:f>
        <x:v>46314.40277777778</x:v>
      </x:c>
      <x:c r="S3489" s="2" t="str">
        <x:f>VLOOKUP(C3489,'MES orders'!$A$8:$H$127,6,FALSE)</x:f>
        <x:v>Normal</x:v>
      </x:c>
      <x:c r="T3489" s="9" t="str"/>
    </x:row>
    <x:row r="3490" ht="22" customHeight="1">
      <x:c r="A3490" s="2" t="str">
        <x:v>L00077-040</x:v>
      </x:c>
      <x:c r="B3490" s="2" t="str">
        <x:v>L00077</x:v>
      </x:c>
      <x:c r="C3490" s="2" t="str">
        <x:v>SO-26016</x:v>
      </x:c>
      <x:c r="D3490" s="2" t="str">
        <x:v>S-S-SS</x:v>
      </x:c>
      <x:c r="E3490" s="14" t="n">
        <x:v>10</x:v>
      </x:c>
      <x:c r="F3490" s="2" t="str">
        <x:v>Mechanical preassembly</x:v>
      </x:c>
      <x:c r="G3490" s="9" t="str">
        <x:v>AS-01</x:v>
      </x:c>
      <x:c r="H3490" s="15" t="n">
        <x:v>278</x:v>
      </x:c>
      <x:c r="I3490" s="9" t="str">
        <x:v>P05</x:v>
      </x:c>
      <x:c r="J3490" s="11" t="n">
        <x:v>46314.39236111111</x:v>
      </x:c>
      <x:c r="K3490" s="15" t="n">
        <x:v>6</x:v>
      </x:c>
      <x:c r="L3490" s="15" t="n">
        <x:v>11</x:v>
      </x:c>
      <x:c r="M3490" s="13" t="n">
        <x:f>J3490+(K3490+L3490)/1440</x:f>
        <x:v>46314.40416666667</x:v>
      </x:c>
      <x:c r="N3490" s="13" t="n">
        <x:f>VLOOKUP(C3490,'MES orders'!$A$8:$H$127,5,FALSE)</x:f>
        <x:v>46311.666666666664</x:v>
      </x:c>
      <x:c r="O3490" s="16" t="n">
        <x:f>MAX(0,(M3490-N3490)*24)</x:f>
        <x:v>65.70000000006985</x:v>
      </x:c>
      <x:c r="P3490" s="9" t="str">
        <x:v>No</x:v>
      </x:c>
      <x:c r="Q3490" s="15" t="n">
        <x:v>17</x:v>
      </x:c>
      <x:c r="R3490" s="13" t="n">
        <x:f>J3490+Q3490/1440</x:f>
        <x:v>46314.40416666667</x:v>
      </x:c>
      <x:c r="S3490" s="2" t="str">
        <x:f>VLOOKUP(C3490,'MES orders'!$A$8:$H$127,6,FALSE)</x:f>
        <x:v>Normal</x:v>
      </x:c>
      <x:c r="T3490" s="9" t="str"/>
    </x:row>
    <x:row r="3491" ht="22" customHeight="1">
      <x:c r="A3491" s="2" t="str">
        <x:v>L00037-080</x:v>
      </x:c>
      <x:c r="B3491" s="2" t="str">
        <x:v>L00037</x:v>
      </x:c>
      <x:c r="C3491" s="2" t="str">
        <x:v>SO-26008</x:v>
      </x:c>
      <x:c r="D3491" s="2" t="str">
        <x:v>S-C-SS</x:v>
      </x:c>
      <x:c r="E3491" s="14" t="n">
        <x:v>25</x:v>
      </x:c>
      <x:c r="F3491" s="2" t="str">
        <x:v>Final leak / function test</x:v>
      </x:c>
      <x:c r="G3491" s="9" t="str">
        <x:v>QA-02</x:v>
      </x:c>
      <x:c r="H3491" s="15" t="n">
        <x:v>261</x:v>
      </x:c>
      <x:c r="I3491" s="9" t="str">
        <x:v>P11</x:v>
      </x:c>
      <x:c r="J3491" s="11" t="n">
        <x:v>46314.39236111111</x:v>
      </x:c>
      <x:c r="K3491" s="15" t="n">
        <x:v>10</x:v>
      </x:c>
      <x:c r="L3491" s="15" t="n">
        <x:v>18</x:v>
      </x:c>
      <x:c r="M3491" s="13" t="n">
        <x:f>J3491+(K3491+L3491)/1440</x:f>
        <x:v>46314.41180555555</x:v>
      </x:c>
      <x:c r="N3491" s="13" t="n">
        <x:f>VLOOKUP(C3491,'MES orders'!$A$8:$H$127,5,FALSE)</x:f>
        <x:v>46311.666666666664</x:v>
      </x:c>
      <x:c r="O3491" s="16" t="n">
        <x:f>MAX(0,(M3491-N3491)*24)</x:f>
        <x:v>65.88333333330229</x:v>
      </x:c>
      <x:c r="P3491" s="9" t="str">
        <x:v>No</x:v>
      </x:c>
      <x:c r="Q3491" s="15" t="n">
        <x:v>28</x:v>
      </x:c>
      <x:c r="R3491" s="13" t="n">
        <x:f>J3491+Q3491/1440</x:f>
        <x:v>46314.41180555555</x:v>
      </x:c>
      <x:c r="S3491" s="2" t="str">
        <x:f>VLOOKUP(C3491,'MES orders'!$A$8:$H$127,6,FALSE)</x:f>
        <x:v>High</x:v>
      </x:c>
      <x:c r="T3491" s="9" t="str"/>
    </x:row>
    <x:row r="3492" ht="22" customHeight="1">
      <x:c r="A3492" s="2" t="str">
        <x:v>L00196-010</x:v>
      </x:c>
      <x:c r="B3492" s="2" t="str">
        <x:v>L00196</x:v>
      </x:c>
      <x:c r="C3492" s="2" t="str">
        <x:v>SO-26040</x:v>
      </x:c>
      <x:c r="D3492" s="2" t="str">
        <x:v>D-S-SS</x:v>
      </x:c>
      <x:c r="E3492" s="14" t="n">
        <x:v>15</x:v>
      </x:c>
      <x:c r="F3492" s="2" t="str">
        <x:v>CNC machining</x:v>
      </x:c>
      <x:c r="G3492" s="9" t="str">
        <x:v>CNC-03</x:v>
      </x:c>
      <x:c r="H3492" s="15" t="n">
        <x:v>112</x:v>
      </x:c>
      <x:c r="I3492" s="9" t="str">
        <x:v>P02</x:v>
      </x:c>
      <x:c r="J3492" s="11" t="n">
        <x:v>46314.396527777775</x:v>
      </x:c>
      <x:c r="K3492" s="15" t="n">
        <x:v>18</x:v>
      </x:c>
      <x:c r="L3492" s="15" t="n">
        <x:v>45</x:v>
      </x:c>
      <x:c r="M3492" s="13" t="n">
        <x:f>J3492+(K3492+L3492)/1440</x:f>
        <x:v>46314.44027777777</x:v>
      </x:c>
      <x:c r="N3492" s="13" t="n">
        <x:f>VLOOKUP(C3492,'MES orders'!$A$8:$H$127,5,FALSE)</x:f>
        <x:v>46311.666666666664</x:v>
      </x:c>
      <x:c r="O3492" s="16" t="n">
        <x:f>MAX(0,(M3492-N3492)*24)</x:f>
        <x:v>66.56666666659294</x:v>
      </x:c>
      <x:c r="P3492" s="9" t="str">
        <x:v>No</x:v>
      </x:c>
      <x:c r="Q3492" s="15" t="n">
        <x:v>18</x:v>
      </x:c>
      <x:c r="R3492" s="13" t="n">
        <x:f>J3492+Q3492/1440</x:f>
        <x:v>46314.40902777777</x:v>
      </x:c>
      <x:c r="S3492" s="2" t="str">
        <x:f>VLOOKUP(C3492,'MES orders'!$A$8:$H$127,6,FALSE)</x:f>
        <x:v>Normal</x:v>
      </x:c>
      <x:c r="T3492" s="9" t="str"/>
    </x:row>
    <x:row r="3493" ht="22" customHeight="1">
      <x:c r="A3493" s="2" t="str">
        <x:v>L00157-050</x:v>
      </x:c>
      <x:c r="B3493" s="2" t="str">
        <x:v>L00157</x:v>
      </x:c>
      <x:c r="C3493" s="2" t="str">
        <x:v>SO-26032</x:v>
      </x:c>
      <x:c r="D3493" s="2" t="str">
        <x:v>D-C-SS</x:v>
      </x:c>
      <x:c r="E3493" s="14" t="n">
        <x:v>15</x:v>
      </x:c>
      <x:c r="F3493" s="2" t="str">
        <x:v>Final leak / function test</x:v>
      </x:c>
      <x:c r="G3493" s="9" t="str">
        <x:v>QA-03</x:v>
      </x:c>
      <x:c r="H3493" s="15" t="n">
        <x:v>155</x:v>
      </x:c>
      <x:c r="I3493" s="9" t="str">
        <x:v>P10</x:v>
      </x:c>
      <x:c r="J3493" s="11" t="n">
        <x:v>46314.396527777775</x:v>
      </x:c>
      <x:c r="K3493" s="15" t="n">
        <x:v>10</x:v>
      </x:c>
      <x:c r="L3493" s="15" t="n">
        <x:v>11</x:v>
      </x:c>
      <x:c r="M3493" s="13" t="n">
        <x:f>J3493+(K3493+L3493)/1440</x:f>
        <x:v>46314.411111111105</x:v>
      </x:c>
      <x:c r="N3493" s="13" t="n">
        <x:f>VLOOKUP(C3493,'MES orders'!$A$8:$H$127,5,FALSE)</x:f>
        <x:v>46311.666666666664</x:v>
      </x:c>
      <x:c r="O3493" s="16" t="n">
        <x:f>MAX(0,(M3493-N3493)*24)</x:f>
        <x:v>65.8666666665813</x:v>
      </x:c>
      <x:c r="P3493" s="9" t="str">
        <x:v>No</x:v>
      </x:c>
      <x:c r="Q3493" s="15" t="n">
        <x:v>21</x:v>
      </x:c>
      <x:c r="R3493" s="13" t="n">
        <x:f>J3493+Q3493/1440</x:f>
        <x:v>46314.411111111105</x:v>
      </x:c>
      <x:c r="S3493" s="2" t="str">
        <x:f>VLOOKUP(C3493,'MES orders'!$A$8:$H$127,6,FALSE)</x:f>
        <x:v>Normal</x:v>
      </x:c>
      <x:c r="T3493" s="9" t="str"/>
    </x:row>
    <x:row r="3494" ht="22" customHeight="1">
      <x:c r="A3494" s="2" t="str">
        <x:v>L00197-010</x:v>
      </x:c>
      <x:c r="B3494" s="2" t="str">
        <x:v>L00197</x:v>
      </x:c>
      <x:c r="C3494" s="2" t="str">
        <x:v>SO-26040</x:v>
      </x:c>
      <x:c r="D3494" s="2" t="str">
        <x:v>D-S-SS</x:v>
      </x:c>
      <x:c r="E3494" s="14" t="n">
        <x:v>15</x:v>
      </x:c>
      <x:c r="F3494" s="2" t="str">
        <x:v>CNC machining</x:v>
      </x:c>
      <x:c r="G3494" s="9" t="str">
        <x:v>CNC-04</x:v>
      </x:c>
      <x:c r="H3494" s="15" t="n">
        <x:v>109</x:v>
      </x:c>
      <x:c r="I3494" s="9" t="str">
        <x:v>P03</x:v>
      </x:c>
      <x:c r="J3494" s="11" t="n">
        <x:v>46314.40277777778</x:v>
      </x:c>
      <x:c r="K3494" s="15" t="n">
        <x:v>18</x:v>
      </x:c>
      <x:c r="L3494" s="15" t="n">
        <x:v>45</x:v>
      </x:c>
      <x:c r="M3494" s="13" t="n">
        <x:f>J3494+(K3494+L3494)/1440</x:f>
        <x:v>46314.44652777778</x:v>
      </x:c>
      <x:c r="N3494" s="13" t="n">
        <x:f>VLOOKUP(C3494,'MES orders'!$A$8:$H$127,5,FALSE)</x:f>
        <x:v>46311.666666666664</x:v>
      </x:c>
      <x:c r="O3494" s="16" t="n">
        <x:f>MAX(0,(M3494-N3494)*24)</x:f>
        <x:v>66.71666666673264</x:v>
      </x:c>
      <x:c r="P3494" s="9" t="str">
        <x:v>No</x:v>
      </x:c>
      <x:c r="Q3494" s="15" t="n">
        <x:v>18</x:v>
      </x:c>
      <x:c r="R3494" s="13" t="n">
        <x:f>J3494+Q3494/1440</x:f>
        <x:v>46314.41527777778</x:v>
      </x:c>
      <x:c r="S3494" s="2" t="str">
        <x:f>VLOOKUP(C3494,'MES orders'!$A$8:$H$127,6,FALSE)</x:f>
        <x:v>Normal</x:v>
      </x:c>
      <x:c r="T3494" s="9" t="str"/>
    </x:row>
    <x:row r="3495" ht="22" customHeight="1">
      <x:c r="A3495" s="2" t="str">
        <x:v>L00078-030</x:v>
      </x:c>
      <x:c r="B3495" s="2" t="str">
        <x:v>L00078</x:v>
      </x:c>
      <x:c r="C3495" s="2" t="str">
        <x:v>SO-26016</x:v>
      </x:c>
      <x:c r="D3495" s="2" t="str">
        <x:v>S-S-SS</x:v>
      </x:c>
      <x:c r="E3495" s="14" t="n">
        <x:v>10</x:v>
      </x:c>
      <x:c r="F3495" s="2" t="str">
        <x:v>Wash &amp; dry</x:v>
      </x:c>
      <x:c r="G3495" s="9" t="str">
        <x:v>WS-01</x:v>
      </x:c>
      <x:c r="H3495" s="15" t="n">
        <x:v>320</x:v>
      </x:c>
      <x:c r="I3495" s="9" t="str">
        <x:v>P05</x:v>
      </x:c>
      <x:c r="J3495" s="11" t="n">
        <x:v>46314.40416666667</x:v>
      </x:c>
      <x:c r="K3495" s="15" t="n">
        <x:v>12</x:v>
      </x:c>
      <x:c r="L3495" s="15" t="n">
        <x:v>4</x:v>
      </x:c>
      <x:c r="M3495" s="13" t="n">
        <x:f>J3495+(K3495+L3495)/1440</x:f>
        <x:v>46314.41527777778</x:v>
      </x:c>
      <x:c r="N3495" s="13" t="n">
        <x:f>VLOOKUP(C3495,'MES orders'!$A$8:$H$127,5,FALSE)</x:f>
        <x:v>46311.666666666664</x:v>
      </x:c>
      <x:c r="O3495" s="16" t="n">
        <x:f>MAX(0,(M3495-N3495)*24)</x:f>
        <x:v>65.96666666673264</x:v>
      </x:c>
      <x:c r="P3495" s="9" t="str">
        <x:v>No</x:v>
      </x:c>
      <x:c r="Q3495" s="15" t="n">
        <x:v>16</x:v>
      </x:c>
      <x:c r="R3495" s="13" t="n">
        <x:f>J3495+Q3495/1440</x:f>
        <x:v>46314.41527777778</x:v>
      </x:c>
      <x:c r="S3495" s="2" t="str">
        <x:f>VLOOKUP(C3495,'MES orders'!$A$8:$H$127,6,FALSE)</x:f>
        <x:v>Normal</x:v>
      </x:c>
      <x:c r="T3495" s="9" t="str"/>
    </x:row>
    <x:row r="3496" ht="22" customHeight="1">
      <x:c r="A3496" s="2" t="str">
        <x:v>L00080-020</x:v>
      </x:c>
      <x:c r="B3496" s="2" t="str">
        <x:v>L00080</x:v>
      </x:c>
      <x:c r="C3496" s="2" t="str">
        <x:v>SO-26016</x:v>
      </x:c>
      <x:c r="D3496" s="2" t="str">
        <x:v>S-S-SS</x:v>
      </x:c>
      <x:c r="E3496" s="14" t="n">
        <x:v>10</x:v>
      </x:c>
      <x:c r="F3496" s="2" t="str">
        <x:v>Deburr &amp; inspect</x:v>
      </x:c>
      <x:c r="G3496" s="9" t="str">
        <x:v>DB-02</x:v>
      </x:c>
      <x:c r="H3496" s="15" t="n">
        <x:v>229</x:v>
      </x:c>
      <x:c r="I3496" s="9" t="str">
        <x:v>P04</x:v>
      </x:c>
      <x:c r="J3496" s="11" t="n">
        <x:v>46314.40625</x:v>
      </x:c>
      <x:c r="K3496" s="15" t="n">
        <x:v>4</x:v>
      </x:c>
      <x:c r="L3496" s="15" t="n">
        <x:v>7</x:v>
      </x:c>
      <x:c r="M3496" s="13" t="n">
        <x:f>J3496+(K3496+L3496)/1440</x:f>
        <x:v>46314.41388888889</x:v>
      </x:c>
      <x:c r="N3496" s="13" t="n">
        <x:f>VLOOKUP(C3496,'MES orders'!$A$8:$H$127,5,FALSE)</x:f>
        <x:v>46311.666666666664</x:v>
      </x:c>
      <x:c r="O3496" s="16" t="n">
        <x:f>MAX(0,(M3496-N3496)*24)</x:f>
        <x:v>65.93333333346527</x:v>
      </x:c>
      <x:c r="P3496" s="9" t="str">
        <x:v>No</x:v>
      </x:c>
      <x:c r="Q3496" s="15" t="n">
        <x:v>11</x:v>
      </x:c>
      <x:c r="R3496" s="13" t="n">
        <x:f>J3496+Q3496/1440</x:f>
        <x:v>46314.41388888889</x:v>
      </x:c>
      <x:c r="S3496" s="2" t="str">
        <x:f>VLOOKUP(C3496,'MES orders'!$A$8:$H$127,6,FALSE)</x:f>
        <x:v>Normal</x:v>
      </x:c>
      <x:c r="T3496" s="9" t="str"/>
    </x:row>
    <x:row r="3497" ht="22" customHeight="1">
      <x:c r="A3497" s="2" t="str">
        <x:v>L00038-070</x:v>
      </x:c>
      <x:c r="B3497" s="2" t="str">
        <x:v>L00038</x:v>
      </x:c>
      <x:c r="C3497" s="2" t="str">
        <x:v>SO-26008</x:v>
      </x:c>
      <x:c r="D3497" s="2" t="str">
        <x:v>S-C-SS</x:v>
      </x:c>
      <x:c r="E3497" s="14" t="n">
        <x:v>25</x:v>
      </x:c>
      <x:c r="F3497" s="2" t="str">
        <x:v>Final assembly</x:v>
      </x:c>
      <x:c r="G3497" s="9" t="str">
        <x:v>AS-01</x:v>
      </x:c>
      <x:c r="H3497" s="15" t="n">
        <x:v>279</x:v>
      </x:c>
      <x:c r="I3497" s="9" t="str">
        <x:v>P05</x:v>
      </x:c>
      <x:c r="J3497" s="11" t="n">
        <x:v>46314.4375</x:v>
      </x:c>
      <x:c r="K3497" s="15" t="n">
        <x:v>5</x:v>
      </x:c>
      <x:c r="L3497" s="15" t="n">
        <x:v>16</x:v>
      </x:c>
      <x:c r="M3497" s="13" t="n">
        <x:f>J3497+(K3497+L3497)/1440</x:f>
        <x:v>46314.45208333333</x:v>
      </x:c>
      <x:c r="N3497" s="13" t="n">
        <x:f>VLOOKUP(C3497,'MES orders'!$A$8:$H$127,5,FALSE)</x:f>
        <x:v>46311.666666666664</x:v>
      </x:c>
      <x:c r="O3497" s="16" t="n">
        <x:f>MAX(0,(M3497-N3497)*24)</x:f>
        <x:v>66.84999999997672</x:v>
      </x:c>
      <x:c r="P3497" s="9" t="str">
        <x:v>No</x:v>
      </x:c>
      <x:c r="Q3497" s="15" t="n">
        <x:v>21</x:v>
      </x:c>
      <x:c r="R3497" s="13" t="n">
        <x:f>J3497+Q3497/1440</x:f>
        <x:v>46314.45208333333</x:v>
      </x:c>
      <x:c r="S3497" s="2" t="str">
        <x:f>VLOOKUP(C3497,'MES orders'!$A$8:$H$127,6,FALSE)</x:f>
        <x:v>High</x:v>
      </x:c>
      <x:c r="T3497" s="9" t="str"/>
    </x:row>
    <x:row r="3498" ht="22" customHeight="1">
      <x:c r="A3498" s="2" t="str">
        <x:v>L00078-040</x:v>
      </x:c>
      <x:c r="B3498" s="2" t="str">
        <x:v>L00078</x:v>
      </x:c>
      <x:c r="C3498" s="2" t="str">
        <x:v>SO-26016</x:v>
      </x:c>
      <x:c r="D3498" s="2" t="str">
        <x:v>S-S-SS</x:v>
      </x:c>
      <x:c r="E3498" s="14" t="n">
        <x:v>10</x:v>
      </x:c>
      <x:c r="F3498" s="2" t="str">
        <x:v>Mechanical preassembly</x:v>
      </x:c>
      <x:c r="G3498" s="9" t="str">
        <x:v>AS-02</x:v>
      </x:c>
      <x:c r="H3498" s="15" t="n">
        <x:v>229</x:v>
      </x:c>
      <x:c r="I3498" s="9" t="str">
        <x:v>P06</x:v>
      </x:c>
      <x:c r="J3498" s="11" t="n">
        <x:v>46314.4375</x:v>
      </x:c>
      <x:c r="K3498" s="15" t="n">
        <x:v>6</x:v>
      </x:c>
      <x:c r="L3498" s="15" t="n">
        <x:v>11</x:v>
      </x:c>
      <x:c r="M3498" s="13" t="n">
        <x:f>J3498+(K3498+L3498)/1440</x:f>
        <x:v>46314.44930555556</x:v>
      </x:c>
      <x:c r="N3498" s="13" t="n">
        <x:f>VLOOKUP(C3498,'MES orders'!$A$8:$H$127,5,FALSE)</x:f>
        <x:v>46311.666666666664</x:v>
      </x:c>
      <x:c r="O3498" s="16" t="n">
        <x:f>MAX(0,(M3498-N3498)*24)</x:f>
        <x:v>66.78333333344199</x:v>
      </x:c>
      <x:c r="P3498" s="9" t="str">
        <x:v>No</x:v>
      </x:c>
      <x:c r="Q3498" s="15" t="n">
        <x:v>17</x:v>
      </x:c>
      <x:c r="R3498" s="13" t="n">
        <x:f>J3498+Q3498/1440</x:f>
        <x:v>46314.44930555556</x:v>
      </x:c>
      <x:c r="S3498" s="2" t="str">
        <x:f>VLOOKUP(C3498,'MES orders'!$A$8:$H$127,6,FALSE)</x:f>
        <x:v>Normal</x:v>
      </x:c>
      <x:c r="T3498" s="9" t="str"/>
    </x:row>
    <x:row r="3499" ht="22" customHeight="1">
      <x:c r="A3499" s="2" t="str">
        <x:v>L00039-060</x:v>
      </x:c>
      <x:c r="B3499" s="2" t="str">
        <x:v>L00039</x:v>
      </x:c>
      <x:c r="C3499" s="2" t="str">
        <x:v>SO-26008</x:v>
      </x:c>
      <x:c r="D3499" s="2" t="str">
        <x:v>S-C-SS</x:v>
      </x:c>
      <x:c r="E3499" s="14" t="n">
        <x:v>25</x:v>
      </x:c>
      <x:c r="F3499" s="2" t="str">
        <x:v>Sensor calibration</x:v>
      </x:c>
      <x:c r="G3499" s="9" t="str">
        <x:v>CAL-01</x:v>
      </x:c>
      <x:c r="H3499" s="15" t="n">
        <x:v>179</x:v>
      </x:c>
      <x:c r="I3499" s="9" t="str">
        <x:v>P09</x:v>
      </x:c>
      <x:c r="J3499" s="11" t="n">
        <x:v>46314.4375</x:v>
      </x:c>
      <x:c r="K3499" s="15" t="n">
        <x:v>10</x:v>
      </x:c>
      <x:c r="L3499" s="15" t="n">
        <x:v>26</x:v>
      </x:c>
      <x:c r="M3499" s="13" t="n">
        <x:f>J3499+(K3499+L3499)/1440</x:f>
        <x:v>46314.4625</x:v>
      </x:c>
      <x:c r="N3499" s="13" t="n">
        <x:f>VLOOKUP(C3499,'MES orders'!$A$8:$H$127,5,FALSE)</x:f>
        <x:v>46311.666666666664</x:v>
      </x:c>
      <x:c r="O3499" s="16" t="n">
        <x:f>MAX(0,(M3499-N3499)*24)</x:f>
        <x:v>67.10000000009313</x:v>
      </x:c>
      <x:c r="P3499" s="9" t="str">
        <x:v>No</x:v>
      </x:c>
      <x:c r="Q3499" s="15" t="n">
        <x:v>36</x:v>
      </x:c>
      <x:c r="R3499" s="13" t="n">
        <x:f>J3499+Q3499/1440</x:f>
        <x:v>46314.4625</x:v>
      </x:c>
      <x:c r="S3499" s="2" t="str">
        <x:f>VLOOKUP(C3499,'MES orders'!$A$8:$H$127,6,FALSE)</x:f>
        <x:v>High</x:v>
      </x:c>
      <x:c r="T3499" s="9" t="str"/>
    </x:row>
    <x:row r="3500" ht="22" customHeight="1">
      <x:c r="A3500" s="2" t="str">
        <x:v>L00198-010</x:v>
      </x:c>
      <x:c r="B3500" s="2" t="str">
        <x:v>L00198</x:v>
      </x:c>
      <x:c r="C3500" s="2" t="str">
        <x:v>SO-26040</x:v>
      </x:c>
      <x:c r="D3500" s="2" t="str">
        <x:v>D-S-SS</x:v>
      </x:c>
      <x:c r="E3500" s="14" t="n">
        <x:v>15</x:v>
      </x:c>
      <x:c r="F3500" s="2" t="str">
        <x:v>CNC machining</x:v>
      </x:c>
      <x:c r="G3500" s="9" t="str">
        <x:v>CNC-05</x:v>
      </x:c>
      <x:c r="H3500" s="15" t="n">
        <x:v>98</x:v>
      </x:c>
      <x:c r="I3500" s="9" t="str">
        <x:v>P01</x:v>
      </x:c>
      <x:c r="J3500" s="11" t="n">
        <x:v>46314.4375</x:v>
      </x:c>
      <x:c r="K3500" s="15" t="n">
        <x:v>18</x:v>
      </x:c>
      <x:c r="L3500" s="15" t="n">
        <x:v>45</x:v>
      </x:c>
      <x:c r="M3500" s="13" t="n">
        <x:f>J3500+(K3500+L3500)/1440</x:f>
        <x:v>46314.48125</x:v>
      </x:c>
      <x:c r="N3500" s="13" t="n">
        <x:f>VLOOKUP(C3500,'MES orders'!$A$8:$H$127,5,FALSE)</x:f>
        <x:v>46311.666666666664</x:v>
      </x:c>
      <x:c r="O3500" s="16" t="n">
        <x:f>MAX(0,(M3500-N3500)*24)</x:f>
        <x:v>67.54999999998836</x:v>
      </x:c>
      <x:c r="P3500" s="9" t="str">
        <x:v>No</x:v>
      </x:c>
      <x:c r="Q3500" s="15" t="n">
        <x:v>18</x:v>
      </x:c>
      <x:c r="R3500" s="13" t="n">
        <x:f>J3500+Q3500/1440</x:f>
        <x:v>46314.45</x:v>
      </x:c>
      <x:c r="S3500" s="2" t="str">
        <x:f>VLOOKUP(C3500,'MES orders'!$A$8:$H$127,6,FALSE)</x:f>
        <x:v>Normal</x:v>
      </x:c>
      <x:c r="T3500" s="9" t="str"/>
    </x:row>
    <x:row r="3501" ht="22" customHeight="1">
      <x:c r="A3501" s="2" t="str">
        <x:v>L00199-010</x:v>
      </x:c>
      <x:c r="B3501" s="2" t="str">
        <x:v>L00199</x:v>
      </x:c>
      <x:c r="C3501" s="2" t="str">
        <x:v>SO-26040</x:v>
      </x:c>
      <x:c r="D3501" s="2" t="str">
        <x:v>D-S-SS</x:v>
      </x:c>
      <x:c r="E3501" s="14" t="n">
        <x:v>15</x:v>
      </x:c>
      <x:c r="F3501" s="2" t="str">
        <x:v>CNC machining</x:v>
      </x:c>
      <x:c r="G3501" s="9" t="str">
        <x:v>CNC-06</x:v>
      </x:c>
      <x:c r="H3501" s="15" t="n">
        <x:v>90</x:v>
      </x:c>
      <x:c r="I3501" s="9" t="str">
        <x:v>P02</x:v>
      </x:c>
      <x:c r="J3501" s="11" t="n">
        <x:v>46314.4375</x:v>
      </x:c>
      <x:c r="K3501" s="15" t="n">
        <x:v>18</x:v>
      </x:c>
      <x:c r="L3501" s="15" t="n">
        <x:v>45</x:v>
      </x:c>
      <x:c r="M3501" s="13" t="n">
        <x:f>J3501+(K3501+L3501)/1440</x:f>
        <x:v>46314.48125</x:v>
      </x:c>
      <x:c r="N3501" s="13" t="n">
        <x:f>VLOOKUP(C3501,'MES orders'!$A$8:$H$127,5,FALSE)</x:f>
        <x:v>46311.666666666664</x:v>
      </x:c>
      <x:c r="O3501" s="16" t="n">
        <x:f>MAX(0,(M3501-N3501)*24)</x:f>
        <x:v>67.54999999998836</x:v>
      </x:c>
      <x:c r="P3501" s="9" t="str">
        <x:v>No</x:v>
      </x:c>
      <x:c r="Q3501" s="15" t="n">
        <x:v>18</x:v>
      </x:c>
      <x:c r="R3501" s="13" t="n">
        <x:f>J3501+Q3501/1440</x:f>
        <x:v>46314.45</x:v>
      </x:c>
      <x:c r="S3501" s="2" t="str">
        <x:f>VLOOKUP(C3501,'MES orders'!$A$8:$H$127,6,FALSE)</x:f>
        <x:v>Normal</x:v>
      </x:c>
      <x:c r="T3501" s="9" t="str"/>
    </x:row>
    <x:row r="3502" ht="22" customHeight="1">
      <x:c r="A3502" s="2" t="str">
        <x:v>L00077-050</x:v>
      </x:c>
      <x:c r="B3502" s="2" t="str">
        <x:v>L00077</x:v>
      </x:c>
      <x:c r="C3502" s="2" t="str">
        <x:v>SO-26016</x:v>
      </x:c>
      <x:c r="D3502" s="2" t="str">
        <x:v>S-S-SS</x:v>
      </x:c>
      <x:c r="E3502" s="14" t="n">
        <x:v>10</x:v>
      </x:c>
      <x:c r="F3502" s="2" t="str">
        <x:v>Sensor installation</x:v>
      </x:c>
      <x:c r="G3502" s="9" t="str">
        <x:v>EL-01</x:v>
      </x:c>
      <x:c r="H3502" s="15" t="n">
        <x:v>122</x:v>
      </x:c>
      <x:c r="I3502" s="9" t="str">
        <x:v>P07</x:v>
      </x:c>
      <x:c r="J3502" s="11" t="n">
        <x:v>46314.4375</x:v>
      </x:c>
      <x:c r="K3502" s="15" t="n">
        <x:v>8</x:v>
      </x:c>
      <x:c r="L3502" s="15" t="n">
        <x:v>12</x:v>
      </x:c>
      <x:c r="M3502" s="13" t="n">
        <x:f>J3502+(K3502+L3502)/1440</x:f>
        <x:v>46314.45138888889</x:v>
      </x:c>
      <x:c r="N3502" s="13" t="n">
        <x:f>VLOOKUP(C3502,'MES orders'!$A$8:$H$127,5,FALSE)</x:f>
        <x:v>46311.666666666664</x:v>
      </x:c>
      <x:c r="O3502" s="16" t="n">
        <x:f>MAX(0,(M3502-N3502)*24)</x:f>
        <x:v>66.83333333343035</x:v>
      </x:c>
      <x:c r="P3502" s="9" t="str">
        <x:v>No</x:v>
      </x:c>
      <x:c r="Q3502" s="15" t="n">
        <x:v>20</x:v>
      </x:c>
      <x:c r="R3502" s="13" t="n">
        <x:f>J3502+Q3502/1440</x:f>
        <x:v>46314.45138888889</x:v>
      </x:c>
      <x:c r="S3502" s="2" t="str">
        <x:f>VLOOKUP(C3502,'MES orders'!$A$8:$H$127,6,FALSE)</x:f>
        <x:v>Normal</x:v>
      </x:c>
      <x:c r="T3502" s="9" t="str"/>
    </x:row>
    <x:row r="3503" ht="22" customHeight="1">
      <x:c r="A3503" s="2" t="str">
        <x:v>L00597-050</x:v>
      </x:c>
      <x:c r="B3503" s="2" t="str">
        <x:v>L00597</x:v>
      </x:c>
      <x:c r="C3503" s="2" t="str">
        <x:v>SO-26120</x:v>
      </x:c>
      <x:c r="D3503" s="2" t="str">
        <x:v>D-L-SS</x:v>
      </x:c>
      <x:c r="E3503" s="14" t="n">
        <x:v>25</x:v>
      </x:c>
      <x:c r="F3503" s="2" t="str">
        <x:v>Final leak / function test</x:v>
      </x:c>
      <x:c r="G3503" s="9" t="str">
        <x:v>QA-01</x:v>
      </x:c>
      <x:c r="H3503" s="15" t="n">
        <x:v>127</x:v>
      </x:c>
      <x:c r="I3503" s="9" t="str">
        <x:v>P12</x:v>
      </x:c>
      <x:c r="J3503" s="11" t="n">
        <x:v>46314.4375</x:v>
      </x:c>
      <x:c r="K3503" s="15" t="n">
        <x:v>10</x:v>
      </x:c>
      <x:c r="L3503" s="15" t="n">
        <x:v>30</x:v>
      </x:c>
      <x:c r="M3503" s="13" t="n">
        <x:f>J3503+(K3503+L3503)/1440</x:f>
        <x:v>46314.46527777778</x:v>
      </x:c>
      <x:c r="N3503" s="13" t="n">
        <x:f>VLOOKUP(C3503,'MES orders'!$A$8:$H$127,5,FALSE)</x:f>
        <x:v>46311.666666666664</x:v>
      </x:c>
      <x:c r="O3503" s="16" t="n">
        <x:f>MAX(0,(M3503-N3503)*24)</x:f>
        <x:v>67.16666666680248</x:v>
      </x:c>
      <x:c r="P3503" s="9" t="str">
        <x:v>No</x:v>
      </x:c>
      <x:c r="Q3503" s="15" t="n">
        <x:v>40</x:v>
      </x:c>
      <x:c r="R3503" s="13" t="n">
        <x:f>J3503+Q3503/1440</x:f>
        <x:v>46314.46527777778</x:v>
      </x:c>
      <x:c r="S3503" s="2" t="str">
        <x:f>VLOOKUP(C3503,'MES orders'!$A$8:$H$127,6,FALSE)</x:f>
        <x:v>High</x:v>
      </x:c>
      <x:c r="T3503" s="9" t="str"/>
    </x:row>
    <x:row r="3504" ht="22" customHeight="1">
      <x:c r="A3504" s="2" t="str">
        <x:v>L00156-050</x:v>
      </x:c>
      <x:c r="B3504" s="2" t="str">
        <x:v>L00156</x:v>
      </x:c>
      <x:c r="C3504" s="2" t="str">
        <x:v>SO-26032</x:v>
      </x:c>
      <x:c r="D3504" s="2" t="str">
        <x:v>D-C-SS</x:v>
      </x:c>
      <x:c r="E3504" s="14" t="n">
        <x:v>15</x:v>
      </x:c>
      <x:c r="F3504" s="2" t="str">
        <x:v>Final leak / function test</x:v>
      </x:c>
      <x:c r="G3504" s="9" t="str">
        <x:v>QA-02</x:v>
      </x:c>
      <x:c r="H3504" s="15" t="n">
        <x:v>262</x:v>
      </x:c>
      <x:c r="I3504" s="9" t="str">
        <x:v>P11</x:v>
      </x:c>
      <x:c r="J3504" s="11" t="n">
        <x:v>46314.4375</x:v>
      </x:c>
      <x:c r="K3504" s="15" t="n">
        <x:v>10</x:v>
      </x:c>
      <x:c r="L3504" s="15" t="n">
        <x:v>11</x:v>
      </x:c>
      <x:c r="M3504" s="13" t="n">
        <x:f>J3504+(K3504+L3504)/1440</x:f>
        <x:v>46314.45208333333</x:v>
      </x:c>
      <x:c r="N3504" s="13" t="n">
        <x:f>VLOOKUP(C3504,'MES orders'!$A$8:$H$127,5,FALSE)</x:f>
        <x:v>46311.666666666664</x:v>
      </x:c>
      <x:c r="O3504" s="16" t="n">
        <x:f>MAX(0,(M3504-N3504)*24)</x:f>
        <x:v>66.84999999997672</x:v>
      </x:c>
      <x:c r="P3504" s="9" t="str">
        <x:v>No</x:v>
      </x:c>
      <x:c r="Q3504" s="15" t="n">
        <x:v>21</x:v>
      </x:c>
      <x:c r="R3504" s="13" t="n">
        <x:f>J3504+Q3504/1440</x:f>
        <x:v>46314.45208333333</x:v>
      </x:c>
      <x:c r="S3504" s="2" t="str">
        <x:f>VLOOKUP(C3504,'MES orders'!$A$8:$H$127,6,FALSE)</x:f>
        <x:v>Normal</x:v>
      </x:c>
      <x:c r="T3504" s="9" t="str"/>
    </x:row>
    <x:row r="3505" ht="22" customHeight="1">
      <x:c r="A3505" s="2" t="str">
        <x:v>L00158-050</x:v>
      </x:c>
      <x:c r="B3505" s="2" t="str">
        <x:v>L00158</x:v>
      </x:c>
      <x:c r="C3505" s="2" t="str">
        <x:v>SO-26032</x:v>
      </x:c>
      <x:c r="D3505" s="2" t="str">
        <x:v>D-C-SS</x:v>
      </x:c>
      <x:c r="E3505" s="14" t="n">
        <x:v>15</x:v>
      </x:c>
      <x:c r="F3505" s="2" t="str">
        <x:v>Final leak / function test</x:v>
      </x:c>
      <x:c r="G3505" s="9" t="str">
        <x:v>QA-03</x:v>
      </x:c>
      <x:c r="H3505" s="15" t="n">
        <x:v>156</x:v>
      </x:c>
      <x:c r="I3505" s="9" t="str">
        <x:v>P10</x:v>
      </x:c>
      <x:c r="J3505" s="11" t="n">
        <x:v>46314.4375</x:v>
      </x:c>
      <x:c r="K3505" s="15" t="n">
        <x:v>10</x:v>
      </x:c>
      <x:c r="L3505" s="15" t="n">
        <x:v>11</x:v>
      </x:c>
      <x:c r="M3505" s="13" t="n">
        <x:f>J3505+(K3505+L3505)/1440</x:f>
        <x:v>46314.45208333333</x:v>
      </x:c>
      <x:c r="N3505" s="13" t="n">
        <x:f>VLOOKUP(C3505,'MES orders'!$A$8:$H$127,5,FALSE)</x:f>
        <x:v>46311.666666666664</x:v>
      </x:c>
      <x:c r="O3505" s="16" t="n">
        <x:f>MAX(0,(M3505-N3505)*24)</x:f>
        <x:v>66.84999999997672</x:v>
      </x:c>
      <x:c r="P3505" s="9" t="str">
        <x:v>No</x:v>
      </x:c>
      <x:c r="Q3505" s="15" t="n">
        <x:v>21</x:v>
      </x:c>
      <x:c r="R3505" s="13" t="n">
        <x:f>J3505+Q3505/1440</x:f>
        <x:v>46314.45208333333</x:v>
      </x:c>
      <x:c r="S3505" s="2" t="str">
        <x:f>VLOOKUP(C3505,'MES orders'!$A$8:$H$127,6,FALSE)</x:f>
        <x:v>Normal</x:v>
      </x:c>
      <x:c r="T3505" s="9" t="str"/>
    </x:row>
    <x:row r="3506" ht="22" customHeight="1">
      <x:c r="A3506" s="2" t="str">
        <x:v>L00600-030</x:v>
      </x:c>
      <x:c r="B3506" s="2" t="str">
        <x:v>L00600</x:v>
      </x:c>
      <x:c r="C3506" s="2" t="str">
        <x:v>SO-26120</x:v>
      </x:c>
      <x:c r="D3506" s="2" t="str">
        <x:v>D-L-SS</x:v>
      </x:c>
      <x:c r="E3506" s="14" t="n">
        <x:v>25</x:v>
      </x:c>
      <x:c r="F3506" s="2" t="str">
        <x:v>Wash &amp; dry</x:v>
      </x:c>
      <x:c r="G3506" s="9" t="str">
        <x:v>WS-01</x:v>
      </x:c>
      <x:c r="H3506" s="15" t="n">
        <x:v>321</x:v>
      </x:c>
      <x:c r="I3506" s="9" t="str">
        <x:v>P04</x:v>
      </x:c>
      <x:c r="J3506" s="11" t="n">
        <x:v>46314.4375</x:v>
      </x:c>
      <x:c r="K3506" s="15" t="n">
        <x:v>12</x:v>
      </x:c>
      <x:c r="L3506" s="15" t="n">
        <x:v>12</x:v>
      </x:c>
      <x:c r="M3506" s="13" t="n">
        <x:f>J3506+(K3506+L3506)/1440</x:f>
        <x:v>46314.45416666667</x:v>
      </x:c>
      <x:c r="N3506" s="13" t="n">
        <x:f>VLOOKUP(C3506,'MES orders'!$A$8:$H$127,5,FALSE)</x:f>
        <x:v>46311.666666666664</x:v>
      </x:c>
      <x:c r="O3506" s="16" t="n">
        <x:f>MAX(0,(M3506-N3506)*24)</x:f>
        <x:v>66.9000000001397</x:v>
      </x:c>
      <x:c r="P3506" s="9" t="str">
        <x:v>No</x:v>
      </x:c>
      <x:c r="Q3506" s="15" t="n">
        <x:v>24</x:v>
      </x:c>
      <x:c r="R3506" s="13" t="n">
        <x:f>J3506+Q3506/1440</x:f>
        <x:v>46314.45416666667</x:v>
      </x:c>
      <x:c r="S3506" s="2" t="str">
        <x:f>VLOOKUP(C3506,'MES orders'!$A$8:$H$127,6,FALSE)</x:f>
        <x:v>High</x:v>
      </x:c>
      <x:c r="T3506" s="9" t="str"/>
    </x:row>
    <x:row r="3507" ht="22" customHeight="1">
      <x:c r="A3507" s="2" t="str">
        <x:v>L00200-010</x:v>
      </x:c>
      <x:c r="B3507" s="2" t="str">
        <x:v>L00200</x:v>
      </x:c>
      <x:c r="C3507" s="2" t="str">
        <x:v>SO-26040</x:v>
      </x:c>
      <x:c r="D3507" s="2" t="str">
        <x:v>D-S-SS</x:v>
      </x:c>
      <x:c r="E3507" s="14" t="n">
        <x:v>15</x:v>
      </x:c>
      <x:c r="F3507" s="2" t="str">
        <x:v>CNC machining</x:v>
      </x:c>
      <x:c r="G3507" s="9" t="str">
        <x:v>CNC-03</x:v>
      </x:c>
      <x:c r="H3507" s="15" t="n">
        <x:v>113</x:v>
      </x:c>
      <x:c r="I3507" s="9" t="str">
        <x:v>P03</x:v>
      </x:c>
      <x:c r="J3507" s="11" t="n">
        <x:v>46314.44027777778</x:v>
      </x:c>
      <x:c r="K3507" s="15" t="n">
        <x:v>18</x:v>
      </x:c>
      <x:c r="L3507" s="15" t="n">
        <x:v>45</x:v>
      </x:c>
      <x:c r="M3507" s="13" t="n">
        <x:f>J3507+(K3507+L3507)/1440</x:f>
        <x:v>46314.48402777778</x:v>
      </x:c>
      <x:c r="N3507" s="13" t="n">
        <x:f>VLOOKUP(C3507,'MES orders'!$A$8:$H$127,5,FALSE)</x:f>
        <x:v>46311.666666666664</x:v>
      </x:c>
      <x:c r="O3507" s="16" t="n">
        <x:f>MAX(0,(M3507-N3507)*24)</x:f>
        <x:v>67.61666666669771</x:v>
      </x:c>
      <x:c r="P3507" s="9" t="str">
        <x:v>No</x:v>
      </x:c>
      <x:c r="Q3507" s="15" t="n">
        <x:v>18</x:v>
      </x:c>
      <x:c r="R3507" s="13" t="n">
        <x:f>J3507+Q3507/1440</x:f>
        <x:v>46314.45277777778</x:v>
      </x:c>
      <x:c r="S3507" s="2" t="str">
        <x:f>VLOOKUP(C3507,'MES orders'!$A$8:$H$127,6,FALSE)</x:f>
        <x:v>Normal</x:v>
      </x:c>
      <x:c r="T3507" s="9" t="str"/>
    </x:row>
    <x:row r="3508" ht="22" customHeight="1">
      <x:c r="A3508" s="2" t="str">
        <x:v>L00078-050</x:v>
      </x:c>
      <x:c r="B3508" s="2" t="str">
        <x:v>L00078</x:v>
      </x:c>
      <x:c r="C3508" s="2" t="str">
        <x:v>SO-26016</x:v>
      </x:c>
      <x:c r="D3508" s="2" t="str">
        <x:v>S-S-SS</x:v>
      </x:c>
      <x:c r="E3508" s="14" t="n">
        <x:v>10</x:v>
      </x:c>
      <x:c r="F3508" s="2" t="str">
        <x:v>Sensor installation</x:v>
      </x:c>
      <x:c r="G3508" s="9" t="str">
        <x:v>EL-02</x:v>
      </x:c>
      <x:c r="H3508" s="15" t="n">
        <x:v>61</x:v>
      </x:c>
      <x:c r="I3508" s="9" t="str">
        <x:v>P08</x:v>
      </x:c>
      <x:c r="J3508" s="11" t="n">
        <x:v>46314.44930555556</x:v>
      </x:c>
      <x:c r="K3508" s="15" t="n">
        <x:v>8</x:v>
      </x:c>
      <x:c r="L3508" s="15" t="n">
        <x:v>12</x:v>
      </x:c>
      <x:c r="M3508" s="13" t="n">
        <x:f>J3508+(K3508+L3508)/1440</x:f>
        <x:v>46314.46319444445</x:v>
      </x:c>
      <x:c r="N3508" s="13" t="n">
        <x:f>VLOOKUP(C3508,'MES orders'!$A$8:$H$127,5,FALSE)</x:f>
        <x:v>46311.666666666664</x:v>
      </x:c>
      <x:c r="O3508" s="16" t="n">
        <x:f>MAX(0,(M3508-N3508)*24)</x:f>
        <x:v>67.11666666681413</x:v>
      </x:c>
      <x:c r="P3508" s="9" t="str">
        <x:v>No</x:v>
      </x:c>
      <x:c r="Q3508" s="15" t="n">
        <x:v>20</x:v>
      </x:c>
      <x:c r="R3508" s="13" t="n">
        <x:f>J3508+Q3508/1440</x:f>
        <x:v>46314.46319444445</x:v>
      </x:c>
      <x:c r="S3508" s="2" t="str">
        <x:f>VLOOKUP(C3508,'MES orders'!$A$8:$H$127,6,FALSE)</x:f>
        <x:v>Normal</x:v>
      </x:c>
      <x:c r="T3508" s="9" t="str"/>
    </x:row>
    <x:row r="3509" ht="22" customHeight="1">
      <x:c r="A3509" s="2" t="str">
        <x:v>L00079-030</x:v>
      </x:c>
      <x:c r="B3509" s="2" t="str">
        <x:v>L00079</x:v>
      </x:c>
      <x:c r="C3509" s="2" t="str">
        <x:v>SO-26016</x:v>
      </x:c>
      <x:c r="D3509" s="2" t="str">
        <x:v>S-S-SS</x:v>
      </x:c>
      <x:c r="E3509" s="14" t="n">
        <x:v>10</x:v>
      </x:c>
      <x:c r="F3509" s="2" t="str">
        <x:v>Wash &amp; dry</x:v>
      </x:c>
      <x:c r="G3509" s="9" t="str">
        <x:v>WS-02</x:v>
      </x:c>
      <x:c r="H3509" s="15" t="n">
        <x:v>234</x:v>
      </x:c>
      <x:c r="I3509" s="9" t="str">
        <x:v>P06</x:v>
      </x:c>
      <x:c r="J3509" s="11" t="n">
        <x:v>46314.44930555556</x:v>
      </x:c>
      <x:c r="K3509" s="15" t="n">
        <x:v>12</x:v>
      </x:c>
      <x:c r="L3509" s="15" t="n">
        <x:v>4</x:v>
      </x:c>
      <x:c r="M3509" s="13" t="n">
        <x:f>J3509+(K3509+L3509)/1440</x:f>
        <x:v>46314.46041666667</x:v>
      </x:c>
      <x:c r="N3509" s="13" t="n">
        <x:f>VLOOKUP(C3509,'MES orders'!$A$8:$H$127,5,FALSE)</x:f>
        <x:v>46311.666666666664</x:v>
      </x:c>
      <x:c r="O3509" s="16" t="n">
        <x:f>MAX(0,(M3509-N3509)*24)</x:f>
        <x:v>67.05000000010477</x:v>
      </x:c>
      <x:c r="P3509" s="9" t="str">
        <x:v>No</x:v>
      </x:c>
      <x:c r="Q3509" s="15" t="n">
        <x:v>16</x:v>
      </x:c>
      <x:c r="R3509" s="13" t="n">
        <x:f>J3509+Q3509/1440</x:f>
        <x:v>46314.46041666667</x:v>
      </x:c>
      <x:c r="S3509" s="2" t="str">
        <x:f>VLOOKUP(C3509,'MES orders'!$A$8:$H$127,6,FALSE)</x:f>
        <x:v>Normal</x:v>
      </x:c>
      <x:c r="T3509" s="9" t="str"/>
    </x:row>
    <x:row r="3510" ht="22" customHeight="1">
      <x:c r="A3510" s="2" t="str">
        <x:v>L00236-010</x:v>
      </x:c>
      <x:c r="B3510" s="2" t="str">
        <x:v>L00236</x:v>
      </x:c>
      <x:c r="C3510" s="2" t="str">
        <x:v>SO-26048</x:v>
      </x:c>
      <x:c r="D3510" s="2" t="str">
        <x:v>D-L-SS</x:v>
      </x:c>
      <x:c r="E3510" s="14" t="n">
        <x:v>20</x:v>
      </x:c>
      <x:c r="F3510" s="2" t="str">
        <x:v>CNC machining</x:v>
      </x:c>
      <x:c r="G3510" s="9" t="str">
        <x:v>CNC-04</x:v>
      </x:c>
      <x:c r="H3510" s="15" t="n">
        <x:v>110</x:v>
      </x:c>
      <x:c r="I3510" s="9" t="str">
        <x:v>P01</x:v>
      </x:c>
      <x:c r="J3510" s="11" t="n">
        <x:v>46314.45</x:v>
      </x:c>
      <x:c r="K3510" s="15" t="n">
        <x:v>18</x:v>
      </x:c>
      <x:c r="L3510" s="15" t="n">
        <x:v>81</x:v>
      </x:c>
      <x:c r="M3510" s="13" t="n">
        <x:f>J3510+(K3510+L3510)/1440</x:f>
        <x:v>46314.518749999996</x:v>
      </x:c>
      <x:c r="N3510" s="13" t="n">
        <x:f>VLOOKUP(C3510,'MES orders'!$A$8:$H$127,5,FALSE)</x:f>
        <x:v>46311.666666666664</x:v>
      </x:c>
      <x:c r="O3510" s="16" t="n">
        <x:f>MAX(0,(M3510-N3510)*24)</x:f>
        <x:v>68.44999999995343</x:v>
      </x:c>
      <x:c r="P3510" s="9" t="str">
        <x:v>No</x:v>
      </x:c>
      <x:c r="Q3510" s="15" t="n">
        <x:v>18</x:v>
      </x:c>
      <x:c r="R3510" s="13" t="n">
        <x:f>J3510+Q3510/1440</x:f>
        <x:v>46314.462499999994</x:v>
      </x:c>
      <x:c r="S3510" s="2" t="str">
        <x:f>VLOOKUP(C3510,'MES orders'!$A$8:$H$127,6,FALSE)</x:f>
        <x:v>Normal</x:v>
      </x:c>
      <x:c r="T3510" s="9" t="str"/>
    </x:row>
    <x:row r="3511" ht="22" customHeight="1">
      <x:c r="A3511" s="2" t="str">
        <x:v>L00159-020</x:v>
      </x:c>
      <x:c r="B3511" s="2" t="str">
        <x:v>L00159</x:v>
      </x:c>
      <x:c r="C3511" s="2" t="str">
        <x:v>SO-26032</x:v>
      </x:c>
      <x:c r="D3511" s="2" t="str">
        <x:v>D-C-SS</x:v>
      </x:c>
      <x:c r="E3511" s="14" t="n">
        <x:v>15</x:v>
      </x:c>
      <x:c r="F3511" s="2" t="str">
        <x:v>Deburr &amp; inspect</x:v>
      </x:c>
      <x:c r="G3511" s="9" t="str">
        <x:v>DB-01</x:v>
      </x:c>
      <x:c r="H3511" s="15" t="n">
        <x:v>328</x:v>
      </x:c>
      <x:c r="I3511" s="9" t="str">
        <x:v>P05</x:v>
      </x:c>
      <x:c r="J3511" s="11" t="n">
        <x:v>46314.45208333333</x:v>
      </x:c>
      <x:c r="K3511" s="15" t="n">
        <x:v>4</x:v>
      </x:c>
      <x:c r="L3511" s="15" t="n">
        <x:v>8</x:v>
      </x:c>
      <x:c r="M3511" s="13" t="n">
        <x:f>J3511+(K3511+L3511)/1440</x:f>
        <x:v>46314.46041666666</x:v>
      </x:c>
      <x:c r="N3511" s="13" t="n">
        <x:f>VLOOKUP(C3511,'MES orders'!$A$8:$H$127,5,FALSE)</x:f>
        <x:v>46311.666666666664</x:v>
      </x:c>
      <x:c r="O3511" s="16" t="n">
        <x:f>MAX(0,(M3511-N3511)*24)</x:f>
        <x:v>67.04999999993015</x:v>
      </x:c>
      <x:c r="P3511" s="9" t="str">
        <x:v>No</x:v>
      </x:c>
      <x:c r="Q3511" s="15" t="n">
        <x:v>12</x:v>
      </x:c>
      <x:c r="R3511" s="13" t="n">
        <x:f>J3511+Q3511/1440</x:f>
        <x:v>46314.46041666666</x:v>
      </x:c>
      <x:c r="S3511" s="2" t="str">
        <x:f>VLOOKUP(C3511,'MES orders'!$A$8:$H$127,6,FALSE)</x:f>
        <x:v>Normal</x:v>
      </x:c>
      <x:c r="T3511" s="9" t="str"/>
    </x:row>
    <x:row r="3512" ht="22" customHeight="1">
      <x:c r="A3512" s="2" t="str">
        <x:v>L00038-080</x:v>
      </x:c>
      <x:c r="B3512" s="2" t="str">
        <x:v>L00038</x:v>
      </x:c>
      <x:c r="C3512" s="2" t="str">
        <x:v>SO-26008</x:v>
      </x:c>
      <x:c r="D3512" s="2" t="str">
        <x:v>S-C-SS</x:v>
      </x:c>
      <x:c r="E3512" s="14" t="n">
        <x:v>25</x:v>
      </x:c>
      <x:c r="F3512" s="2" t="str">
        <x:v>Final leak / function test</x:v>
      </x:c>
      <x:c r="G3512" s="9" t="str">
        <x:v>QA-02</x:v>
      </x:c>
      <x:c r="H3512" s="15" t="n">
        <x:v>263</x:v>
      </x:c>
      <x:c r="I3512" s="9" t="str">
        <x:v>P11</x:v>
      </x:c>
      <x:c r="J3512" s="11" t="n">
        <x:v>46314.45208333333</x:v>
      </x:c>
      <x:c r="K3512" s="15" t="n">
        <x:v>10</x:v>
      </x:c>
      <x:c r="L3512" s="15" t="n">
        <x:v>18</x:v>
      </x:c>
      <x:c r="M3512" s="13" t="n">
        <x:f>J3512+(K3512+L3512)/1440</x:f>
        <x:v>46314.47152777777</x:v>
      </x:c>
      <x:c r="N3512" s="13" t="n">
        <x:f>VLOOKUP(C3512,'MES orders'!$A$8:$H$127,5,FALSE)</x:f>
        <x:v>46311.666666666664</x:v>
      </x:c>
      <x:c r="O3512" s="16" t="n">
        <x:f>MAX(0,(M3512-N3512)*24)</x:f>
        <x:v>67.31666666659294</x:v>
      </x:c>
      <x:c r="P3512" s="9" t="str">
        <x:v>No</x:v>
      </x:c>
      <x:c r="Q3512" s="15" t="n">
        <x:v>28</x:v>
      </x:c>
      <x:c r="R3512" s="13" t="n">
        <x:f>J3512+Q3512/1440</x:f>
        <x:v>46314.47152777777</x:v>
      </x:c>
      <x:c r="S3512" s="2" t="str">
        <x:f>VLOOKUP(C3512,'MES orders'!$A$8:$H$127,6,FALSE)</x:f>
        <x:v>High</x:v>
      </x:c>
      <x:c r="T3512" s="9" t="str"/>
    </x:row>
    <x:row r="3513" ht="22" customHeight="1">
      <x:c r="A3513" s="2" t="str">
        <x:v>L00600-040</x:v>
      </x:c>
      <x:c r="B3513" s="2" t="str">
        <x:v>L00600</x:v>
      </x:c>
      <x:c r="C3513" s="2" t="str">
        <x:v>SO-26120</x:v>
      </x:c>
      <x:c r="D3513" s="2" t="str">
        <x:v>D-L-SS</x:v>
      </x:c>
      <x:c r="E3513" s="14" t="n">
        <x:v>25</x:v>
      </x:c>
      <x:c r="F3513" s="2" t="str">
        <x:v>Mechanical assembly</x:v>
      </x:c>
      <x:c r="G3513" s="9" t="str">
        <x:v>AS-02</x:v>
      </x:c>
      <x:c r="H3513" s="15" t="n">
        <x:v>230</x:v>
      </x:c>
      <x:c r="I3513" s="9" t="str">
        <x:v>P04</x:v>
      </x:c>
      <x:c r="J3513" s="11" t="n">
        <x:v>46314.45416666667</x:v>
      </x:c>
      <x:c r="K3513" s="15" t="n">
        <x:v>8</x:v>
      </x:c>
      <x:c r="L3513" s="15" t="n">
        <x:v>61</x:v>
      </x:c>
      <x:c r="M3513" s="13" t="n">
        <x:f>J3513+(K3513+L3513)/1440</x:f>
        <x:v>46314.50208333334</x:v>
      </x:c>
      <x:c r="N3513" s="13" t="n">
        <x:f>VLOOKUP(C3513,'MES orders'!$A$8:$H$127,5,FALSE)</x:f>
        <x:v>46311.666666666664</x:v>
      </x:c>
      <x:c r="O3513" s="16" t="n">
        <x:f>MAX(0,(M3513-N3513)*24)</x:f>
        <x:v>68.05000000022119</x:v>
      </x:c>
      <x:c r="P3513" s="9" t="str">
        <x:v>No</x:v>
      </x:c>
      <x:c r="Q3513" s="15" t="n">
        <x:v>69</x:v>
      </x:c>
      <x:c r="R3513" s="13" t="n">
        <x:f>J3513+Q3513/1440</x:f>
        <x:v>46314.50208333334</x:v>
      </x:c>
      <x:c r="S3513" s="2" t="str">
        <x:f>VLOOKUP(C3513,'MES orders'!$A$8:$H$127,6,FALSE)</x:f>
        <x:v>High</x:v>
      </x:c>
      <x:c r="T3513" s="9" t="str"/>
    </x:row>
    <x:row r="3514" ht="22" customHeight="1">
      <x:c r="A3514" s="2" t="str">
        <x:v>L00079-040</x:v>
      </x:c>
      <x:c r="B3514" s="2" t="str">
        <x:v>L00079</x:v>
      </x:c>
      <x:c r="C3514" s="2" t="str">
        <x:v>SO-26016</x:v>
      </x:c>
      <x:c r="D3514" s="2" t="str">
        <x:v>S-S-SS</x:v>
      </x:c>
      <x:c r="E3514" s="14" t="n">
        <x:v>10</x:v>
      </x:c>
      <x:c r="F3514" s="2" t="str">
        <x:v>Mechanical preassembly</x:v>
      </x:c>
      <x:c r="G3514" s="9" t="str">
        <x:v>AS-03</x:v>
      </x:c>
      <x:c r="H3514" s="15" t="n">
        <x:v>188</x:v>
      </x:c>
      <x:c r="I3514" s="9" t="str">
        <x:v>P06</x:v>
      </x:c>
      <x:c r="J3514" s="11" t="n">
        <x:v>46314.46041666667</x:v>
      </x:c>
      <x:c r="K3514" s="15" t="n">
        <x:v>6</x:v>
      </x:c>
      <x:c r="L3514" s="15" t="n">
        <x:v>11</x:v>
      </x:c>
      <x:c r="M3514" s="13" t="n">
        <x:f>J3514+(K3514+L3514)/1440</x:f>
        <x:v>46314.472222222226</x:v>
      </x:c>
      <x:c r="N3514" s="13" t="n">
        <x:f>VLOOKUP(C3514,'MES orders'!$A$8:$H$127,5,FALSE)</x:f>
        <x:v>46311.666666666664</x:v>
      </x:c>
      <x:c r="O3514" s="16" t="n">
        <x:f>MAX(0,(M3514-N3514)*24)</x:f>
        <x:v>67.33333333348855</x:v>
      </x:c>
      <x:c r="P3514" s="9" t="str">
        <x:v>No</x:v>
      </x:c>
      <x:c r="Q3514" s="15" t="n">
        <x:v>17</x:v>
      </x:c>
      <x:c r="R3514" s="13" t="n">
        <x:f>J3514+Q3514/1440</x:f>
        <x:v>46314.472222222226</x:v>
      </x:c>
      <x:c r="S3514" s="2" t="str">
        <x:f>VLOOKUP(C3514,'MES orders'!$A$8:$H$127,6,FALSE)</x:f>
        <x:v>Normal</x:v>
      </x:c>
      <x:c r="T3514" s="9" t="str"/>
    </x:row>
    <x:row r="3515" ht="22" customHeight="1">
      <x:c r="A3515" s="2" t="str">
        <x:v>L00039-070</x:v>
      </x:c>
      <x:c r="B3515" s="2" t="str">
        <x:v>L00039</x:v>
      </x:c>
      <x:c r="C3515" s="2" t="str">
        <x:v>SO-26008</x:v>
      </x:c>
      <x:c r="D3515" s="2" t="str">
        <x:v>S-C-SS</x:v>
      </x:c>
      <x:c r="E3515" s="14" t="n">
        <x:v>25</x:v>
      </x:c>
      <x:c r="F3515" s="2" t="str">
        <x:v>Final assembly</x:v>
      </x:c>
      <x:c r="G3515" s="9" t="str">
        <x:v>AS-01</x:v>
      </x:c>
      <x:c r="H3515" s="15" t="n">
        <x:v>280</x:v>
      </x:c>
      <x:c r="I3515" s="9" t="str">
        <x:v>P05</x:v>
      </x:c>
      <x:c r="J3515" s="11" t="n">
        <x:v>46314.4625</x:v>
      </x:c>
      <x:c r="K3515" s="15" t="n">
        <x:v>5</x:v>
      </x:c>
      <x:c r="L3515" s="15" t="n">
        <x:v>16</x:v>
      </x:c>
      <x:c r="M3515" s="13" t="n">
        <x:f>J3515+(K3515+L3515)/1440</x:f>
        <x:v>46314.47708333333</x:v>
      </x:c>
      <x:c r="N3515" s="13" t="n">
        <x:f>VLOOKUP(C3515,'MES orders'!$A$8:$H$127,5,FALSE)</x:f>
        <x:v>46311.666666666664</x:v>
      </x:c>
      <x:c r="O3515" s="16" t="n">
        <x:f>MAX(0,(M3515-N3515)*24)</x:f>
        <x:v>67.45000000001164</x:v>
      </x:c>
      <x:c r="P3515" s="9" t="str">
        <x:v>No</x:v>
      </x:c>
      <x:c r="Q3515" s="15" t="n">
        <x:v>21</x:v>
      </x:c>
      <x:c r="R3515" s="13" t="n">
        <x:f>J3515+Q3515/1440</x:f>
        <x:v>46314.47708333333</x:v>
      </x:c>
      <x:c r="S3515" s="2" t="str">
        <x:f>VLOOKUP(C3515,'MES orders'!$A$8:$H$127,6,FALSE)</x:f>
        <x:v>High</x:v>
      </x:c>
      <x:c r="T3515" s="9" t="str"/>
    </x:row>
    <x:row r="3516" ht="22" customHeight="1">
      <x:c r="A3516" s="2" t="str">
        <x:v>L00040-060</x:v>
      </x:c>
      <x:c r="B3516" s="2" t="str">
        <x:v>L00040</x:v>
      </x:c>
      <x:c r="C3516" s="2" t="str">
        <x:v>SO-26008</x:v>
      </x:c>
      <x:c r="D3516" s="2" t="str">
        <x:v>S-C-SS</x:v>
      </x:c>
      <x:c r="E3516" s="14" t="n">
        <x:v>25</x:v>
      </x:c>
      <x:c r="F3516" s="2" t="str">
        <x:v>Sensor calibration</x:v>
      </x:c>
      <x:c r="G3516" s="9" t="str">
        <x:v>CAL-01</x:v>
      </x:c>
      <x:c r="H3516" s="15" t="n">
        <x:v>180</x:v>
      </x:c>
      <x:c r="I3516" s="9" t="str">
        <x:v>P09</x:v>
      </x:c>
      <x:c r="J3516" s="11" t="n">
        <x:v>46314.4625</x:v>
      </x:c>
      <x:c r="K3516" s="15" t="n">
        <x:v>10</x:v>
      </x:c>
      <x:c r="L3516" s="15" t="n">
        <x:v>26</x:v>
      </x:c>
      <x:c r="M3516" s="13" t="n">
        <x:f>J3516+(K3516+L3516)/1440</x:f>
        <x:v>46314.4875</x:v>
      </x:c>
      <x:c r="N3516" s="13" t="n">
        <x:f>VLOOKUP(C3516,'MES orders'!$A$8:$H$127,5,FALSE)</x:f>
        <x:v>46311.666666666664</x:v>
      </x:c>
      <x:c r="O3516" s="16" t="n">
        <x:f>MAX(0,(M3516-N3516)*24)</x:f>
        <x:v>67.70000000012806</x:v>
      </x:c>
      <x:c r="P3516" s="9" t="str">
        <x:v>No</x:v>
      </x:c>
      <x:c r="Q3516" s="15" t="n">
        <x:v>36</x:v>
      </x:c>
      <x:c r="R3516" s="13" t="n">
        <x:f>J3516+Q3516/1440</x:f>
        <x:v>46314.4875</x:v>
      </x:c>
      <x:c r="S3516" s="2" t="str">
        <x:f>VLOOKUP(C3516,'MES orders'!$A$8:$H$127,6,FALSE)</x:f>
        <x:v>High</x:v>
      </x:c>
      <x:c r="T3516" s="9" t="str"/>
    </x:row>
    <x:row r="3517" ht="22" customHeight="1">
      <x:c r="A3517" s="2" t="str">
        <x:v>L00598-050</x:v>
      </x:c>
      <x:c r="B3517" s="2" t="str">
        <x:v>L00598</x:v>
      </x:c>
      <x:c r="C3517" s="2" t="str">
        <x:v>SO-26120</x:v>
      </x:c>
      <x:c r="D3517" s="2" t="str">
        <x:v>D-L-SS</x:v>
      </x:c>
      <x:c r="E3517" s="14" t="n">
        <x:v>25</x:v>
      </x:c>
      <x:c r="F3517" s="2" t="str">
        <x:v>Final leak / function test</x:v>
      </x:c>
      <x:c r="G3517" s="9" t="str">
        <x:v>QA-01</x:v>
      </x:c>
      <x:c r="H3517" s="15" t="n">
        <x:v>128</x:v>
      </x:c>
      <x:c r="I3517" s="9" t="str">
        <x:v>P12</x:v>
      </x:c>
      <x:c r="J3517" s="11" t="n">
        <x:v>46314.46527777778</x:v>
      </x:c>
      <x:c r="K3517" s="15" t="n">
        <x:v>10</x:v>
      </x:c>
      <x:c r="L3517" s="15" t="n">
        <x:v>30</x:v>
      </x:c>
      <x:c r="M3517" s="13" t="n">
        <x:f>J3517+(K3517+L3517)/1440</x:f>
        <x:v>46314.49305555556</x:v>
      </x:c>
      <x:c r="N3517" s="13" t="n">
        <x:f>VLOOKUP(C3517,'MES orders'!$A$8:$H$127,5,FALSE)</x:f>
        <x:v>46311.666666666664</x:v>
      </x:c>
      <x:c r="O3517" s="16" t="n">
        <x:f>MAX(0,(M3517-N3517)*24)</x:f>
        <x:v>67.83333333354676</x:v>
      </x:c>
      <x:c r="P3517" s="9" t="str">
        <x:v>No</x:v>
      </x:c>
      <x:c r="Q3517" s="15" t="n">
        <x:v>40</x:v>
      </x:c>
      <x:c r="R3517" s="13" t="n">
        <x:f>J3517+Q3517/1440</x:f>
        <x:v>46314.49305555556</x:v>
      </x:c>
      <x:c r="S3517" s="2" t="str">
        <x:f>VLOOKUP(C3517,'MES orders'!$A$8:$H$127,6,FALSE)</x:f>
        <x:v>High</x:v>
      </x:c>
      <x:c r="T3517" s="9" t="str"/>
    </x:row>
    <x:row r="3518" ht="22" customHeight="1">
      <x:c r="A3518" s="2" t="str">
        <x:v>L00079-050</x:v>
      </x:c>
      <x:c r="B3518" s="2" t="str">
        <x:v>L00079</x:v>
      </x:c>
      <x:c r="C3518" s="2" t="str">
        <x:v>SO-26016</x:v>
      </x:c>
      <x:c r="D3518" s="2" t="str">
        <x:v>S-S-SS</x:v>
      </x:c>
      <x:c r="E3518" s="14" t="n">
        <x:v>10</x:v>
      </x:c>
      <x:c r="F3518" s="2" t="str">
        <x:v>Sensor installation</x:v>
      </x:c>
      <x:c r="G3518" s="9" t="str">
        <x:v>EL-01</x:v>
      </x:c>
      <x:c r="H3518" s="15" t="n">
        <x:v>123</x:v>
      </x:c>
      <x:c r="I3518" s="9" t="str">
        <x:v>P07</x:v>
      </x:c>
      <x:c r="J3518" s="11" t="n">
        <x:v>46314.47222222222</x:v>
      </x:c>
      <x:c r="K3518" s="15" t="n">
        <x:v>8</x:v>
      </x:c>
      <x:c r="L3518" s="15" t="n">
        <x:v>12</x:v>
      </x:c>
      <x:c r="M3518" s="13" t="n">
        <x:f>J3518+(K3518+L3518)/1440</x:f>
        <x:v>46314.48611111111</x:v>
      </x:c>
      <x:c r="N3518" s="13" t="n">
        <x:f>VLOOKUP(C3518,'MES orders'!$A$8:$H$127,5,FALSE)</x:f>
        <x:v>46311.666666666664</x:v>
      </x:c>
      <x:c r="O3518" s="16" t="n">
        <x:f>MAX(0,(M3518-N3518)*24)</x:f>
        <x:v>67.66666666668607</x:v>
      </x:c>
      <x:c r="P3518" s="9" t="str">
        <x:v>No</x:v>
      </x:c>
      <x:c r="Q3518" s="15" t="n">
        <x:v>20</x:v>
      </x:c>
      <x:c r="R3518" s="13" t="n">
        <x:f>J3518+Q3518/1440</x:f>
        <x:v>46314.48611111111</x:v>
      </x:c>
      <x:c r="S3518" s="2" t="str">
        <x:f>VLOOKUP(C3518,'MES orders'!$A$8:$H$127,6,FALSE)</x:f>
        <x:v>Normal</x:v>
      </x:c>
      <x:c r="T3518" s="9" t="str"/>
    </x:row>
    <x:row r="3519" ht="22" customHeight="1">
      <x:c r="A3519" s="2" t="str">
        <x:v>L00080-030</x:v>
      </x:c>
      <x:c r="B3519" s="2" t="str">
        <x:v>L00080</x:v>
      </x:c>
      <x:c r="C3519" s="2" t="str">
        <x:v>SO-26016</x:v>
      </x:c>
      <x:c r="D3519" s="2" t="str">
        <x:v>S-S-SS</x:v>
      </x:c>
      <x:c r="E3519" s="14" t="n">
        <x:v>10</x:v>
      </x:c>
      <x:c r="F3519" s="2" t="str">
        <x:v>Wash &amp; dry</x:v>
      </x:c>
      <x:c r="G3519" s="9" t="str">
        <x:v>WS-01</x:v>
      </x:c>
      <x:c r="H3519" s="15" t="n">
        <x:v>322</x:v>
      </x:c>
      <x:c r="I3519" s="9" t="str">
        <x:v>P06</x:v>
      </x:c>
      <x:c r="J3519" s="11" t="n">
        <x:v>46314.47222222222</x:v>
      </x:c>
      <x:c r="K3519" s="15" t="n">
        <x:v>12</x:v>
      </x:c>
      <x:c r="L3519" s="15" t="n">
        <x:v>4</x:v>
      </x:c>
      <x:c r="M3519" s="13" t="n">
        <x:f>J3519+(K3519+L3519)/1440</x:f>
        <x:v>46314.48333333333</x:v>
      </x:c>
      <x:c r="N3519" s="13" t="n">
        <x:f>VLOOKUP(C3519,'MES orders'!$A$8:$H$127,5,FALSE)</x:f>
        <x:v>46311.666666666664</x:v>
      </x:c>
      <x:c r="O3519" s="16" t="n">
        <x:f>MAX(0,(M3519-N3519)*24)</x:f>
        <x:v>67.59999999997672</x:v>
      </x:c>
      <x:c r="P3519" s="9" t="str">
        <x:v>No</x:v>
      </x:c>
      <x:c r="Q3519" s="15" t="n">
        <x:v>16</x:v>
      </x:c>
      <x:c r="R3519" s="13" t="n">
        <x:f>J3519+Q3519/1440</x:f>
        <x:v>46314.48333333333</x:v>
      </x:c>
      <x:c r="S3519" s="2" t="str">
        <x:f>VLOOKUP(C3519,'MES orders'!$A$8:$H$127,6,FALSE)</x:f>
        <x:v>Normal</x:v>
      </x:c>
      <x:c r="T3519" s="9" t="str"/>
    </x:row>
    <x:row r="3520" ht="22" customHeight="1">
      <x:c r="A3520" s="2" t="str">
        <x:v>L00196-020</x:v>
      </x:c>
      <x:c r="B3520" s="2" t="str">
        <x:v>L00196</x:v>
      </x:c>
      <x:c r="C3520" s="2" t="str">
        <x:v>SO-26040</x:v>
      </x:c>
      <x:c r="D3520" s="2" t="str">
        <x:v>D-S-SS</x:v>
      </x:c>
      <x:c r="E3520" s="14" t="n">
        <x:v>15</x:v>
      </x:c>
      <x:c r="F3520" s="2" t="str">
        <x:v>Deburr &amp; inspect</x:v>
      </x:c>
      <x:c r="G3520" s="9" t="str">
        <x:v>DB-01</x:v>
      </x:c>
      <x:c r="H3520" s="15" t="n">
        <x:v>329</x:v>
      </x:c>
      <x:c r="I3520" s="9" t="str">
        <x:v>P05</x:v>
      </x:c>
      <x:c r="J3520" s="11" t="n">
        <x:v>46314.47708333333</x:v>
      </x:c>
      <x:c r="K3520" s="15" t="n">
        <x:v>4</x:v>
      </x:c>
      <x:c r="L3520" s="15" t="n">
        <x:v>10</x:v>
      </x:c>
      <x:c r="M3520" s="13" t="n">
        <x:f>J3520+(K3520+L3520)/1440</x:f>
        <x:v>46314.486805555556</x:v>
      </x:c>
      <x:c r="N3520" s="13" t="n">
        <x:f>VLOOKUP(C3520,'MES orders'!$A$8:$H$127,5,FALSE)</x:f>
        <x:v>46311.666666666664</x:v>
      </x:c>
      <x:c r="O3520" s="16" t="n">
        <x:f>MAX(0,(M3520-N3520)*24)</x:f>
        <x:v>67.68333333340706</x:v>
      </x:c>
      <x:c r="P3520" s="9" t="str">
        <x:v>No</x:v>
      </x:c>
      <x:c r="Q3520" s="15" t="n">
        <x:v>14</x:v>
      </x:c>
      <x:c r="R3520" s="13" t="n">
        <x:f>J3520+Q3520/1440</x:f>
        <x:v>46314.486805555556</x:v>
      </x:c>
      <x:c r="S3520" s="2" t="str">
        <x:f>VLOOKUP(C3520,'MES orders'!$A$8:$H$127,6,FALSE)</x:f>
        <x:v>Normal</x:v>
      </x:c>
      <x:c r="T3520" s="9" t="str"/>
    </x:row>
    <x:row r="3521" ht="22" customHeight="1">
      <x:c r="A3521" s="2" t="str">
        <x:v>L00039-080</x:v>
      </x:c>
      <x:c r="B3521" s="2" t="str">
        <x:v>L00039</x:v>
      </x:c>
      <x:c r="C3521" s="2" t="str">
        <x:v>SO-26008</x:v>
      </x:c>
      <x:c r="D3521" s="2" t="str">
        <x:v>S-C-SS</x:v>
      </x:c>
      <x:c r="E3521" s="14" t="n">
        <x:v>25</x:v>
      </x:c>
      <x:c r="F3521" s="2" t="str">
        <x:v>Final leak / function test</x:v>
      </x:c>
      <x:c r="G3521" s="9" t="str">
        <x:v>QA-02</x:v>
      </x:c>
      <x:c r="H3521" s="15" t="n">
        <x:v>264</x:v>
      </x:c>
      <x:c r="I3521" s="9" t="str">
        <x:v>P11</x:v>
      </x:c>
      <x:c r="J3521" s="11" t="n">
        <x:v>46314.47708333333</x:v>
      </x:c>
      <x:c r="K3521" s="15" t="n">
        <x:v>10</x:v>
      </x:c>
      <x:c r="L3521" s="15" t="n">
        <x:v>18</x:v>
      </x:c>
      <x:c r="M3521" s="13" t="n">
        <x:f>J3521+(K3521+L3521)/1440</x:f>
        <x:v>46314.496527777774</x:v>
      </x:c>
      <x:c r="N3521" s="13" t="n">
        <x:f>VLOOKUP(C3521,'MES orders'!$A$8:$H$127,5,FALSE)</x:f>
        <x:v>46311.666666666664</x:v>
      </x:c>
      <x:c r="O3521" s="16" t="n">
        <x:f>MAX(0,(M3521-N3521)*24)</x:f>
        <x:v>67.91666666662786</x:v>
      </x:c>
      <x:c r="P3521" s="9" t="str">
        <x:v>No</x:v>
      </x:c>
      <x:c r="Q3521" s="15" t="n">
        <x:v>28</x:v>
      </x:c>
      <x:c r="R3521" s="13" t="n">
        <x:f>J3521+Q3521/1440</x:f>
        <x:v>46314.496527777774</x:v>
      </x:c>
      <x:c r="S3521" s="2" t="str">
        <x:f>VLOOKUP(C3521,'MES orders'!$A$8:$H$127,6,FALSE)</x:f>
        <x:v>High</x:v>
      </x:c>
      <x:c r="T3521" s="9" t="str"/>
    </x:row>
    <x:row r="3522" ht="22" customHeight="1">
      <x:c r="A3522" s="2" t="str">
        <x:v>L00237-010</x:v>
      </x:c>
      <x:c r="B3522" s="2" t="str">
        <x:v>L00237</x:v>
      </x:c>
      <x:c r="C3522" s="2" t="str">
        <x:v>SO-26048</x:v>
      </x:c>
      <x:c r="D3522" s="2" t="str">
        <x:v>D-L-SS</x:v>
      </x:c>
      <x:c r="E3522" s="14" t="n">
        <x:v>20</x:v>
      </x:c>
      <x:c r="F3522" s="2" t="str">
        <x:v>CNC machining</x:v>
      </x:c>
      <x:c r="G3522" s="9" t="str">
        <x:v>CNC-05</x:v>
      </x:c>
      <x:c r="H3522" s="15" t="n">
        <x:v>99</x:v>
      </x:c>
      <x:c r="I3522" s="9" t="str">
        <x:v>P03</x:v>
      </x:c>
      <x:c r="J3522" s="11" t="n">
        <x:v>46314.48125</x:v>
      </x:c>
      <x:c r="K3522" s="15" t="n">
        <x:v>18</x:v>
      </x:c>
      <x:c r="L3522" s="15" t="n">
        <x:v>81</x:v>
      </x:c>
      <x:c r="M3522" s="13" t="n">
        <x:f>J3522+(K3522+L3522)/1440</x:f>
        <x:v>46314.549999999996</x:v>
      </x:c>
      <x:c r="N3522" s="13" t="n">
        <x:f>VLOOKUP(C3522,'MES orders'!$A$8:$H$127,5,FALSE)</x:f>
        <x:v>46311.666666666664</x:v>
      </x:c>
      <x:c r="O3522" s="16" t="n">
        <x:f>MAX(0,(M3522-N3522)*24)</x:f>
        <x:v>69.19999999995343</x:v>
      </x:c>
      <x:c r="P3522" s="9" t="str">
        <x:v>No</x:v>
      </x:c>
      <x:c r="Q3522" s="15" t="n">
        <x:v>18</x:v>
      </x:c>
      <x:c r="R3522" s="13" t="n">
        <x:f>J3522+Q3522/1440</x:f>
        <x:v>46314.493749999994</x:v>
      </x:c>
      <x:c r="S3522" s="2" t="str">
        <x:f>VLOOKUP(C3522,'MES orders'!$A$8:$H$127,6,FALSE)</x:f>
        <x:v>Normal</x:v>
      </x:c>
      <x:c r="T3522" s="9" t="str"/>
    </x:row>
    <x:row r="3523" ht="22" customHeight="1">
      <x:c r="A3523" s="2" t="str">
        <x:v>L00199-020</x:v>
      </x:c>
      <x:c r="B3523" s="2" t="str">
        <x:v>L00199</x:v>
      </x:c>
      <x:c r="C3523" s="2" t="str">
        <x:v>SO-26040</x:v>
      </x:c>
      <x:c r="D3523" s="2" t="str">
        <x:v>D-S-SS</x:v>
      </x:c>
      <x:c r="E3523" s="14" t="n">
        <x:v>15</x:v>
      </x:c>
      <x:c r="F3523" s="2" t="str">
        <x:v>Deburr &amp; inspect</x:v>
      </x:c>
      <x:c r="G3523" s="9" t="str">
        <x:v>DB-02</x:v>
      </x:c>
      <x:c r="H3523" s="15" t="n">
        <x:v>230</x:v>
      </x:c>
      <x:c r="I3523" s="9" t="str">
        <x:v>P01</x:v>
      </x:c>
      <x:c r="J3523" s="11" t="n">
        <x:v>46314.48125</x:v>
      </x:c>
      <x:c r="K3523" s="15" t="n">
        <x:v>4</x:v>
      </x:c>
      <x:c r="L3523" s="15" t="n">
        <x:v>10</x:v>
      </x:c>
      <x:c r="M3523" s="13" t="n">
        <x:f>J3523+(K3523+L3523)/1440</x:f>
        <x:v>46314.49097222222</x:v>
      </x:c>
      <x:c r="N3523" s="13" t="n">
        <x:f>VLOOKUP(C3523,'MES orders'!$A$8:$H$127,5,FALSE)</x:f>
        <x:v>46311.666666666664</x:v>
      </x:c>
      <x:c r="O3523" s="16" t="n">
        <x:f>MAX(0,(M3523-N3523)*24)</x:f>
        <x:v>67.78333333338378</x:v>
      </x:c>
      <x:c r="P3523" s="9" t="str">
        <x:v>No</x:v>
      </x:c>
      <x:c r="Q3523" s="15" t="n">
        <x:v>14</x:v>
      </x:c>
      <x:c r="R3523" s="13" t="n">
        <x:f>J3523+Q3523/1440</x:f>
        <x:v>46314.49097222222</x:v>
      </x:c>
      <x:c r="S3523" s="2" t="str">
        <x:f>VLOOKUP(C3523,'MES orders'!$A$8:$H$127,6,FALSE)</x:f>
        <x:v>Normal</x:v>
      </x:c>
      <x:c r="T3523" s="9" t="str"/>
    </x:row>
    <x:row r="3524" ht="22" customHeight="1">
      <x:c r="A3524" s="2" t="str">
        <x:v>L00080-040</x:v>
      </x:c>
      <x:c r="B3524" s="2" t="str">
        <x:v>L00080</x:v>
      </x:c>
      <x:c r="C3524" s="2" t="str">
        <x:v>SO-26016</x:v>
      </x:c>
      <x:c r="D3524" s="2" t="str">
        <x:v>S-S-SS</x:v>
      </x:c>
      <x:c r="E3524" s="14" t="n">
        <x:v>10</x:v>
      </x:c>
      <x:c r="F3524" s="2" t="str">
        <x:v>Mechanical preassembly</x:v>
      </x:c>
      <x:c r="G3524" s="9" t="str">
        <x:v>AS-03</x:v>
      </x:c>
      <x:c r="H3524" s="15" t="n">
        <x:v>189</x:v>
      </x:c>
      <x:c r="I3524" s="9" t="str">
        <x:v>P06</x:v>
      </x:c>
      <x:c r="J3524" s="11" t="n">
        <x:v>46314.48333333333</x:v>
      </x:c>
      <x:c r="K3524" s="15" t="n">
        <x:v>6</x:v>
      </x:c>
      <x:c r="L3524" s="15" t="n">
        <x:v>11</x:v>
      </x:c>
      <x:c r="M3524" s="13" t="n">
        <x:f>J3524+(K3524+L3524)/1440</x:f>
        <x:v>46314.49513888889</x:v>
      </x:c>
      <x:c r="N3524" s="13" t="n">
        <x:f>VLOOKUP(C3524,'MES orders'!$A$8:$H$127,5,FALSE)</x:f>
        <x:v>46311.666666666664</x:v>
      </x:c>
      <x:c r="O3524" s="16" t="n">
        <x:f>MAX(0,(M3524-N3524)*24)</x:f>
        <x:v>67.8833333333605</x:v>
      </x:c>
      <x:c r="P3524" s="9" t="str">
        <x:v>No</x:v>
      </x:c>
      <x:c r="Q3524" s="15" t="n">
        <x:v>17</x:v>
      </x:c>
      <x:c r="R3524" s="13" t="n">
        <x:f>J3524+Q3524/1440</x:f>
        <x:v>46314.49513888889</x:v>
      </x:c>
      <x:c r="S3524" s="2" t="str">
        <x:f>VLOOKUP(C3524,'MES orders'!$A$8:$H$127,6,FALSE)</x:f>
        <x:v>Normal</x:v>
      </x:c>
      <x:c r="T3524" s="9" t="str"/>
    </x:row>
    <x:row r="3525" ht="22" customHeight="1">
      <x:c r="A3525" s="2" t="str">
        <x:v>L00200-020</x:v>
      </x:c>
      <x:c r="B3525" s="2" t="str">
        <x:v>L00200</x:v>
      </x:c>
      <x:c r="C3525" s="2" t="str">
        <x:v>SO-26040</x:v>
      </x:c>
      <x:c r="D3525" s="2" t="str">
        <x:v>D-S-SS</x:v>
      </x:c>
      <x:c r="E3525" s="14" t="n">
        <x:v>15</x:v>
      </x:c>
      <x:c r="F3525" s="2" t="str">
        <x:v>Deburr &amp; inspect</x:v>
      </x:c>
      <x:c r="G3525" s="9" t="str">
        <x:v>DB-01</x:v>
      </x:c>
      <x:c r="H3525" s="15" t="n">
        <x:v>330</x:v>
      </x:c>
      <x:c r="I3525" s="9" t="str">
        <x:v>P02</x:v>
      </x:c>
      <x:c r="J3525" s="11" t="n">
        <x:v>46314.486805555556</x:v>
      </x:c>
      <x:c r="K3525" s="15" t="n">
        <x:v>4</x:v>
      </x:c>
      <x:c r="L3525" s="15" t="n">
        <x:v>10</x:v>
      </x:c>
      <x:c r="M3525" s="13" t="n">
        <x:f>J3525+(K3525+L3525)/1440</x:f>
        <x:v>46314.49652777778</x:v>
      </x:c>
      <x:c r="N3525" s="13" t="n">
        <x:f>VLOOKUP(C3525,'MES orders'!$A$8:$H$127,5,FALSE)</x:f>
        <x:v>46311.666666666664</x:v>
      </x:c>
      <x:c r="O3525" s="16" t="n">
        <x:f>MAX(0,(M3525-N3525)*24)</x:f>
        <x:v>67.91666666680248</x:v>
      </x:c>
      <x:c r="P3525" s="9" t="str">
        <x:v>No</x:v>
      </x:c>
      <x:c r="Q3525" s="15" t="n">
        <x:v>14</x:v>
      </x:c>
      <x:c r="R3525" s="13" t="n">
        <x:f>J3525+Q3525/1440</x:f>
        <x:v>46314.49652777778</x:v>
      </x:c>
      <x:c r="S3525" s="2" t="str">
        <x:f>VLOOKUP(C3525,'MES orders'!$A$8:$H$127,6,FALSE)</x:f>
        <x:v>Normal</x:v>
      </x:c>
      <x:c r="T3525" s="9" t="str"/>
    </x:row>
    <x:row r="3526" ht="22" customHeight="1">
      <x:c r="A3526" s="2" t="str">
        <x:v>L00040-070</x:v>
      </x:c>
      <x:c r="B3526" s="2" t="str">
        <x:v>L00040</x:v>
      </x:c>
      <x:c r="C3526" s="2" t="str">
        <x:v>SO-26008</x:v>
      </x:c>
      <x:c r="D3526" s="2" t="str">
        <x:v>S-C-SS</x:v>
      </x:c>
      <x:c r="E3526" s="14" t="n">
        <x:v>25</x:v>
      </x:c>
      <x:c r="F3526" s="2" t="str">
        <x:v>Final assembly</x:v>
      </x:c>
      <x:c r="G3526" s="9" t="str">
        <x:v>AS-01</x:v>
      </x:c>
      <x:c r="H3526" s="15" t="n">
        <x:v>281</x:v>
      </x:c>
      <x:c r="I3526" s="9" t="str">
        <x:v>P05</x:v>
      </x:c>
      <x:c r="J3526" s="11" t="n">
        <x:v>46314.4875</x:v>
      </x:c>
      <x:c r="K3526" s="15" t="n">
        <x:v>5</x:v>
      </x:c>
      <x:c r="L3526" s="15" t="n">
        <x:v>16</x:v>
      </x:c>
      <x:c r="M3526" s="13" t="n">
        <x:f>J3526+(K3526+L3526)/1440</x:f>
        <x:v>46314.50208333333</x:v>
      </x:c>
      <x:c r="N3526" s="13" t="n">
        <x:f>VLOOKUP(C3526,'MES orders'!$A$8:$H$127,5,FALSE)</x:f>
        <x:v>46311.666666666664</x:v>
      </x:c>
      <x:c r="O3526" s="16" t="n">
        <x:f>MAX(0,(M3526-N3526)*24)</x:f>
        <x:v>68.05000000004657</x:v>
      </x:c>
      <x:c r="P3526" s="9" t="str">
        <x:v>No</x:v>
      </x:c>
      <x:c r="Q3526" s="15" t="n">
        <x:v>21</x:v>
      </x:c>
      <x:c r="R3526" s="13" t="n">
        <x:f>J3526+Q3526/1440</x:f>
        <x:v>46314.50208333333</x:v>
      </x:c>
      <x:c r="S3526" s="2" t="str">
        <x:f>VLOOKUP(C3526,'MES orders'!$A$8:$H$127,6,FALSE)</x:f>
        <x:v>High</x:v>
      </x:c>
      <x:c r="T3526" s="9" t="str"/>
    </x:row>
    <x:row r="3527" ht="22" customHeight="1">
      <x:c r="A3527" s="2" t="str">
        <x:v>L00076-060</x:v>
      </x:c>
      <x:c r="B3527" s="2" t="str">
        <x:v>L00076</x:v>
      </x:c>
      <x:c r="C3527" s="2" t="str">
        <x:v>SO-26016</x:v>
      </x:c>
      <x:c r="D3527" s="2" t="str">
        <x:v>S-S-SS</x:v>
      </x:c>
      <x:c r="E3527" s="14" t="n">
        <x:v>10</x:v>
      </x:c>
      <x:c r="F3527" s="2" t="str">
        <x:v>Sensor calibration</x:v>
      </x:c>
      <x:c r="G3527" s="9" t="str">
        <x:v>CAL-01</x:v>
      </x:c>
      <x:c r="H3527" s="15" t="n">
        <x:v>181</x:v>
      </x:c>
      <x:c r="I3527" s="9" t="str">
        <x:v>P09</x:v>
      </x:c>
      <x:c r="J3527" s="11" t="n">
        <x:v>46314.4875</x:v>
      </x:c>
      <x:c r="K3527" s="15" t="n">
        <x:v>10</x:v>
      </x:c>
      <x:c r="L3527" s="15" t="n">
        <x:v>13</x:v>
      </x:c>
      <x:c r="M3527" s="13" t="n">
        <x:f>J3527+(K3527+L3527)/1440</x:f>
        <x:v>46314.503472222226</x:v>
      </x:c>
      <x:c r="N3527" s="13" t="n">
        <x:f>VLOOKUP(C3527,'MES orders'!$A$8:$H$127,5,FALSE)</x:f>
        <x:v>46311.666666666664</x:v>
      </x:c>
      <x:c r="O3527" s="16" t="n">
        <x:f>MAX(0,(M3527-N3527)*24)</x:f>
        <x:v>68.08333333348855</x:v>
      </x:c>
      <x:c r="P3527" s="9" t="str">
        <x:v>No</x:v>
      </x:c>
      <x:c r="Q3527" s="15" t="n">
        <x:v>23</x:v>
      </x:c>
      <x:c r="R3527" s="13" t="n">
        <x:f>J3527+Q3527/1440</x:f>
        <x:v>46314.503472222226</x:v>
      </x:c>
      <x:c r="S3527" s="2" t="str">
        <x:f>VLOOKUP(C3527,'MES orders'!$A$8:$H$127,6,FALSE)</x:f>
        <x:v>Normal</x:v>
      </x:c>
      <x:c r="T3527" s="9" t="str"/>
    </x:row>
    <x:row r="3528" ht="22" customHeight="1">
      <x:c r="A3528" s="2" t="str">
        <x:v>L00199-030</x:v>
      </x:c>
      <x:c r="B3528" s="2" t="str">
        <x:v>L00199</x:v>
      </x:c>
      <x:c r="C3528" s="2" t="str">
        <x:v>SO-26040</x:v>
      </x:c>
      <x:c r="D3528" s="2" t="str">
        <x:v>D-S-SS</x:v>
      </x:c>
      <x:c r="E3528" s="14" t="n">
        <x:v>15</x:v>
      </x:c>
      <x:c r="F3528" s="2" t="str">
        <x:v>Wash &amp; dry</x:v>
      </x:c>
      <x:c r="G3528" s="9" t="str">
        <x:v>WS-02</x:v>
      </x:c>
      <x:c r="H3528" s="15" t="n">
        <x:v>235</x:v>
      </x:c>
      <x:c r="I3528" s="9" t="str">
        <x:v>P01</x:v>
      </x:c>
      <x:c r="J3528" s="11" t="n">
        <x:v>46314.49097222222</x:v>
      </x:c>
      <x:c r="K3528" s="15" t="n">
        <x:v>12</x:v>
      </x:c>
      <x:c r="L3528" s="15" t="n">
        <x:v>5</x:v>
      </x:c>
      <x:c r="M3528" s="13" t="n">
        <x:f>J3528+(K3528+L3528)/1440</x:f>
        <x:v>46314.50277777778</x:v>
      </x:c>
      <x:c r="N3528" s="13" t="n">
        <x:f>VLOOKUP(C3528,'MES orders'!$A$8:$H$127,5,FALSE)</x:f>
        <x:v>46311.666666666664</x:v>
      </x:c>
      <x:c r="O3528" s="16" t="n">
        <x:f>MAX(0,(M3528-N3528)*24)</x:f>
        <x:v>68.06666666676756</x:v>
      </x:c>
      <x:c r="P3528" s="9" t="str">
        <x:v>No</x:v>
      </x:c>
      <x:c r="Q3528" s="15" t="n">
        <x:v>17</x:v>
      </x:c>
      <x:c r="R3528" s="13" t="n">
        <x:f>J3528+Q3528/1440</x:f>
        <x:v>46314.50277777778</x:v>
      </x:c>
      <x:c r="S3528" s="2" t="str">
        <x:f>VLOOKUP(C3528,'MES orders'!$A$8:$H$127,6,FALSE)</x:f>
        <x:v>Normal</x:v>
      </x:c>
      <x:c r="T3528" s="9" t="str"/>
    </x:row>
    <x:row r="3529" ht="22" customHeight="1">
      <x:c r="A3529" s="2" t="str">
        <x:v>L00238-010</x:v>
      </x:c>
      <x:c r="B3529" s="2" t="str">
        <x:v>L00238</x:v>
      </x:c>
      <x:c r="C3529" s="2" t="str">
        <x:v>SO-26048</x:v>
      </x:c>
      <x:c r="D3529" s="2" t="str">
        <x:v>D-L-SS</x:v>
      </x:c>
      <x:c r="E3529" s="14" t="n">
        <x:v>20</x:v>
      </x:c>
      <x:c r="F3529" s="2" t="str">
        <x:v>CNC machining</x:v>
      </x:c>
      <x:c r="G3529" s="9" t="str">
        <x:v>CNC-03</x:v>
      </x:c>
      <x:c r="H3529" s="15" t="n">
        <x:v>114</x:v>
      </x:c>
      <x:c r="I3529" s="9" t="str">
        <x:v>P03</x:v>
      </x:c>
      <x:c r="J3529" s="11" t="n">
        <x:v>46314.49375</x:v>
      </x:c>
      <x:c r="K3529" s="15" t="n">
        <x:v>18</x:v>
      </x:c>
      <x:c r="L3529" s="15" t="n">
        <x:v>81</x:v>
      </x:c>
      <x:c r="M3529" s="13" t="n">
        <x:f>J3529+(K3529+L3529)/1440</x:f>
        <x:v>46314.5625</x:v>
      </x:c>
      <x:c r="N3529" s="13" t="n">
        <x:f>VLOOKUP(C3529,'MES orders'!$A$8:$H$127,5,FALSE)</x:f>
        <x:v>46311.666666666664</x:v>
      </x:c>
      <x:c r="O3529" s="16" t="n">
        <x:f>MAX(0,(M3529-N3529)*24)</x:f>
        <x:v>69.50000000005821</x:v>
      </x:c>
      <x:c r="P3529" s="9" t="str">
        <x:v>No</x:v>
      </x:c>
      <x:c r="Q3529" s="15" t="n">
        <x:v>18</x:v>
      </x:c>
      <x:c r="R3529" s="13" t="n">
        <x:f>J3529+Q3529/1440</x:f>
        <x:v>46314.50625</x:v>
      </x:c>
      <x:c r="S3529" s="2" t="str">
        <x:f>VLOOKUP(C3529,'MES orders'!$A$8:$H$127,6,FALSE)</x:f>
        <x:v>Normal</x:v>
      </x:c>
      <x:c r="T3529" s="9" t="str"/>
    </x:row>
    <x:row r="3530" ht="22" customHeight="1">
      <x:c r="A3530" s="2" t="str">
        <x:v>L00080-050</x:v>
      </x:c>
      <x:c r="B3530" s="2" t="str">
        <x:v>L00080</x:v>
      </x:c>
      <x:c r="C3530" s="2" t="str">
        <x:v>SO-26016</x:v>
      </x:c>
      <x:c r="D3530" s="2" t="str">
        <x:v>S-S-SS</x:v>
      </x:c>
      <x:c r="E3530" s="14" t="n">
        <x:v>10</x:v>
      </x:c>
      <x:c r="F3530" s="2" t="str">
        <x:v>Sensor installation</x:v>
      </x:c>
      <x:c r="G3530" s="9" t="str">
        <x:v>EL-01</x:v>
      </x:c>
      <x:c r="H3530" s="15" t="n">
        <x:v>124</x:v>
      </x:c>
      <x:c r="I3530" s="9" t="str">
        <x:v>P07</x:v>
      </x:c>
      <x:c r="J3530" s="11" t="n">
        <x:v>46314.49513888889</x:v>
      </x:c>
      <x:c r="K3530" s="15" t="n">
        <x:v>8</x:v>
      </x:c>
      <x:c r="L3530" s="15" t="n">
        <x:v>12</x:v>
      </x:c>
      <x:c r="M3530" s="13" t="n">
        <x:f>J3530+(K3530+L3530)/1440</x:f>
        <x:v>46314.50902777778</x:v>
      </x:c>
      <x:c r="N3530" s="13" t="n">
        <x:f>VLOOKUP(C3530,'MES orders'!$A$8:$H$127,5,FALSE)</x:f>
        <x:v>46311.666666666664</x:v>
      </x:c>
      <x:c r="O3530" s="16" t="n">
        <x:f>MAX(0,(M3530-N3530)*24)</x:f>
        <x:v>68.21666666673264</x:v>
      </x:c>
      <x:c r="P3530" s="9" t="str">
        <x:v>No</x:v>
      </x:c>
      <x:c r="Q3530" s="15" t="n">
        <x:v>20</x:v>
      </x:c>
      <x:c r="R3530" s="13" t="n">
        <x:f>J3530+Q3530/1440</x:f>
        <x:v>46314.50902777778</x:v>
      </x:c>
      <x:c r="S3530" s="2" t="str">
        <x:f>VLOOKUP(C3530,'MES orders'!$A$8:$H$127,6,FALSE)</x:f>
        <x:v>Normal</x:v>
      </x:c>
      <x:c r="T3530" s="9" t="str"/>
    </x:row>
    <x:row r="3531" ht="22" customHeight="1">
      <x:c r="A3531" s="2" t="str">
        <x:v>L00159-030</x:v>
      </x:c>
      <x:c r="B3531" s="2" t="str">
        <x:v>L00159</x:v>
      </x:c>
      <x:c r="C3531" s="2" t="str">
        <x:v>SO-26032</x:v>
      </x:c>
      <x:c r="D3531" s="2" t="str">
        <x:v>D-C-SS</x:v>
      </x:c>
      <x:c r="E3531" s="14" t="n">
        <x:v>15</x:v>
      </x:c>
      <x:c r="F3531" s="2" t="str">
        <x:v>Wash &amp; dry</x:v>
      </x:c>
      <x:c r="G3531" s="9" t="str">
        <x:v>WS-01</x:v>
      </x:c>
      <x:c r="H3531" s="15" t="n">
        <x:v>323</x:v>
      </x:c>
      <x:c r="I3531" s="9" t="str">
        <x:v>P06</x:v>
      </x:c>
      <x:c r="J3531" s="11" t="n">
        <x:v>46314.49513888889</x:v>
      </x:c>
      <x:c r="K3531" s="15" t="n">
        <x:v>12</x:v>
      </x:c>
      <x:c r="L3531" s="15" t="n">
        <x:v>4</x:v>
      </x:c>
      <x:c r="M3531" s="13" t="n">
        <x:f>J3531+(K3531+L3531)/1440</x:f>
        <x:v>46314.50625</x:v>
      </x:c>
      <x:c r="N3531" s="13" t="n">
        <x:f>VLOOKUP(C3531,'MES orders'!$A$8:$H$127,5,FALSE)</x:f>
        <x:v>46311.666666666664</x:v>
      </x:c>
      <x:c r="O3531" s="16" t="n">
        <x:f>MAX(0,(M3531-N3531)*24)</x:f>
        <x:v>68.15000000002328</x:v>
      </x:c>
      <x:c r="P3531" s="9" t="str">
        <x:v>No</x:v>
      </x:c>
      <x:c r="Q3531" s="15" t="n">
        <x:v>16</x:v>
      </x:c>
      <x:c r="R3531" s="13" t="n">
        <x:f>J3531+Q3531/1440</x:f>
        <x:v>46314.50625</x:v>
      </x:c>
      <x:c r="S3531" s="2" t="str">
        <x:f>VLOOKUP(C3531,'MES orders'!$A$8:$H$127,6,FALSE)</x:f>
        <x:v>Normal</x:v>
      </x:c>
      <x:c r="T3531" s="9" t="str"/>
    </x:row>
    <x:row r="3532" ht="22" customHeight="1">
      <x:c r="A3532" s="2" t="str">
        <x:v>L00239-010</x:v>
      </x:c>
      <x:c r="B3532" s="2" t="str">
        <x:v>L00239</x:v>
      </x:c>
      <x:c r="C3532" s="2" t="str">
        <x:v>SO-26048</x:v>
      </x:c>
      <x:c r="D3532" s="2" t="str">
        <x:v>D-L-SS</x:v>
      </x:c>
      <x:c r="E3532" s="14" t="n">
        <x:v>20</x:v>
      </x:c>
      <x:c r="F3532" s="2" t="str">
        <x:v>CNC machining</x:v>
      </x:c>
      <x:c r="G3532" s="9" t="str">
        <x:v>CNC-06</x:v>
      </x:c>
      <x:c r="H3532" s="15" t="n">
        <x:v>91</x:v>
      </x:c>
      <x:c r="I3532" s="9" t="str">
        <x:v>P02</x:v>
      </x:c>
      <x:c r="J3532" s="11" t="n">
        <x:v>46314.49652777778</x:v>
      </x:c>
      <x:c r="K3532" s="15" t="n">
        <x:v>18</x:v>
      </x:c>
      <x:c r="L3532" s="15" t="n">
        <x:v>81</x:v>
      </x:c>
      <x:c r="M3532" s="13" t="n">
        <x:f>J3532+(K3532+L3532)/1440</x:f>
        <x:v>46314.56527777778</x:v>
      </x:c>
      <x:c r="N3532" s="13" t="n">
        <x:f>VLOOKUP(C3532,'MES orders'!$A$8:$H$127,5,FALSE)</x:f>
        <x:v>46311.666666666664</x:v>
      </x:c>
      <x:c r="O3532" s="16" t="n">
        <x:f>MAX(0,(M3532-N3532)*24)</x:f>
        <x:v>69.56666666676756</x:v>
      </x:c>
      <x:c r="P3532" s="9" t="str">
        <x:v>No</x:v>
      </x:c>
      <x:c r="Q3532" s="15" t="n">
        <x:v>18</x:v>
      </x:c>
      <x:c r="R3532" s="13" t="n">
        <x:f>J3532+Q3532/1440</x:f>
        <x:v>46314.50902777778</x:v>
      </x:c>
      <x:c r="S3532" s="2" t="str">
        <x:f>VLOOKUP(C3532,'MES orders'!$A$8:$H$127,6,FALSE)</x:f>
        <x:v>Normal</x:v>
      </x:c>
      <x:c r="T3532" s="9" t="str"/>
    </x:row>
    <x:row r="3533" ht="22" customHeight="1">
      <x:c r="A3533" s="2" t="str">
        <x:v>L00600-050</x:v>
      </x:c>
      <x:c r="B3533" s="2" t="str">
        <x:v>L00600</x:v>
      </x:c>
      <x:c r="C3533" s="2" t="str">
        <x:v>SO-26120</x:v>
      </x:c>
      <x:c r="D3533" s="2" t="str">
        <x:v>D-L-SS</x:v>
      </x:c>
      <x:c r="E3533" s="14" t="n">
        <x:v>25</x:v>
      </x:c>
      <x:c r="F3533" s="2" t="str">
        <x:v>Final leak / function test</x:v>
      </x:c>
      <x:c r="G3533" s="9" t="str">
        <x:v>QA-01</x:v>
      </x:c>
      <x:c r="H3533" s="15" t="n">
        <x:v>129</x:v>
      </x:c>
      <x:c r="I3533" s="9" t="str">
        <x:v>P12</x:v>
      </x:c>
      <x:c r="J3533" s="11" t="n">
        <x:v>46314.50208333333</x:v>
      </x:c>
      <x:c r="K3533" s="15" t="n">
        <x:v>10</x:v>
      </x:c>
      <x:c r="L3533" s="15" t="n">
        <x:v>30</x:v>
      </x:c>
      <x:c r="M3533" s="13" t="n">
        <x:f>J3533+(K3533+L3533)/1440</x:f>
        <x:v>46314.529861111114</x:v>
      </x:c>
      <x:c r="N3533" s="13" t="n">
        <x:f>VLOOKUP(C3533,'MES orders'!$A$8:$H$127,5,FALSE)</x:f>
        <x:v>46311.666666666664</x:v>
      </x:c>
      <x:c r="O3533" s="16" t="n">
        <x:f>MAX(0,(M3533-N3533)*24)</x:f>
        <x:v>68.71666666679084</x:v>
      </x:c>
      <x:c r="P3533" s="9" t="str">
        <x:v>No</x:v>
      </x:c>
      <x:c r="Q3533" s="15" t="n">
        <x:v>40</x:v>
      </x:c>
      <x:c r="R3533" s="13" t="n">
        <x:f>J3533+Q3533/1440</x:f>
        <x:v>46314.529861111114</x:v>
      </x:c>
      <x:c r="S3533" s="2" t="str">
        <x:f>VLOOKUP(C3533,'MES orders'!$A$8:$H$127,6,FALSE)</x:f>
        <x:v>High</x:v>
      </x:c>
      <x:c r="T3533" s="9" t="str"/>
    </x:row>
    <x:row r="3534" ht="22" customHeight="1">
      <x:c r="A3534" s="2" t="str">
        <x:v>L00040-080</x:v>
      </x:c>
      <x:c r="B3534" s="2" t="str">
        <x:v>L00040</x:v>
      </x:c>
      <x:c r="C3534" s="2" t="str">
        <x:v>SO-26008</x:v>
      </x:c>
      <x:c r="D3534" s="2" t="str">
        <x:v>S-C-SS</x:v>
      </x:c>
      <x:c r="E3534" s="14" t="n">
        <x:v>25</x:v>
      </x:c>
      <x:c r="F3534" s="2" t="str">
        <x:v>Final leak / function test</x:v>
      </x:c>
      <x:c r="G3534" s="9" t="str">
        <x:v>QA-02</x:v>
      </x:c>
      <x:c r="H3534" s="15" t="n">
        <x:v>265</x:v>
      </x:c>
      <x:c r="I3534" s="9" t="str">
        <x:v>P11</x:v>
      </x:c>
      <x:c r="J3534" s="11" t="n">
        <x:v>46314.50208333333</x:v>
      </x:c>
      <x:c r="K3534" s="15" t="n">
        <x:v>10</x:v>
      </x:c>
      <x:c r="L3534" s="15" t="n">
        <x:v>18</x:v>
      </x:c>
      <x:c r="M3534" s="13" t="n">
        <x:f>J3534+(K3534+L3534)/1440</x:f>
        <x:v>46314.521527777775</x:v>
      </x:c>
      <x:c r="N3534" s="13" t="n">
        <x:f>VLOOKUP(C3534,'MES orders'!$A$8:$H$127,5,FALSE)</x:f>
        <x:v>46311.666666666664</x:v>
      </x:c>
      <x:c r="O3534" s="16" t="n">
        <x:f>MAX(0,(M3534-N3534)*24)</x:f>
        <x:v>68.51666666666279</x:v>
      </x:c>
      <x:c r="P3534" s="9" t="str">
        <x:v>No</x:v>
      </x:c>
      <x:c r="Q3534" s="15" t="n">
        <x:v>28</x:v>
      </x:c>
      <x:c r="R3534" s="13" t="n">
        <x:f>J3534+Q3534/1440</x:f>
        <x:v>46314.521527777775</x:v>
      </x:c>
      <x:c r="S3534" s="2" t="str">
        <x:f>VLOOKUP(C3534,'MES orders'!$A$8:$H$127,6,FALSE)</x:f>
        <x:v>High</x:v>
      </x:c>
      <x:c r="T3534" s="9" t="str"/>
    </x:row>
    <x:row r="3535" ht="22" customHeight="1">
      <x:c r="A3535" s="2" t="str">
        <x:v>L00076-070</x:v>
      </x:c>
      <x:c r="B3535" s="2" t="str">
        <x:v>L00076</x:v>
      </x:c>
      <x:c r="C3535" s="2" t="str">
        <x:v>SO-26016</x:v>
      </x:c>
      <x:c r="D3535" s="2" t="str">
        <x:v>S-S-SS</x:v>
      </x:c>
      <x:c r="E3535" s="14" t="n">
        <x:v>10</x:v>
      </x:c>
      <x:c r="F3535" s="2" t="str">
        <x:v>Final assembly</x:v>
      </x:c>
      <x:c r="G3535" s="9" t="str">
        <x:v>AS-01</x:v>
      </x:c>
      <x:c r="H3535" s="15" t="n">
        <x:v>282</x:v>
      </x:c>
      <x:c r="I3535" s="9" t="str">
        <x:v>P05</x:v>
      </x:c>
      <x:c r="J3535" s="11" t="n">
        <x:v>46314.50347222222</x:v>
      </x:c>
      <x:c r="K3535" s="15" t="n">
        <x:v>5</x:v>
      </x:c>
      <x:c r="L3535" s="15" t="n">
        <x:v>8</x:v>
      </x:c>
      <x:c r="M3535" s="13" t="n">
        <x:f>J3535+(K3535+L3535)/1440</x:f>
        <x:v>46314.5125</x:v>
      </x:c>
      <x:c r="N3535" s="13" t="n">
        <x:f>VLOOKUP(C3535,'MES orders'!$A$8:$H$127,5,FALSE)</x:f>
        <x:v>46311.666666666664</x:v>
      </x:c>
      <x:c r="O3535" s="16" t="n">
        <x:f>MAX(0,(M3535-N3535)*24)</x:f>
        <x:v>68.29999999998836</x:v>
      </x:c>
      <x:c r="P3535" s="9" t="str">
        <x:v>No</x:v>
      </x:c>
      <x:c r="Q3535" s="15" t="n">
        <x:v>13</x:v>
      </x:c>
      <x:c r="R3535" s="13" t="n">
        <x:f>J3535+Q3535/1440</x:f>
        <x:v>46314.5125</x:v>
      </x:c>
      <x:c r="S3535" s="2" t="str">
        <x:f>VLOOKUP(C3535,'MES orders'!$A$8:$H$127,6,FALSE)</x:f>
        <x:v>Normal</x:v>
      </x:c>
      <x:c r="T3535" s="9" t="str"/>
    </x:row>
    <x:row r="3536" ht="22" customHeight="1">
      <x:c r="A3536" s="2" t="str">
        <x:v>L00077-060</x:v>
      </x:c>
      <x:c r="B3536" s="2" t="str">
        <x:v>L00077</x:v>
      </x:c>
      <x:c r="C3536" s="2" t="str">
        <x:v>SO-26016</x:v>
      </x:c>
      <x:c r="D3536" s="2" t="str">
        <x:v>S-S-SS</x:v>
      </x:c>
      <x:c r="E3536" s="14" t="n">
        <x:v>10</x:v>
      </x:c>
      <x:c r="F3536" s="2" t="str">
        <x:v>Sensor calibration</x:v>
      </x:c>
      <x:c r="G3536" s="9" t="str">
        <x:v>CAL-01</x:v>
      </x:c>
      <x:c r="H3536" s="15" t="n">
        <x:v>182</x:v>
      </x:c>
      <x:c r="I3536" s="9" t="str">
        <x:v>P09</x:v>
      </x:c>
      <x:c r="J3536" s="11" t="n">
        <x:v>46314.50347222222</x:v>
      </x:c>
      <x:c r="K3536" s="15" t="n">
        <x:v>10</x:v>
      </x:c>
      <x:c r="L3536" s="15" t="n">
        <x:v>13</x:v>
      </x:c>
      <x:c r="M3536" s="13" t="n">
        <x:f>J3536+(K3536+L3536)/1440</x:f>
        <x:v>46314.51944444444</x:v>
      </x:c>
      <x:c r="N3536" s="13" t="n">
        <x:f>VLOOKUP(C3536,'MES orders'!$A$8:$H$127,5,FALSE)</x:f>
        <x:v>46311.666666666664</x:v>
      </x:c>
      <x:c r="O3536" s="16" t="n">
        <x:f>MAX(0,(M3536-N3536)*24)</x:f>
        <x:v>68.46666666667443</x:v>
      </x:c>
      <x:c r="P3536" s="9" t="str">
        <x:v>No</x:v>
      </x:c>
      <x:c r="Q3536" s="15" t="n">
        <x:v>23</x:v>
      </x:c>
      <x:c r="R3536" s="13" t="n">
        <x:f>J3536+Q3536/1440</x:f>
        <x:v>46314.51944444444</x:v>
      </x:c>
      <x:c r="S3536" s="2" t="str">
        <x:f>VLOOKUP(C3536,'MES orders'!$A$8:$H$127,6,FALSE)</x:f>
        <x:v>Normal</x:v>
      </x:c>
      <x:c r="T3536" s="9" t="str"/>
    </x:row>
    <x:row r="3537" ht="22" customHeight="1">
      <x:c r="A3537" s="2" t="str">
        <x:v>L00159-040</x:v>
      </x:c>
      <x:c r="B3537" s="2" t="str">
        <x:v>L00159</x:v>
      </x:c>
      <x:c r="C3537" s="2" t="str">
        <x:v>SO-26032</x:v>
      </x:c>
      <x:c r="D3537" s="2" t="str">
        <x:v>D-C-SS</x:v>
      </x:c>
      <x:c r="E3537" s="14" t="n">
        <x:v>15</x:v>
      </x:c>
      <x:c r="F3537" s="2" t="str">
        <x:v>Mechanical assembly</x:v>
      </x:c>
      <x:c r="G3537" s="9" t="str">
        <x:v>AS-02</x:v>
      </x:c>
      <x:c r="H3537" s="15" t="n">
        <x:v>231</x:v>
      </x:c>
      <x:c r="I3537" s="9" t="str">
        <x:v>P04</x:v>
      </x:c>
      <x:c r="J3537" s="11" t="n">
        <x:v>46314.50625</x:v>
      </x:c>
      <x:c r="K3537" s="15" t="n">
        <x:v>8</x:v>
      </x:c>
      <x:c r="L3537" s="15" t="n">
        <x:v>22</x:v>
      </x:c>
      <x:c r="M3537" s="13" t="n">
        <x:f>J3537+(K3537+L3537)/1440</x:f>
        <x:v>46314.527083333334</x:v>
      </x:c>
      <x:c r="N3537" s="13" t="n">
        <x:f>VLOOKUP(C3537,'MES orders'!$A$8:$H$127,5,FALSE)</x:f>
        <x:v>46311.666666666664</x:v>
      </x:c>
      <x:c r="O3537" s="16" t="n">
        <x:f>MAX(0,(M3537-N3537)*24)</x:f>
        <x:v>68.65000000008149</x:v>
      </x:c>
      <x:c r="P3537" s="9" t="str">
        <x:v>No</x:v>
      </x:c>
      <x:c r="Q3537" s="15" t="n">
        <x:v>30</x:v>
      </x:c>
      <x:c r="R3537" s="13" t="n">
        <x:f>J3537+Q3537/1440</x:f>
        <x:v>46314.527083333334</x:v>
      </x:c>
      <x:c r="S3537" s="2" t="str">
        <x:f>VLOOKUP(C3537,'MES orders'!$A$8:$H$127,6,FALSE)</x:f>
        <x:v>Normal</x:v>
      </x:c>
      <x:c r="T3537" s="9" t="str"/>
    </x:row>
    <x:row r="3538" ht="22" customHeight="1">
      <x:c r="A3538" s="2" t="str">
        <x:v>L00160-040</x:v>
      </x:c>
      <x:c r="B3538" s="2" t="str">
        <x:v>L00160</x:v>
      </x:c>
      <x:c r="C3538" s="2" t="str">
        <x:v>SO-26032</x:v>
      </x:c>
      <x:c r="D3538" s="2" t="str">
        <x:v>D-C-SS</x:v>
      </x:c>
      <x:c r="E3538" s="14" t="n">
        <x:v>15</x:v>
      </x:c>
      <x:c r="F3538" s="2" t="str">
        <x:v>Mechanical assembly</x:v>
      </x:c>
      <x:c r="G3538" s="9" t="str">
        <x:v>AS-03</x:v>
      </x:c>
      <x:c r="H3538" s="15" t="n">
        <x:v>190</x:v>
      </x:c>
      <x:c r="I3538" s="9" t="str">
        <x:v>P06</x:v>
      </x:c>
      <x:c r="J3538" s="11" t="n">
        <x:v>46314.50625</x:v>
      </x:c>
      <x:c r="K3538" s="15" t="n">
        <x:v>8</x:v>
      </x:c>
      <x:c r="L3538" s="15" t="n">
        <x:v>22</x:v>
      </x:c>
      <x:c r="M3538" s="13" t="n">
        <x:f>J3538+(K3538+L3538)/1440</x:f>
        <x:v>46314.527083333334</x:v>
      </x:c>
      <x:c r="N3538" s="13" t="n">
        <x:f>VLOOKUP(C3538,'MES orders'!$A$8:$H$127,5,FALSE)</x:f>
        <x:v>46311.666666666664</x:v>
      </x:c>
      <x:c r="O3538" s="16" t="n">
        <x:f>MAX(0,(M3538-N3538)*24)</x:f>
        <x:v>68.65000000008149</x:v>
      </x:c>
      <x:c r="P3538" s="9" t="str">
        <x:v>No</x:v>
      </x:c>
      <x:c r="Q3538" s="15" t="n">
        <x:v>30</x:v>
      </x:c>
      <x:c r="R3538" s="13" t="n">
        <x:f>J3538+Q3538/1440</x:f>
        <x:v>46314.527083333334</x:v>
      </x:c>
      <x:c r="S3538" s="2" t="str">
        <x:f>VLOOKUP(C3538,'MES orders'!$A$8:$H$127,6,FALSE)</x:f>
        <x:v>Normal</x:v>
      </x:c>
      <x:c r="T3538" s="9" t="str"/>
    </x:row>
    <x:row r="3539" ht="22" customHeight="1">
      <x:c r="A3539" s="2" t="str">
        <x:v>L00240-010</x:v>
      </x:c>
      <x:c r="B3539" s="2" t="str">
        <x:v>L00240</x:v>
      </x:c>
      <x:c r="C3539" s="2" t="str">
        <x:v>SO-26048</x:v>
      </x:c>
      <x:c r="D3539" s="2" t="str">
        <x:v>D-L-SS</x:v>
      </x:c>
      <x:c r="E3539" s="14" t="n">
        <x:v>20</x:v>
      </x:c>
      <x:c r="F3539" s="2" t="str">
        <x:v>CNC machining</x:v>
      </x:c>
      <x:c r="G3539" s="9" t="str">
        <x:v>CNC-04</x:v>
      </x:c>
      <x:c r="H3539" s="15" t="n">
        <x:v>111</x:v>
      </x:c>
      <x:c r="I3539" s="9" t="str">
        <x:v>P02</x:v>
      </x:c>
      <x:c r="J3539" s="11" t="n">
        <x:v>46314.51875</x:v>
      </x:c>
      <x:c r="K3539" s="15" t="n">
        <x:v>18</x:v>
      </x:c>
      <x:c r="L3539" s="15" t="n">
        <x:v>81</x:v>
      </x:c>
      <x:c r="M3539" s="13" t="n">
        <x:f>J3539+(K3539+L3539)/1440</x:f>
        <x:v>46314.5875</x:v>
      </x:c>
      <x:c r="N3539" s="13" t="n">
        <x:f>VLOOKUP(C3539,'MES orders'!$A$8:$H$127,5,FALSE)</x:f>
        <x:v>46311.666666666664</x:v>
      </x:c>
      <x:c r="O3539" s="16" t="n">
        <x:f>MAX(0,(M3539-N3539)*24)</x:f>
        <x:v>70.10000000009313</x:v>
      </x:c>
      <x:c r="P3539" s="9" t="str">
        <x:v>No</x:v>
      </x:c>
      <x:c r="Q3539" s="15" t="n">
        <x:v>18</x:v>
      </x:c>
      <x:c r="R3539" s="13" t="n">
        <x:f>J3539+Q3539/1440</x:f>
        <x:v>46314.53125</x:v>
      </x:c>
      <x:c r="S3539" s="2" t="str">
        <x:f>VLOOKUP(C3539,'MES orders'!$A$8:$H$127,6,FALSE)</x:f>
        <x:v>Normal</x:v>
      </x:c>
      <x:c r="T3539" s="9" t="str"/>
    </x:row>
    <x:row r="3540" ht="22" customHeight="1">
      <x:c r="A3540" s="2" t="str">
        <x:v>L00236-020</x:v>
      </x:c>
      <x:c r="B3540" s="2" t="str">
        <x:v>L00236</x:v>
      </x:c>
      <x:c r="C3540" s="2" t="str">
        <x:v>SO-26048</x:v>
      </x:c>
      <x:c r="D3540" s="2" t="str">
        <x:v>D-L-SS</x:v>
      </x:c>
      <x:c r="E3540" s="14" t="n">
        <x:v>20</x:v>
      </x:c>
      <x:c r="F3540" s="2" t="str">
        <x:v>Deburr &amp; inspect</x:v>
      </x:c>
      <x:c r="G3540" s="9" t="str">
        <x:v>DB-02</x:v>
      </x:c>
      <x:c r="H3540" s="15" t="n">
        <x:v>231</x:v>
      </x:c>
      <x:c r="I3540" s="9" t="str">
        <x:v>P01</x:v>
      </x:c>
      <x:c r="J3540" s="11" t="n">
        <x:v>46314.51875</x:v>
      </x:c>
      <x:c r="K3540" s="15" t="n">
        <x:v>4</x:v>
      </x:c>
      <x:c r="L3540" s="15" t="n">
        <x:v>19</x:v>
      </x:c>
      <x:c r="M3540" s="13" t="n">
        <x:f>J3540+(K3540+L3540)/1440</x:f>
        <x:v>46314.534722222226</x:v>
      </x:c>
      <x:c r="N3540" s="13" t="n">
        <x:f>VLOOKUP(C3540,'MES orders'!$A$8:$H$127,5,FALSE)</x:f>
        <x:v>46311.666666666664</x:v>
      </x:c>
      <x:c r="O3540" s="16" t="n">
        <x:f>MAX(0,(M3540-N3540)*24)</x:f>
        <x:v>68.83333333348855</x:v>
      </x:c>
      <x:c r="P3540" s="9" t="str">
        <x:v>No</x:v>
      </x:c>
      <x:c r="Q3540" s="15" t="n">
        <x:v>23</x:v>
      </x:c>
      <x:c r="R3540" s="13" t="n">
        <x:f>J3540+Q3540/1440</x:f>
        <x:v>46314.534722222226</x:v>
      </x:c>
      <x:c r="S3540" s="2" t="str">
        <x:f>VLOOKUP(C3540,'MES orders'!$A$8:$H$127,6,FALSE)</x:f>
        <x:v>Normal</x:v>
      </x:c>
      <x:c r="T3540" s="9" t="str"/>
    </x:row>
    <x:row r="3541" ht="22" customHeight="1">
      <x:c r="A3541" s="2" t="str">
        <x:v>L00077-070</x:v>
      </x:c>
      <x:c r="B3541" s="2" t="str">
        <x:v>L00077</x:v>
      </x:c>
      <x:c r="C3541" s="2" t="str">
        <x:v>SO-26016</x:v>
      </x:c>
      <x:c r="D3541" s="2" t="str">
        <x:v>S-S-SS</x:v>
      </x:c>
      <x:c r="E3541" s="14" t="n">
        <x:v>10</x:v>
      </x:c>
      <x:c r="F3541" s="2" t="str">
        <x:v>Final assembly</x:v>
      </x:c>
      <x:c r="G3541" s="9" t="str">
        <x:v>AS-01</x:v>
      </x:c>
      <x:c r="H3541" s="15" t="n">
        <x:v>283</x:v>
      </x:c>
      <x:c r="I3541" s="9" t="str">
        <x:v>P05</x:v>
      </x:c>
      <x:c r="J3541" s="11" t="n">
        <x:v>46314.51944444444</x:v>
      </x:c>
      <x:c r="K3541" s="15" t="n">
        <x:v>5</x:v>
      </x:c>
      <x:c r="L3541" s="15" t="n">
        <x:v>8</x:v>
      </x:c>
      <x:c r="M3541" s="13" t="n">
        <x:f>J3541+(K3541+L3541)/1440</x:f>
        <x:v>46314.52847222222</x:v>
      </x:c>
      <x:c r="N3541" s="13" t="n">
        <x:f>VLOOKUP(C3541,'MES orders'!$A$8:$H$127,5,FALSE)</x:f>
        <x:v>46311.666666666664</x:v>
      </x:c>
      <x:c r="O3541" s="16" t="n">
        <x:f>MAX(0,(M3541-N3541)*24)</x:f>
        <x:v>68.68333333334886</x:v>
      </x:c>
      <x:c r="P3541" s="9" t="str">
        <x:v>No</x:v>
      </x:c>
      <x:c r="Q3541" s="15" t="n">
        <x:v>13</x:v>
      </x:c>
      <x:c r="R3541" s="13" t="n">
        <x:f>J3541+Q3541/1440</x:f>
        <x:v>46314.52847222222</x:v>
      </x:c>
      <x:c r="S3541" s="2" t="str">
        <x:f>VLOOKUP(C3541,'MES orders'!$A$8:$H$127,6,FALSE)</x:f>
        <x:v>Normal</x:v>
      </x:c>
      <x:c r="T3541" s="9" t="str"/>
    </x:row>
    <x:row r="3542" ht="22" customHeight="1">
      <x:c r="A3542" s="2" t="str">
        <x:v>L00078-060</x:v>
      </x:c>
      <x:c r="B3542" s="2" t="str">
        <x:v>L00078</x:v>
      </x:c>
      <x:c r="C3542" s="2" t="str">
        <x:v>SO-26016</x:v>
      </x:c>
      <x:c r="D3542" s="2" t="str">
        <x:v>S-S-SS</x:v>
      </x:c>
      <x:c r="E3542" s="14" t="n">
        <x:v>10</x:v>
      </x:c>
      <x:c r="F3542" s="2" t="str">
        <x:v>Sensor calibration</x:v>
      </x:c>
      <x:c r="G3542" s="9" t="str">
        <x:v>CAL-01</x:v>
      </x:c>
      <x:c r="H3542" s="15" t="n">
        <x:v>183</x:v>
      </x:c>
      <x:c r="I3542" s="9" t="str">
        <x:v>P09</x:v>
      </x:c>
      <x:c r="J3542" s="11" t="n">
        <x:v>46314.51944444444</x:v>
      </x:c>
      <x:c r="K3542" s="15" t="n">
        <x:v>10</x:v>
      </x:c>
      <x:c r="L3542" s="15" t="n">
        <x:v>13</x:v>
      </x:c>
      <x:c r="M3542" s="13" t="n">
        <x:f>J3542+(K3542+L3542)/1440</x:f>
        <x:v>46314.535416666666</x:v>
      </x:c>
      <x:c r="N3542" s="13" t="n">
        <x:f>VLOOKUP(C3542,'MES orders'!$A$8:$H$127,5,FALSE)</x:f>
        <x:v>46311.666666666664</x:v>
      </x:c>
      <x:c r="O3542" s="16" t="n">
        <x:f>MAX(0,(M3542-N3542)*24)</x:f>
        <x:v>68.85000000003492</x:v>
      </x:c>
      <x:c r="P3542" s="9" t="str">
        <x:v>No</x:v>
      </x:c>
      <x:c r="Q3542" s="15" t="n">
        <x:v>23</x:v>
      </x:c>
      <x:c r="R3542" s="13" t="n">
        <x:f>J3542+Q3542/1440</x:f>
        <x:v>46314.535416666666</x:v>
      </x:c>
      <x:c r="S3542" s="2" t="str">
        <x:f>VLOOKUP(C3542,'MES orders'!$A$8:$H$127,6,FALSE)</x:f>
        <x:v>Normal</x:v>
      </x:c>
      <x:c r="T3542" s="9" t="str"/>
    </x:row>
    <x:row r="3543" ht="22" customHeight="1">
      <x:c r="A3543" s="2" t="str">
        <x:v>L00076-080</x:v>
      </x:c>
      <x:c r="B3543" s="2" t="str">
        <x:v>L00076</x:v>
      </x:c>
      <x:c r="C3543" s="2" t="str">
        <x:v>SO-26016</x:v>
      </x:c>
      <x:c r="D3543" s="2" t="str">
        <x:v>S-S-SS</x:v>
      </x:c>
      <x:c r="E3543" s="14" t="n">
        <x:v>10</x:v>
      </x:c>
      <x:c r="F3543" s="2" t="str">
        <x:v>Final leak / function test</x:v>
      </x:c>
      <x:c r="G3543" s="9" t="str">
        <x:v>QA-02</x:v>
      </x:c>
      <x:c r="H3543" s="15" t="n">
        <x:v>266</x:v>
      </x:c>
      <x:c r="I3543" s="9" t="str">
        <x:v>P11</x:v>
      </x:c>
      <x:c r="J3543" s="11" t="n">
        <x:v>46314.521527777775</x:v>
      </x:c>
      <x:c r="K3543" s="15" t="n">
        <x:v>10</x:v>
      </x:c>
      <x:c r="L3543" s="15" t="n">
        <x:v>9</x:v>
      </x:c>
      <x:c r="M3543" s="13" t="n">
        <x:f>J3543+(K3543+L3543)/1440</x:f>
        <x:v>46314.53472222222</x:v>
      </x:c>
      <x:c r="N3543" s="13" t="n">
        <x:f>VLOOKUP(C3543,'MES orders'!$A$8:$H$127,5,FALSE)</x:f>
        <x:v>46311.666666666664</x:v>
      </x:c>
      <x:c r="O3543" s="16" t="n">
        <x:f>MAX(0,(M3543-N3543)*24)</x:f>
        <x:v>68.83333333331393</x:v>
      </x:c>
      <x:c r="P3543" s="9" t="str">
        <x:v>No</x:v>
      </x:c>
      <x:c r="Q3543" s="15" t="n">
        <x:v>19</x:v>
      </x:c>
      <x:c r="R3543" s="13" t="n">
        <x:f>J3543+Q3543/1440</x:f>
        <x:v>46314.53472222222</x:v>
      </x:c>
      <x:c r="S3543" s="2" t="str">
        <x:f>VLOOKUP(C3543,'MES orders'!$A$8:$H$127,6,FALSE)</x:f>
        <x:v>Normal</x:v>
      </x:c>
      <x:c r="T3543" s="9" t="str"/>
    </x:row>
    <x:row r="3544" ht="22" customHeight="1">
      <x:c r="A3544" s="2" t="str">
        <x:v>L00197-020</x:v>
      </x:c>
      <x:c r="B3544" s="2" t="str">
        <x:v>L00197</x:v>
      </x:c>
      <x:c r="C3544" s="2" t="str">
        <x:v>SO-26040</x:v>
      </x:c>
      <x:c r="D3544" s="2" t="str">
        <x:v>D-S-SS</x:v>
      </x:c>
      <x:c r="E3544" s="14" t="n">
        <x:v>15</x:v>
      </x:c>
      <x:c r="F3544" s="2" t="str">
        <x:v>Deburr &amp; inspect</x:v>
      </x:c>
      <x:c r="G3544" s="9" t="str">
        <x:v>DB-01</x:v>
      </x:c>
      <x:c r="H3544" s="15" t="n">
        <x:v>331</x:v>
      </x:c>
      <x:c r="I3544" s="9" t="str">
        <x:v>P06</x:v>
      </x:c>
      <x:c r="J3544" s="11" t="n">
        <x:v>46314.527083333334</x:v>
      </x:c>
      <x:c r="K3544" s="15" t="n">
        <x:v>4</x:v>
      </x:c>
      <x:c r="L3544" s="15" t="n">
        <x:v>10</x:v>
      </x:c>
      <x:c r="M3544" s="13" t="n">
        <x:f>J3544+(K3544+L3544)/1440</x:f>
        <x:v>46314.53680555556</x:v>
      </x:c>
      <x:c r="N3544" s="13" t="n">
        <x:f>VLOOKUP(C3544,'MES orders'!$A$8:$H$127,5,FALSE)</x:f>
        <x:v>46311.666666666664</x:v>
      </x:c>
      <x:c r="O3544" s="16" t="n">
        <x:f>MAX(0,(M3544-N3544)*24)</x:f>
        <x:v>68.88333333347691</x:v>
      </x:c>
      <x:c r="P3544" s="9" t="str">
        <x:v>No</x:v>
      </x:c>
      <x:c r="Q3544" s="15" t="n">
        <x:v>14</x:v>
      </x:c>
      <x:c r="R3544" s="13" t="n">
        <x:f>J3544+Q3544/1440</x:f>
        <x:v>46314.53680555556</x:v>
      </x:c>
      <x:c r="S3544" s="2" t="str">
        <x:f>VLOOKUP(C3544,'MES orders'!$A$8:$H$127,6,FALSE)</x:f>
        <x:v>Normal</x:v>
      </x:c>
      <x:c r="T3544" s="9" t="str"/>
    </x:row>
    <x:row r="3545" ht="22" customHeight="1">
      <x:c r="A3545" s="2" t="str">
        <x:v>L00196-030</x:v>
      </x:c>
      <x:c r="B3545" s="2" t="str">
        <x:v>L00196</x:v>
      </x:c>
      <x:c r="C3545" s="2" t="str">
        <x:v>SO-26040</x:v>
      </x:c>
      <x:c r="D3545" s="2" t="str">
        <x:v>D-S-SS</x:v>
      </x:c>
      <x:c r="E3545" s="14" t="n">
        <x:v>15</x:v>
      </x:c>
      <x:c r="F3545" s="2" t="str">
        <x:v>Wash &amp; dry</x:v>
      </x:c>
      <x:c r="G3545" s="9" t="str">
        <x:v>WS-01</x:v>
      </x:c>
      <x:c r="H3545" s="15" t="n">
        <x:v>324</x:v>
      </x:c>
      <x:c r="I3545" s="9" t="str">
        <x:v>P04</x:v>
      </x:c>
      <x:c r="J3545" s="11" t="n">
        <x:v>46314.527083333334</x:v>
      </x:c>
      <x:c r="K3545" s="15" t="n">
        <x:v>12</x:v>
      </x:c>
      <x:c r="L3545" s="15" t="n">
        <x:v>5</x:v>
      </x:c>
      <x:c r="M3545" s="13" t="n">
        <x:f>J3545+(K3545+L3545)/1440</x:f>
        <x:v>46314.53888888889</x:v>
      </x:c>
      <x:c r="N3545" s="13" t="n">
        <x:f>VLOOKUP(C3545,'MES orders'!$A$8:$H$127,5,FALSE)</x:f>
        <x:v>46311.666666666664</x:v>
      </x:c>
      <x:c r="O3545" s="16" t="n">
        <x:f>MAX(0,(M3545-N3545)*24)</x:f>
        <x:v>68.93333333346527</x:v>
      </x:c>
      <x:c r="P3545" s="9" t="str">
        <x:v>No</x:v>
      </x:c>
      <x:c r="Q3545" s="15" t="n">
        <x:v>17</x:v>
      </x:c>
      <x:c r="R3545" s="13" t="n">
        <x:f>J3545+Q3545/1440</x:f>
        <x:v>46314.53888888889</x:v>
      </x:c>
      <x:c r="S3545" s="2" t="str">
        <x:f>VLOOKUP(C3545,'MES orders'!$A$8:$H$127,6,FALSE)</x:f>
        <x:v>Normal</x:v>
      </x:c>
      <x:c r="T3545" s="9" t="str"/>
    </x:row>
    <x:row r="3546" ht="22" customHeight="1">
      <x:c r="A3546" s="2" t="str">
        <x:v>L00077-080</x:v>
      </x:c>
      <x:c r="B3546" s="2" t="str">
        <x:v>L00077</x:v>
      </x:c>
      <x:c r="C3546" s="2" t="str">
        <x:v>SO-26016</x:v>
      </x:c>
      <x:c r="D3546" s="2" t="str">
        <x:v>S-S-SS</x:v>
      </x:c>
      <x:c r="E3546" s="14" t="n">
        <x:v>10</x:v>
      </x:c>
      <x:c r="F3546" s="2" t="str">
        <x:v>Final leak / function test</x:v>
      </x:c>
      <x:c r="G3546" s="9" t="str">
        <x:v>QA-03</x:v>
      </x:c>
      <x:c r="H3546" s="15" t="n">
        <x:v>157</x:v>
      </x:c>
      <x:c r="I3546" s="9" t="str">
        <x:v>P12</x:v>
      </x:c>
      <x:c r="J3546" s="11" t="n">
        <x:v>46314.529861111114</x:v>
      </x:c>
      <x:c r="K3546" s="15" t="n">
        <x:v>10</x:v>
      </x:c>
      <x:c r="L3546" s="15" t="n">
        <x:v>9</x:v>
      </x:c>
      <x:c r="M3546" s="13" t="n">
        <x:f>J3546+(K3546+L3546)/1440</x:f>
        <x:v>46314.54305555556</x:v>
      </x:c>
      <x:c r="N3546" s="13" t="n">
        <x:f>VLOOKUP(C3546,'MES orders'!$A$8:$H$127,5,FALSE)</x:f>
        <x:v>46311.666666666664</x:v>
      </x:c>
      <x:c r="O3546" s="16" t="n">
        <x:f>MAX(0,(M3546-N3546)*24)</x:f>
        <x:v>69.03333333344199</x:v>
      </x:c>
      <x:c r="P3546" s="9" t="str">
        <x:v>No</x:v>
      </x:c>
      <x:c r="Q3546" s="15" t="n">
        <x:v>19</x:v>
      </x:c>
      <x:c r="R3546" s="13" t="n">
        <x:f>J3546+Q3546/1440</x:f>
        <x:v>46314.54305555556</x:v>
      </x:c>
      <x:c r="S3546" s="2" t="str">
        <x:f>VLOOKUP(C3546,'MES orders'!$A$8:$H$127,6,FALSE)</x:f>
        <x:v>Normal</x:v>
      </x:c>
      <x:c r="T3546" s="9" t="str"/>
    </x:row>
    <x:row r="3547" ht="22" customHeight="1">
      <x:c r="A3547" s="2" t="str">
        <x:v>L00078-070</x:v>
      </x:c>
      <x:c r="B3547" s="2" t="str">
        <x:v>L00078</x:v>
      </x:c>
      <x:c r="C3547" s="2" t="str">
        <x:v>SO-26016</x:v>
      </x:c>
      <x:c r="D3547" s="2" t="str">
        <x:v>S-S-SS</x:v>
      </x:c>
      <x:c r="E3547" s="14" t="n">
        <x:v>10</x:v>
      </x:c>
      <x:c r="F3547" s="2" t="str">
        <x:v>Final assembly</x:v>
      </x:c>
      <x:c r="G3547" s="9" t="str">
        <x:v>AS-01</x:v>
      </x:c>
      <x:c r="H3547" s="15" t="n">
        <x:v>284</x:v>
      </x:c>
      <x:c r="I3547" s="9" t="str">
        <x:v>P05</x:v>
      </x:c>
      <x:c r="J3547" s="11" t="n">
        <x:v>46314.535416666666</x:v>
      </x:c>
      <x:c r="K3547" s="15" t="n">
        <x:v>5</x:v>
      </x:c>
      <x:c r="L3547" s="15" t="n">
        <x:v>8</x:v>
      </x:c>
      <x:c r="M3547" s="13" t="n">
        <x:f>J3547+(K3547+L3547)/1440</x:f>
        <x:v>46314.544444444444</x:v>
      </x:c>
      <x:c r="N3547" s="13" t="n">
        <x:f>VLOOKUP(C3547,'MES orders'!$A$8:$H$127,5,FALSE)</x:f>
        <x:v>46311.666666666664</x:v>
      </x:c>
      <x:c r="O3547" s="16" t="n">
        <x:f>MAX(0,(M3547-N3547)*24)</x:f>
        <x:v>69.06666666670935</x:v>
      </x:c>
      <x:c r="P3547" s="9" t="str">
        <x:v>No</x:v>
      </x:c>
      <x:c r="Q3547" s="15" t="n">
        <x:v>13</x:v>
      </x:c>
      <x:c r="R3547" s="13" t="n">
        <x:f>J3547+Q3547/1440</x:f>
        <x:v>46314.544444444444</x:v>
      </x:c>
      <x:c r="S3547" s="2" t="str">
        <x:f>VLOOKUP(C3547,'MES orders'!$A$8:$H$127,6,FALSE)</x:f>
        <x:v>Normal</x:v>
      </x:c>
      <x:c r="T3547" s="9" t="str"/>
    </x:row>
    <x:row r="3548" ht="22" customHeight="1">
      <x:c r="A3548" s="2" t="str">
        <x:v>L00079-060</x:v>
      </x:c>
      <x:c r="B3548" s="2" t="str">
        <x:v>L00079</x:v>
      </x:c>
      <x:c r="C3548" s="2" t="str">
        <x:v>SO-26016</x:v>
      </x:c>
      <x:c r="D3548" s="2" t="str">
        <x:v>S-S-SS</x:v>
      </x:c>
      <x:c r="E3548" s="14" t="n">
        <x:v>10</x:v>
      </x:c>
      <x:c r="F3548" s="2" t="str">
        <x:v>Sensor calibration</x:v>
      </x:c>
      <x:c r="G3548" s="9" t="str">
        <x:v>CAL-01</x:v>
      </x:c>
      <x:c r="H3548" s="15" t="n">
        <x:v>184</x:v>
      </x:c>
      <x:c r="I3548" s="9" t="str">
        <x:v>P09</x:v>
      </x:c>
      <x:c r="J3548" s="11" t="n">
        <x:v>46314.535416666666</x:v>
      </x:c>
      <x:c r="K3548" s="15" t="n">
        <x:v>10</x:v>
      </x:c>
      <x:c r="L3548" s="15" t="n">
        <x:v>13</x:v>
      </x:c>
      <x:c r="M3548" s="13" t="n">
        <x:f>J3548+(K3548+L3548)/1440</x:f>
        <x:v>46314.55138888889</x:v>
      </x:c>
      <x:c r="N3548" s="13" t="n">
        <x:f>VLOOKUP(C3548,'MES orders'!$A$8:$H$127,5,FALSE)</x:f>
        <x:v>46311.666666666664</x:v>
      </x:c>
      <x:c r="O3548" s="16" t="n">
        <x:f>MAX(0,(M3548-N3548)*24)</x:f>
        <x:v>69.23333333339542</x:v>
      </x:c>
      <x:c r="P3548" s="9" t="str">
        <x:v>No</x:v>
      </x:c>
      <x:c r="Q3548" s="15" t="n">
        <x:v>23</x:v>
      </x:c>
      <x:c r="R3548" s="13" t="n">
        <x:f>J3548+Q3548/1440</x:f>
        <x:v>46314.55138888889</x:v>
      </x:c>
      <x:c r="S3548" s="2" t="str">
        <x:f>VLOOKUP(C3548,'MES orders'!$A$8:$H$127,6,FALSE)</x:f>
        <x:v>Normal</x:v>
      </x:c>
      <x:c r="T3548" s="9" t="str"/>
    </x:row>
    <x:row r="3549" ht="22" customHeight="1">
      <x:c r="A3549" s="2" t="str">
        <x:v>L00197-030</x:v>
      </x:c>
      <x:c r="B3549" s="2" t="str">
        <x:v>L00197</x:v>
      </x:c>
      <x:c r="C3549" s="2" t="str">
        <x:v>SO-26040</x:v>
      </x:c>
      <x:c r="D3549" s="2" t="str">
        <x:v>D-S-SS</x:v>
      </x:c>
      <x:c r="E3549" s="14" t="n">
        <x:v>15</x:v>
      </x:c>
      <x:c r="F3549" s="2" t="str">
        <x:v>Wash &amp; dry</x:v>
      </x:c>
      <x:c r="G3549" s="9" t="str">
        <x:v>WS-02</x:v>
      </x:c>
      <x:c r="H3549" s="15" t="n">
        <x:v>236</x:v>
      </x:c>
      <x:c r="I3549" s="9" t="str">
        <x:v>P06</x:v>
      </x:c>
      <x:c r="J3549" s="11" t="n">
        <x:v>46314.53680555556</x:v>
      </x:c>
      <x:c r="K3549" s="15" t="n">
        <x:v>12</x:v>
      </x:c>
      <x:c r="L3549" s="15" t="n">
        <x:v>5</x:v>
      </x:c>
      <x:c r="M3549" s="13" t="n">
        <x:f>J3549+(K3549+L3549)/1440</x:f>
        <x:v>46314.54861111112</x:v>
      </x:c>
      <x:c r="N3549" s="13" t="n">
        <x:f>VLOOKUP(C3549,'MES orders'!$A$8:$H$127,5,FALSE)</x:f>
        <x:v>46311.666666666664</x:v>
      </x:c>
      <x:c r="O3549" s="16" t="n">
        <x:f>MAX(0,(M3549-N3549)*24)</x:f>
        <x:v>69.16666666686069</x:v>
      </x:c>
      <x:c r="P3549" s="9" t="str">
        <x:v>No</x:v>
      </x:c>
      <x:c r="Q3549" s="15" t="n">
        <x:v>17</x:v>
      </x:c>
      <x:c r="R3549" s="13" t="n">
        <x:f>J3549+Q3549/1440</x:f>
        <x:v>46314.54861111112</x:v>
      </x:c>
      <x:c r="S3549" s="2" t="str">
        <x:f>VLOOKUP(C3549,'MES orders'!$A$8:$H$127,6,FALSE)</x:f>
        <x:v>Normal</x:v>
      </x:c>
      <x:c r="T3549" s="9" t="str"/>
    </x:row>
    <x:row r="3550" ht="22" customHeight="1">
      <x:c r="A3550" s="2" t="str">
        <x:v>L00196-040</x:v>
      </x:c>
      <x:c r="B3550" s="2" t="str">
        <x:v>L00196</x:v>
      </x:c>
      <x:c r="C3550" s="2" t="str">
        <x:v>SO-26040</x:v>
      </x:c>
      <x:c r="D3550" s="2" t="str">
        <x:v>D-S-SS</x:v>
      </x:c>
      <x:c r="E3550" s="14" t="n">
        <x:v>15</x:v>
      </x:c>
      <x:c r="F3550" s="2" t="str">
        <x:v>Mechanical assembly</x:v>
      </x:c>
      <x:c r="G3550" s="9" t="str">
        <x:v>AS-02</x:v>
      </x:c>
      <x:c r="H3550" s="15" t="n">
        <x:v>232</x:v>
      </x:c>
      <x:c r="I3550" s="9" t="str">
        <x:v>P04</x:v>
      </x:c>
      <x:c r="J3550" s="11" t="n">
        <x:v>46314.53888888889</x:v>
      </x:c>
      <x:c r="K3550" s="15" t="n">
        <x:v>8</x:v>
      </x:c>
      <x:c r="L3550" s="15" t="n">
        <x:v>27</x:v>
      </x:c>
      <x:c r="M3550" s="13" t="n">
        <x:f>J3550+(K3550+L3550)/1440</x:f>
        <x:v>46314.56319444445</x:v>
      </x:c>
      <x:c r="N3550" s="13" t="n">
        <x:f>VLOOKUP(C3550,'MES orders'!$A$8:$H$127,5,FALSE)</x:f>
        <x:v>46311.666666666664</x:v>
      </x:c>
      <x:c r="O3550" s="16" t="n">
        <x:f>MAX(0,(M3550-N3550)*24)</x:f>
        <x:v>69.5166666667792</x:v>
      </x:c>
      <x:c r="P3550" s="9" t="str">
        <x:v>No</x:v>
      </x:c>
      <x:c r="Q3550" s="15" t="n">
        <x:v>35</x:v>
      </x:c>
      <x:c r="R3550" s="13" t="n">
        <x:f>J3550+Q3550/1440</x:f>
        <x:v>46314.56319444445</x:v>
      </x:c>
      <x:c r="S3550" s="2" t="str">
        <x:f>VLOOKUP(C3550,'MES orders'!$A$8:$H$127,6,FALSE)</x:f>
        <x:v>Normal</x:v>
      </x:c>
      <x:c r="T3550" s="9" t="str"/>
    </x:row>
    <x:row r="3551" ht="22" customHeight="1">
      <x:c r="A3551" s="2" t="str">
        <x:v>L00159-050</x:v>
      </x:c>
      <x:c r="B3551" s="2" t="str">
        <x:v>L00159</x:v>
      </x:c>
      <x:c r="C3551" s="2" t="str">
        <x:v>SO-26032</x:v>
      </x:c>
      <x:c r="D3551" s="2" t="str">
        <x:v>D-C-SS</x:v>
      </x:c>
      <x:c r="E3551" s="14" t="n">
        <x:v>15</x:v>
      </x:c>
      <x:c r="F3551" s="2" t="str">
        <x:v>Final leak / function test</x:v>
      </x:c>
      <x:c r="G3551" s="9" t="str">
        <x:v>QA-01</x:v>
      </x:c>
      <x:c r="H3551" s="15" t="n">
        <x:v>130</x:v>
      </x:c>
      <x:c r="I3551" s="9" t="str">
        <x:v>P12</x:v>
      </x:c>
      <x:c r="J3551" s="11" t="n">
        <x:v>46314.54305555556</x:v>
      </x:c>
      <x:c r="K3551" s="15" t="n">
        <x:v>10</x:v>
      </x:c>
      <x:c r="L3551" s="15" t="n">
        <x:v>11</x:v>
      </x:c>
      <x:c r="M3551" s="13" t="n">
        <x:f>J3551+(K3551+L3551)/1440</x:f>
        <x:v>46314.55763888889</x:v>
      </x:c>
      <x:c r="N3551" s="13" t="n">
        <x:f>VLOOKUP(C3551,'MES orders'!$A$8:$H$127,5,FALSE)</x:f>
        <x:v>46311.666666666664</x:v>
      </x:c>
      <x:c r="O3551" s="16" t="n">
        <x:f>MAX(0,(M3551-N3551)*24)</x:f>
        <x:v>69.3833333333605</x:v>
      </x:c>
      <x:c r="P3551" s="9" t="str">
        <x:v>No</x:v>
      </x:c>
      <x:c r="Q3551" s="15" t="n">
        <x:v>21</x:v>
      </x:c>
      <x:c r="R3551" s="13" t="n">
        <x:f>J3551+Q3551/1440</x:f>
        <x:v>46314.55763888889</x:v>
      </x:c>
      <x:c r="S3551" s="2" t="str">
        <x:f>VLOOKUP(C3551,'MES orders'!$A$8:$H$127,6,FALSE)</x:f>
        <x:v>Normal</x:v>
      </x:c>
      <x:c r="T3551" s="9" t="str"/>
    </x:row>
    <x:row r="3552" ht="22" customHeight="1">
      <x:c r="A3552" s="2" t="str">
        <x:v>L00078-080</x:v>
      </x:c>
      <x:c r="B3552" s="2" t="str">
        <x:v>L00078</x:v>
      </x:c>
      <x:c r="C3552" s="2" t="str">
        <x:v>SO-26016</x:v>
      </x:c>
      <x:c r="D3552" s="2" t="str">
        <x:v>S-S-SS</x:v>
      </x:c>
      <x:c r="E3552" s="14" t="n">
        <x:v>10</x:v>
      </x:c>
      <x:c r="F3552" s="2" t="str">
        <x:v>Final leak / function test</x:v>
      </x:c>
      <x:c r="G3552" s="9" t="str">
        <x:v>QA-02</x:v>
      </x:c>
      <x:c r="H3552" s="15" t="n">
        <x:v>267</x:v>
      </x:c>
      <x:c r="I3552" s="9" t="str">
        <x:v>P11</x:v>
      </x:c>
      <x:c r="J3552" s="11" t="n">
        <x:v>46314.544444444444</x:v>
      </x:c>
      <x:c r="K3552" s="15" t="n">
        <x:v>10</x:v>
      </x:c>
      <x:c r="L3552" s="15" t="n">
        <x:v>9</x:v>
      </x:c>
      <x:c r="M3552" s="13" t="n">
        <x:f>J3552+(K3552+L3552)/1440</x:f>
        <x:v>46314.55763888889</x:v>
      </x:c>
      <x:c r="N3552" s="13" t="n">
        <x:f>VLOOKUP(C3552,'MES orders'!$A$8:$H$127,5,FALSE)</x:f>
        <x:v>46311.666666666664</x:v>
      </x:c>
      <x:c r="O3552" s="16" t="n">
        <x:f>MAX(0,(M3552-N3552)*24)</x:f>
        <x:v>69.3833333333605</x:v>
      </x:c>
      <x:c r="P3552" s="9" t="str">
        <x:v>No</x:v>
      </x:c>
      <x:c r="Q3552" s="15" t="n">
        <x:v>19</x:v>
      </x:c>
      <x:c r="R3552" s="13" t="n">
        <x:f>J3552+Q3552/1440</x:f>
        <x:v>46314.55763888889</x:v>
      </x:c>
      <x:c r="S3552" s="2" t="str">
        <x:f>VLOOKUP(C3552,'MES orders'!$A$8:$H$127,6,FALSE)</x:f>
        <x:v>Normal</x:v>
      </x:c>
      <x:c r="T3552" s="9" t="str"/>
    </x:row>
    <x:row r="3553" ht="22" customHeight="1">
      <x:c r="A3553" s="2" t="str">
        <x:v>L00197-040</x:v>
      </x:c>
      <x:c r="B3553" s="2" t="str">
        <x:v>L00197</x:v>
      </x:c>
      <x:c r="C3553" s="2" t="str">
        <x:v>SO-26040</x:v>
      </x:c>
      <x:c r="D3553" s="2" t="str">
        <x:v>D-S-SS</x:v>
      </x:c>
      <x:c r="E3553" s="14" t="n">
        <x:v>15</x:v>
      </x:c>
      <x:c r="F3553" s="2" t="str">
        <x:v>Mechanical assembly</x:v>
      </x:c>
      <x:c r="G3553" s="9" t="str">
        <x:v>AS-03</x:v>
      </x:c>
      <x:c r="H3553" s="15" t="n">
        <x:v>191</x:v>
      </x:c>
      <x:c r="I3553" s="9" t="str">
        <x:v>P06</x:v>
      </x:c>
      <x:c r="J3553" s="11" t="n">
        <x:v>46314.54861111111</x:v>
      </x:c>
      <x:c r="K3553" s="15" t="n">
        <x:v>8</x:v>
      </x:c>
      <x:c r="L3553" s="15" t="n">
        <x:v>27</x:v>
      </x:c>
      <x:c r="M3553" s="13" t="n">
        <x:f>J3553+(K3553+L3553)/1440</x:f>
        <x:v>46314.572916666664</x:v>
      </x:c>
      <x:c r="N3553" s="13" t="n">
        <x:f>VLOOKUP(C3553,'MES orders'!$A$8:$H$127,5,FALSE)</x:f>
        <x:v>46311.666666666664</x:v>
      </x:c>
      <x:c r="O3553" s="16" t="n">
        <x:f>MAX(0,(M3553-N3553)*24)</x:f>
        <x:v>69.75</x:v>
      </x:c>
      <x:c r="P3553" s="9" t="str">
        <x:v>No</x:v>
      </x:c>
      <x:c r="Q3553" s="15" t="n">
        <x:v>35</x:v>
      </x:c>
      <x:c r="R3553" s="13" t="n">
        <x:f>J3553+Q3553/1440</x:f>
        <x:v>46314.572916666664</x:v>
      </x:c>
      <x:c r="S3553" s="2" t="str">
        <x:f>VLOOKUP(C3553,'MES orders'!$A$8:$H$127,6,FALSE)</x:f>
        <x:v>Normal</x:v>
      </x:c>
      <x:c r="T3553" s="9" t="str"/>
    </x:row>
    <x:row r="3554" ht="22" customHeight="1">
      <x:c r="A3554" s="2" t="str">
        <x:v>L00278-010</x:v>
      </x:c>
      <x:c r="B3554" s="2" t="str">
        <x:v>L00278</x:v>
      </x:c>
      <x:c r="C3554" s="2" t="str">
        <x:v>SO-26056</x:v>
      </x:c>
      <x:c r="D3554" s="2" t="str">
        <x:v>R-C-SS</x:v>
      </x:c>
      <x:c r="E3554" s="14" t="n">
        <x:v>5</x:v>
      </x:c>
      <x:c r="F3554" s="2" t="str">
        <x:v>CNC machining</x:v>
      </x:c>
      <x:c r="G3554" s="9" t="str">
        <x:v>CNC-05</x:v>
      </x:c>
      <x:c r="H3554" s="15" t="n">
        <x:v>100</x:v>
      </x:c>
      <x:c r="I3554" s="9" t="str">
        <x:v>P01</x:v>
      </x:c>
      <x:c r="J3554" s="11" t="n">
        <x:v>46314.55</x:v>
      </x:c>
      <x:c r="K3554" s="15" t="n">
        <x:v>18</x:v>
      </x:c>
      <x:c r="L3554" s="15" t="n">
        <x:v>12</x:v>
      </x:c>
      <x:c r="M3554" s="13" t="n">
        <x:f>J3554+(K3554+L3554)/1440</x:f>
        <x:v>46314.57083333334</x:v>
      </x:c>
      <x:c r="N3554" s="13" t="n">
        <x:f>VLOOKUP(C3554,'MES orders'!$A$8:$H$127,5,FALSE)</x:f>
        <x:v>46311.666666666664</x:v>
      </x:c>
      <x:c r="O3554" s="16" t="n">
        <x:f>MAX(0,(M3554-N3554)*24)</x:f>
        <x:v>69.70000000018626</x:v>
      </x:c>
      <x:c r="P3554" s="9" t="str">
        <x:v>No</x:v>
      </x:c>
      <x:c r="Q3554" s="15" t="n">
        <x:v>18</x:v>
      </x:c>
      <x:c r="R3554" s="13" t="n">
        <x:f>J3554+Q3554/1440</x:f>
        <x:v>46314.5625</x:v>
      </x:c>
      <x:c r="S3554" s="2" t="str">
        <x:f>VLOOKUP(C3554,'MES orders'!$A$8:$H$127,6,FALSE)</x:f>
        <x:v>Normal</x:v>
      </x:c>
      <x:c r="T3554" s="9" t="str"/>
    </x:row>
    <x:row r="3555" ht="22" customHeight="1">
      <x:c r="A3555" s="2" t="str">
        <x:v>L00079-070</x:v>
      </x:c>
      <x:c r="B3555" s="2" t="str">
        <x:v>L00079</x:v>
      </x:c>
      <x:c r="C3555" s="2" t="str">
        <x:v>SO-26016</x:v>
      </x:c>
      <x:c r="D3555" s="2" t="str">
        <x:v>S-S-SS</x:v>
      </x:c>
      <x:c r="E3555" s="14" t="n">
        <x:v>10</x:v>
      </x:c>
      <x:c r="F3555" s="2" t="str">
        <x:v>Final assembly</x:v>
      </x:c>
      <x:c r="G3555" s="9" t="str">
        <x:v>AS-01</x:v>
      </x:c>
      <x:c r="H3555" s="15" t="n">
        <x:v>285</x:v>
      </x:c>
      <x:c r="I3555" s="9" t="str">
        <x:v>P05</x:v>
      </x:c>
      <x:c r="J3555" s="11" t="n">
        <x:v>46314.55138888889</x:v>
      </x:c>
      <x:c r="K3555" s="15" t="n">
        <x:v>5</x:v>
      </x:c>
      <x:c r="L3555" s="15" t="n">
        <x:v>8</x:v>
      </x:c>
      <x:c r="M3555" s="13" t="n">
        <x:f>J3555+(K3555+L3555)/1440</x:f>
        <x:v>46314.56041666667</x:v>
      </x:c>
      <x:c r="N3555" s="13" t="n">
        <x:f>VLOOKUP(C3555,'MES orders'!$A$8:$H$127,5,FALSE)</x:f>
        <x:v>46311.666666666664</x:v>
      </x:c>
      <x:c r="O3555" s="16" t="n">
        <x:f>MAX(0,(M3555-N3555)*24)</x:f>
        <x:v>69.45000000006985</x:v>
      </x:c>
      <x:c r="P3555" s="9" t="str">
        <x:v>No</x:v>
      </x:c>
      <x:c r="Q3555" s="15" t="n">
        <x:v>13</x:v>
      </x:c>
      <x:c r="R3555" s="13" t="n">
        <x:f>J3555+Q3555/1440</x:f>
        <x:v>46314.56041666667</x:v>
      </x:c>
      <x:c r="S3555" s="2" t="str">
        <x:f>VLOOKUP(C3555,'MES orders'!$A$8:$H$127,6,FALSE)</x:f>
        <x:v>Normal</x:v>
      </x:c>
      <x:c r="T3555" s="9" t="str"/>
    </x:row>
    <x:row r="3556" ht="22" customHeight="1">
      <x:c r="A3556" s="2" t="str">
        <x:v>L00080-060</x:v>
      </x:c>
      <x:c r="B3556" s="2" t="str">
        <x:v>L00080</x:v>
      </x:c>
      <x:c r="C3556" s="2" t="str">
        <x:v>SO-26016</x:v>
      </x:c>
      <x:c r="D3556" s="2" t="str">
        <x:v>S-S-SS</x:v>
      </x:c>
      <x:c r="E3556" s="14" t="n">
        <x:v>10</x:v>
      </x:c>
      <x:c r="F3556" s="2" t="str">
        <x:v>Sensor calibration</x:v>
      </x:c>
      <x:c r="G3556" s="9" t="str">
        <x:v>CAL-01</x:v>
      </x:c>
      <x:c r="H3556" s="15" t="n">
        <x:v>185</x:v>
      </x:c>
      <x:c r="I3556" s="9" t="str">
        <x:v>P09</x:v>
      </x:c>
      <x:c r="J3556" s="11" t="n">
        <x:v>46314.55138888889</x:v>
      </x:c>
      <x:c r="K3556" s="15" t="n">
        <x:v>10</x:v>
      </x:c>
      <x:c r="L3556" s="15" t="n">
        <x:v>13</x:v>
      </x:c>
      <x:c r="M3556" s="13" t="n">
        <x:f>J3556+(K3556+L3556)/1440</x:f>
        <x:v>46314.56736111111</x:v>
      </x:c>
      <x:c r="N3556" s="13" t="n">
        <x:f>VLOOKUP(C3556,'MES orders'!$A$8:$H$127,5,FALSE)</x:f>
        <x:v>46311.666666666664</x:v>
      </x:c>
      <x:c r="O3556" s="16" t="n">
        <x:f>MAX(0,(M3556-N3556)*24)</x:f>
        <x:v>69.61666666675592</x:v>
      </x:c>
      <x:c r="P3556" s="9" t="str">
        <x:v>No</x:v>
      </x:c>
      <x:c r="Q3556" s="15" t="n">
        <x:v>23</x:v>
      </x:c>
      <x:c r="R3556" s="13" t="n">
        <x:f>J3556+Q3556/1440</x:f>
        <x:v>46314.56736111111</x:v>
      </x:c>
      <x:c r="S3556" s="2" t="str">
        <x:f>VLOOKUP(C3556,'MES orders'!$A$8:$H$127,6,FALSE)</x:f>
        <x:v>Normal</x:v>
      </x:c>
      <x:c r="T3556" s="9" t="str"/>
    </x:row>
    <x:row r="3557" ht="22" customHeight="1">
      <x:c r="A3557" s="2" t="str">
        <x:v>L00160-050</x:v>
      </x:c>
      <x:c r="B3557" s="2" t="str">
        <x:v>L00160</x:v>
      </x:c>
      <x:c r="C3557" s="2" t="str">
        <x:v>SO-26032</x:v>
      </x:c>
      <x:c r="D3557" s="2" t="str">
        <x:v>D-C-SS</x:v>
      </x:c>
      <x:c r="E3557" s="14" t="n">
        <x:v>15</x:v>
      </x:c>
      <x:c r="F3557" s="2" t="str">
        <x:v>Final leak / function test</x:v>
      </x:c>
      <x:c r="G3557" s="9" t="str">
        <x:v>QA-01</x:v>
      </x:c>
      <x:c r="H3557" s="15" t="n">
        <x:v>131</x:v>
      </x:c>
      <x:c r="I3557" s="9" t="str">
        <x:v>P12</x:v>
      </x:c>
      <x:c r="J3557" s="11" t="n">
        <x:v>46314.55763888889</x:v>
      </x:c>
      <x:c r="K3557" s="15" t="n">
        <x:v>10</x:v>
      </x:c>
      <x:c r="L3557" s="15" t="n">
        <x:v>11</x:v>
      </x:c>
      <x:c r="M3557" s="13" t="n">
        <x:f>J3557+(K3557+L3557)/1440</x:f>
        <x:v>46314.57222222222</x:v>
      </x:c>
      <x:c r="N3557" s="13" t="n">
        <x:f>VLOOKUP(C3557,'MES orders'!$A$8:$H$127,5,FALSE)</x:f>
        <x:v>46311.666666666664</x:v>
      </x:c>
      <x:c r="O3557" s="16" t="n">
        <x:f>MAX(0,(M3557-N3557)*24)</x:f>
        <x:v>69.733333333279</x:v>
      </x:c>
      <x:c r="P3557" s="9" t="str">
        <x:v>No</x:v>
      </x:c>
      <x:c r="Q3557" s="15" t="n">
        <x:v>21</x:v>
      </x:c>
      <x:c r="R3557" s="13" t="n">
        <x:f>J3557+Q3557/1440</x:f>
        <x:v>46314.57222222222</x:v>
      </x:c>
      <x:c r="S3557" s="2" t="str">
        <x:f>VLOOKUP(C3557,'MES orders'!$A$8:$H$127,6,FALSE)</x:f>
        <x:v>Normal</x:v>
      </x:c>
      <x:c r="T3557" s="9" t="str"/>
    </x:row>
    <x:row r="3558" ht="22" customHeight="1">
      <x:c r="A3558" s="2" t="str">
        <x:v>L00079-080</x:v>
      </x:c>
      <x:c r="B3558" s="2" t="str">
        <x:v>L00079</x:v>
      </x:c>
      <x:c r="C3558" s="2" t="str">
        <x:v>SO-26016</x:v>
      </x:c>
      <x:c r="D3558" s="2" t="str">
        <x:v>S-S-SS</x:v>
      </x:c>
      <x:c r="E3558" s="14" t="n">
        <x:v>10</x:v>
      </x:c>
      <x:c r="F3558" s="2" t="str">
        <x:v>Final leak / function test</x:v>
      </x:c>
      <x:c r="G3558" s="9" t="str">
        <x:v>QA-02</x:v>
      </x:c>
      <x:c r="H3558" s="15" t="n">
        <x:v>268</x:v>
      </x:c>
      <x:c r="I3558" s="9" t="str">
        <x:v>P11</x:v>
      </x:c>
      <x:c r="J3558" s="11" t="n">
        <x:v>46314.56041666667</x:v>
      </x:c>
      <x:c r="K3558" s="15" t="n">
        <x:v>10</x:v>
      </x:c>
      <x:c r="L3558" s="15" t="n">
        <x:v>9</x:v>
      </x:c>
      <x:c r="M3558" s="13" t="n">
        <x:f>J3558+(K3558+L3558)/1440</x:f>
        <x:v>46314.57361111111</x:v>
      </x:c>
      <x:c r="N3558" s="13" t="n">
        <x:f>VLOOKUP(C3558,'MES orders'!$A$8:$H$127,5,FALSE)</x:f>
        <x:v>46311.666666666664</x:v>
      </x:c>
      <x:c r="O3558" s="16" t="n">
        <x:f>MAX(0,(M3558-N3558)*24)</x:f>
        <x:v>69.766666666721</x:v>
      </x:c>
      <x:c r="P3558" s="9" t="str">
        <x:v>No</x:v>
      </x:c>
      <x:c r="Q3558" s="15" t="n">
        <x:v>19</x:v>
      </x:c>
      <x:c r="R3558" s="13" t="n">
        <x:f>J3558+Q3558/1440</x:f>
        <x:v>46314.57361111111</x:v>
      </x:c>
      <x:c r="S3558" s="2" t="str">
        <x:f>VLOOKUP(C3558,'MES orders'!$A$8:$H$127,6,FALSE)</x:f>
        <x:v>Normal</x:v>
      </x:c>
      <x:c r="T3558" s="9" t="str"/>
    </x:row>
    <x:row r="3559" ht="22" customHeight="1">
      <x:c r="A3559" s="2" t="str">
        <x:v>L00279-010</x:v>
      </x:c>
      <x:c r="B3559" s="2" t="str">
        <x:v>L00279</x:v>
      </x:c>
      <x:c r="C3559" s="2" t="str">
        <x:v>SO-26056</x:v>
      </x:c>
      <x:c r="D3559" s="2" t="str">
        <x:v>R-C-SS</x:v>
      </x:c>
      <x:c r="E3559" s="14" t="n">
        <x:v>5</x:v>
      </x:c>
      <x:c r="F3559" s="2" t="str">
        <x:v>CNC machining</x:v>
      </x:c>
      <x:c r="G3559" s="9" t="str">
        <x:v>CNC-03</x:v>
      </x:c>
      <x:c r="H3559" s="15" t="n">
        <x:v>115</x:v>
      </x:c>
      <x:c r="I3559" s="9" t="str">
        <x:v>P02</x:v>
      </x:c>
      <x:c r="J3559" s="11" t="n">
        <x:v>46314.5625</x:v>
      </x:c>
      <x:c r="K3559" s="15" t="n">
        <x:v>18</x:v>
      </x:c>
      <x:c r="L3559" s="15" t="n">
        <x:v>12</x:v>
      </x:c>
      <x:c r="M3559" s="13" t="n">
        <x:f>J3559+(K3559+L3559)/1440</x:f>
        <x:v>46314.583333333336</x:v>
      </x:c>
      <x:c r="N3559" s="13" t="n">
        <x:f>VLOOKUP(C3559,'MES orders'!$A$8:$H$127,5,FALSE)</x:f>
        <x:v>46311.666666666664</x:v>
      </x:c>
      <x:c r="O3559" s="16" t="n">
        <x:f>MAX(0,(M3559-N3559)*24)</x:f>
        <x:v>70.00000000011642</x:v>
      </x:c>
      <x:c r="P3559" s="9" t="str">
        <x:v>No</x:v>
      </x:c>
      <x:c r="Q3559" s="15" t="n">
        <x:v>18</x:v>
      </x:c>
      <x:c r="R3559" s="13" t="n">
        <x:f>J3559+Q3559/1440</x:f>
        <x:v>46314.575</x:v>
      </x:c>
      <x:c r="S3559" s="2" t="str">
        <x:f>VLOOKUP(C3559,'MES orders'!$A$8:$H$127,6,FALSE)</x:f>
        <x:v>Normal</x:v>
      </x:c>
      <x:c r="T3559" s="9" t="str"/>
    </x:row>
    <x:row r="3560" ht="22" customHeight="1">
      <x:c r="A3560" s="2" t="str">
        <x:v>L00198-020</x:v>
      </x:c>
      <x:c r="B3560" s="2" t="str">
        <x:v>L00198</x:v>
      </x:c>
      <x:c r="C3560" s="2" t="str">
        <x:v>SO-26040</x:v>
      </x:c>
      <x:c r="D3560" s="2" t="str">
        <x:v>D-S-SS</x:v>
      </x:c>
      <x:c r="E3560" s="14" t="n">
        <x:v>15</x:v>
      </x:c>
      <x:c r="F3560" s="2" t="str">
        <x:v>Deburr &amp; inspect</x:v>
      </x:c>
      <x:c r="G3560" s="9" t="str">
        <x:v>DB-01</x:v>
      </x:c>
      <x:c r="H3560" s="15" t="n">
        <x:v>332</x:v>
      </x:c>
      <x:c r="I3560" s="9" t="str">
        <x:v>P04</x:v>
      </x:c>
      <x:c r="J3560" s="11" t="n">
        <x:v>46314.56319444445</x:v>
      </x:c>
      <x:c r="K3560" s="15" t="n">
        <x:v>4</x:v>
      </x:c>
      <x:c r="L3560" s="15" t="n">
        <x:v>10</x:v>
      </x:c>
      <x:c r="M3560" s="13" t="n">
        <x:f>J3560+(K3560+L3560)/1440</x:f>
        <x:v>46314.57291666667</x:v>
      </x:c>
      <x:c r="N3560" s="13" t="n">
        <x:f>VLOOKUP(C3560,'MES orders'!$A$8:$H$127,5,FALSE)</x:f>
        <x:v>46311.666666666664</x:v>
      </x:c>
      <x:c r="O3560" s="16" t="n">
        <x:f>MAX(0,(M3560-N3560)*24)</x:f>
        <x:v>69.75000000017462</x:v>
      </x:c>
      <x:c r="P3560" s="9" t="str">
        <x:v>No</x:v>
      </x:c>
      <x:c r="Q3560" s="15" t="n">
        <x:v>14</x:v>
      </x:c>
      <x:c r="R3560" s="13" t="n">
        <x:f>J3560+Q3560/1440</x:f>
        <x:v>46314.57291666667</x:v>
      </x:c>
      <x:c r="S3560" s="2" t="str">
        <x:f>VLOOKUP(C3560,'MES orders'!$A$8:$H$127,6,FALSE)</x:f>
        <x:v>Normal</x:v>
      </x:c>
      <x:c r="T3560" s="9" t="str"/>
    </x:row>
    <x:row r="3561" ht="22" customHeight="1">
      <x:c r="A3561" s="2" t="str">
        <x:v>L00280-010</x:v>
      </x:c>
      <x:c r="B3561" s="2" t="str">
        <x:v>L00280</x:v>
      </x:c>
      <x:c r="C3561" s="2" t="str">
        <x:v>SO-26056</x:v>
      </x:c>
      <x:c r="D3561" s="2" t="str">
        <x:v>R-C-SS</x:v>
      </x:c>
      <x:c r="E3561" s="14" t="n">
        <x:v>5</x:v>
      </x:c>
      <x:c r="F3561" s="2" t="str">
        <x:v>CNC machining</x:v>
      </x:c>
      <x:c r="G3561" s="9" t="str">
        <x:v>CNC-06</x:v>
      </x:c>
      <x:c r="H3561" s="15" t="n">
        <x:v>92</x:v>
      </x:c>
      <x:c r="I3561" s="9" t="str">
        <x:v>P03</x:v>
      </x:c>
      <x:c r="J3561" s="11" t="n">
        <x:v>46314.56527777778</x:v>
      </x:c>
      <x:c r="K3561" s="15" t="n">
        <x:v>18</x:v>
      </x:c>
      <x:c r="L3561" s="15" t="n">
        <x:v>12</x:v>
      </x:c>
      <x:c r="M3561" s="13" t="n">
        <x:f>J3561+(K3561+L3561)/1440</x:f>
        <x:v>46314.586111111115</x:v>
      </x:c>
      <x:c r="N3561" s="13" t="n">
        <x:f>VLOOKUP(C3561,'MES orders'!$A$8:$H$127,5,FALSE)</x:f>
        <x:v>46311.666666666664</x:v>
      </x:c>
      <x:c r="O3561" s="16" t="n">
        <x:f>MAX(0,(M3561-N3561)*24)</x:f>
        <x:v>70.06666666682577</x:v>
      </x:c>
      <x:c r="P3561" s="9" t="str">
        <x:v>No</x:v>
      </x:c>
      <x:c r="Q3561" s="15" t="n">
        <x:v>18</x:v>
      </x:c>
      <x:c r="R3561" s="13" t="n">
        <x:f>J3561+Q3561/1440</x:f>
        <x:v>46314.57777777778</x:v>
      </x:c>
      <x:c r="S3561" s="2" t="str">
        <x:f>VLOOKUP(C3561,'MES orders'!$A$8:$H$127,6,FALSE)</x:f>
        <x:v>Normal</x:v>
      </x:c>
      <x:c r="T3561" s="9" t="str"/>
    </x:row>
    <x:row r="3562" ht="22" customHeight="1">
      <x:c r="A3562" s="2" t="str">
        <x:v>L00239-020</x:v>
      </x:c>
      <x:c r="B3562" s="2" t="str">
        <x:v>L00239</x:v>
      </x:c>
      <x:c r="C3562" s="2" t="str">
        <x:v>SO-26048</x:v>
      </x:c>
      <x:c r="D3562" s="2" t="str">
        <x:v>D-L-SS</x:v>
      </x:c>
      <x:c r="E3562" s="14" t="n">
        <x:v>20</x:v>
      </x:c>
      <x:c r="F3562" s="2" t="str">
        <x:v>Deburr &amp; inspect</x:v>
      </x:c>
      <x:c r="G3562" s="9" t="str">
        <x:v>DB-02</x:v>
      </x:c>
      <x:c r="H3562" s="15" t="n">
        <x:v>232</x:v>
      </x:c>
      <x:c r="I3562" s="9" t="str">
        <x:v>P01</x:v>
      </x:c>
      <x:c r="J3562" s="11" t="n">
        <x:v>46314.56527777778</x:v>
      </x:c>
      <x:c r="K3562" s="15" t="n">
        <x:v>4</x:v>
      </x:c>
      <x:c r="L3562" s="15" t="n">
        <x:v>19</x:v>
      </x:c>
      <x:c r="M3562" s="13" t="n">
        <x:f>J3562+(K3562+L3562)/1440</x:f>
        <x:v>46314.58125</x:v>
      </x:c>
      <x:c r="N3562" s="13" t="n">
        <x:f>VLOOKUP(C3562,'MES orders'!$A$8:$H$127,5,FALSE)</x:f>
        <x:v>46311.666666666664</x:v>
      </x:c>
      <x:c r="O3562" s="16" t="n">
        <x:f>MAX(0,(M3562-N3562)*24)</x:f>
        <x:v>69.95000000012806</x:v>
      </x:c>
      <x:c r="P3562" s="9" t="str">
        <x:v>No</x:v>
      </x:c>
      <x:c r="Q3562" s="15" t="n">
        <x:v>23</x:v>
      </x:c>
      <x:c r="R3562" s="13" t="n">
        <x:f>J3562+Q3562/1440</x:f>
        <x:v>46314.58125</x:v>
      </x:c>
      <x:c r="S3562" s="2" t="str">
        <x:f>VLOOKUP(C3562,'MES orders'!$A$8:$H$127,6,FALSE)</x:f>
        <x:v>Normal</x:v>
      </x:c>
      <x:c r="T3562" s="9" t="str"/>
    </x:row>
    <x:row r="3563" ht="22" customHeight="1">
      <x:c r="A3563" s="2" t="str">
        <x:v>L00080-070</x:v>
      </x:c>
      <x:c r="B3563" s="2" t="str">
        <x:v>L00080</x:v>
      </x:c>
      <x:c r="C3563" s="2" t="str">
        <x:v>SO-26016</x:v>
      </x:c>
      <x:c r="D3563" s="2" t="str">
        <x:v>S-S-SS</x:v>
      </x:c>
      <x:c r="E3563" s="14" t="n">
        <x:v>10</x:v>
      </x:c>
      <x:c r="F3563" s="2" t="str">
        <x:v>Final assembly</x:v>
      </x:c>
      <x:c r="G3563" s="9" t="str">
        <x:v>AS-01</x:v>
      </x:c>
      <x:c r="H3563" s="15" t="n">
        <x:v>286</x:v>
      </x:c>
      <x:c r="I3563" s="9" t="str">
        <x:v>P05</x:v>
      </x:c>
      <x:c r="J3563" s="11" t="n">
        <x:v>46314.56736111111</x:v>
      </x:c>
      <x:c r="K3563" s="15" t="n">
        <x:v>5</x:v>
      </x:c>
      <x:c r="L3563" s="15" t="n">
        <x:v>8</x:v>
      </x:c>
      <x:c r="M3563" s="13" t="n">
        <x:f>J3563+(K3563+L3563)/1440</x:f>
        <x:v>46314.57638888889</x:v>
      </x:c>
      <x:c r="N3563" s="13" t="n">
        <x:f>VLOOKUP(C3563,'MES orders'!$A$8:$H$127,5,FALSE)</x:f>
        <x:v>46311.666666666664</x:v>
      </x:c>
      <x:c r="O3563" s="16" t="n">
        <x:f>MAX(0,(M3563-N3563)*24)</x:f>
        <x:v>69.83333333343035</x:v>
      </x:c>
      <x:c r="P3563" s="9" t="str">
        <x:v>No</x:v>
      </x:c>
      <x:c r="Q3563" s="15" t="n">
        <x:v>13</x:v>
      </x:c>
      <x:c r="R3563" s="13" t="n">
        <x:f>J3563+Q3563/1440</x:f>
        <x:v>46314.57638888889</x:v>
      </x:c>
      <x:c r="S3563" s="2" t="str">
        <x:f>VLOOKUP(C3563,'MES orders'!$A$8:$H$127,6,FALSE)</x:f>
        <x:v>Normal</x:v>
      </x:c>
      <x:c r="T3563" s="9" t="str"/>
    </x:row>
    <x:row r="3564" ht="22" customHeight="1">
      <x:c r="A3564" s="2" t="str">
        <x:v>L00278-020</x:v>
      </x:c>
      <x:c r="B3564" s="2" t="str">
        <x:v>L00278</x:v>
      </x:c>
      <x:c r="C3564" s="2" t="str">
        <x:v>SO-26056</x:v>
      </x:c>
      <x:c r="D3564" s="2" t="str">
        <x:v>R-C-SS</x:v>
      </x:c>
      <x:c r="E3564" s="14" t="n">
        <x:v>5</x:v>
      </x:c>
      <x:c r="F3564" s="2" t="str">
        <x:v>Deburr &amp; inspect</x:v>
      </x:c>
      <x:c r="G3564" s="9" t="str">
        <x:v>DB-01</x:v>
      </x:c>
      <x:c r="H3564" s="15" t="n">
        <x:v>333</x:v>
      </x:c>
      <x:c r="I3564" s="9" t="str">
        <x:v>P04</x:v>
      </x:c>
      <x:c r="J3564" s="11" t="n">
        <x:v>46314.572916666664</x:v>
      </x:c>
      <x:c r="K3564" s="15" t="n">
        <x:v>4</x:v>
      </x:c>
      <x:c r="L3564" s="15" t="n">
        <x:v>3</x:v>
      </x:c>
      <x:c r="M3564" s="13" t="n">
        <x:f>J3564+(K3564+L3564)/1440</x:f>
        <x:v>46314.57777777778</x:v>
      </x:c>
      <x:c r="N3564" s="13" t="n">
        <x:f>VLOOKUP(C3564,'MES orders'!$A$8:$H$127,5,FALSE)</x:f>
        <x:v>46311.666666666664</x:v>
      </x:c>
      <x:c r="O3564" s="16" t="n">
        <x:f>MAX(0,(M3564-N3564)*24)</x:f>
        <x:v>69.86666666669771</x:v>
      </x:c>
      <x:c r="P3564" s="9" t="str">
        <x:v>No</x:v>
      </x:c>
      <x:c r="Q3564" s="15" t="n">
        <x:v>7</x:v>
      </x:c>
      <x:c r="R3564" s="13" t="n">
        <x:f>J3564+Q3564/1440</x:f>
        <x:v>46314.57777777778</x:v>
      </x:c>
      <x:c r="S3564" s="2" t="str">
        <x:f>VLOOKUP(C3564,'MES orders'!$A$8:$H$127,6,FALSE)</x:f>
        <x:v>Normal</x:v>
      </x:c>
      <x:c r="T3564" s="9" t="str"/>
    </x:row>
    <x:row r="3565" ht="22" customHeight="1">
      <x:c r="A3565" s="2" t="str">
        <x:v>L00199-040</x:v>
      </x:c>
      <x:c r="B3565" s="2" t="str">
        <x:v>L00199</x:v>
      </x:c>
      <x:c r="C3565" s="2" t="str">
        <x:v>SO-26040</x:v>
      </x:c>
      <x:c r="D3565" s="2" t="str">
        <x:v>D-S-SS</x:v>
      </x:c>
      <x:c r="E3565" s="14" t="n">
        <x:v>15</x:v>
      </x:c>
      <x:c r="F3565" s="2" t="str">
        <x:v>Mechanical assembly</x:v>
      </x:c>
      <x:c r="G3565" s="9" t="str">
        <x:v>AS-02</x:v>
      </x:c>
      <x:c r="H3565" s="15" t="n">
        <x:v>233</x:v>
      </x:c>
      <x:c r="I3565" s="9" t="str">
        <x:v>P17</x:v>
      </x:c>
      <x:c r="J3565" s="11" t="n">
        <x:v>46314.583333333336</x:v>
      </x:c>
      <x:c r="K3565" s="15" t="n">
        <x:v>8</x:v>
      </x:c>
      <x:c r="L3565" s="15" t="n">
        <x:v>27</x:v>
      </x:c>
      <x:c r="M3565" s="13" t="n">
        <x:f>J3565+(K3565+L3565)/1440</x:f>
        <x:v>46314.60763888889</x:v>
      </x:c>
      <x:c r="N3565" s="13" t="n">
        <x:f>VLOOKUP(C3565,'MES orders'!$A$8:$H$127,5,FALSE)</x:f>
        <x:v>46311.666666666664</x:v>
      </x:c>
      <x:c r="O3565" s="16" t="n">
        <x:f>MAX(0,(M3565-N3565)*24)</x:f>
        <x:v>70.58333333343035</x:v>
      </x:c>
      <x:c r="P3565" s="9" t="str">
        <x:v>No</x:v>
      </x:c>
      <x:c r="Q3565" s="15" t="n">
        <x:v>35</x:v>
      </x:c>
      <x:c r="R3565" s="13" t="n">
        <x:f>J3565+Q3565/1440</x:f>
        <x:v>46314.60763888889</x:v>
      </x:c>
      <x:c r="S3565" s="2" t="str">
        <x:f>VLOOKUP(C3565,'MES orders'!$A$8:$H$127,6,FALSE)</x:f>
        <x:v>Normal</x:v>
      </x:c>
      <x:c r="T3565" s="9" t="str"/>
    </x:row>
    <x:row r="3566" ht="22" customHeight="1">
      <x:c r="A3566" s="2" t="str">
        <x:v>L00356-010</x:v>
      </x:c>
      <x:c r="B3566" s="2" t="str">
        <x:v>L00356</x:v>
      </x:c>
      <x:c r="C3566" s="2" t="str">
        <x:v>SO-26072</x:v>
      </x:c>
      <x:c r="D3566" s="2" t="str">
        <x:v>R-L-SS</x:v>
      </x:c>
      <x:c r="E3566" s="14" t="n">
        <x:v>5</x:v>
      </x:c>
      <x:c r="F3566" s="2" t="str">
        <x:v>CNC machining</x:v>
      </x:c>
      <x:c r="G3566" s="9" t="str">
        <x:v>CNC-03</x:v>
      </x:c>
      <x:c r="H3566" s="15" t="n">
        <x:v>116</x:v>
      </x:c>
      <x:c r="I3566" s="9" t="str">
        <x:v>P15</x:v>
      </x:c>
      <x:c r="J3566" s="11" t="n">
        <x:v>46314.583333333336</x:v>
      </x:c>
      <x:c r="K3566" s="15" t="n">
        <x:v>18</x:v>
      </x:c>
      <x:c r="L3566" s="15" t="n">
        <x:v>20</x:v>
      </x:c>
      <x:c r="M3566" s="13" t="n">
        <x:f>J3566+(K3566+L3566)/1440</x:f>
        <x:v>46314.60972222222</x:v>
      </x:c>
      <x:c r="N3566" s="13" t="n">
        <x:f>VLOOKUP(C3566,'MES orders'!$A$8:$H$127,5,FALSE)</x:f>
        <x:v>46311.666666666664</x:v>
      </x:c>
      <x:c r="O3566" s="16" t="n">
        <x:f>MAX(0,(M3566-N3566)*24)</x:f>
        <x:v>70.6333333334187</x:v>
      </x:c>
      <x:c r="P3566" s="9" t="str">
        <x:v>No</x:v>
      </x:c>
      <x:c r="Q3566" s="15" t="n">
        <x:v>18</x:v>
      </x:c>
      <x:c r="R3566" s="13" t="n">
        <x:f>J3566+Q3566/1440</x:f>
        <x:v>46314.59583333333</x:v>
      </x:c>
      <x:c r="S3566" s="2" t="str">
        <x:f>VLOOKUP(C3566,'MES orders'!$A$8:$H$127,6,FALSE)</x:f>
        <x:v>Normal</x:v>
      </x:c>
      <x:c r="T3566" s="9" t="str"/>
    </x:row>
    <x:row r="3567" ht="22" customHeight="1">
      <x:c r="A3567" s="2" t="str">
        <x:v>L00279-020</x:v>
      </x:c>
      <x:c r="B3567" s="2" t="str">
        <x:v>L00279</x:v>
      </x:c>
      <x:c r="C3567" s="2" t="str">
        <x:v>SO-26056</x:v>
      </x:c>
      <x:c r="D3567" s="2" t="str">
        <x:v>R-C-SS</x:v>
      </x:c>
      <x:c r="E3567" s="14" t="n">
        <x:v>5</x:v>
      </x:c>
      <x:c r="F3567" s="2" t="str">
        <x:v>Deburr &amp; inspect</x:v>
      </x:c>
      <x:c r="G3567" s="9" t="str">
        <x:v>DB-02</x:v>
      </x:c>
      <x:c r="H3567" s="15" t="n">
        <x:v>233</x:v>
      </x:c>
      <x:c r="I3567" s="9" t="str">
        <x:v>P14</x:v>
      </x:c>
      <x:c r="J3567" s="11" t="n">
        <x:v>46314.583333333336</x:v>
      </x:c>
      <x:c r="K3567" s="15" t="n">
        <x:v>4</x:v>
      </x:c>
      <x:c r="L3567" s="15" t="n">
        <x:v>3</x:v>
      </x:c>
      <x:c r="M3567" s="13" t="n">
        <x:f>J3567+(K3567+L3567)/1440</x:f>
        <x:v>46314.58819444445</x:v>
      </x:c>
      <x:c r="N3567" s="13" t="n">
        <x:f>VLOOKUP(C3567,'MES orders'!$A$8:$H$127,5,FALSE)</x:f>
        <x:v>46311.666666666664</x:v>
      </x:c>
      <x:c r="O3567" s="16" t="n">
        <x:f>MAX(0,(M3567-N3567)*24)</x:f>
        <x:v>70.11666666681413</x:v>
      </x:c>
      <x:c r="P3567" s="9" t="str">
        <x:v>No</x:v>
      </x:c>
      <x:c r="Q3567" s="15" t="n">
        <x:v>7</x:v>
      </x:c>
      <x:c r="R3567" s="13" t="n">
        <x:f>J3567+Q3567/1440</x:f>
        <x:v>46314.58819444445</x:v>
      </x:c>
      <x:c r="S3567" s="2" t="str">
        <x:f>VLOOKUP(C3567,'MES orders'!$A$8:$H$127,6,FALSE)</x:f>
        <x:v>Normal</x:v>
      </x:c>
      <x:c r="T3567" s="9" t="str"/>
    </x:row>
    <x:row r="3568" ht="22" customHeight="1">
      <x:c r="A3568" s="2" t="str">
        <x:v>L00196-050</x:v>
      </x:c>
      <x:c r="B3568" s="2" t="str">
        <x:v>L00196</x:v>
      </x:c>
      <x:c r="C3568" s="2" t="str">
        <x:v>SO-26040</x:v>
      </x:c>
      <x:c r="D3568" s="2" t="str">
        <x:v>D-S-SS</x:v>
      </x:c>
      <x:c r="E3568" s="14" t="n">
        <x:v>15</x:v>
      </x:c>
      <x:c r="F3568" s="2" t="str">
        <x:v>Final leak / function test</x:v>
      </x:c>
      <x:c r="G3568" s="9" t="str">
        <x:v>QA-01</x:v>
      </x:c>
      <x:c r="H3568" s="15" t="n">
        <x:v>132</x:v>
      </x:c>
      <x:c r="I3568" s="9" t="str">
        <x:v>P24</x:v>
      </x:c>
      <x:c r="J3568" s="11" t="n">
        <x:v>46314.583333333336</x:v>
      </x:c>
      <x:c r="K3568" s="15" t="n">
        <x:v>10</x:v>
      </x:c>
      <x:c r="L3568" s="15" t="n">
        <x:v>14</x:v>
      </x:c>
      <x:c r="M3568" s="13" t="n">
        <x:f>J3568+(K3568+L3568)/1440</x:f>
        <x:v>46314.600000000006</x:v>
      </x:c>
      <x:c r="N3568" s="13" t="n">
        <x:f>VLOOKUP(C3568,'MES orders'!$A$8:$H$127,5,FALSE)</x:f>
        <x:v>46311.666666666664</x:v>
      </x:c>
      <x:c r="O3568" s="16" t="n">
        <x:f>MAX(0,(M3568-N3568)*24)</x:f>
        <x:v>70.4000000001979</x:v>
      </x:c>
      <x:c r="P3568" s="9" t="str">
        <x:v>No</x:v>
      </x:c>
      <x:c r="Q3568" s="15" t="n">
        <x:v>24</x:v>
      </x:c>
      <x:c r="R3568" s="13" t="n">
        <x:f>J3568+Q3568/1440</x:f>
        <x:v>46314.600000000006</x:v>
      </x:c>
      <x:c r="S3568" s="2" t="str">
        <x:f>VLOOKUP(C3568,'MES orders'!$A$8:$H$127,6,FALSE)</x:f>
        <x:v>Normal</x:v>
      </x:c>
      <x:c r="T3568" s="9" t="str"/>
    </x:row>
    <x:row r="3569" ht="22" customHeight="1">
      <x:c r="A3569" s="2" t="str">
        <x:v>L00080-080</x:v>
      </x:c>
      <x:c r="B3569" s="2" t="str">
        <x:v>L00080</x:v>
      </x:c>
      <x:c r="C3569" s="2" t="str">
        <x:v>SO-26016</x:v>
      </x:c>
      <x:c r="D3569" s="2" t="str">
        <x:v>S-S-SS</x:v>
      </x:c>
      <x:c r="E3569" s="14" t="n">
        <x:v>10</x:v>
      </x:c>
      <x:c r="F3569" s="2" t="str">
        <x:v>Final leak / function test</x:v>
      </x:c>
      <x:c r="G3569" s="9" t="str">
        <x:v>QA-02</x:v>
      </x:c>
      <x:c r="H3569" s="15" t="n">
        <x:v>269</x:v>
      </x:c>
      <x:c r="I3569" s="9" t="str">
        <x:v>P23</x:v>
      </x:c>
      <x:c r="J3569" s="11" t="n">
        <x:v>46314.583333333336</x:v>
      </x:c>
      <x:c r="K3569" s="15" t="n">
        <x:v>10</x:v>
      </x:c>
      <x:c r="L3569" s="15" t="n">
        <x:v>9</x:v>
      </x:c>
      <x:c r="M3569" s="13" t="n">
        <x:f>J3569+(K3569+L3569)/1440</x:f>
        <x:v>46314.59652777778</x:v>
      </x:c>
      <x:c r="N3569" s="13" t="n">
        <x:f>VLOOKUP(C3569,'MES orders'!$A$8:$H$127,5,FALSE)</x:f>
        <x:v>46311.666666666664</x:v>
      </x:c>
      <x:c r="O3569" s="16" t="n">
        <x:f>MAX(0,(M3569-N3569)*24)</x:f>
        <x:v>70.31666666676756</x:v>
      </x:c>
      <x:c r="P3569" s="9" t="str">
        <x:v>No</x:v>
      </x:c>
      <x:c r="Q3569" s="15" t="n">
        <x:v>19</x:v>
      </x:c>
      <x:c r="R3569" s="13" t="n">
        <x:f>J3569+Q3569/1440</x:f>
        <x:v>46314.59652777778</x:v>
      </x:c>
      <x:c r="S3569" s="2" t="str">
        <x:f>VLOOKUP(C3569,'MES orders'!$A$8:$H$127,6,FALSE)</x:f>
        <x:v>Normal</x:v>
      </x:c>
      <x:c r="T3569" s="9" t="str"/>
    </x:row>
    <x:row r="3570" ht="22" customHeight="1">
      <x:c r="A3570" s="2" t="str">
        <x:v>L00198-030</x:v>
      </x:c>
      <x:c r="B3570" s="2" t="str">
        <x:v>L00198</x:v>
      </x:c>
      <x:c r="C3570" s="2" t="str">
        <x:v>SO-26040</x:v>
      </x:c>
      <x:c r="D3570" s="2" t="str">
        <x:v>D-S-SS</x:v>
      </x:c>
      <x:c r="E3570" s="14" t="n">
        <x:v>15</x:v>
      </x:c>
      <x:c r="F3570" s="2" t="str">
        <x:v>Wash &amp; dry</x:v>
      </x:c>
      <x:c r="G3570" s="9" t="str">
        <x:v>WS-01</x:v>
      </x:c>
      <x:c r="H3570" s="15" t="n">
        <x:v>325</x:v>
      </x:c>
      <x:c r="I3570" s="9" t="str">
        <x:v>P16</x:v>
      </x:c>
      <x:c r="J3570" s="11" t="n">
        <x:v>46314.583333333336</x:v>
      </x:c>
      <x:c r="K3570" s="15" t="n">
        <x:v>12</x:v>
      </x:c>
      <x:c r="L3570" s="15" t="n">
        <x:v>5</x:v>
      </x:c>
      <x:c r="M3570" s="13" t="n">
        <x:f>J3570+(K3570+L3570)/1440</x:f>
        <x:v>46314.59513888889</x:v>
      </x:c>
      <x:c r="N3570" s="13" t="n">
        <x:f>VLOOKUP(C3570,'MES orders'!$A$8:$H$127,5,FALSE)</x:f>
        <x:v>46311.666666666664</x:v>
      </x:c>
      <x:c r="O3570" s="16" t="n">
        <x:f>MAX(0,(M3570-N3570)*24)</x:f>
        <x:v>70.2833333335002</x:v>
      </x:c>
      <x:c r="P3570" s="9" t="str">
        <x:v>No</x:v>
      </x:c>
      <x:c r="Q3570" s="15" t="n">
        <x:v>17</x:v>
      </x:c>
      <x:c r="R3570" s="13" t="n">
        <x:f>J3570+Q3570/1440</x:f>
        <x:v>46314.59513888889</x:v>
      </x:c>
      <x:c r="S3570" s="2" t="str">
        <x:f>VLOOKUP(C3570,'MES orders'!$A$8:$H$127,6,FALSE)</x:f>
        <x:v>Normal</x:v>
      </x:c>
      <x:c r="T3570" s="9" t="str"/>
    </x:row>
    <x:row r="3571" ht="22" customHeight="1">
      <x:c r="A3571" s="2" t="str">
        <x:v>L00200-030</x:v>
      </x:c>
      <x:c r="B3571" s="2" t="str">
        <x:v>L00200</x:v>
      </x:c>
      <x:c r="C3571" s="2" t="str">
        <x:v>SO-26040</x:v>
      </x:c>
      <x:c r="D3571" s="2" t="str">
        <x:v>D-S-SS</x:v>
      </x:c>
      <x:c r="E3571" s="14" t="n">
        <x:v>15</x:v>
      </x:c>
      <x:c r="F3571" s="2" t="str">
        <x:v>Wash &amp; dry</x:v>
      </x:c>
      <x:c r="G3571" s="9" t="str">
        <x:v>WS-02</x:v>
      </x:c>
      <x:c r="H3571" s="15" t="n">
        <x:v>237</x:v>
      </x:c>
      <x:c r="I3571" s="9" t="str">
        <x:v>P18</x:v>
      </x:c>
      <x:c r="J3571" s="11" t="n">
        <x:v>46314.583333333336</x:v>
      </x:c>
      <x:c r="K3571" s="15" t="n">
        <x:v>12</x:v>
      </x:c>
      <x:c r="L3571" s="15" t="n">
        <x:v>5</x:v>
      </x:c>
      <x:c r="M3571" s="13" t="n">
        <x:f>J3571+(K3571+L3571)/1440</x:f>
        <x:v>46314.59513888889</x:v>
      </x:c>
      <x:c r="N3571" s="13" t="n">
        <x:f>VLOOKUP(C3571,'MES orders'!$A$8:$H$127,5,FALSE)</x:f>
        <x:v>46311.666666666664</x:v>
      </x:c>
      <x:c r="O3571" s="16" t="n">
        <x:f>MAX(0,(M3571-N3571)*24)</x:f>
        <x:v>70.2833333335002</x:v>
      </x:c>
      <x:c r="P3571" s="9" t="str">
        <x:v>No</x:v>
      </x:c>
      <x:c r="Q3571" s="15" t="n">
        <x:v>17</x:v>
      </x:c>
      <x:c r="R3571" s="13" t="n">
        <x:f>J3571+Q3571/1440</x:f>
        <x:v>46314.59513888889</x:v>
      </x:c>
      <x:c r="S3571" s="2" t="str">
        <x:f>VLOOKUP(C3571,'MES orders'!$A$8:$H$127,6,FALSE)</x:f>
        <x:v>Normal</x:v>
      </x:c>
      <x:c r="T3571" s="9" t="str"/>
    </x:row>
    <x:row r="3572" ht="22" customHeight="1">
      <x:c r="A3572" s="2" t="str">
        <x:v>L00240-020</x:v>
      </x:c>
      <x:c r="B3572" s="2" t="str">
        <x:v>L00240</x:v>
      </x:c>
      <x:c r="C3572" s="2" t="str">
        <x:v>SO-26048</x:v>
      </x:c>
      <x:c r="D3572" s="2" t="str">
        <x:v>D-L-SS</x:v>
      </x:c>
      <x:c r="E3572" s="14" t="n">
        <x:v>20</x:v>
      </x:c>
      <x:c r="F3572" s="2" t="str">
        <x:v>Deburr &amp; inspect</x:v>
      </x:c>
      <x:c r="G3572" s="9" t="str">
        <x:v>DB-01</x:v>
      </x:c>
      <x:c r="H3572" s="15" t="n">
        <x:v>334</x:v>
      </x:c>
      <x:c r="I3572" s="9" t="str">
        <x:v>P13</x:v>
      </x:c>
      <x:c r="J3572" s="11" t="n">
        <x:v>46314.5875</x:v>
      </x:c>
      <x:c r="K3572" s="15" t="n">
        <x:v>4</x:v>
      </x:c>
      <x:c r="L3572" s="15" t="n">
        <x:v>19</x:v>
      </x:c>
      <x:c r="M3572" s="13" t="n">
        <x:f>J3572+(K3572+L3572)/1440</x:f>
        <x:v>46314.603472222225</x:v>
      </x:c>
      <x:c r="N3572" s="13" t="n">
        <x:f>VLOOKUP(C3572,'MES orders'!$A$8:$H$127,5,FALSE)</x:f>
        <x:v>46311.666666666664</x:v>
      </x:c>
      <x:c r="O3572" s="16" t="n">
        <x:f>MAX(0,(M3572-N3572)*24)</x:f>
        <x:v>70.48333333345363</x:v>
      </x:c>
      <x:c r="P3572" s="9" t="str">
        <x:v>No</x:v>
      </x:c>
      <x:c r="Q3572" s="15" t="n">
        <x:v>23</x:v>
      </x:c>
      <x:c r="R3572" s="13" t="n">
        <x:f>J3572+Q3572/1440</x:f>
        <x:v>46314.603472222225</x:v>
      </x:c>
      <x:c r="S3572" s="2" t="str">
        <x:f>VLOOKUP(C3572,'MES orders'!$A$8:$H$127,6,FALSE)</x:f>
        <x:v>Normal</x:v>
      </x:c>
      <x:c r="T3572" s="9" t="str"/>
    </x:row>
    <x:row r="3573" ht="22" customHeight="1">
      <x:c r="A3573" s="2" t="str">
        <x:v>L00280-020</x:v>
      </x:c>
      <x:c r="B3573" s="2" t="str">
        <x:v>L00280</x:v>
      </x:c>
      <x:c r="C3573" s="2" t="str">
        <x:v>SO-26056</x:v>
      </x:c>
      <x:c r="D3573" s="2" t="str">
        <x:v>R-C-SS</x:v>
      </x:c>
      <x:c r="E3573" s="14" t="n">
        <x:v>5</x:v>
      </x:c>
      <x:c r="F3573" s="2" t="str">
        <x:v>Deburr &amp; inspect</x:v>
      </x:c>
      <x:c r="G3573" s="9" t="str">
        <x:v>DB-02</x:v>
      </x:c>
      <x:c r="H3573" s="15" t="n">
        <x:v>234</x:v>
      </x:c>
      <x:c r="I3573" s="9" t="str">
        <x:v>P14</x:v>
      </x:c>
      <x:c r="J3573" s="11" t="n">
        <x:v>46314.58819444444</x:v>
      </x:c>
      <x:c r="K3573" s="15" t="n">
        <x:v>4</x:v>
      </x:c>
      <x:c r="L3573" s="15" t="n">
        <x:v>3</x:v>
      </x:c>
      <x:c r="M3573" s="13" t="n">
        <x:f>J3573+(K3573+L3573)/1440</x:f>
        <x:v>46314.59305555555</x:v>
      </x:c>
      <x:c r="N3573" s="13" t="n">
        <x:f>VLOOKUP(C3573,'MES orders'!$A$8:$H$127,5,FALSE)</x:f>
        <x:v>46311.666666666664</x:v>
      </x:c>
      <x:c r="O3573" s="16" t="n">
        <x:f>MAX(0,(M3573-N3573)*24)</x:f>
        <x:v>70.23333333333721</x:v>
      </x:c>
      <x:c r="P3573" s="9" t="str">
        <x:v>No</x:v>
      </x:c>
      <x:c r="Q3573" s="15" t="n">
        <x:v>7</x:v>
      </x:c>
      <x:c r="R3573" s="13" t="n">
        <x:f>J3573+Q3573/1440</x:f>
        <x:v>46314.59305555555</x:v>
      </x:c>
      <x:c r="S3573" s="2" t="str">
        <x:f>VLOOKUP(C3573,'MES orders'!$A$8:$H$127,6,FALSE)</x:f>
        <x:v>Normal</x:v>
      </x:c>
      <x:c r="T3573" s="9" t="str"/>
    </x:row>
    <x:row r="3574" ht="22" customHeight="1">
      <x:c r="A3574" s="2" t="str">
        <x:v>L00198-040</x:v>
      </x:c>
      <x:c r="B3574" s="2" t="str">
        <x:v>L00198</x:v>
      </x:c>
      <x:c r="C3574" s="2" t="str">
        <x:v>SO-26040</x:v>
      </x:c>
      <x:c r="D3574" s="2" t="str">
        <x:v>D-S-SS</x:v>
      </x:c>
      <x:c r="E3574" s="14" t="n">
        <x:v>15</x:v>
      </x:c>
      <x:c r="F3574" s="2" t="str">
        <x:v>Mechanical assembly</x:v>
      </x:c>
      <x:c r="G3574" s="9" t="str">
        <x:v>AS-01</x:v>
      </x:c>
      <x:c r="H3574" s="15" t="n">
        <x:v>287</x:v>
      </x:c>
      <x:c r="I3574" s="9" t="str">
        <x:v>P16</x:v>
      </x:c>
      <x:c r="J3574" s="11" t="n">
        <x:v>46314.595138888886</x:v>
      </x:c>
      <x:c r="K3574" s="15" t="n">
        <x:v>8</x:v>
      </x:c>
      <x:c r="L3574" s="15" t="n">
        <x:v>27</x:v>
      </x:c>
      <x:c r="M3574" s="13" t="n">
        <x:f>J3574+(K3574+L3574)/1440</x:f>
        <x:v>46314.61944444444</x:v>
      </x:c>
      <x:c r="N3574" s="13" t="n">
        <x:f>VLOOKUP(C3574,'MES orders'!$A$8:$H$127,5,FALSE)</x:f>
        <x:v>46311.666666666664</x:v>
      </x:c>
      <x:c r="O3574" s="16" t="n">
        <x:f>MAX(0,(M3574-N3574)*24)</x:f>
        <x:v>70.8666666666395</x:v>
      </x:c>
      <x:c r="P3574" s="9" t="str">
        <x:v>No</x:v>
      </x:c>
      <x:c r="Q3574" s="15" t="n">
        <x:v>35</x:v>
      </x:c>
      <x:c r="R3574" s="13" t="n">
        <x:f>J3574+Q3574/1440</x:f>
        <x:v>46314.61944444444</x:v>
      </x:c>
      <x:c r="S3574" s="2" t="str">
        <x:f>VLOOKUP(C3574,'MES orders'!$A$8:$H$127,6,FALSE)</x:f>
        <x:v>Normal</x:v>
      </x:c>
      <x:c r="T3574" s="9" t="str"/>
    </x:row>
    <x:row r="3575" ht="22" customHeight="1">
      <x:c r="A3575" s="2" t="str">
        <x:v>L00200-040</x:v>
      </x:c>
      <x:c r="B3575" s="2" t="str">
        <x:v>L00200</x:v>
      </x:c>
      <x:c r="C3575" s="2" t="str">
        <x:v>SO-26040</x:v>
      </x:c>
      <x:c r="D3575" s="2" t="str">
        <x:v>D-S-SS</x:v>
      </x:c>
      <x:c r="E3575" s="14" t="n">
        <x:v>15</x:v>
      </x:c>
      <x:c r="F3575" s="2" t="str">
        <x:v>Mechanical assembly</x:v>
      </x:c>
      <x:c r="G3575" s="9" t="str">
        <x:v>AS-03</x:v>
      </x:c>
      <x:c r="H3575" s="15" t="n">
        <x:v>192</x:v>
      </x:c>
      <x:c r="I3575" s="9" t="str">
        <x:v>P18</x:v>
      </x:c>
      <x:c r="J3575" s="11" t="n">
        <x:v>46314.595138888886</x:v>
      </x:c>
      <x:c r="K3575" s="15" t="n">
        <x:v>8</x:v>
      </x:c>
      <x:c r="L3575" s="15" t="n">
        <x:v>27</x:v>
      </x:c>
      <x:c r="M3575" s="13" t="n">
        <x:f>J3575+(K3575+L3575)/1440</x:f>
        <x:v>46314.61944444444</x:v>
      </x:c>
      <x:c r="N3575" s="13" t="n">
        <x:f>VLOOKUP(C3575,'MES orders'!$A$8:$H$127,5,FALSE)</x:f>
        <x:v>46311.666666666664</x:v>
      </x:c>
      <x:c r="O3575" s="16" t="n">
        <x:f>MAX(0,(M3575-N3575)*24)</x:f>
        <x:v>70.8666666666395</x:v>
      </x:c>
      <x:c r="P3575" s="9" t="str">
        <x:v>No</x:v>
      </x:c>
      <x:c r="Q3575" s="15" t="n">
        <x:v>35</x:v>
      </x:c>
      <x:c r="R3575" s="13" t="n">
        <x:f>J3575+Q3575/1440</x:f>
        <x:v>46314.61944444444</x:v>
      </x:c>
      <x:c r="S3575" s="2" t="str">
        <x:f>VLOOKUP(C3575,'MES orders'!$A$8:$H$127,6,FALSE)</x:f>
        <x:v>Normal</x:v>
      </x:c>
      <x:c r="T3575" s="9" t="str"/>
    </x:row>
    <x:row r="3576" ht="22" customHeight="1">
      <x:c r="A3576" s="2" t="str">
        <x:v>L00279-030</x:v>
      </x:c>
      <x:c r="B3576" s="2" t="str">
        <x:v>L00279</x:v>
      </x:c>
      <x:c r="C3576" s="2" t="str">
        <x:v>SO-26056</x:v>
      </x:c>
      <x:c r="D3576" s="2" t="str">
        <x:v>R-C-SS</x:v>
      </x:c>
      <x:c r="E3576" s="14" t="n">
        <x:v>5</x:v>
      </x:c>
      <x:c r="F3576" s="2" t="str">
        <x:v>Wash &amp; dry</x:v>
      </x:c>
      <x:c r="G3576" s="9" t="str">
        <x:v>WS-01</x:v>
      </x:c>
      <x:c r="H3576" s="15" t="n">
        <x:v>326</x:v>
      </x:c>
      <x:c r="I3576" s="9" t="str">
        <x:v>P14</x:v>
      </x:c>
      <x:c r="J3576" s="11" t="n">
        <x:v>46314.595138888886</x:v>
      </x:c>
      <x:c r="K3576" s="15" t="n">
        <x:v>12</x:v>
      </x:c>
      <x:c r="L3576" s="15" t="n">
        <x:v>1</x:v>
      </x:c>
      <x:c r="M3576" s="13" t="n">
        <x:f>J3576+(K3576+L3576)/1440</x:f>
        <x:v>46314.604166666664</x:v>
      </x:c>
      <x:c r="N3576" s="13" t="n">
        <x:f>VLOOKUP(C3576,'MES orders'!$A$8:$H$127,5,FALSE)</x:f>
        <x:v>46311.666666666664</x:v>
      </x:c>
      <x:c r="O3576" s="16" t="n">
        <x:f>MAX(0,(M3576-N3576)*24)</x:f>
        <x:v>70.5</x:v>
      </x:c>
      <x:c r="P3576" s="9" t="str">
        <x:v>No</x:v>
      </x:c>
      <x:c r="Q3576" s="15" t="n">
        <x:v>13</x:v>
      </x:c>
      <x:c r="R3576" s="13" t="n">
        <x:f>J3576+Q3576/1440</x:f>
        <x:v>46314.604166666664</x:v>
      </x:c>
      <x:c r="S3576" s="2" t="str">
        <x:f>VLOOKUP(C3576,'MES orders'!$A$8:$H$127,6,FALSE)</x:f>
        <x:v>Normal</x:v>
      </x:c>
      <x:c r="T3576" s="9" t="str"/>
    </x:row>
    <x:row r="3577" ht="22" customHeight="1">
      <x:c r="A3577" s="2" t="str">
        <x:v>L00357-010</x:v>
      </x:c>
      <x:c r="B3577" s="2" t="str">
        <x:v>L00357</x:v>
      </x:c>
      <x:c r="C3577" s="2" t="str">
        <x:v>SO-26072</x:v>
      </x:c>
      <x:c r="D3577" s="2" t="str">
        <x:v>R-L-SS</x:v>
      </x:c>
      <x:c r="E3577" s="14" t="n">
        <x:v>5</x:v>
      </x:c>
      <x:c r="F3577" s="2" t="str">
        <x:v>CNC machining</x:v>
      </x:c>
      <x:c r="G3577" s="9" t="str">
        <x:v>CNC-04</x:v>
      </x:c>
      <x:c r="H3577" s="15" t="n">
        <x:v>112</x:v>
      </x:c>
      <x:c r="I3577" s="9" t="str">
        <x:v>P15</x:v>
      </x:c>
      <x:c r="J3577" s="11" t="n">
        <x:v>46314.59583333333</x:v>
      </x:c>
      <x:c r="K3577" s="15" t="n">
        <x:v>18</x:v>
      </x:c>
      <x:c r="L3577" s="15" t="n">
        <x:v>20</x:v>
      </x:c>
      <x:c r="M3577" s="13" t="n">
        <x:f>J3577+(K3577+L3577)/1440</x:f>
        <x:v>46314.62222222222</x:v>
      </x:c>
      <x:c r="N3577" s="13" t="n">
        <x:f>VLOOKUP(C3577,'MES orders'!$A$8:$H$127,5,FALSE)</x:f>
        <x:v>46311.666666666664</x:v>
      </x:c>
      <x:c r="O3577" s="16" t="n">
        <x:f>MAX(0,(M3577-N3577)*24)</x:f>
        <x:v>70.93333333334886</x:v>
      </x:c>
      <x:c r="P3577" s="9" t="str">
        <x:v>No</x:v>
      </x:c>
      <x:c r="Q3577" s="15" t="n">
        <x:v>18</x:v>
      </x:c>
      <x:c r="R3577" s="13" t="n">
        <x:f>J3577+Q3577/1440</x:f>
        <x:v>46314.60833333333</x:v>
      </x:c>
      <x:c r="S3577" s="2" t="str">
        <x:f>VLOOKUP(C3577,'MES orders'!$A$8:$H$127,6,FALSE)</x:f>
        <x:v>Normal</x:v>
      </x:c>
      <x:c r="T3577" s="9" t="str"/>
    </x:row>
    <x:row r="3578" ht="22" customHeight="1">
      <x:c r="A3578" s="2" t="str">
        <x:v>L00197-050</x:v>
      </x:c>
      <x:c r="B3578" s="2" t="str">
        <x:v>L00197</x:v>
      </x:c>
      <x:c r="C3578" s="2" t="str">
        <x:v>SO-26040</x:v>
      </x:c>
      <x:c r="D3578" s="2" t="str">
        <x:v>D-S-SS</x:v>
      </x:c>
      <x:c r="E3578" s="14" t="n">
        <x:v>15</x:v>
      </x:c>
      <x:c r="F3578" s="2" t="str">
        <x:v>Final leak / function test</x:v>
      </x:c>
      <x:c r="G3578" s="9" t="str">
        <x:v>QA-02</x:v>
      </x:c>
      <x:c r="H3578" s="15" t="n">
        <x:v>270</x:v>
      </x:c>
      <x:c r="I3578" s="9" t="str">
        <x:v>P23</x:v>
      </x:c>
      <x:c r="J3578" s="11" t="n">
        <x:v>46314.59652777778</x:v>
      </x:c>
      <x:c r="K3578" s="15" t="n">
        <x:v>10</x:v>
      </x:c>
      <x:c r="L3578" s="15" t="n">
        <x:v>14</x:v>
      </x:c>
      <x:c r="M3578" s="13" t="n">
        <x:f>J3578+(K3578+L3578)/1440</x:f>
        <x:v>46314.61319444445</x:v>
      </x:c>
      <x:c r="N3578" s="13" t="n">
        <x:f>VLOOKUP(C3578,'MES orders'!$A$8:$H$127,5,FALSE)</x:f>
        <x:v>46311.666666666664</x:v>
      </x:c>
      <x:c r="O3578" s="16" t="n">
        <x:f>MAX(0,(M3578-N3578)*24)</x:f>
        <x:v>70.71666666684905</x:v>
      </x:c>
      <x:c r="P3578" s="9" t="str">
        <x:v>No</x:v>
      </x:c>
      <x:c r="Q3578" s="15" t="n">
        <x:v>24</x:v>
      </x:c>
      <x:c r="R3578" s="13" t="n">
        <x:f>J3578+Q3578/1440</x:f>
        <x:v>46314.61319444445</x:v>
      </x:c>
      <x:c r="S3578" s="2" t="str">
        <x:f>VLOOKUP(C3578,'MES orders'!$A$8:$H$127,6,FALSE)</x:f>
        <x:v>Normal</x:v>
      </x:c>
      <x:c r="T3578" s="9" t="str"/>
    </x:row>
    <x:row r="3579" ht="22" customHeight="1">
      <x:c r="A3579" s="2" t="str">
        <x:v>L00240-030</x:v>
      </x:c>
      <x:c r="B3579" s="2" t="str">
        <x:v>L00240</x:v>
      </x:c>
      <x:c r="C3579" s="2" t="str">
        <x:v>SO-26048</x:v>
      </x:c>
      <x:c r="D3579" s="2" t="str">
        <x:v>D-L-SS</x:v>
      </x:c>
      <x:c r="E3579" s="14" t="n">
        <x:v>20</x:v>
      </x:c>
      <x:c r="F3579" s="2" t="str">
        <x:v>Wash &amp; dry</x:v>
      </x:c>
      <x:c r="G3579" s="9" t="str">
        <x:v>WS-02</x:v>
      </x:c>
      <x:c r="H3579" s="15" t="n">
        <x:v>238</x:v>
      </x:c>
      <x:c r="I3579" s="9" t="str">
        <x:v>P13</x:v>
      </x:c>
      <x:c r="J3579" s="11" t="n">
        <x:v>46314.603472222225</x:v>
      </x:c>
      <x:c r="K3579" s="15" t="n">
        <x:v>12</x:v>
      </x:c>
      <x:c r="L3579" s="15" t="n">
        <x:v>9</x:v>
      </x:c>
      <x:c r="M3579" s="13" t="n">
        <x:f>J3579+(K3579+L3579)/1440</x:f>
        <x:v>46314.618055555555</x:v>
      </x:c>
      <x:c r="N3579" s="13" t="n">
        <x:f>VLOOKUP(C3579,'MES orders'!$A$8:$H$127,5,FALSE)</x:f>
        <x:v>46311.666666666664</x:v>
      </x:c>
      <x:c r="O3579" s="16" t="n">
        <x:f>MAX(0,(M3579-N3579)*24)</x:f>
        <x:v>70.83333333337214</x:v>
      </x:c>
      <x:c r="P3579" s="9" t="str">
        <x:v>No</x:v>
      </x:c>
      <x:c r="Q3579" s="15" t="n">
        <x:v>21</x:v>
      </x:c>
      <x:c r="R3579" s="13" t="n">
        <x:f>J3579+Q3579/1440</x:f>
        <x:v>46314.618055555555</x:v>
      </x:c>
      <x:c r="S3579" s="2" t="str">
        <x:f>VLOOKUP(C3579,'MES orders'!$A$8:$H$127,6,FALSE)</x:f>
        <x:v>Normal</x:v>
      </x:c>
      <x:c r="T3579" s="9" t="str"/>
    </x:row>
    <x:row r="3580" ht="22" customHeight="1">
      <x:c r="A3580" s="2" t="str">
        <x:v>L00279-040</x:v>
      </x:c>
      <x:c r="B3580" s="2" t="str">
        <x:v>L00279</x:v>
      </x:c>
      <x:c r="C3580" s="2" t="str">
        <x:v>SO-26056</x:v>
      </x:c>
      <x:c r="D3580" s="2" t="str">
        <x:v>R-C-SS</x:v>
      </x:c>
      <x:c r="E3580" s="14" t="n">
        <x:v>5</x:v>
      </x:c>
      <x:c r="F3580" s="2" t="str">
        <x:v>Mechanical assembly</x:v>
      </x:c>
      <x:c r="G3580" s="9" t="str">
        <x:v>AS-04</x:v>
      </x:c>
      <x:c r="H3580" s="15" t="n">
        <x:v>125</x:v>
      </x:c>
      <x:c r="I3580" s="9" t="str">
        <x:v>P14</x:v>
      </x:c>
      <x:c r="J3580" s="11" t="n">
        <x:v>46314.604166666664</x:v>
      </x:c>
      <x:c r="K3580" s="15" t="n">
        <x:v>8</x:v>
      </x:c>
      <x:c r="L3580" s="15" t="n">
        <x:v>7</x:v>
      </x:c>
      <x:c r="M3580" s="13" t="n">
        <x:f>J3580+(K3580+L3580)/1440</x:f>
        <x:v>46314.61458333333</x:v>
      </x:c>
      <x:c r="N3580" s="13" t="n">
        <x:f>VLOOKUP(C3580,'MES orders'!$A$8:$H$127,5,FALSE)</x:f>
        <x:v>46311.666666666664</x:v>
      </x:c>
      <x:c r="O3580" s="16" t="n">
        <x:f>MAX(0,(M3580-N3580)*24)</x:f>
        <x:v>70.74999999994179</x:v>
      </x:c>
      <x:c r="P3580" s="9" t="str">
        <x:v>No</x:v>
      </x:c>
      <x:c r="Q3580" s="15" t="n">
        <x:v>15</x:v>
      </x:c>
      <x:c r="R3580" s="13" t="n">
        <x:f>J3580+Q3580/1440</x:f>
        <x:v>46314.61458333333</x:v>
      </x:c>
      <x:c r="S3580" s="2" t="str">
        <x:f>VLOOKUP(C3580,'MES orders'!$A$8:$H$127,6,FALSE)</x:f>
        <x:v>Normal</x:v>
      </x:c>
      <x:c r="T3580" s="9" t="str"/>
    </x:row>
    <x:row r="3581" ht="22" customHeight="1">
      <x:c r="A3581" s="2" t="str">
        <x:v>L00199-050</x:v>
      </x:c>
      <x:c r="B3581" s="2" t="str">
        <x:v>L00199</x:v>
      </x:c>
      <x:c r="C3581" s="2" t="str">
        <x:v>SO-26040</x:v>
      </x:c>
      <x:c r="D3581" s="2" t="str">
        <x:v>D-S-SS</x:v>
      </x:c>
      <x:c r="E3581" s="14" t="n">
        <x:v>15</x:v>
      </x:c>
      <x:c r="F3581" s="2" t="str">
        <x:v>Final leak / function test</x:v>
      </x:c>
      <x:c r="G3581" s="9" t="str">
        <x:v>QA-03</x:v>
      </x:c>
      <x:c r="H3581" s="15" t="n">
        <x:v>158</x:v>
      </x:c>
      <x:c r="I3581" s="9" t="str">
        <x:v>P24</x:v>
      </x:c>
      <x:c r="J3581" s="11" t="n">
        <x:v>46314.60763888889</x:v>
      </x:c>
      <x:c r="K3581" s="15" t="n">
        <x:v>10</x:v>
      </x:c>
      <x:c r="L3581" s="15" t="n">
        <x:v>14</x:v>
      </x:c>
      <x:c r="M3581" s="13" t="n">
        <x:f>J3581+(K3581+L3581)/1440</x:f>
        <x:v>46314.62430555556</x:v>
      </x:c>
      <x:c r="N3581" s="13" t="n">
        <x:f>VLOOKUP(C3581,'MES orders'!$A$8:$H$127,5,FALSE)</x:f>
        <x:v>46311.666666666664</x:v>
      </x:c>
      <x:c r="O3581" s="16" t="n">
        <x:f>MAX(0,(M3581-N3581)*24)</x:f>
        <x:v>70.98333333351184</x:v>
      </x:c>
      <x:c r="P3581" s="9" t="str">
        <x:v>No</x:v>
      </x:c>
      <x:c r="Q3581" s="15" t="n">
        <x:v>24</x:v>
      </x:c>
      <x:c r="R3581" s="13" t="n">
        <x:f>J3581+Q3581/1440</x:f>
        <x:v>46314.62430555556</x:v>
      </x:c>
      <x:c r="S3581" s="2" t="str">
        <x:f>VLOOKUP(C3581,'MES orders'!$A$8:$H$127,6,FALSE)</x:f>
        <x:v>Normal</x:v>
      </x:c>
      <x:c r="T3581" s="9" t="str"/>
    </x:row>
    <x:row r="3582" ht="22" customHeight="1">
      <x:c r="A3582" s="2" t="str">
        <x:v>L00236-030</x:v>
      </x:c>
      <x:c r="B3582" s="2" t="str">
        <x:v>L00236</x:v>
      </x:c>
      <x:c r="C3582" s="2" t="str">
        <x:v>SO-26048</x:v>
      </x:c>
      <x:c r="D3582" s="2" t="str">
        <x:v>D-L-SS</x:v>
      </x:c>
      <x:c r="E3582" s="14" t="n">
        <x:v>20</x:v>
      </x:c>
      <x:c r="F3582" s="2" t="str">
        <x:v>Wash &amp; dry</x:v>
      </x:c>
      <x:c r="G3582" s="9" t="str">
        <x:v>WS-01</x:v>
      </x:c>
      <x:c r="H3582" s="15" t="n">
        <x:v>327</x:v>
      </x:c>
      <x:c r="I3582" s="9" t="str">
        <x:v>P17</x:v>
      </x:c>
      <x:c r="J3582" s="11" t="n">
        <x:v>46314.60763888889</x:v>
      </x:c>
      <x:c r="K3582" s="15" t="n">
        <x:v>12</x:v>
      </x:c>
      <x:c r="L3582" s="15" t="n">
        <x:v>9</x:v>
      </x:c>
      <x:c r="M3582" s="13" t="n">
        <x:f>J3582+(K3582+L3582)/1440</x:f>
        <x:v>46314.62222222222</x:v>
      </x:c>
      <x:c r="N3582" s="13" t="n">
        <x:f>VLOOKUP(C3582,'MES orders'!$A$8:$H$127,5,FALSE)</x:f>
        <x:v>46311.666666666664</x:v>
      </x:c>
      <x:c r="O3582" s="16" t="n">
        <x:f>MAX(0,(M3582-N3582)*24)</x:f>
        <x:v>70.93333333334886</x:v>
      </x:c>
      <x:c r="P3582" s="9" t="str">
        <x:v>No</x:v>
      </x:c>
      <x:c r="Q3582" s="15" t="n">
        <x:v>21</x:v>
      </x:c>
      <x:c r="R3582" s="13" t="n">
        <x:f>J3582+Q3582/1440</x:f>
        <x:v>46314.62222222222</x:v>
      </x:c>
      <x:c r="S3582" s="2" t="str">
        <x:f>VLOOKUP(C3582,'MES orders'!$A$8:$H$127,6,FALSE)</x:f>
        <x:v>Normal</x:v>
      </x:c>
      <x:c r="T3582" s="9" t="str"/>
    </x:row>
    <x:row r="3583" ht="22" customHeight="1">
      <x:c r="A3583" s="2" t="str">
        <x:v>L00356-020</x:v>
      </x:c>
      <x:c r="B3583" s="2" t="str">
        <x:v>L00356</x:v>
      </x:c>
      <x:c r="C3583" s="2" t="str">
        <x:v>SO-26072</x:v>
      </x:c>
      <x:c r="D3583" s="2" t="str">
        <x:v>R-L-SS</x:v>
      </x:c>
      <x:c r="E3583" s="14" t="n">
        <x:v>5</x:v>
      </x:c>
      <x:c r="F3583" s="2" t="str">
        <x:v>Deburr &amp; inspect</x:v>
      </x:c>
      <x:c r="G3583" s="9" t="str">
        <x:v>DB-01</x:v>
      </x:c>
      <x:c r="H3583" s="15" t="n">
        <x:v>335</x:v>
      </x:c>
      <x:c r="I3583" s="9" t="str">
        <x:v>P15</x:v>
      </x:c>
      <x:c r="J3583" s="11" t="n">
        <x:v>46314.60972222222</x:v>
      </x:c>
      <x:c r="K3583" s="15" t="n">
        <x:v>4</x:v>
      </x:c>
      <x:c r="L3583" s="15" t="n">
        <x:v>5</x:v>
      </x:c>
      <x:c r="M3583" s="13" t="n">
        <x:f>J3583+(K3583+L3583)/1440</x:f>
        <x:v>46314.61597222222</x:v>
      </x:c>
      <x:c r="N3583" s="13" t="n">
        <x:f>VLOOKUP(C3583,'MES orders'!$A$8:$H$127,5,FALSE)</x:f>
        <x:v>46311.666666666664</x:v>
      </x:c>
      <x:c r="O3583" s="16" t="n">
        <x:f>MAX(0,(M3583-N3583)*24)</x:f>
        <x:v>70.78333333338378</x:v>
      </x:c>
      <x:c r="P3583" s="9" t="str">
        <x:v>No</x:v>
      </x:c>
      <x:c r="Q3583" s="15" t="n">
        <x:v>9</x:v>
      </x:c>
      <x:c r="R3583" s="13" t="n">
        <x:f>J3583+Q3583/1440</x:f>
        <x:v>46314.61597222222</x:v>
      </x:c>
      <x:c r="S3583" s="2" t="str">
        <x:f>VLOOKUP(C3583,'MES orders'!$A$8:$H$127,6,FALSE)</x:f>
        <x:v>Normal</x:v>
      </x:c>
      <x:c r="T3583" s="9" t="str"/>
    </x:row>
    <x:row r="3584" ht="22" customHeight="1">
      <x:c r="A3584" s="2" t="str">
        <x:v>L00279-050</x:v>
      </x:c>
      <x:c r="B3584" s="2" t="str">
        <x:v>L00279</x:v>
      </x:c>
      <x:c r="C3584" s="2" t="str">
        <x:v>SO-26056</x:v>
      </x:c>
      <x:c r="D3584" s="2" t="str">
        <x:v>R-C-SS</x:v>
      </x:c>
      <x:c r="E3584" s="14" t="n">
        <x:v>5</x:v>
      </x:c>
      <x:c r="F3584" s="2" t="str">
        <x:v>Valve adjustment</x:v>
      </x:c>
      <x:c r="G3584" s="9" t="str">
        <x:v>AS-02</x:v>
      </x:c>
      <x:c r="H3584" s="15" t="n">
        <x:v>234</x:v>
      </x:c>
      <x:c r="I3584" s="9" t="str">
        <x:v>P20</x:v>
      </x:c>
      <x:c r="J3584" s="11" t="n">
        <x:v>46314.614583333336</x:v>
      </x:c>
      <x:c r="K3584" s="15" t="n">
        <x:v>6</x:v>
      </x:c>
      <x:c r="L3584" s="15" t="n">
        <x:v>4</x:v>
      </x:c>
      <x:c r="M3584" s="13" t="n">
        <x:f>J3584+(K3584+L3584)/1440</x:f>
        <x:v>46314.62152777778</x:v>
      </x:c>
      <x:c r="N3584" s="13" t="n">
        <x:f>VLOOKUP(C3584,'MES orders'!$A$8:$H$127,5,FALSE)</x:f>
        <x:v>46311.666666666664</x:v>
      </x:c>
      <x:c r="O3584" s="16" t="n">
        <x:f>MAX(0,(M3584-N3584)*24)</x:f>
        <x:v>70.91666666680248</x:v>
      </x:c>
      <x:c r="P3584" s="9" t="str">
        <x:v>No</x:v>
      </x:c>
      <x:c r="Q3584" s="15" t="n">
        <x:v>10</x:v>
      </x:c>
      <x:c r="R3584" s="13" t="n">
        <x:f>J3584+Q3584/1440</x:f>
        <x:v>46314.62152777778</x:v>
      </x:c>
      <x:c r="S3584" s="2" t="str">
        <x:f>VLOOKUP(C3584,'MES orders'!$A$8:$H$127,6,FALSE)</x:f>
        <x:v>Normal</x:v>
      </x:c>
      <x:c r="T3584" s="9" t="str"/>
    </x:row>
    <x:row r="3585" ht="22" customHeight="1">
      <x:c r="A3585" s="2" t="str">
        <x:v>L00358-010</x:v>
      </x:c>
      <x:c r="B3585" s="2" t="str">
        <x:v>L00358</x:v>
      </x:c>
      <x:c r="C3585" s="2" t="str">
        <x:v>SO-26072</x:v>
      </x:c>
      <x:c r="D3585" s="2" t="str">
        <x:v>R-L-SS</x:v>
      </x:c>
      <x:c r="E3585" s="14" t="n">
        <x:v>5</x:v>
      </x:c>
      <x:c r="F3585" s="2" t="str">
        <x:v>CNC machining</x:v>
      </x:c>
      <x:c r="G3585" s="9" t="str">
        <x:v>CNC-03</x:v>
      </x:c>
      <x:c r="H3585" s="15" t="n">
        <x:v>117</x:v>
      </x:c>
      <x:c r="I3585" s="9" t="str">
        <x:v>P14</x:v>
      </x:c>
      <x:c r="J3585" s="11" t="n">
        <x:v>46314.614583333336</x:v>
      </x:c>
      <x:c r="K3585" s="15" t="n">
        <x:v>18</x:v>
      </x:c>
      <x:c r="L3585" s="15" t="n">
        <x:v>20</x:v>
      </x:c>
      <x:c r="M3585" s="13" t="n">
        <x:f>J3585+(K3585+L3585)/1440</x:f>
        <x:v>46314.64097222222</x:v>
      </x:c>
      <x:c r="N3585" s="13" t="n">
        <x:f>VLOOKUP(C3585,'MES orders'!$A$8:$H$127,5,FALSE)</x:f>
        <x:v>46311.666666666664</x:v>
      </x:c>
      <x:c r="O3585" s="16" t="n">
        <x:f>MAX(0,(M3585-N3585)*24)</x:f>
        <x:v>71.3833333334187</x:v>
      </x:c>
      <x:c r="P3585" s="9" t="str">
        <x:v>No</x:v>
      </x:c>
      <x:c r="Q3585" s="15" t="n">
        <x:v>18</x:v>
      </x:c>
      <x:c r="R3585" s="13" t="n">
        <x:f>J3585+Q3585/1440</x:f>
        <x:v>46314.62708333333</x:v>
      </x:c>
      <x:c r="S3585" s="2" t="str">
        <x:f>VLOOKUP(C3585,'MES orders'!$A$8:$H$127,6,FALSE)</x:f>
        <x:v>Normal</x:v>
      </x:c>
      <x:c r="T3585" s="9" t="str"/>
    </x:row>
    <x:row r="3586" ht="22" customHeight="1">
      <x:c r="A3586" s="2" t="str">
        <x:v>L00280-030</x:v>
      </x:c>
      <x:c r="B3586" s="2" t="str">
        <x:v>L00280</x:v>
      </x:c>
      <x:c r="C3586" s="2" t="str">
        <x:v>SO-26056</x:v>
      </x:c>
      <x:c r="D3586" s="2" t="str">
        <x:v>R-C-SS</x:v>
      </x:c>
      <x:c r="E3586" s="14" t="n">
        <x:v>5</x:v>
      </x:c>
      <x:c r="F3586" s="2" t="str">
        <x:v>Wash &amp; dry</x:v>
      </x:c>
      <x:c r="G3586" s="9" t="str">
        <x:v>WS-02</x:v>
      </x:c>
      <x:c r="H3586" s="15" t="n">
        <x:v>239</x:v>
      </x:c>
      <x:c r="I3586" s="9" t="str">
        <x:v>P13</x:v>
      </x:c>
      <x:c r="J3586" s="11" t="n">
        <x:v>46314.618055555555</x:v>
      </x:c>
      <x:c r="K3586" s="15" t="n">
        <x:v>12</x:v>
      </x:c>
      <x:c r="L3586" s="15" t="n">
        <x:v>1</x:v>
      </x:c>
      <x:c r="M3586" s="13" t="n">
        <x:f>J3586+(K3586+L3586)/1440</x:f>
        <x:v>46314.62708333333</x:v>
      </x:c>
      <x:c r="N3586" s="13" t="n">
        <x:f>VLOOKUP(C3586,'MES orders'!$A$8:$H$127,5,FALSE)</x:f>
        <x:v>46311.666666666664</x:v>
      </x:c>
      <x:c r="O3586" s="16" t="n">
        <x:f>MAX(0,(M3586-N3586)*24)</x:f>
        <x:v>71.05000000004657</x:v>
      </x:c>
      <x:c r="P3586" s="9" t="str">
        <x:v>No</x:v>
      </x:c>
      <x:c r="Q3586" s="15" t="n">
        <x:v>13</x:v>
      </x:c>
      <x:c r="R3586" s="13" t="n">
        <x:f>J3586+Q3586/1440</x:f>
        <x:v>46314.62708333333</x:v>
      </x:c>
      <x:c r="S3586" s="2" t="str">
        <x:f>VLOOKUP(C3586,'MES orders'!$A$8:$H$127,6,FALSE)</x:f>
        <x:v>Normal</x:v>
      </x:c>
      <x:c r="T3586" s="9" t="str"/>
    </x:row>
    <x:row r="3587" ht="22" customHeight="1">
      <x:c r="A3587" s="2" t="str">
        <x:v>L00237-020</x:v>
      </x:c>
      <x:c r="B3587" s="2" t="str">
        <x:v>L00237</x:v>
      </x:c>
      <x:c r="C3587" s="2" t="str">
        <x:v>SO-26048</x:v>
      </x:c>
      <x:c r="D3587" s="2" t="str">
        <x:v>D-L-SS</x:v>
      </x:c>
      <x:c r="E3587" s="14" t="n">
        <x:v>20</x:v>
      </x:c>
      <x:c r="F3587" s="2" t="str">
        <x:v>Deburr &amp; inspect</x:v>
      </x:c>
      <x:c r="G3587" s="9" t="str">
        <x:v>DB-01</x:v>
      </x:c>
      <x:c r="H3587" s="15" t="n">
        <x:v>336</x:v>
      </x:c>
      <x:c r="I3587" s="9" t="str">
        <x:v>P18</x:v>
      </x:c>
      <x:c r="J3587" s="11" t="n">
        <x:v>46314.61944444444</x:v>
      </x:c>
      <x:c r="K3587" s="15" t="n">
        <x:v>4</x:v>
      </x:c>
      <x:c r="L3587" s="15" t="n">
        <x:v>19</x:v>
      </x:c>
      <x:c r="M3587" s="13" t="n">
        <x:f>J3587+(K3587+L3587)/1440</x:f>
        <x:v>46314.635416666664</x:v>
      </x:c>
      <x:c r="N3587" s="13" t="n">
        <x:f>VLOOKUP(C3587,'MES orders'!$A$8:$H$127,5,FALSE)</x:f>
        <x:v>46311.666666666664</x:v>
      </x:c>
      <x:c r="O3587" s="16" t="n">
        <x:f>MAX(0,(M3587-N3587)*24)</x:f>
        <x:v>71.25</x:v>
      </x:c>
      <x:c r="P3587" s="9" t="str">
        <x:v>No</x:v>
      </x:c>
      <x:c r="Q3587" s="15" t="n">
        <x:v>23</x:v>
      </x:c>
      <x:c r="R3587" s="13" t="n">
        <x:f>J3587+Q3587/1440</x:f>
        <x:v>46314.635416666664</x:v>
      </x:c>
      <x:c r="S3587" s="2" t="str">
        <x:f>VLOOKUP(C3587,'MES orders'!$A$8:$H$127,6,FALSE)</x:f>
        <x:v>Normal</x:v>
      </x:c>
      <x:c r="T3587" s="9" t="str"/>
    </x:row>
    <x:row r="3588" ht="22" customHeight="1">
      <x:c r="A3588" s="2" t="str">
        <x:v>L00198-050</x:v>
      </x:c>
      <x:c r="B3588" s="2" t="str">
        <x:v>L00198</x:v>
      </x:c>
      <x:c r="C3588" s="2" t="str">
        <x:v>SO-26040</x:v>
      </x:c>
      <x:c r="D3588" s="2" t="str">
        <x:v>D-S-SS</x:v>
      </x:c>
      <x:c r="E3588" s="14" t="n">
        <x:v>15</x:v>
      </x:c>
      <x:c r="F3588" s="2" t="str">
        <x:v>Final leak / function test</x:v>
      </x:c>
      <x:c r="G3588" s="9" t="str">
        <x:v>QA-01</x:v>
      </x:c>
      <x:c r="H3588" s="15" t="n">
        <x:v>133</x:v>
      </x:c>
      <x:c r="I3588" s="9" t="str">
        <x:v>P23</x:v>
      </x:c>
      <x:c r="J3588" s="11" t="n">
        <x:v>46314.61944444444</x:v>
      </x:c>
      <x:c r="K3588" s="15" t="n">
        <x:v>10</x:v>
      </x:c>
      <x:c r="L3588" s="15" t="n">
        <x:v>14</x:v>
      </x:c>
      <x:c r="M3588" s="13" t="n">
        <x:f>J3588+(K3588+L3588)/1440</x:f>
        <x:v>46314.63611111111</x:v>
      </x:c>
      <x:c r="N3588" s="13" t="n">
        <x:f>VLOOKUP(C3588,'MES orders'!$A$8:$H$127,5,FALSE)</x:f>
        <x:v>46311.666666666664</x:v>
      </x:c>
      <x:c r="O3588" s="16" t="n">
        <x:f>MAX(0,(M3588-N3588)*24)</x:f>
        <x:v>71.266666666721</x:v>
      </x:c>
      <x:c r="P3588" s="9" t="str">
        <x:v>No</x:v>
      </x:c>
      <x:c r="Q3588" s="15" t="n">
        <x:v>24</x:v>
      </x:c>
      <x:c r="R3588" s="13" t="n">
        <x:f>J3588+Q3588/1440</x:f>
        <x:v>46314.63611111111</x:v>
      </x:c>
      <x:c r="S3588" s="2" t="str">
        <x:f>VLOOKUP(C3588,'MES orders'!$A$8:$H$127,6,FALSE)</x:f>
        <x:v>Normal</x:v>
      </x:c>
      <x:c r="T3588" s="9" t="str"/>
    </x:row>
    <x:row r="3589" ht="22" customHeight="1">
      <x:c r="A3589" s="2" t="str">
        <x:v>L00236-040</x:v>
      </x:c>
      <x:c r="B3589" s="2" t="str">
        <x:v>L00236</x:v>
      </x:c>
      <x:c r="C3589" s="2" t="str">
        <x:v>SO-26048</x:v>
      </x:c>
      <x:c r="D3589" s="2" t="str">
        <x:v>D-L-SS</x:v>
      </x:c>
      <x:c r="E3589" s="14" t="n">
        <x:v>20</x:v>
      </x:c>
      <x:c r="F3589" s="2" t="str">
        <x:v>Mechanical assembly</x:v>
      </x:c>
      <x:c r="G3589" s="9" t="str">
        <x:v>AS-01</x:v>
      </x:c>
      <x:c r="H3589" s="15" t="n">
        <x:v>288</x:v>
      </x:c>
      <x:c r="I3589" s="9" t="str">
        <x:v>P16</x:v>
      </x:c>
      <x:c r="J3589" s="11" t="n">
        <x:v>46314.62222222222</x:v>
      </x:c>
      <x:c r="K3589" s="15" t="n">
        <x:v>8</x:v>
      </x:c>
      <x:c r="L3589" s="15" t="n">
        <x:v>49</x:v>
      </x:c>
      <x:c r="M3589" s="13" t="n">
        <x:f>J3589+(K3589+L3589)/1440</x:f>
        <x:v>46314.66180555555</x:v>
      </x:c>
      <x:c r="N3589" s="13" t="n">
        <x:f>VLOOKUP(C3589,'MES orders'!$A$8:$H$127,5,FALSE)</x:f>
        <x:v>46311.666666666664</x:v>
      </x:c>
      <x:c r="O3589" s="16" t="n">
        <x:f>MAX(0,(M3589-N3589)*24)</x:f>
        <x:v>71.88333333330229</x:v>
      </x:c>
      <x:c r="P3589" s="9" t="str">
        <x:v>No</x:v>
      </x:c>
      <x:c r="Q3589" s="15" t="n">
        <x:v>57</x:v>
      </x:c>
      <x:c r="R3589" s="13" t="n">
        <x:f>J3589+Q3589/1440</x:f>
        <x:v>46314.66180555555</x:v>
      </x:c>
      <x:c r="S3589" s="2" t="str">
        <x:f>VLOOKUP(C3589,'MES orders'!$A$8:$H$127,6,FALSE)</x:f>
        <x:v>Normal</x:v>
      </x:c>
      <x:c r="T3589" s="9" t="str"/>
    </x:row>
    <x:row r="3590" ht="22" customHeight="1">
      <x:c r="A3590" s="2" t="str">
        <x:v>L00357-020</x:v>
      </x:c>
      <x:c r="B3590" s="2" t="str">
        <x:v>L00357</x:v>
      </x:c>
      <x:c r="C3590" s="2" t="str">
        <x:v>SO-26072</x:v>
      </x:c>
      <x:c r="D3590" s="2" t="str">
        <x:v>R-L-SS</x:v>
      </x:c>
      <x:c r="E3590" s="14" t="n">
        <x:v>5</x:v>
      </x:c>
      <x:c r="F3590" s="2" t="str">
        <x:v>Deburr &amp; inspect</x:v>
      </x:c>
      <x:c r="G3590" s="9" t="str">
        <x:v>DB-02</x:v>
      </x:c>
      <x:c r="H3590" s="15" t="n">
        <x:v>235</x:v>
      </x:c>
      <x:c r="I3590" s="9" t="str">
        <x:v>P15</x:v>
      </x:c>
      <x:c r="J3590" s="11" t="n">
        <x:v>46314.62222222222</x:v>
      </x:c>
      <x:c r="K3590" s="15" t="n">
        <x:v>4</x:v>
      </x:c>
      <x:c r="L3590" s="15" t="n">
        <x:v>5</x:v>
      </x:c>
      <x:c r="M3590" s="13" t="n">
        <x:f>J3590+(K3590+L3590)/1440</x:f>
        <x:v>46314.62847222222</x:v>
      </x:c>
      <x:c r="N3590" s="13" t="n">
        <x:f>VLOOKUP(C3590,'MES orders'!$A$8:$H$127,5,FALSE)</x:f>
        <x:v>46311.666666666664</x:v>
      </x:c>
      <x:c r="O3590" s="16" t="n">
        <x:f>MAX(0,(M3590-N3590)*24)</x:f>
        <x:v>71.08333333331393</x:v>
      </x:c>
      <x:c r="P3590" s="9" t="str">
        <x:v>No</x:v>
      </x:c>
      <x:c r="Q3590" s="15" t="n">
        <x:v>9</x:v>
      </x:c>
      <x:c r="R3590" s="13" t="n">
        <x:f>J3590+Q3590/1440</x:f>
        <x:v>46314.62847222222</x:v>
      </x:c>
      <x:c r="S3590" s="2" t="str">
        <x:f>VLOOKUP(C3590,'MES orders'!$A$8:$H$127,6,FALSE)</x:f>
        <x:v>Normal</x:v>
      </x:c>
      <x:c r="T3590" s="9" t="str"/>
    </x:row>
    <x:row r="3591" ht="22" customHeight="1">
      <x:c r="A3591" s="2" t="str">
        <x:v>L00278-030</x:v>
      </x:c>
      <x:c r="B3591" s="2" t="str">
        <x:v>L00278</x:v>
      </x:c>
      <x:c r="C3591" s="2" t="str">
        <x:v>SO-26056</x:v>
      </x:c>
      <x:c r="D3591" s="2" t="str">
        <x:v>R-C-SS</x:v>
      </x:c>
      <x:c r="E3591" s="14" t="n">
        <x:v>5</x:v>
      </x:c>
      <x:c r="F3591" s="2" t="str">
        <x:v>Wash &amp; dry</x:v>
      </x:c>
      <x:c r="G3591" s="9" t="str">
        <x:v>WS-01</x:v>
      </x:c>
      <x:c r="H3591" s="15" t="n">
        <x:v>328</x:v>
      </x:c>
      <x:c r="I3591" s="9" t="str">
        <x:v>P17</x:v>
      </x:c>
      <x:c r="J3591" s="11" t="n">
        <x:v>46314.62222222222</x:v>
      </x:c>
      <x:c r="K3591" s="15" t="n">
        <x:v>12</x:v>
      </x:c>
      <x:c r="L3591" s="15" t="n">
        <x:v>1</x:v>
      </x:c>
      <x:c r="M3591" s="13" t="n">
        <x:f>J3591+(K3591+L3591)/1440</x:f>
        <x:v>46314.63125</x:v>
      </x:c>
      <x:c r="N3591" s="13" t="n">
        <x:f>VLOOKUP(C3591,'MES orders'!$A$8:$H$127,5,FALSE)</x:f>
        <x:v>46311.666666666664</x:v>
      </x:c>
      <x:c r="O3591" s="16" t="n">
        <x:f>MAX(0,(M3591-N3591)*24)</x:f>
        <x:v>71.15000000002328</x:v>
      </x:c>
      <x:c r="P3591" s="9" t="str">
        <x:v>No</x:v>
      </x:c>
      <x:c r="Q3591" s="15" t="n">
        <x:v>13</x:v>
      </x:c>
      <x:c r="R3591" s="13" t="n">
        <x:f>J3591+Q3591/1440</x:f>
        <x:v>46314.63125</x:v>
      </x:c>
      <x:c r="S3591" s="2" t="str">
        <x:f>VLOOKUP(C3591,'MES orders'!$A$8:$H$127,6,FALSE)</x:f>
        <x:v>Normal</x:v>
      </x:c>
      <x:c r="T3591" s="9" t="str"/>
    </x:row>
    <x:row r="3592" ht="22" customHeight="1">
      <x:c r="A3592" s="2" t="str">
        <x:v>L00200-050</x:v>
      </x:c>
      <x:c r="B3592" s="2" t="str">
        <x:v>L00200</x:v>
      </x:c>
      <x:c r="C3592" s="2" t="str">
        <x:v>SO-26040</x:v>
      </x:c>
      <x:c r="D3592" s="2" t="str">
        <x:v>D-S-SS</x:v>
      </x:c>
      <x:c r="E3592" s="14" t="n">
        <x:v>15</x:v>
      </x:c>
      <x:c r="F3592" s="2" t="str">
        <x:v>Final leak / function test</x:v>
      </x:c>
      <x:c r="G3592" s="9" t="str">
        <x:v>QA-02</x:v>
      </x:c>
      <x:c r="H3592" s="15" t="n">
        <x:v>271</x:v>
      </x:c>
      <x:c r="I3592" s="9" t="str">
        <x:v>P24</x:v>
      </x:c>
      <x:c r="J3592" s="11" t="n">
        <x:v>46314.62430555555</x:v>
      </x:c>
      <x:c r="K3592" s="15" t="n">
        <x:v>10</x:v>
      </x:c>
      <x:c r="L3592" s="15" t="n">
        <x:v>14</x:v>
      </x:c>
      <x:c r="M3592" s="13" t="n">
        <x:f>J3592+(K3592+L3592)/1440</x:f>
        <x:v>46314.64097222222</x:v>
      </x:c>
      <x:c r="N3592" s="13" t="n">
        <x:f>VLOOKUP(C3592,'MES orders'!$A$8:$H$127,5,FALSE)</x:f>
        <x:v>46311.666666666664</x:v>
      </x:c>
      <x:c r="O3592" s="16" t="n">
        <x:f>MAX(0,(M3592-N3592)*24)</x:f>
        <x:v>71.3833333334187</x:v>
      </x:c>
      <x:c r="P3592" s="9" t="str">
        <x:v>No</x:v>
      </x:c>
      <x:c r="Q3592" s="15" t="n">
        <x:v>24</x:v>
      </x:c>
      <x:c r="R3592" s="13" t="n">
        <x:f>J3592+Q3592/1440</x:f>
        <x:v>46314.64097222222</x:v>
      </x:c>
      <x:c r="S3592" s="2" t="str">
        <x:f>VLOOKUP(C3592,'MES orders'!$A$8:$H$127,6,FALSE)</x:f>
        <x:v>Normal</x:v>
      </x:c>
      <x:c r="T3592" s="9" t="str"/>
    </x:row>
    <x:row r="3593" ht="22" customHeight="1">
      <x:c r="A3593" s="2" t="str">
        <x:v>L00280-040</x:v>
      </x:c>
      <x:c r="B3593" s="2" t="str">
        <x:v>L00280</x:v>
      </x:c>
      <x:c r="C3593" s="2" t="str">
        <x:v>SO-26056</x:v>
      </x:c>
      <x:c r="D3593" s="2" t="str">
        <x:v>R-C-SS</x:v>
      </x:c>
      <x:c r="E3593" s="14" t="n">
        <x:v>5</x:v>
      </x:c>
      <x:c r="F3593" s="2" t="str">
        <x:v>Mechanical assembly</x:v>
      </x:c>
      <x:c r="G3593" s="9" t="str">
        <x:v>AS-02</x:v>
      </x:c>
      <x:c r="H3593" s="15" t="n">
        <x:v>235</x:v>
      </x:c>
      <x:c r="I3593" s="9" t="str">
        <x:v>P13</x:v>
      </x:c>
      <x:c r="J3593" s="11" t="n">
        <x:v>46314.62708333333</x:v>
      </x:c>
      <x:c r="K3593" s="15" t="n">
        <x:v>8</x:v>
      </x:c>
      <x:c r="L3593" s="15" t="n">
        <x:v>7</x:v>
      </x:c>
      <x:c r="M3593" s="13" t="n">
        <x:f>J3593+(K3593+L3593)/1440</x:f>
        <x:v>46314.6375</x:v>
      </x:c>
      <x:c r="N3593" s="13" t="n">
        <x:f>VLOOKUP(C3593,'MES orders'!$A$8:$H$127,5,FALSE)</x:f>
        <x:v>46311.666666666664</x:v>
      </x:c>
      <x:c r="O3593" s="16" t="n">
        <x:f>MAX(0,(M3593-N3593)*24)</x:f>
        <x:v>71.29999999998836</x:v>
      </x:c>
      <x:c r="P3593" s="9" t="str">
        <x:v>No</x:v>
      </x:c>
      <x:c r="Q3593" s="15" t="n">
        <x:v>15</x:v>
      </x:c>
      <x:c r="R3593" s="13" t="n">
        <x:f>J3593+Q3593/1440</x:f>
        <x:v>46314.6375</x:v>
      </x:c>
      <x:c r="S3593" s="2" t="str">
        <x:f>VLOOKUP(C3593,'MES orders'!$A$8:$H$127,6,FALSE)</x:f>
        <x:v>Normal</x:v>
      </x:c>
      <x:c r="T3593" s="9" t="str"/>
    </x:row>
    <x:row r="3594" ht="22" customHeight="1">
      <x:c r="A3594" s="2" t="str">
        <x:v>L00356-030</x:v>
      </x:c>
      <x:c r="B3594" s="2" t="str">
        <x:v>L00356</x:v>
      </x:c>
      <x:c r="C3594" s="2" t="str">
        <x:v>SO-26072</x:v>
      </x:c>
      <x:c r="D3594" s="2" t="str">
        <x:v>R-L-SS</x:v>
      </x:c>
      <x:c r="E3594" s="14" t="n">
        <x:v>5</x:v>
      </x:c>
      <x:c r="F3594" s="2" t="str">
        <x:v>Wash &amp; dry</x:v>
      </x:c>
      <x:c r="G3594" s="9" t="str">
        <x:v>WS-02</x:v>
      </x:c>
      <x:c r="H3594" s="15" t="n">
        <x:v>240</x:v>
      </x:c>
      <x:c r="I3594" s="9" t="str">
        <x:v>P14</x:v>
      </x:c>
      <x:c r="J3594" s="11" t="n">
        <x:v>46314.62708333333</x:v>
      </x:c>
      <x:c r="K3594" s="15" t="n">
        <x:v>12</x:v>
      </x:c>
      <x:c r="L3594" s="15" t="n">
        <x:v>2</x:v>
      </x:c>
      <x:c r="M3594" s="13" t="n">
        <x:f>J3594+(K3594+L3594)/1440</x:f>
        <x:v>46314.63680555556</x:v>
      </x:c>
      <x:c r="N3594" s="13" t="n">
        <x:f>VLOOKUP(C3594,'MES orders'!$A$8:$H$127,5,FALSE)</x:f>
        <x:v>46311.666666666664</x:v>
      </x:c>
      <x:c r="O3594" s="16" t="n">
        <x:f>MAX(0,(M3594-N3594)*24)</x:f>
        <x:v>71.28333333344199</x:v>
      </x:c>
      <x:c r="P3594" s="9" t="str">
        <x:v>No</x:v>
      </x:c>
      <x:c r="Q3594" s="15" t="n">
        <x:v>14</x:v>
      </x:c>
      <x:c r="R3594" s="13" t="n">
        <x:f>J3594+Q3594/1440</x:f>
        <x:v>46314.63680555556</x:v>
      </x:c>
      <x:c r="S3594" s="2" t="str">
        <x:f>VLOOKUP(C3594,'MES orders'!$A$8:$H$127,6,FALSE)</x:f>
        <x:v>Normal</x:v>
      </x:c>
      <x:c r="T3594" s="9" t="str"/>
    </x:row>
    <x:row r="3595" ht="22" customHeight="1">
      <x:c r="A3595" s="2" t="str">
        <x:v>L00359-010</x:v>
      </x:c>
      <x:c r="B3595" s="2" t="str">
        <x:v>L00359</x:v>
      </x:c>
      <x:c r="C3595" s="2" t="str">
        <x:v>SO-26072</x:v>
      </x:c>
      <x:c r="D3595" s="2" t="str">
        <x:v>R-L-SS</x:v>
      </x:c>
      <x:c r="E3595" s="14" t="n">
        <x:v>5</x:v>
      </x:c>
      <x:c r="F3595" s="2" t="str">
        <x:v>CNC machining</x:v>
      </x:c>
      <x:c r="G3595" s="9" t="str">
        <x:v>CNC-04</x:v>
      </x:c>
      <x:c r="H3595" s="15" t="n">
        <x:v>113</x:v>
      </x:c>
      <x:c r="I3595" s="9" t="str">
        <x:v>P15</x:v>
      </x:c>
      <x:c r="J3595" s="11" t="n">
        <x:v>46314.62847222222</x:v>
      </x:c>
      <x:c r="K3595" s="15" t="n">
        <x:v>18</x:v>
      </x:c>
      <x:c r="L3595" s="15" t="n">
        <x:v>20</x:v>
      </x:c>
      <x:c r="M3595" s="13" t="n">
        <x:f>J3595+(K3595+L3595)/1440</x:f>
        <x:v>46314.65486111111</x:v>
      </x:c>
      <x:c r="N3595" s="13" t="n">
        <x:f>VLOOKUP(C3595,'MES orders'!$A$8:$H$127,5,FALSE)</x:f>
        <x:v>46311.666666666664</x:v>
      </x:c>
      <x:c r="O3595" s="16" t="n">
        <x:f>MAX(0,(M3595-N3595)*24)</x:f>
        <x:v>71.71666666661622</x:v>
      </x:c>
      <x:c r="P3595" s="9" t="str">
        <x:v>No</x:v>
      </x:c>
      <x:c r="Q3595" s="15" t="n">
        <x:v>18</x:v>
      </x:c>
      <x:c r="R3595" s="13" t="n">
        <x:f>J3595+Q3595/1440</x:f>
        <x:v>46314.640972222216</x:v>
      </x:c>
      <x:c r="S3595" s="2" t="str">
        <x:f>VLOOKUP(C3595,'MES orders'!$A$8:$H$127,6,FALSE)</x:f>
        <x:v>Normal</x:v>
      </x:c>
      <x:c r="T3595" s="9" t="str"/>
    </x:row>
    <x:row r="3596" ht="22" customHeight="1">
      <x:c r="A3596" s="2" t="str">
        <x:v>L00238-020</x:v>
      </x:c>
      <x:c r="B3596" s="2" t="str">
        <x:v>L00238</x:v>
      </x:c>
      <x:c r="C3596" s="2" t="str">
        <x:v>SO-26048</x:v>
      </x:c>
      <x:c r="D3596" s="2" t="str">
        <x:v>D-L-SS</x:v>
      </x:c>
      <x:c r="E3596" s="14" t="n">
        <x:v>20</x:v>
      </x:c>
      <x:c r="F3596" s="2" t="str">
        <x:v>Deburr &amp; inspect</x:v>
      </x:c>
      <x:c r="G3596" s="9" t="str">
        <x:v>DB-01</x:v>
      </x:c>
      <x:c r="H3596" s="15" t="n">
        <x:v>337</x:v>
      </x:c>
      <x:c r="I3596" s="9" t="str">
        <x:v>P18</x:v>
      </x:c>
      <x:c r="J3596" s="11" t="n">
        <x:v>46314.635416666664</x:v>
      </x:c>
      <x:c r="K3596" s="15" t="n">
        <x:v>4</x:v>
      </x:c>
      <x:c r="L3596" s="15" t="n">
        <x:v>19</x:v>
      </x:c>
      <x:c r="M3596" s="13" t="n">
        <x:f>J3596+(K3596+L3596)/1440</x:f>
        <x:v>46314.65138888889</x:v>
      </x:c>
      <x:c r="N3596" s="13" t="n">
        <x:f>VLOOKUP(C3596,'MES orders'!$A$8:$H$127,5,FALSE)</x:f>
        <x:v>46311.666666666664</x:v>
      </x:c>
      <x:c r="O3596" s="16" t="n">
        <x:f>MAX(0,(M3596-N3596)*24)</x:f>
        <x:v>71.6333333333605</x:v>
      </x:c>
      <x:c r="P3596" s="9" t="str">
        <x:v>No</x:v>
      </x:c>
      <x:c r="Q3596" s="15" t="n">
        <x:v>23</x:v>
      </x:c>
      <x:c r="R3596" s="13" t="n">
        <x:f>J3596+Q3596/1440</x:f>
        <x:v>46314.65138888889</x:v>
      </x:c>
      <x:c r="S3596" s="2" t="str">
        <x:f>VLOOKUP(C3596,'MES orders'!$A$8:$H$127,6,FALSE)</x:f>
        <x:v>Normal</x:v>
      </x:c>
      <x:c r="T3596" s="9" t="str"/>
    </x:row>
    <x:row r="3597" ht="22" customHeight="1">
      <x:c r="A3597" s="2" t="str">
        <x:v>L00237-030</x:v>
      </x:c>
      <x:c r="B3597" s="2" t="str">
        <x:v>L00237</x:v>
      </x:c>
      <x:c r="C3597" s="2" t="str">
        <x:v>SO-26048</x:v>
      </x:c>
      <x:c r="D3597" s="2" t="str">
        <x:v>D-L-SS</x:v>
      </x:c>
      <x:c r="E3597" s="14" t="n">
        <x:v>20</x:v>
      </x:c>
      <x:c r="F3597" s="2" t="str">
        <x:v>Wash &amp; dry</x:v>
      </x:c>
      <x:c r="G3597" s="9" t="str">
        <x:v>WS-01</x:v>
      </x:c>
      <x:c r="H3597" s="15" t="n">
        <x:v>329</x:v>
      </x:c>
      <x:c r="I3597" s="9" t="str">
        <x:v>P17</x:v>
      </x:c>
      <x:c r="J3597" s="11" t="n">
        <x:v>46314.635416666664</x:v>
      </x:c>
      <x:c r="K3597" s="15" t="n">
        <x:v>12</x:v>
      </x:c>
      <x:c r="L3597" s="15" t="n">
        <x:v>9</x:v>
      </x:c>
      <x:c r="M3597" s="13" t="n">
        <x:f>J3597+(K3597+L3597)/1440</x:f>
        <x:v>46314.649999999994</x:v>
      </x:c>
      <x:c r="N3597" s="13" t="n">
        <x:f>VLOOKUP(C3597,'MES orders'!$A$8:$H$127,5,FALSE)</x:f>
        <x:v>46311.666666666664</x:v>
      </x:c>
      <x:c r="O3597" s="16" t="n">
        <x:f>MAX(0,(M3597-N3597)*24)</x:f>
        <x:v>71.59999999991851</x:v>
      </x:c>
      <x:c r="P3597" s="9" t="str">
        <x:v>No</x:v>
      </x:c>
      <x:c r="Q3597" s="15" t="n">
        <x:v>21</x:v>
      </x:c>
      <x:c r="R3597" s="13" t="n">
        <x:f>J3597+Q3597/1440</x:f>
        <x:v>46314.649999999994</x:v>
      </x:c>
      <x:c r="S3597" s="2" t="str">
        <x:f>VLOOKUP(C3597,'MES orders'!$A$8:$H$127,6,FALSE)</x:f>
        <x:v>Normal</x:v>
      </x:c>
      <x:c r="T3597" s="9" t="str"/>
    </x:row>
    <x:row r="3598" ht="22" customHeight="1">
      <x:c r="A3598" s="2" t="str">
        <x:v>L00279-060</x:v>
      </x:c>
      <x:c r="B3598" s="2" t="str">
        <x:v>L00279</x:v>
      </x:c>
      <x:c r="C3598" s="2" t="str">
        <x:v>SO-26056</x:v>
      </x:c>
      <x:c r="D3598" s="2" t="str">
        <x:v>R-C-SS</x:v>
      </x:c>
      <x:c r="E3598" s="14" t="n">
        <x:v>5</x:v>
      </x:c>
      <x:c r="F3598" s="2" t="str">
        <x:v>Final leak / function test</x:v>
      </x:c>
      <x:c r="G3598" s="9" t="str">
        <x:v>QA-03</x:v>
      </x:c>
      <x:c r="H3598" s="15" t="n">
        <x:v>159</x:v>
      </x:c>
      <x:c r="I3598" s="9" t="str">
        <x:v>P23</x:v>
      </x:c>
      <x:c r="J3598" s="11" t="n">
        <x:v>46314.63611111111</x:v>
      </x:c>
      <x:c r="K3598" s="15" t="n">
        <x:v>10</x:v>
      </x:c>
      <x:c r="L3598" s="15" t="n">
        <x:v>4</x:v>
      </x:c>
      <x:c r="M3598" s="13" t="n">
        <x:f>J3598+(K3598+L3598)/1440</x:f>
        <x:v>46314.645833333336</x:v>
      </x:c>
      <x:c r="N3598" s="13" t="n">
        <x:f>VLOOKUP(C3598,'MES orders'!$A$8:$H$127,5,FALSE)</x:f>
        <x:v>46311.666666666664</x:v>
      </x:c>
      <x:c r="O3598" s="16" t="n">
        <x:f>MAX(0,(M3598-N3598)*24)</x:f>
        <x:v>71.50000000011642</x:v>
      </x:c>
      <x:c r="P3598" s="9" t="str">
        <x:v>No</x:v>
      </x:c>
      <x:c r="Q3598" s="15" t="n">
        <x:v>14</x:v>
      </x:c>
      <x:c r="R3598" s="13" t="n">
        <x:f>J3598+Q3598/1440</x:f>
        <x:v>46314.645833333336</x:v>
      </x:c>
      <x:c r="S3598" s="2" t="str">
        <x:f>VLOOKUP(C3598,'MES orders'!$A$8:$H$127,6,FALSE)</x:f>
        <x:v>Normal</x:v>
      </x:c>
      <x:c r="T3598" s="9" t="str"/>
    </x:row>
    <x:row r="3599" ht="22" customHeight="1">
      <x:c r="A3599" s="2" t="str">
        <x:v>L00357-030</x:v>
      </x:c>
      <x:c r="B3599" s="2" t="str">
        <x:v>L00357</x:v>
      </x:c>
      <x:c r="C3599" s="2" t="str">
        <x:v>SO-26072</x:v>
      </x:c>
      <x:c r="D3599" s="2" t="str">
        <x:v>R-L-SS</x:v>
      </x:c>
      <x:c r="E3599" s="14" t="n">
        <x:v>5</x:v>
      </x:c>
      <x:c r="F3599" s="2" t="str">
        <x:v>Wash &amp; dry</x:v>
      </x:c>
      <x:c r="G3599" s="9" t="str">
        <x:v>WS-02</x:v>
      </x:c>
      <x:c r="H3599" s="15" t="n">
        <x:v>241</x:v>
      </x:c>
      <x:c r="I3599" s="9" t="str">
        <x:v>P14</x:v>
      </x:c>
      <x:c r="J3599" s="11" t="n">
        <x:v>46314.63680555556</x:v>
      </x:c>
      <x:c r="K3599" s="15" t="n">
        <x:v>12</x:v>
      </x:c>
      <x:c r="L3599" s="15" t="n">
        <x:v>2</x:v>
      </x:c>
      <x:c r="M3599" s="13" t="n">
        <x:f>J3599+(K3599+L3599)/1440</x:f>
        <x:v>46314.64652777778</x:v>
      </x:c>
      <x:c r="N3599" s="13" t="n">
        <x:f>VLOOKUP(C3599,'MES orders'!$A$8:$H$127,5,FALSE)</x:f>
        <x:v>46311.666666666664</x:v>
      </x:c>
      <x:c r="O3599" s="16" t="n">
        <x:f>MAX(0,(M3599-N3599)*24)</x:f>
        <x:v>71.51666666683741</x:v>
      </x:c>
      <x:c r="P3599" s="9" t="str">
        <x:v>No</x:v>
      </x:c>
      <x:c r="Q3599" s="15" t="n">
        <x:v>14</x:v>
      </x:c>
      <x:c r="R3599" s="13" t="n">
        <x:f>J3599+Q3599/1440</x:f>
        <x:v>46314.64652777778</x:v>
      </x:c>
      <x:c r="S3599" s="2" t="str">
        <x:f>VLOOKUP(C3599,'MES orders'!$A$8:$H$127,6,FALSE)</x:f>
        <x:v>Normal</x:v>
      </x:c>
      <x:c r="T3599" s="9" t="str"/>
    </x:row>
    <x:row r="3600" ht="22" customHeight="1">
      <x:c r="A3600" s="2" t="str">
        <x:v>L00280-050</x:v>
      </x:c>
      <x:c r="B3600" s="2" t="str">
        <x:v>L00280</x:v>
      </x:c>
      <x:c r="C3600" s="2" t="str">
        <x:v>SO-26056</x:v>
      </x:c>
      <x:c r="D3600" s="2" t="str">
        <x:v>R-C-SS</x:v>
      </x:c>
      <x:c r="E3600" s="14" t="n">
        <x:v>5</x:v>
      </x:c>
      <x:c r="F3600" s="2" t="str">
        <x:v>Valve adjustment</x:v>
      </x:c>
      <x:c r="G3600" s="9" t="str">
        <x:v>AS-02</x:v>
      </x:c>
      <x:c r="H3600" s="15" t="n">
        <x:v>236</x:v>
      </x:c>
      <x:c r="I3600" s="9" t="str">
        <x:v>P20</x:v>
      </x:c>
      <x:c r="J3600" s="11" t="n">
        <x:v>46314.6375</x:v>
      </x:c>
      <x:c r="K3600" s="15" t="n">
        <x:v>6</x:v>
      </x:c>
      <x:c r="L3600" s="15" t="n">
        <x:v>4</x:v>
      </x:c>
      <x:c r="M3600" s="13" t="n">
        <x:f>J3600+(K3600+L3600)/1440</x:f>
        <x:v>46314.64444444444</x:v>
      </x:c>
      <x:c r="N3600" s="13" t="n">
        <x:f>VLOOKUP(C3600,'MES orders'!$A$8:$H$127,5,FALSE)</x:f>
        <x:v>46311.666666666664</x:v>
      </x:c>
      <x:c r="O3600" s="16" t="n">
        <x:f>MAX(0,(M3600-N3600)*24)</x:f>
        <x:v>71.46666666667443</x:v>
      </x:c>
      <x:c r="P3600" s="9" t="str">
        <x:v>No</x:v>
      </x:c>
      <x:c r="Q3600" s="15" t="n">
        <x:v>10</x:v>
      </x:c>
      <x:c r="R3600" s="13" t="n">
        <x:f>J3600+Q3600/1440</x:f>
        <x:v>46314.64444444444</x:v>
      </x:c>
      <x:c r="S3600" s="2" t="str">
        <x:f>VLOOKUP(C3600,'MES orders'!$A$8:$H$127,6,FALSE)</x:f>
        <x:v>Normal</x:v>
      </x:c>
      <x:c r="T3600" s="9" t="str"/>
    </x:row>
    <x:row r="3601" ht="22" customHeight="1">
      <x:c r="A3601" s="2" t="str">
        <x:v>L00360-010</x:v>
      </x:c>
      <x:c r="B3601" s="2" t="str">
        <x:v>L00360</x:v>
      </x:c>
      <x:c r="C3601" s="2" t="str">
        <x:v>SO-26072</x:v>
      </x:c>
      <x:c r="D3601" s="2" t="str">
        <x:v>R-L-SS</x:v>
      </x:c>
      <x:c r="E3601" s="14" t="n">
        <x:v>5</x:v>
      </x:c>
      <x:c r="F3601" s="2" t="str">
        <x:v>CNC machining</x:v>
      </x:c>
      <x:c r="G3601" s="9" t="str">
        <x:v>CNC-03</x:v>
      </x:c>
      <x:c r="H3601" s="15" t="n">
        <x:v>118</x:v>
      </x:c>
      <x:c r="I3601" s="9" t="str">
        <x:v>P15</x:v>
      </x:c>
      <x:c r="J3601" s="11" t="n">
        <x:v>46314.64097222222</x:v>
      </x:c>
      <x:c r="K3601" s="15" t="n">
        <x:v>18</x:v>
      </x:c>
      <x:c r="L3601" s="15" t="n">
        <x:v>20</x:v>
      </x:c>
      <x:c r="M3601" s="13" t="n">
        <x:f>J3601+(K3601+L3601)/1440</x:f>
        <x:v>46314.66736111111</x:v>
      </x:c>
      <x:c r="N3601" s="13" t="n">
        <x:f>VLOOKUP(C3601,'MES orders'!$A$8:$H$127,5,FALSE)</x:f>
        <x:v>46311.666666666664</x:v>
      </x:c>
      <x:c r="O3601" s="16" t="n">
        <x:f>MAX(0,(M3601-N3601)*24)</x:f>
        <x:v>72.016666666721</x:v>
      </x:c>
      <x:c r="P3601" s="9" t="str">
        <x:v>No</x:v>
      </x:c>
      <x:c r="Q3601" s="15" t="n">
        <x:v>18</x:v>
      </x:c>
      <x:c r="R3601" s="13" t="n">
        <x:f>J3601+Q3601/1440</x:f>
        <x:v>46314.65347222222</x:v>
      </x:c>
      <x:c r="S3601" s="2" t="str">
        <x:f>VLOOKUP(C3601,'MES orders'!$A$8:$H$127,6,FALSE)</x:f>
        <x:v>Normal</x:v>
      </x:c>
      <x:c r="T3601" s="9" t="str"/>
    </x:row>
    <x:row r="3602" ht="22" customHeight="1">
      <x:c r="A3602" s="2" t="str">
        <x:v>L00358-020</x:v>
      </x:c>
      <x:c r="B3602" s="2" t="str">
        <x:v>L00358</x:v>
      </x:c>
      <x:c r="C3602" s="2" t="str">
        <x:v>SO-26072</x:v>
      </x:c>
      <x:c r="D3602" s="2" t="str">
        <x:v>R-L-SS</x:v>
      </x:c>
      <x:c r="E3602" s="14" t="n">
        <x:v>5</x:v>
      </x:c>
      <x:c r="F3602" s="2" t="str">
        <x:v>Deburr &amp; inspect</x:v>
      </x:c>
      <x:c r="G3602" s="9" t="str">
        <x:v>DB-02</x:v>
      </x:c>
      <x:c r="H3602" s="15" t="n">
        <x:v>236</x:v>
      </x:c>
      <x:c r="I3602" s="9" t="str">
        <x:v>P13</x:v>
      </x:c>
      <x:c r="J3602" s="11" t="n">
        <x:v>46314.64097222222</x:v>
      </x:c>
      <x:c r="K3602" s="15" t="n">
        <x:v>4</x:v>
      </x:c>
      <x:c r="L3602" s="15" t="n">
        <x:v>5</x:v>
      </x:c>
      <x:c r="M3602" s="13" t="n">
        <x:f>J3602+(K3602+L3602)/1440</x:f>
        <x:v>46314.64722222222</x:v>
      </x:c>
      <x:c r="N3602" s="13" t="n">
        <x:f>VLOOKUP(C3602,'MES orders'!$A$8:$H$127,5,FALSE)</x:f>
        <x:v>46311.666666666664</x:v>
      </x:c>
      <x:c r="O3602" s="16" t="n">
        <x:f>MAX(0,(M3602-N3602)*24)</x:f>
        <x:v>71.53333333338378</x:v>
      </x:c>
      <x:c r="P3602" s="9" t="str">
        <x:v>No</x:v>
      </x:c>
      <x:c r="Q3602" s="15" t="n">
        <x:v>9</x:v>
      </x:c>
      <x:c r="R3602" s="13" t="n">
        <x:f>J3602+Q3602/1440</x:f>
        <x:v>46314.64722222222</x:v>
      </x:c>
      <x:c r="S3602" s="2" t="str">
        <x:f>VLOOKUP(C3602,'MES orders'!$A$8:$H$127,6,FALSE)</x:f>
        <x:v>Normal</x:v>
      </x:c>
      <x:c r="T3602" s="9" t="str"/>
    </x:row>
    <x:row r="3603" ht="22" customHeight="1">
      <x:c r="A3603" s="2" t="str">
        <x:v>L00280-060</x:v>
      </x:c>
      <x:c r="B3603" s="2" t="str">
        <x:v>L00280</x:v>
      </x:c>
      <x:c r="C3603" s="2" t="str">
        <x:v>SO-26056</x:v>
      </x:c>
      <x:c r="D3603" s="2" t="str">
        <x:v>R-C-SS</x:v>
      </x:c>
      <x:c r="E3603" s="14" t="n">
        <x:v>5</x:v>
      </x:c>
      <x:c r="F3603" s="2" t="str">
        <x:v>Final leak / function test</x:v>
      </x:c>
      <x:c r="G3603" s="9" t="str">
        <x:v>QA-02</x:v>
      </x:c>
      <x:c r="H3603" s="15" t="n">
        <x:v>272</x:v>
      </x:c>
      <x:c r="I3603" s="9" t="str">
        <x:v>P24</x:v>
      </x:c>
      <x:c r="J3603" s="11" t="n">
        <x:v>46314.64444444444</x:v>
      </x:c>
      <x:c r="K3603" s="15" t="n">
        <x:v>10</x:v>
      </x:c>
      <x:c r="L3603" s="15" t="n">
        <x:v>4</x:v>
      </x:c>
      <x:c r="M3603" s="13" t="n">
        <x:f>J3603+(K3603+L3603)/1440</x:f>
        <x:v>46314.65416666667</x:v>
      </x:c>
      <x:c r="N3603" s="13" t="n">
        <x:f>VLOOKUP(C3603,'MES orders'!$A$8:$H$127,5,FALSE)</x:f>
        <x:v>46311.666666666664</x:v>
      </x:c>
      <x:c r="O3603" s="16" t="n">
        <x:f>MAX(0,(M3603-N3603)*24)</x:f>
        <x:v>71.70000000006985</x:v>
      </x:c>
      <x:c r="P3603" s="9" t="str">
        <x:v>No</x:v>
      </x:c>
      <x:c r="Q3603" s="15" t="n">
        <x:v>14</x:v>
      </x:c>
      <x:c r="R3603" s="13" t="n">
        <x:f>J3603+Q3603/1440</x:f>
        <x:v>46314.65416666667</x:v>
      </x:c>
      <x:c r="S3603" s="2" t="str">
        <x:f>VLOOKUP(C3603,'MES orders'!$A$8:$H$127,6,FALSE)</x:f>
        <x:v>Normal</x:v>
      </x:c>
      <x:c r="T3603" s="9" t="str"/>
    </x:row>
    <x:row r="3604" ht="22" customHeight="1">
      <x:c r="A3604" s="2" t="str">
        <x:v>L00396-010</x:v>
      </x:c>
      <x:c r="B3604" s="2" t="str">
        <x:v>L00396</x:v>
      </x:c>
      <x:c r="C3604" s="2" t="str">
        <x:v>SO-26080</x:v>
      </x:c>
      <x:c r="D3604" s="2" t="str">
        <x:v>S-C-SS</x:v>
      </x:c>
      <x:c r="E3604" s="14" t="n">
        <x:v>15</x:v>
      </x:c>
      <x:c r="F3604" s="2" t="str">
        <x:v>CNC machining</x:v>
      </x:c>
      <x:c r="G3604" s="9" t="str">
        <x:v>CNC-05</x:v>
      </x:c>
      <x:c r="H3604" s="15" t="n">
        <x:v>101</x:v>
      </x:c>
      <x:c r="I3604" s="9" t="str">
        <x:v>P14</x:v>
      </x:c>
      <x:c r="J3604" s="11" t="n">
        <x:v>46314.646527777775</x:v>
      </x:c>
      <x:c r="K3604" s="15" t="n">
        <x:v>18</x:v>
      </x:c>
      <x:c r="L3604" s="15" t="n">
        <x:v>36</x:v>
      </x:c>
      <x:c r="M3604" s="13" t="n">
        <x:f>J3604+(K3604+L3604)/1440</x:f>
        <x:v>46314.684027777774</x:v>
      </x:c>
      <x:c r="N3604" s="13" t="n">
        <x:f>VLOOKUP(C3604,'MES orders'!$A$8:$H$127,5,FALSE)</x:f>
        <x:v>46311.666666666664</x:v>
      </x:c>
      <x:c r="O3604" s="16" t="n">
        <x:f>MAX(0,(M3604-N3604)*24)</x:f>
        <x:v>72.41666666662786</x:v>
      </x:c>
      <x:c r="P3604" s="9" t="str">
        <x:v>No</x:v>
      </x:c>
      <x:c r="Q3604" s="15" t="n">
        <x:v>18</x:v>
      </x:c>
      <x:c r="R3604" s="13" t="n">
        <x:f>J3604+Q3604/1440</x:f>
        <x:v>46314.65902777777</x:v>
      </x:c>
      <x:c r="S3604" s="2" t="str">
        <x:f>VLOOKUP(C3604,'MES orders'!$A$8:$H$127,6,FALSE)</x:f>
        <x:v>Normal</x:v>
      </x:c>
      <x:c r="T3604" s="9" t="str"/>
    </x:row>
    <x:row r="3605" ht="22" customHeight="1">
      <x:c r="A3605" s="2" t="str">
        <x:v>L00237-040</x:v>
      </x:c>
      <x:c r="B3605" s="2" t="str">
        <x:v>L00237</x:v>
      </x:c>
      <x:c r="C3605" s="2" t="str">
        <x:v>SO-26048</x:v>
      </x:c>
      <x:c r="D3605" s="2" t="str">
        <x:v>D-L-SS</x:v>
      </x:c>
      <x:c r="E3605" s="14" t="n">
        <x:v>20</x:v>
      </x:c>
      <x:c r="F3605" s="2" t="str">
        <x:v>Mechanical assembly</x:v>
      </x:c>
      <x:c r="G3605" s="9" t="str">
        <x:v>AS-02</x:v>
      </x:c>
      <x:c r="H3605" s="15" t="n">
        <x:v>237</x:v>
      </x:c>
      <x:c r="I3605" s="9" t="str">
        <x:v>P17</x:v>
      </x:c>
      <x:c r="J3605" s="11" t="n">
        <x:v>46314.65</x:v>
      </x:c>
      <x:c r="K3605" s="15" t="n">
        <x:v>8</x:v>
      </x:c>
      <x:c r="L3605" s="15" t="n">
        <x:v>49</x:v>
      </x:c>
      <x:c r="M3605" s="13" t="n">
        <x:f>J3605+(K3605+L3605)/1440</x:f>
        <x:v>46314.68958333333</x:v>
      </x:c>
      <x:c r="N3605" s="13" t="n">
        <x:f>VLOOKUP(C3605,'MES orders'!$A$8:$H$127,5,FALSE)</x:f>
        <x:v>46311.666666666664</x:v>
      </x:c>
      <x:c r="O3605" s="16" t="n">
        <x:f>MAX(0,(M3605-N3605)*24)</x:f>
        <x:v>72.55000000004657</x:v>
      </x:c>
      <x:c r="P3605" s="9" t="str">
        <x:v>No</x:v>
      </x:c>
      <x:c r="Q3605" s="15" t="n">
        <x:v>57</x:v>
      </x:c>
      <x:c r="R3605" s="13" t="n">
        <x:f>J3605+Q3605/1440</x:f>
        <x:v>46314.68958333333</x:v>
      </x:c>
      <x:c r="S3605" s="2" t="str">
        <x:f>VLOOKUP(C3605,'MES orders'!$A$8:$H$127,6,FALSE)</x:f>
        <x:v>Normal</x:v>
      </x:c>
      <x:c r="T3605" s="9" t="str"/>
    </x:row>
    <x:row r="3606" ht="22" customHeight="1">
      <x:c r="A3606" s="2" t="str">
        <x:v>L00238-030</x:v>
      </x:c>
      <x:c r="B3606" s="2" t="str">
        <x:v>L00238</x:v>
      </x:c>
      <x:c r="C3606" s="2" t="str">
        <x:v>SO-26048</x:v>
      </x:c>
      <x:c r="D3606" s="2" t="str">
        <x:v>D-L-SS</x:v>
      </x:c>
      <x:c r="E3606" s="14" t="n">
        <x:v>20</x:v>
      </x:c>
      <x:c r="F3606" s="2" t="str">
        <x:v>Wash &amp; dry</x:v>
      </x:c>
      <x:c r="G3606" s="9" t="str">
        <x:v>WS-01</x:v>
      </x:c>
      <x:c r="H3606" s="15" t="n">
        <x:v>330</x:v>
      </x:c>
      <x:c r="I3606" s="9" t="str">
        <x:v>P18</x:v>
      </x:c>
      <x:c r="J3606" s="11" t="n">
        <x:v>46314.65138888889</x:v>
      </x:c>
      <x:c r="K3606" s="15" t="n">
        <x:v>12</x:v>
      </x:c>
      <x:c r="L3606" s="15" t="n">
        <x:v>9</x:v>
      </x:c>
      <x:c r="M3606" s="13" t="n">
        <x:f>J3606+(K3606+L3606)/1440</x:f>
        <x:v>46314.66597222222</x:v>
      </x:c>
      <x:c r="N3606" s="13" t="n">
        <x:f>VLOOKUP(C3606,'MES orders'!$A$8:$H$127,5,FALSE)</x:f>
        <x:v>46311.666666666664</x:v>
      </x:c>
      <x:c r="O3606" s="16" t="n">
        <x:f>MAX(0,(M3606-N3606)*24)</x:f>
        <x:v>71.983333333279</x:v>
      </x:c>
      <x:c r="P3606" s="9" t="str">
        <x:v>No</x:v>
      </x:c>
      <x:c r="Q3606" s="15" t="n">
        <x:v>21</x:v>
      </x:c>
      <x:c r="R3606" s="13" t="n">
        <x:f>J3606+Q3606/1440</x:f>
        <x:v>46314.66597222222</x:v>
      </x:c>
      <x:c r="S3606" s="2" t="str">
        <x:f>VLOOKUP(C3606,'MES orders'!$A$8:$H$127,6,FALSE)</x:f>
        <x:v>Normal</x:v>
      </x:c>
      <x:c r="T3606" s="9" t="str"/>
    </x:row>
    <x:row r="3607" ht="22" customHeight="1">
      <x:c r="A3607" s="2" t="str">
        <x:v>L00397-010</x:v>
      </x:c>
      <x:c r="B3607" s="2" t="str">
        <x:v>L00397</x:v>
      </x:c>
      <x:c r="C3607" s="2" t="str">
        <x:v>SO-26080</x:v>
      </x:c>
      <x:c r="D3607" s="2" t="str">
        <x:v>S-C-SS</x:v>
      </x:c>
      <x:c r="E3607" s="14" t="n">
        <x:v>15</x:v>
      </x:c>
      <x:c r="F3607" s="2" t="str">
        <x:v>CNC machining</x:v>
      </x:c>
      <x:c r="G3607" s="9" t="str">
        <x:v>CNC-06</x:v>
      </x:c>
      <x:c r="H3607" s="15" t="n">
        <x:v>93</x:v>
      </x:c>
      <x:c r="I3607" s="9" t="str">
        <x:v>P15</x:v>
      </x:c>
      <x:c r="J3607" s="11" t="n">
        <x:v>46314.65347222222</x:v>
      </x:c>
      <x:c r="K3607" s="15" t="n">
        <x:v>18</x:v>
      </x:c>
      <x:c r="L3607" s="15" t="n">
        <x:v>36</x:v>
      </x:c>
      <x:c r="M3607" s="13" t="n">
        <x:f>J3607+(K3607+L3607)/1440</x:f>
        <x:v>46314.69097222222</x:v>
      </x:c>
      <x:c r="N3607" s="13" t="n">
        <x:f>VLOOKUP(C3607,'MES orders'!$A$8:$H$127,5,FALSE)</x:f>
        <x:v>46311.666666666664</x:v>
      </x:c>
      <x:c r="O3607" s="16" t="n">
        <x:f>MAX(0,(M3607-N3607)*24)</x:f>
        <x:v>72.58333333331393</x:v>
      </x:c>
      <x:c r="P3607" s="9" t="str">
        <x:v>No</x:v>
      </x:c>
      <x:c r="Q3607" s="15" t="n">
        <x:v>18</x:v>
      </x:c>
      <x:c r="R3607" s="13" t="n">
        <x:f>J3607+Q3607/1440</x:f>
        <x:v>46314.66597222222</x:v>
      </x:c>
      <x:c r="S3607" s="2" t="str">
        <x:f>VLOOKUP(C3607,'MES orders'!$A$8:$H$127,6,FALSE)</x:f>
        <x:v>Normal</x:v>
      </x:c>
      <x:c r="T3607" s="9" t="str"/>
    </x:row>
    <x:row r="3608" ht="22" customHeight="1">
      <x:c r="A3608" s="2" t="str">
        <x:v>L00359-020</x:v>
      </x:c>
      <x:c r="B3608" s="2" t="str">
        <x:v>L00359</x:v>
      </x:c>
      <x:c r="C3608" s="2" t="str">
        <x:v>SO-26072</x:v>
      </x:c>
      <x:c r="D3608" s="2" t="str">
        <x:v>R-L-SS</x:v>
      </x:c>
      <x:c r="E3608" s="14" t="n">
        <x:v>5</x:v>
      </x:c>
      <x:c r="F3608" s="2" t="str">
        <x:v>Deburr &amp; inspect</x:v>
      </x:c>
      <x:c r="G3608" s="9" t="str">
        <x:v>DB-01</x:v>
      </x:c>
      <x:c r="H3608" s="15" t="n">
        <x:v>338</x:v>
      </x:c>
      <x:c r="I3608" s="9" t="str">
        <x:v>P13</x:v>
      </x:c>
      <x:c r="J3608" s="11" t="n">
        <x:v>46314.654861111114</x:v>
      </x:c>
      <x:c r="K3608" s="15" t="n">
        <x:v>4</x:v>
      </x:c>
      <x:c r="L3608" s="15" t="n">
        <x:v>5</x:v>
      </x:c>
      <x:c r="M3608" s="13" t="n">
        <x:f>J3608+(K3608+L3608)/1440</x:f>
        <x:v>46314.66111111111</x:v>
      </x:c>
      <x:c r="N3608" s="13" t="n">
        <x:f>VLOOKUP(C3608,'MES orders'!$A$8:$H$127,5,FALSE)</x:f>
        <x:v>46311.666666666664</x:v>
      </x:c>
      <x:c r="O3608" s="16" t="n">
        <x:f>MAX(0,(M3608-N3608)*24)</x:f>
        <x:v>71.86666666675592</x:v>
      </x:c>
      <x:c r="P3608" s="9" t="str">
        <x:v>No</x:v>
      </x:c>
      <x:c r="Q3608" s="15" t="n">
        <x:v>9</x:v>
      </x:c>
      <x:c r="R3608" s="13" t="n">
        <x:f>J3608+Q3608/1440</x:f>
        <x:v>46314.66111111111</x:v>
      </x:c>
      <x:c r="S3608" s="2" t="str">
        <x:f>VLOOKUP(C3608,'MES orders'!$A$8:$H$127,6,FALSE)</x:f>
        <x:v>Normal</x:v>
      </x:c>
      <x:c r="T3608" s="9" t="str"/>
    </x:row>
    <x:row r="3609" ht="22" customHeight="1">
      <x:c r="A3609" s="2" t="str">
        <x:v>L00398-010</x:v>
      </x:c>
      <x:c r="B3609" s="2" t="str">
        <x:v>L00398</x:v>
      </x:c>
      <x:c r="C3609" s="2" t="str">
        <x:v>SO-26080</x:v>
      </x:c>
      <x:c r="D3609" s="2" t="str">
        <x:v>S-C-SS</x:v>
      </x:c>
      <x:c r="E3609" s="14" t="n">
        <x:v>15</x:v>
      </x:c>
      <x:c r="F3609" s="2" t="str">
        <x:v>CNC machining</x:v>
      </x:c>
      <x:c r="G3609" s="9" t="str">
        <x:v>CNC-04</x:v>
      </x:c>
      <x:c r="H3609" s="15" t="n">
        <x:v>114</x:v>
      </x:c>
      <x:c r="I3609" s="9" t="str">
        <x:v>P14</x:v>
      </x:c>
      <x:c r="J3609" s="11" t="n">
        <x:v>46314.65902777778</x:v>
      </x:c>
      <x:c r="K3609" s="15" t="n">
        <x:v>18</x:v>
      </x:c>
      <x:c r="L3609" s="15" t="n">
        <x:v>36</x:v>
      </x:c>
      <x:c r="M3609" s="13" t="n">
        <x:f>J3609+(K3609+L3609)/1440</x:f>
        <x:v>46314.69652777778</x:v>
      </x:c>
      <x:c r="N3609" s="13" t="n">
        <x:f>VLOOKUP(C3609,'MES orders'!$A$8:$H$127,5,FALSE)</x:f>
        <x:v>46311.666666666664</x:v>
      </x:c>
      <x:c r="O3609" s="16" t="n">
        <x:f>MAX(0,(M3609-N3609)*24)</x:f>
        <x:v>72.71666666673264</x:v>
      </x:c>
      <x:c r="P3609" s="9" t="str">
        <x:v>No</x:v>
      </x:c>
      <x:c r="Q3609" s="15" t="n">
        <x:v>18</x:v>
      </x:c>
      <x:c r="R3609" s="13" t="n">
        <x:f>J3609+Q3609/1440</x:f>
        <x:v>46314.67152777778</x:v>
      </x:c>
      <x:c r="S3609" s="2" t="str">
        <x:f>VLOOKUP(C3609,'MES orders'!$A$8:$H$127,6,FALSE)</x:f>
        <x:v>Normal</x:v>
      </x:c>
      <x:c r="T3609" s="9" t="str"/>
    </x:row>
    <x:row r="3610" ht="22" customHeight="1">
      <x:c r="A3610" s="2" t="str">
        <x:v>L00236-050</x:v>
      </x:c>
      <x:c r="B3610" s="2" t="str">
        <x:v>L00236</x:v>
      </x:c>
      <x:c r="C3610" s="2" t="str">
        <x:v>SO-26048</x:v>
      </x:c>
      <x:c r="D3610" s="2" t="str">
        <x:v>D-L-SS</x:v>
      </x:c>
      <x:c r="E3610" s="14" t="n">
        <x:v>20</x:v>
      </x:c>
      <x:c r="F3610" s="2" t="str">
        <x:v>Final leak / function test</x:v>
      </x:c>
      <x:c r="G3610" s="9" t="str">
        <x:v>QA-01</x:v>
      </x:c>
      <x:c r="H3610" s="15" t="n">
        <x:v>134</x:v>
      </x:c>
      <x:c r="I3610" s="9" t="str">
        <x:v>P23</x:v>
      </x:c>
      <x:c r="J3610" s="11" t="n">
        <x:v>46314.66180555556</x:v>
      </x:c>
      <x:c r="K3610" s="15" t="n">
        <x:v>10</x:v>
      </x:c>
      <x:c r="L3610" s="15" t="n">
        <x:v>24</x:v>
      </x:c>
      <x:c r="M3610" s="13" t="n">
        <x:f>J3610+(K3610+L3610)/1440</x:f>
        <x:v>46314.68541666667</x:v>
      </x:c>
      <x:c r="N3610" s="13" t="n">
        <x:f>VLOOKUP(C3610,'MES orders'!$A$8:$H$127,5,FALSE)</x:f>
        <x:v>46311.666666666664</x:v>
      </x:c>
      <x:c r="O3610" s="16" t="n">
        <x:f>MAX(0,(M3610-N3610)*24)</x:f>
        <x:v>72.45000000006985</x:v>
      </x:c>
      <x:c r="P3610" s="9" t="str">
        <x:v>No</x:v>
      </x:c>
      <x:c r="Q3610" s="15" t="n">
        <x:v>34</x:v>
      </x:c>
      <x:c r="R3610" s="13" t="n">
        <x:f>J3610+Q3610/1440</x:f>
        <x:v>46314.68541666667</x:v>
      </x:c>
      <x:c r="S3610" s="2" t="str">
        <x:f>VLOOKUP(C3610,'MES orders'!$A$8:$H$127,6,FALSE)</x:f>
        <x:v>Normal</x:v>
      </x:c>
      <x:c r="T3610" s="9" t="str"/>
    </x:row>
    <x:row r="3611" ht="22" customHeight="1">
      <x:c r="A3611" s="2" t="str">
        <x:v>L00238-040</x:v>
      </x:c>
      <x:c r="B3611" s="2" t="str">
        <x:v>L00238</x:v>
      </x:c>
      <x:c r="C3611" s="2" t="str">
        <x:v>SO-26048</x:v>
      </x:c>
      <x:c r="D3611" s="2" t="str">
        <x:v>D-L-SS</x:v>
      </x:c>
      <x:c r="E3611" s="14" t="n">
        <x:v>20</x:v>
      </x:c>
      <x:c r="F3611" s="2" t="str">
        <x:v>Mechanical assembly</x:v>
      </x:c>
      <x:c r="G3611" s="9" t="str">
        <x:v>AS-01</x:v>
      </x:c>
      <x:c r="H3611" s="15" t="n">
        <x:v>289</x:v>
      </x:c>
      <x:c r="I3611" s="9" t="str">
        <x:v>P16</x:v>
      </x:c>
      <x:c r="J3611" s="11" t="n">
        <x:v>46314.665972222225</x:v>
      </x:c>
      <x:c r="K3611" s="15" t="n">
        <x:v>8</x:v>
      </x:c>
      <x:c r="L3611" s="15" t="n">
        <x:v>49</x:v>
      </x:c>
      <x:c r="M3611" s="13" t="n">
        <x:f>J3611+(K3611+L3611)/1440</x:f>
        <x:v>46314.705555555556</x:v>
      </x:c>
      <x:c r="N3611" s="13" t="n">
        <x:f>VLOOKUP(C3611,'MES orders'!$A$8:$H$127,5,FALSE)</x:f>
        <x:v>46311.666666666664</x:v>
      </x:c>
      <x:c r="O3611" s="16" t="n">
        <x:f>MAX(0,(M3611-N3611)*24)</x:f>
        <x:v>72.93333333340706</x:v>
      </x:c>
      <x:c r="P3611" s="9" t="str">
        <x:v>No</x:v>
      </x:c>
      <x:c r="Q3611" s="15" t="n">
        <x:v>57</x:v>
      </x:c>
      <x:c r="R3611" s="13" t="n">
        <x:f>J3611+Q3611/1440</x:f>
        <x:v>46314.705555555556</x:v>
      </x:c>
      <x:c r="S3611" s="2" t="str">
        <x:f>VLOOKUP(C3611,'MES orders'!$A$8:$H$127,6,FALSE)</x:f>
        <x:v>Normal</x:v>
      </x:c>
      <x:c r="T3611" s="9" t="str"/>
    </x:row>
    <x:row r="3612" ht="22" customHeight="1">
      <x:c r="A3612" s="2" t="str">
        <x:v>L00239-030</x:v>
      </x:c>
      <x:c r="B3612" s="2" t="str">
        <x:v>L00239</x:v>
      </x:c>
      <x:c r="C3612" s="2" t="str">
        <x:v>SO-26048</x:v>
      </x:c>
      <x:c r="D3612" s="2" t="str">
        <x:v>D-L-SS</x:v>
      </x:c>
      <x:c r="E3612" s="14" t="n">
        <x:v>20</x:v>
      </x:c>
      <x:c r="F3612" s="2" t="str">
        <x:v>Wash &amp; dry</x:v>
      </x:c>
      <x:c r="G3612" s="9" t="str">
        <x:v>WS-01</x:v>
      </x:c>
      <x:c r="H3612" s="15" t="n">
        <x:v>331</x:v>
      </x:c>
      <x:c r="I3612" s="9" t="str">
        <x:v>P18</x:v>
      </x:c>
      <x:c r="J3612" s="11" t="n">
        <x:v>46314.665972222225</x:v>
      </x:c>
      <x:c r="K3612" s="15" t="n">
        <x:v>12</x:v>
      </x:c>
      <x:c r="L3612" s="15" t="n">
        <x:v>9</x:v>
      </x:c>
      <x:c r="M3612" s="13" t="n">
        <x:f>J3612+(K3612+L3612)/1440</x:f>
        <x:v>46314.680555555555</x:v>
      </x:c>
      <x:c r="N3612" s="13" t="n">
        <x:f>VLOOKUP(C3612,'MES orders'!$A$8:$H$127,5,FALSE)</x:f>
        <x:v>46311.666666666664</x:v>
      </x:c>
      <x:c r="O3612" s="16" t="n">
        <x:f>MAX(0,(M3612-N3612)*24)</x:f>
        <x:v>72.33333333337214</x:v>
      </x:c>
      <x:c r="P3612" s="9" t="str">
        <x:v>No</x:v>
      </x:c>
      <x:c r="Q3612" s="15" t="n">
        <x:v>21</x:v>
      </x:c>
      <x:c r="R3612" s="13" t="n">
        <x:f>J3612+Q3612/1440</x:f>
        <x:v>46314.680555555555</x:v>
      </x:c>
      <x:c r="S3612" s="2" t="str">
        <x:f>VLOOKUP(C3612,'MES orders'!$A$8:$H$127,6,FALSE)</x:f>
        <x:v>Normal</x:v>
      </x:c>
      <x:c r="T3612" s="9" t="str"/>
    </x:row>
    <x:row r="3613" ht="22" customHeight="1">
      <x:c r="A3613" s="2" t="str">
        <x:v>L00399-010</x:v>
      </x:c>
      <x:c r="B3613" s="2" t="str">
        <x:v>L00399</x:v>
      </x:c>
      <x:c r="C3613" s="2" t="str">
        <x:v>SO-26080</x:v>
      </x:c>
      <x:c r="D3613" s="2" t="str">
        <x:v>S-C-SS</x:v>
      </x:c>
      <x:c r="E3613" s="14" t="n">
        <x:v>15</x:v>
      </x:c>
      <x:c r="F3613" s="2" t="str">
        <x:v>CNC machining</x:v>
      </x:c>
      <x:c r="G3613" s="9" t="str">
        <x:v>CNC-03</x:v>
      </x:c>
      <x:c r="H3613" s="15" t="n">
        <x:v>119</x:v>
      </x:c>
      <x:c r="I3613" s="9" t="str">
        <x:v>P13</x:v>
      </x:c>
      <x:c r="J3613" s="11" t="n">
        <x:v>46314.66736111111</x:v>
      </x:c>
      <x:c r="K3613" s="15" t="n">
        <x:v>18</x:v>
      </x:c>
      <x:c r="L3613" s="15" t="n">
        <x:v>36</x:v>
      </x:c>
      <x:c r="M3613" s="13" t="n">
        <x:f>J3613+(K3613+L3613)/1440</x:f>
        <x:v>46314.70486111111</x:v>
      </x:c>
      <x:c r="N3613" s="13" t="n">
        <x:f>VLOOKUP(C3613,'MES orders'!$A$8:$H$127,5,FALSE)</x:f>
        <x:v>46311.666666666664</x:v>
      </x:c>
      <x:c r="O3613" s="16" t="n">
        <x:f>MAX(0,(M3613-N3613)*24)</x:f>
        <x:v>72.91666666668607</x:v>
      </x:c>
      <x:c r="P3613" s="9" t="str">
        <x:v>No</x:v>
      </x:c>
      <x:c r="Q3613" s="15" t="n">
        <x:v>18</x:v>
      </x:c>
      <x:c r="R3613" s="13" t="n">
        <x:f>J3613+Q3613/1440</x:f>
        <x:v>46314.67986111111</x:v>
      </x:c>
      <x:c r="S3613" s="2" t="str">
        <x:f>VLOOKUP(C3613,'MES orders'!$A$8:$H$127,6,FALSE)</x:f>
        <x:v>Normal</x:v>
      </x:c>
      <x:c r="T3613" s="9" t="str"/>
    </x:row>
    <x:row r="3614" ht="22" customHeight="1">
      <x:c r="A3614" s="2" t="str">
        <x:v>L00239-040</x:v>
      </x:c>
      <x:c r="B3614" s="2" t="str">
        <x:v>L00239</x:v>
      </x:c>
      <x:c r="C3614" s="2" t="str">
        <x:v>SO-26048</x:v>
      </x:c>
      <x:c r="D3614" s="2" t="str">
        <x:v>D-L-SS</x:v>
      </x:c>
      <x:c r="E3614" s="14" t="n">
        <x:v>20</x:v>
      </x:c>
      <x:c r="F3614" s="2" t="str">
        <x:v>Mechanical assembly</x:v>
      </x:c>
      <x:c r="G3614" s="9" t="str">
        <x:v>AS-03</x:v>
      </x:c>
      <x:c r="H3614" s="15" t="n">
        <x:v>193</x:v>
      </x:c>
      <x:c r="I3614" s="9" t="str">
        <x:v>P18</x:v>
      </x:c>
      <x:c r="J3614" s="11" t="n">
        <x:v>46314.680555555555</x:v>
      </x:c>
      <x:c r="K3614" s="15" t="n">
        <x:v>8</x:v>
      </x:c>
      <x:c r="L3614" s="15" t="n">
        <x:v>49</x:v>
      </x:c>
      <x:c r="M3614" s="13" t="n">
        <x:f>J3614+(K3614+L3614)/1440</x:f>
        <x:v>46314.720138888886</x:v>
      </x:c>
      <x:c r="N3614" s="13" t="n">
        <x:f>VLOOKUP(C3614,'MES orders'!$A$8:$H$127,5,FALSE)</x:f>
        <x:v>46311.666666666664</x:v>
      </x:c>
      <x:c r="O3614" s="16" t="n">
        <x:f>MAX(0,(M3614-N3614)*24)</x:f>
        <x:v>73.28333333332557</x:v>
      </x:c>
      <x:c r="P3614" s="9" t="str">
        <x:v>No</x:v>
      </x:c>
      <x:c r="Q3614" s="15" t="n">
        <x:v>57</x:v>
      </x:c>
      <x:c r="R3614" s="13" t="n">
        <x:f>J3614+Q3614/1440</x:f>
        <x:v>46314.720138888886</x:v>
      </x:c>
      <x:c r="S3614" s="2" t="str">
        <x:f>VLOOKUP(C3614,'MES orders'!$A$8:$H$127,6,FALSE)</x:f>
        <x:v>Normal</x:v>
      </x:c>
      <x:c r="T3614" s="9" t="str"/>
    </x:row>
    <x:row r="3615" ht="22" customHeight="1">
      <x:c r="A3615" s="2" t="str">
        <x:v>L00400-010</x:v>
      </x:c>
      <x:c r="B3615" s="2" t="str">
        <x:v>L00400</x:v>
      </x:c>
      <x:c r="C3615" s="2" t="str">
        <x:v>SO-26080</x:v>
      </x:c>
      <x:c r="D3615" s="2" t="str">
        <x:v>S-C-SS</x:v>
      </x:c>
      <x:c r="E3615" s="14" t="n">
        <x:v>15</x:v>
      </x:c>
      <x:c r="F3615" s="2" t="str">
        <x:v>CNC machining</x:v>
      </x:c>
      <x:c r="G3615" s="9" t="str">
        <x:v>CNC-05</x:v>
      </x:c>
      <x:c r="H3615" s="15" t="n">
        <x:v>102</x:v>
      </x:c>
      <x:c r="I3615" s="9" t="str">
        <x:v>P15</x:v>
      </x:c>
      <x:c r="J3615" s="11" t="n">
        <x:v>46314.68402777778</x:v>
      </x:c>
      <x:c r="K3615" s="15" t="n">
        <x:v>18</x:v>
      </x:c>
      <x:c r="L3615" s="15" t="n">
        <x:v>36</x:v>
      </x:c>
      <x:c r="M3615" s="13" t="n">
        <x:f>J3615+(K3615+L3615)/1440</x:f>
        <x:v>46314.72152777778</x:v>
      </x:c>
      <x:c r="N3615" s="13" t="n">
        <x:f>VLOOKUP(C3615,'MES orders'!$A$8:$H$127,5,FALSE)</x:f>
        <x:v>46311.666666666664</x:v>
      </x:c>
      <x:c r="O3615" s="16" t="n">
        <x:f>MAX(0,(M3615-N3615)*24)</x:f>
        <x:v>73.31666666676756</x:v>
      </x:c>
      <x:c r="P3615" s="9" t="str">
        <x:v>No</x:v>
      </x:c>
      <x:c r="Q3615" s="15" t="n">
        <x:v>18</x:v>
      </x:c>
      <x:c r="R3615" s="13" t="n">
        <x:f>J3615+Q3615/1440</x:f>
        <x:v>46314.69652777778</x:v>
      </x:c>
      <x:c r="S3615" s="2" t="str">
        <x:f>VLOOKUP(C3615,'MES orders'!$A$8:$H$127,6,FALSE)</x:f>
        <x:v>Normal</x:v>
      </x:c>
      <x:c r="T3615" s="9" t="str"/>
    </x:row>
    <x:row r="3616" ht="22" customHeight="1">
      <x:c r="A3616" s="2" t="str">
        <x:v>L00396-020</x:v>
      </x:c>
      <x:c r="B3616" s="2" t="str">
        <x:v>L00396</x:v>
      </x:c>
      <x:c r="C3616" s="2" t="str">
        <x:v>SO-26080</x:v>
      </x:c>
      <x:c r="D3616" s="2" t="str">
        <x:v>S-C-SS</x:v>
      </x:c>
      <x:c r="E3616" s="14" t="n">
        <x:v>15</x:v>
      </x:c>
      <x:c r="F3616" s="2" t="str">
        <x:v>Deburr &amp; inspect</x:v>
      </x:c>
      <x:c r="G3616" s="9" t="str">
        <x:v>DB-01</x:v>
      </x:c>
      <x:c r="H3616" s="15" t="n">
        <x:v>339</x:v>
      </x:c>
      <x:c r="I3616" s="9" t="str">
        <x:v>P13</x:v>
      </x:c>
      <x:c r="J3616" s="11" t="n">
        <x:v>46314.68402777778</x:v>
      </x:c>
      <x:c r="K3616" s="15" t="n">
        <x:v>4</x:v>
      </x:c>
      <x:c r="L3616" s="15" t="n">
        <x:v>8</x:v>
      </x:c>
      <x:c r="M3616" s="13" t="n">
        <x:f>J3616+(K3616+L3616)/1440</x:f>
        <x:v>46314.69236111111</x:v>
      </x:c>
      <x:c r="N3616" s="13" t="n">
        <x:f>VLOOKUP(C3616,'MES orders'!$A$8:$H$127,5,FALSE)</x:f>
        <x:v>46311.666666666664</x:v>
      </x:c>
      <x:c r="O3616" s="16" t="n">
        <x:f>MAX(0,(M3616-N3616)*24)</x:f>
        <x:v>72.61666666675592</x:v>
      </x:c>
      <x:c r="P3616" s="9" t="str">
        <x:v>No</x:v>
      </x:c>
      <x:c r="Q3616" s="15" t="n">
        <x:v>12</x:v>
      </x:c>
      <x:c r="R3616" s="13" t="n">
        <x:f>J3616+Q3616/1440</x:f>
        <x:v>46314.69236111111</x:v>
      </x:c>
      <x:c r="S3616" s="2" t="str">
        <x:f>VLOOKUP(C3616,'MES orders'!$A$8:$H$127,6,FALSE)</x:f>
        <x:v>Normal</x:v>
      </x:c>
      <x:c r="T3616" s="9" t="str"/>
    </x:row>
    <x:row r="3617" ht="22" customHeight="1">
      <x:c r="A3617" s="2" t="str">
        <x:v>L00240-040</x:v>
      </x:c>
      <x:c r="B3617" s="2" t="str">
        <x:v>L00240</x:v>
      </x:c>
      <x:c r="C3617" s="2" t="str">
        <x:v>SO-26048</x:v>
      </x:c>
      <x:c r="D3617" s="2" t="str">
        <x:v>D-L-SS</x:v>
      </x:c>
      <x:c r="E3617" s="14" t="n">
        <x:v>20</x:v>
      </x:c>
      <x:c r="F3617" s="2" t="str">
        <x:v>Mechanical assembly</x:v>
      </x:c>
      <x:c r="G3617" s="9" t="str">
        <x:v>AS-02</x:v>
      </x:c>
      <x:c r="H3617" s="15" t="n">
        <x:v>238</x:v>
      </x:c>
      <x:c r="I3617" s="9" t="str">
        <x:v>P17</x:v>
      </x:c>
      <x:c r="J3617" s="11" t="n">
        <x:v>46314.68958333333</x:v>
      </x:c>
      <x:c r="K3617" s="15" t="n">
        <x:v>8</x:v>
      </x:c>
      <x:c r="L3617" s="15" t="n">
        <x:v>49</x:v>
      </x:c>
      <x:c r="M3617" s="13" t="n">
        <x:f>J3617+(K3617+L3617)/1440</x:f>
        <x:v>46314.729166666664</x:v>
      </x:c>
      <x:c r="N3617" s="13" t="n">
        <x:f>VLOOKUP(C3617,'MES orders'!$A$8:$H$127,5,FALSE)</x:f>
        <x:v>46311.666666666664</x:v>
      </x:c>
      <x:c r="O3617" s="16" t="n">
        <x:f>MAX(0,(M3617-N3617)*24)</x:f>
        <x:v>73.5</x:v>
      </x:c>
      <x:c r="P3617" s="9" t="str">
        <x:v>No</x:v>
      </x:c>
      <x:c r="Q3617" s="15" t="n">
        <x:v>57</x:v>
      </x:c>
      <x:c r="R3617" s="13" t="n">
        <x:f>J3617+Q3617/1440</x:f>
        <x:v>46314.729166666664</x:v>
      </x:c>
      <x:c r="S3617" s="2" t="str">
        <x:f>VLOOKUP(C3617,'MES orders'!$A$8:$H$127,6,FALSE)</x:f>
        <x:v>Normal</x:v>
      </x:c>
      <x:c r="T3617" s="9" t="str"/>
    </x:row>
    <x:row r="3618" ht="22" customHeight="1">
      <x:c r="A3618" s="2" t="str">
        <x:v>L00237-050</x:v>
      </x:c>
      <x:c r="B3618" s="2" t="str">
        <x:v>L00237</x:v>
      </x:c>
      <x:c r="C3618" s="2" t="str">
        <x:v>SO-26048</x:v>
      </x:c>
      <x:c r="D3618" s="2" t="str">
        <x:v>D-L-SS</x:v>
      </x:c>
      <x:c r="E3618" s="14" t="n">
        <x:v>20</x:v>
      </x:c>
      <x:c r="F3618" s="2" t="str">
        <x:v>Final leak / function test</x:v>
      </x:c>
      <x:c r="G3618" s="9" t="str">
        <x:v>QA-01</x:v>
      </x:c>
      <x:c r="H3618" s="15" t="n">
        <x:v>135</x:v>
      </x:c>
      <x:c r="I3618" s="9" t="str">
        <x:v>P23</x:v>
      </x:c>
      <x:c r="J3618" s="11" t="n">
        <x:v>46314.68958333333</x:v>
      </x:c>
      <x:c r="K3618" s="15" t="n">
        <x:v>10</x:v>
      </x:c>
      <x:c r="L3618" s="15" t="n">
        <x:v>24</x:v>
      </x:c>
      <x:c r="M3618" s="13" t="n">
        <x:f>J3618+(K3618+L3618)/1440</x:f>
        <x:v>46314.71319444444</x:v>
      </x:c>
      <x:c r="N3618" s="13" t="n">
        <x:f>VLOOKUP(C3618,'MES orders'!$A$8:$H$127,5,FALSE)</x:f>
        <x:v>46311.666666666664</x:v>
      </x:c>
      <x:c r="O3618" s="16" t="n">
        <x:f>MAX(0,(M3618-N3618)*24)</x:f>
        <x:v>73.1166666666395</x:v>
      </x:c>
      <x:c r="P3618" s="9" t="str">
        <x:v>No</x:v>
      </x:c>
      <x:c r="Q3618" s="15" t="n">
        <x:v>34</x:v>
      </x:c>
      <x:c r="R3618" s="13" t="n">
        <x:f>J3618+Q3618/1440</x:f>
        <x:v>46314.71319444444</x:v>
      </x:c>
      <x:c r="S3618" s="2" t="str">
        <x:f>VLOOKUP(C3618,'MES orders'!$A$8:$H$127,6,FALSE)</x:f>
        <x:v>Normal</x:v>
      </x:c>
      <x:c r="T3618" s="9" t="str"/>
    </x:row>
    <x:row r="3619" ht="22" customHeight="1">
      <x:c r="A3619" s="2" t="str">
        <x:v>L00397-020</x:v>
      </x:c>
      <x:c r="B3619" s="2" t="str">
        <x:v>L00397</x:v>
      </x:c>
      <x:c r="C3619" s="2" t="str">
        <x:v>SO-26080</x:v>
      </x:c>
      <x:c r="D3619" s="2" t="str">
        <x:v>S-C-SS</x:v>
      </x:c>
      <x:c r="E3619" s="14" t="n">
        <x:v>15</x:v>
      </x:c>
      <x:c r="F3619" s="2" t="str">
        <x:v>Deburr &amp; inspect</x:v>
      </x:c>
      <x:c r="G3619" s="9" t="str">
        <x:v>DB-02</x:v>
      </x:c>
      <x:c r="H3619" s="15" t="n">
        <x:v>237</x:v>
      </x:c>
      <x:c r="I3619" s="9" t="str">
        <x:v>P14</x:v>
      </x:c>
      <x:c r="J3619" s="11" t="n">
        <x:v>46314.69097222222</x:v>
      </x:c>
      <x:c r="K3619" s="15" t="n">
        <x:v>4</x:v>
      </x:c>
      <x:c r="L3619" s="15" t="n">
        <x:v>8</x:v>
      </x:c>
      <x:c r="M3619" s="13" t="n">
        <x:f>J3619+(K3619+L3619)/1440</x:f>
        <x:v>46314.69930555555</x:v>
      </x:c>
      <x:c r="N3619" s="13" t="n">
        <x:f>VLOOKUP(C3619,'MES orders'!$A$8:$H$127,5,FALSE)</x:f>
        <x:v>46311.666666666664</x:v>
      </x:c>
      <x:c r="O3619" s="16" t="n">
        <x:f>MAX(0,(M3619-N3619)*24)</x:f>
        <x:v>72.78333333326736</x:v>
      </x:c>
      <x:c r="P3619" s="9" t="str">
        <x:v>No</x:v>
      </x:c>
      <x:c r="Q3619" s="15" t="n">
        <x:v>12</x:v>
      </x:c>
      <x:c r="R3619" s="13" t="n">
        <x:f>J3619+Q3619/1440</x:f>
        <x:v>46314.69930555555</x:v>
      </x:c>
      <x:c r="S3619" s="2" t="str">
        <x:f>VLOOKUP(C3619,'MES orders'!$A$8:$H$127,6,FALSE)</x:f>
        <x:v>Normal</x:v>
      </x:c>
      <x:c r="T3619" s="9" t="str"/>
    </x:row>
    <x:row r="3620" ht="22" customHeight="1">
      <x:c r="A3620" s="2" t="str">
        <x:v>L00396-030</x:v>
      </x:c>
      <x:c r="B3620" s="2" t="str">
        <x:v>L00396</x:v>
      </x:c>
      <x:c r="C3620" s="2" t="str">
        <x:v>SO-26080</x:v>
      </x:c>
      <x:c r="D3620" s="2" t="str">
        <x:v>S-C-SS</x:v>
      </x:c>
      <x:c r="E3620" s="14" t="n">
        <x:v>15</x:v>
      </x:c>
      <x:c r="F3620" s="2" t="str">
        <x:v>Wash &amp; dry</x:v>
      </x:c>
      <x:c r="G3620" s="9" t="str">
        <x:v>WS-01</x:v>
      </x:c>
      <x:c r="H3620" s="15" t="n">
        <x:v>332</x:v>
      </x:c>
      <x:c r="I3620" s="9" t="str">
        <x:v>P13</x:v>
      </x:c>
      <x:c r="J3620" s="11" t="n">
        <x:v>46314.69236111111</x:v>
      </x:c>
      <x:c r="K3620" s="15" t="n">
        <x:v>12</x:v>
      </x:c>
      <x:c r="L3620" s="15" t="n">
        <x:v>4</x:v>
      </x:c>
      <x:c r="M3620" s="13" t="n">
        <x:f>J3620+(K3620+L3620)/1440</x:f>
        <x:v>46314.70347222222</x:v>
      </x:c>
      <x:c r="N3620" s="13" t="n">
        <x:f>VLOOKUP(C3620,'MES orders'!$A$8:$H$127,5,FALSE)</x:f>
        <x:v>46311.666666666664</x:v>
      </x:c>
      <x:c r="O3620" s="16" t="n">
        <x:f>MAX(0,(M3620-N3620)*24)</x:f>
        <x:v>72.8833333334187</x:v>
      </x:c>
      <x:c r="P3620" s="9" t="str">
        <x:v>No</x:v>
      </x:c>
      <x:c r="Q3620" s="15" t="n">
        <x:v>16</x:v>
      </x:c>
      <x:c r="R3620" s="13" t="n">
        <x:f>J3620+Q3620/1440</x:f>
        <x:v>46314.70347222222</x:v>
      </x:c>
      <x:c r="S3620" s="2" t="str">
        <x:f>VLOOKUP(C3620,'MES orders'!$A$8:$H$127,6,FALSE)</x:f>
        <x:v>Normal</x:v>
      </x:c>
      <x:c r="T3620" s="9" t="str"/>
    </x:row>
    <x:row r="3621" ht="22" customHeight="1">
      <x:c r="A3621" s="2" t="str">
        <x:v>L00398-020</x:v>
      </x:c>
      <x:c r="B3621" s="2" t="str">
        <x:v>L00398</x:v>
      </x:c>
      <x:c r="C3621" s="2" t="str">
        <x:v>SO-26080</x:v>
      </x:c>
      <x:c r="D3621" s="2" t="str">
        <x:v>S-C-SS</x:v>
      </x:c>
      <x:c r="E3621" s="14" t="n">
        <x:v>15</x:v>
      </x:c>
      <x:c r="F3621" s="2" t="str">
        <x:v>Deburr &amp; inspect</x:v>
      </x:c>
      <x:c r="G3621" s="9" t="str">
        <x:v>DB-01</x:v>
      </x:c>
      <x:c r="H3621" s="15" t="n">
        <x:v>340</x:v>
      </x:c>
      <x:c r="I3621" s="9" t="str">
        <x:v>P15</x:v>
      </x:c>
      <x:c r="J3621" s="11" t="n">
        <x:v>46314.69652777778</x:v>
      </x:c>
      <x:c r="K3621" s="15" t="n">
        <x:v>4</x:v>
      </x:c>
      <x:c r="L3621" s="15" t="n">
        <x:v>8</x:v>
      </x:c>
      <x:c r="M3621" s="13" t="n">
        <x:f>J3621+(K3621+L3621)/1440</x:f>
        <x:v>46314.70486111111</x:v>
      </x:c>
      <x:c r="N3621" s="13" t="n">
        <x:f>VLOOKUP(C3621,'MES orders'!$A$8:$H$127,5,FALSE)</x:f>
        <x:v>46311.666666666664</x:v>
      </x:c>
      <x:c r="O3621" s="16" t="n">
        <x:f>MAX(0,(M3621-N3621)*24)</x:f>
        <x:v>72.91666666668607</x:v>
      </x:c>
      <x:c r="P3621" s="9" t="str">
        <x:v>No</x:v>
      </x:c>
      <x:c r="Q3621" s="15" t="n">
        <x:v>12</x:v>
      </x:c>
      <x:c r="R3621" s="13" t="n">
        <x:f>J3621+Q3621/1440</x:f>
        <x:v>46314.70486111111</x:v>
      </x:c>
      <x:c r="S3621" s="2" t="str">
        <x:f>VLOOKUP(C3621,'MES orders'!$A$8:$H$127,6,FALSE)</x:f>
        <x:v>Normal</x:v>
      </x:c>
      <x:c r="T3621" s="9" t="str"/>
    </x:row>
    <x:row r="3622" ht="22" customHeight="1">
      <x:c r="A3622" s="2" t="str">
        <x:v>L00397-030</x:v>
      </x:c>
      <x:c r="B3622" s="2" t="str">
        <x:v>L00397</x:v>
      </x:c>
      <x:c r="C3622" s="2" t="str">
        <x:v>SO-26080</x:v>
      </x:c>
      <x:c r="D3622" s="2" t="str">
        <x:v>S-C-SS</x:v>
      </x:c>
      <x:c r="E3622" s="14" t="n">
        <x:v>15</x:v>
      </x:c>
      <x:c r="F3622" s="2" t="str">
        <x:v>Wash &amp; dry</x:v>
      </x:c>
      <x:c r="G3622" s="9" t="str">
        <x:v>WS-02</x:v>
      </x:c>
      <x:c r="H3622" s="15" t="n">
        <x:v>242</x:v>
      </x:c>
      <x:c r="I3622" s="9" t="str">
        <x:v>P14</x:v>
      </x:c>
      <x:c r="J3622" s="11" t="n">
        <x:v>46314.69930555556</x:v>
      </x:c>
      <x:c r="K3622" s="15" t="n">
        <x:v>12</x:v>
      </x:c>
      <x:c r="L3622" s="15" t="n">
        <x:v>4</x:v>
      </x:c>
      <x:c r="M3622" s="13" t="n">
        <x:f>J3622+(K3622+L3622)/1440</x:f>
        <x:v>46314.71041666667</x:v>
      </x:c>
      <x:c r="N3622" s="13" t="n">
        <x:f>VLOOKUP(C3622,'MES orders'!$A$8:$H$127,5,FALSE)</x:f>
        <x:v>46311.666666666664</x:v>
      </x:c>
      <x:c r="O3622" s="16" t="n">
        <x:f>MAX(0,(M3622-N3622)*24)</x:f>
        <x:v>73.05000000010477</x:v>
      </x:c>
      <x:c r="P3622" s="9" t="str">
        <x:v>No</x:v>
      </x:c>
      <x:c r="Q3622" s="15" t="n">
        <x:v>16</x:v>
      </x:c>
      <x:c r="R3622" s="13" t="n">
        <x:f>J3622+Q3622/1440</x:f>
        <x:v>46314.71041666667</x:v>
      </x:c>
      <x:c r="S3622" s="2" t="str">
        <x:f>VLOOKUP(C3622,'MES orders'!$A$8:$H$127,6,FALSE)</x:f>
        <x:v>Normal</x:v>
      </x:c>
      <x:c r="T3622" s="9" t="str"/>
    </x:row>
    <x:row r="3623" ht="22" customHeight="1">
      <x:c r="A3623" s="2" t="str">
        <x:v>L00396-040</x:v>
      </x:c>
      <x:c r="B3623" s="2" t="str">
        <x:v>L00396</x:v>
      </x:c>
      <x:c r="C3623" s="2" t="str">
        <x:v>SO-26080</x:v>
      </x:c>
      <x:c r="D3623" s="2" t="str">
        <x:v>S-C-SS</x:v>
      </x:c>
      <x:c r="E3623" s="14" t="n">
        <x:v>15</x:v>
      </x:c>
      <x:c r="F3623" s="2" t="str">
        <x:v>Mechanical preassembly</x:v>
      </x:c>
      <x:c r="G3623" s="9" t="str">
        <x:v>AS-05</x:v>
      </x:c>
      <x:c r="H3623" s="15" t="n">
        <x:v>71</x:v>
      </x:c>
      <x:c r="I3623" s="9" t="str">
        <x:v>P13</x:v>
      </x:c>
      <x:c r="J3623" s="11" t="n">
        <x:v>46314.70347222222</x:v>
      </x:c>
      <x:c r="K3623" s="15" t="n">
        <x:v>6</x:v>
      </x:c>
      <x:c r="L3623" s="15" t="n">
        <x:v>13</x:v>
      </x:c>
      <x:c r="M3623" s="13" t="n">
        <x:f>J3623+(K3623+L3623)/1440</x:f>
        <x:v>46314.71666666667</x:v>
      </x:c>
      <x:c r="N3623" s="13" t="n">
        <x:f>VLOOKUP(C3623,'MES orders'!$A$8:$H$127,5,FALSE)</x:f>
        <x:v>46311.666666666664</x:v>
      </x:c>
      <x:c r="O3623" s="16" t="n">
        <x:f>MAX(0,(M3623-N3623)*24)</x:f>
        <x:v>73.20000000006985</x:v>
      </x:c>
      <x:c r="P3623" s="9" t="str">
        <x:v>No</x:v>
      </x:c>
      <x:c r="Q3623" s="15" t="n">
        <x:v>19</x:v>
      </x:c>
      <x:c r="R3623" s="13" t="n">
        <x:f>J3623+Q3623/1440</x:f>
        <x:v>46314.71666666667</x:v>
      </x:c>
      <x:c r="S3623" s="2" t="str">
        <x:f>VLOOKUP(C3623,'MES orders'!$A$8:$H$127,6,FALSE)</x:f>
        <x:v>Normal</x:v>
      </x:c>
      <x:c r="T3623" s="9" t="str"/>
    </x:row>
    <x:row r="3624" ht="22" customHeight="1">
      <x:c r="A3624" s="2" t="str">
        <x:v>L00399-020</x:v>
      </x:c>
      <x:c r="B3624" s="2" t="str">
        <x:v>L00399</x:v>
      </x:c>
      <x:c r="C3624" s="2" t="str">
        <x:v>SO-26080</x:v>
      </x:c>
      <x:c r="D3624" s="2" t="str">
        <x:v>S-C-SS</x:v>
      </x:c>
      <x:c r="E3624" s="14" t="n">
        <x:v>15</x:v>
      </x:c>
      <x:c r="F3624" s="2" t="str">
        <x:v>Deburr &amp; inspect</x:v>
      </x:c>
      <x:c r="G3624" s="9" t="str">
        <x:v>DB-01</x:v>
      </x:c>
      <x:c r="H3624" s="15" t="n">
        <x:v>341</x:v>
      </x:c>
      <x:c r="I3624" s="9" t="str">
        <x:v>P19</x:v>
      </x:c>
      <x:c r="J3624" s="11" t="n">
        <x:v>46314.70486111111</x:v>
      </x:c>
      <x:c r="K3624" s="15" t="n">
        <x:v>4</x:v>
      </x:c>
      <x:c r="L3624" s="15" t="n">
        <x:v>8</x:v>
      </x:c>
      <x:c r="M3624" s="13" t="n">
        <x:f>J3624+(K3624+L3624)/1440</x:f>
        <x:v>46314.71319444444</x:v>
      </x:c>
      <x:c r="N3624" s="13" t="n">
        <x:f>VLOOKUP(C3624,'MES orders'!$A$8:$H$127,5,FALSE)</x:f>
        <x:v>46311.666666666664</x:v>
      </x:c>
      <x:c r="O3624" s="16" t="n">
        <x:f>MAX(0,(M3624-N3624)*24)</x:f>
        <x:v>73.1166666666395</x:v>
      </x:c>
      <x:c r="P3624" s="9" t="str">
        <x:v>No</x:v>
      </x:c>
      <x:c r="Q3624" s="15" t="n">
        <x:v>12</x:v>
      </x:c>
      <x:c r="R3624" s="13" t="n">
        <x:f>J3624+Q3624/1440</x:f>
        <x:v>46314.71319444444</x:v>
      </x:c>
      <x:c r="S3624" s="2" t="str">
        <x:f>VLOOKUP(C3624,'MES orders'!$A$8:$H$127,6,FALSE)</x:f>
        <x:v>Normal</x:v>
      </x:c>
      <x:c r="T3624" s="9" t="str"/>
    </x:row>
    <x:row r="3625" ht="22" customHeight="1">
      <x:c r="A3625" s="2" t="str">
        <x:v>L00398-030</x:v>
      </x:c>
      <x:c r="B3625" s="2" t="str">
        <x:v>L00398</x:v>
      </x:c>
      <x:c r="C3625" s="2" t="str">
        <x:v>SO-26080</x:v>
      </x:c>
      <x:c r="D3625" s="2" t="str">
        <x:v>S-C-SS</x:v>
      </x:c>
      <x:c r="E3625" s="14" t="n">
        <x:v>15</x:v>
      </x:c>
      <x:c r="F3625" s="2" t="str">
        <x:v>Wash &amp; dry</x:v>
      </x:c>
      <x:c r="G3625" s="9" t="str">
        <x:v>WS-01</x:v>
      </x:c>
      <x:c r="H3625" s="15" t="n">
        <x:v>333</x:v>
      </x:c>
      <x:c r="I3625" s="9" t="str">
        <x:v>P15</x:v>
      </x:c>
      <x:c r="J3625" s="11" t="n">
        <x:v>46314.70486111111</x:v>
      </x:c>
      <x:c r="K3625" s="15" t="n">
        <x:v>12</x:v>
      </x:c>
      <x:c r="L3625" s="15" t="n">
        <x:v>4</x:v>
      </x:c>
      <x:c r="M3625" s="13" t="n">
        <x:f>J3625+(K3625+L3625)/1440</x:f>
        <x:v>46314.71597222222</x:v>
      </x:c>
      <x:c r="N3625" s="13" t="n">
        <x:f>VLOOKUP(C3625,'MES orders'!$A$8:$H$127,5,FALSE)</x:f>
        <x:v>46311.666666666664</x:v>
      </x:c>
      <x:c r="O3625" s="16" t="n">
        <x:f>MAX(0,(M3625-N3625)*24)</x:f>
        <x:v>73.18333333334886</x:v>
      </x:c>
      <x:c r="P3625" s="9" t="str">
        <x:v>No</x:v>
      </x:c>
      <x:c r="Q3625" s="15" t="n">
        <x:v>16</x:v>
      </x:c>
      <x:c r="R3625" s="13" t="n">
        <x:f>J3625+Q3625/1440</x:f>
        <x:v>46314.71597222222</x:v>
      </x:c>
      <x:c r="S3625" s="2" t="str">
        <x:f>VLOOKUP(C3625,'MES orders'!$A$8:$H$127,6,FALSE)</x:f>
        <x:v>Normal</x:v>
      </x:c>
      <x:c r="T3625" s="9" t="str"/>
    </x:row>
    <x:row r="3626" ht="22" customHeight="1">
      <x:c r="A3626" s="2" t="str">
        <x:v>L00278-040</x:v>
      </x:c>
      <x:c r="B3626" s="2" t="str">
        <x:v>L00278</x:v>
      </x:c>
      <x:c r="C3626" s="2" t="str">
        <x:v>SO-26056</x:v>
      </x:c>
      <x:c r="D3626" s="2" t="str">
        <x:v>R-C-SS</x:v>
      </x:c>
      <x:c r="E3626" s="14" t="n">
        <x:v>5</x:v>
      </x:c>
      <x:c r="F3626" s="2" t="str">
        <x:v>Mechanical assembly</x:v>
      </x:c>
      <x:c r="G3626" s="9" t="str">
        <x:v>AS-01</x:v>
      </x:c>
      <x:c r="H3626" s="15" t="n">
        <x:v>290</x:v>
      </x:c>
      <x:c r="I3626" s="9" t="str">
        <x:v>P16</x:v>
      </x:c>
      <x:c r="J3626" s="11" t="n">
        <x:v>46314.705555555556</x:v>
      </x:c>
      <x:c r="K3626" s="15" t="n">
        <x:v>8</x:v>
      </x:c>
      <x:c r="L3626" s="15" t="n">
        <x:v>7</x:v>
      </x:c>
      <x:c r="M3626" s="13" t="n">
        <x:f>J3626+(K3626+L3626)/1440</x:f>
        <x:v>46314.71597222222</x:v>
      </x:c>
      <x:c r="N3626" s="13" t="n">
        <x:f>VLOOKUP(C3626,'MES orders'!$A$8:$H$127,5,FALSE)</x:f>
        <x:v>46311.666666666664</x:v>
      </x:c>
      <x:c r="O3626" s="16" t="n">
        <x:f>MAX(0,(M3626-N3626)*24)</x:f>
        <x:v>73.18333333334886</x:v>
      </x:c>
      <x:c r="P3626" s="9" t="str">
        <x:v>No</x:v>
      </x:c>
      <x:c r="Q3626" s="15" t="n">
        <x:v>15</x:v>
      </x:c>
      <x:c r="R3626" s="13" t="n">
        <x:f>J3626+Q3626/1440</x:f>
        <x:v>46314.71597222222</x:v>
      </x:c>
      <x:c r="S3626" s="2" t="str">
        <x:f>VLOOKUP(C3626,'MES orders'!$A$8:$H$127,6,FALSE)</x:f>
        <x:v>Normal</x:v>
      </x:c>
      <x:c r="T3626" s="9" t="str"/>
    </x:row>
    <x:row r="3627" ht="22" customHeight="1">
      <x:c r="A3627" s="2" t="str">
        <x:v>L00238-050</x:v>
      </x:c>
      <x:c r="B3627" s="2" t="str">
        <x:v>L00238</x:v>
      </x:c>
      <x:c r="C3627" s="2" t="str">
        <x:v>SO-26048</x:v>
      </x:c>
      <x:c r="D3627" s="2" t="str">
        <x:v>D-L-SS</x:v>
      </x:c>
      <x:c r="E3627" s="14" t="n">
        <x:v>20</x:v>
      </x:c>
      <x:c r="F3627" s="2" t="str">
        <x:v>Final leak / function test</x:v>
      </x:c>
      <x:c r="G3627" s="9" t="str">
        <x:v>QA-02</x:v>
      </x:c>
      <x:c r="H3627" s="15" t="n">
        <x:v>273</x:v>
      </x:c>
      <x:c r="I3627" s="9" t="str">
        <x:v>P24</x:v>
      </x:c>
      <x:c r="J3627" s="11" t="n">
        <x:v>46314.705555555556</x:v>
      </x:c>
      <x:c r="K3627" s="15" t="n">
        <x:v>10</x:v>
      </x:c>
      <x:c r="L3627" s="15" t="n">
        <x:v>24</x:v>
      </x:c>
      <x:c r="M3627" s="13" t="n">
        <x:f>J3627+(K3627+L3627)/1440</x:f>
        <x:v>46314.729166666664</x:v>
      </x:c>
      <x:c r="N3627" s="13" t="n">
        <x:f>VLOOKUP(C3627,'MES orders'!$A$8:$H$127,5,FALSE)</x:f>
        <x:v>46311.666666666664</x:v>
      </x:c>
      <x:c r="O3627" s="16" t="n">
        <x:f>MAX(0,(M3627-N3627)*24)</x:f>
        <x:v>73.5</x:v>
      </x:c>
      <x:c r="P3627" s="9" t="str">
        <x:v>No</x:v>
      </x:c>
      <x:c r="Q3627" s="15" t="n">
        <x:v>34</x:v>
      </x:c>
      <x:c r="R3627" s="13" t="n">
        <x:f>J3627+Q3627/1440</x:f>
        <x:v>46314.729166666664</x:v>
      </x:c>
      <x:c r="S3627" s="2" t="str">
        <x:f>VLOOKUP(C3627,'MES orders'!$A$8:$H$127,6,FALSE)</x:f>
        <x:v>Normal</x:v>
      </x:c>
      <x:c r="T3627" s="9" t="str"/>
    </x:row>
    <x:row r="3628" ht="22" customHeight="1">
      <x:c r="A3628" s="2" t="str">
        <x:v>L00397-040</x:v>
      </x:c>
      <x:c r="B3628" s="2" t="str">
        <x:v>L00397</x:v>
      </x:c>
      <x:c r="C3628" s="2" t="str">
        <x:v>SO-26080</x:v>
      </x:c>
      <x:c r="D3628" s="2" t="str">
        <x:v>S-C-SS</x:v>
      </x:c>
      <x:c r="E3628" s="14" t="n">
        <x:v>15</x:v>
      </x:c>
      <x:c r="F3628" s="2" t="str">
        <x:v>Mechanical preassembly</x:v>
      </x:c>
      <x:c r="G3628" s="9" t="str">
        <x:v>AS-06</x:v>
      </x:c>
      <x:c r="H3628" s="15" t="n">
        <x:v>29</x:v>
      </x:c>
      <x:c r="I3628" s="9" t="str">
        <x:v>P14</x:v>
      </x:c>
      <x:c r="J3628" s="11" t="n">
        <x:v>46314.71041666667</x:v>
      </x:c>
      <x:c r="K3628" s="15" t="n">
        <x:v>6</x:v>
      </x:c>
      <x:c r="L3628" s="15" t="n">
        <x:v>13</x:v>
      </x:c>
      <x:c r="M3628" s="13" t="n">
        <x:f>J3628+(K3628+L3628)/1440</x:f>
        <x:v>46314.72361111111</x:v>
      </x:c>
      <x:c r="N3628" s="13" t="n">
        <x:f>VLOOKUP(C3628,'MES orders'!$A$8:$H$127,5,FALSE)</x:f>
        <x:v>46311.666666666664</x:v>
      </x:c>
      <x:c r="O3628" s="16" t="n">
        <x:f>MAX(0,(M3628-N3628)*24)</x:f>
        <x:v>73.36666666675592</x:v>
      </x:c>
      <x:c r="P3628" s="9" t="str">
        <x:v>No</x:v>
      </x:c>
      <x:c r="Q3628" s="15" t="n">
        <x:v>19</x:v>
      </x:c>
      <x:c r="R3628" s="13" t="n">
        <x:f>J3628+Q3628/1440</x:f>
        <x:v>46314.72361111111</x:v>
      </x:c>
      <x:c r="S3628" s="2" t="str">
        <x:f>VLOOKUP(C3628,'MES orders'!$A$8:$H$127,6,FALSE)</x:f>
        <x:v>Normal</x:v>
      </x:c>
      <x:c r="T3628" s="9" t="str"/>
    </x:row>
    <x:row r="3629" ht="22" customHeight="1">
      <x:c r="A3629" s="2" t="str">
        <x:v>L00356-040</x:v>
      </x:c>
      <x:c r="B3629" s="2" t="str">
        <x:v>L00356</x:v>
      </x:c>
      <x:c r="C3629" s="2" t="str">
        <x:v>SO-26072</x:v>
      </x:c>
      <x:c r="D3629" s="2" t="str">
        <x:v>R-L-SS</x:v>
      </x:c>
      <x:c r="E3629" s="14" t="n">
        <x:v>5</x:v>
      </x:c>
      <x:c r="F3629" s="2" t="str">
        <x:v>Mechanical assembly</x:v>
      </x:c>
      <x:c r="G3629" s="9" t="str">
        <x:v>AS-04</x:v>
      </x:c>
      <x:c r="H3629" s="15" t="n">
        <x:v>126</x:v>
      </x:c>
      <x:c r="I3629" s="9" t="str">
        <x:v>P16</x:v>
      </x:c>
      <x:c r="J3629" s="11" t="n">
        <x:v>46314.71597222222</x:v>
      </x:c>
      <x:c r="K3629" s="15" t="n">
        <x:v>8</x:v>
      </x:c>
      <x:c r="L3629" s="15" t="n">
        <x:v>12</x:v>
      </x:c>
      <x:c r="M3629" s="13" t="n">
        <x:f>J3629+(K3629+L3629)/1440</x:f>
        <x:v>46314.72986111111</x:v>
      </x:c>
      <x:c r="N3629" s="13" t="n">
        <x:f>VLOOKUP(C3629,'MES orders'!$A$8:$H$127,5,FALSE)</x:f>
        <x:v>46311.666666666664</x:v>
      </x:c>
      <x:c r="O3629" s="16" t="n">
        <x:f>MAX(0,(M3629-N3629)*24)</x:f>
        <x:v>73.516666666721</x:v>
      </x:c>
      <x:c r="P3629" s="9" t="str">
        <x:v>No</x:v>
      </x:c>
      <x:c r="Q3629" s="15" t="n">
        <x:v>20</x:v>
      </x:c>
      <x:c r="R3629" s="13" t="n">
        <x:f>J3629+Q3629/1440</x:f>
        <x:v>46314.72986111111</x:v>
      </x:c>
      <x:c r="S3629" s="2" t="str">
        <x:f>VLOOKUP(C3629,'MES orders'!$A$8:$H$127,6,FALSE)</x:f>
        <x:v>Normal</x:v>
      </x:c>
      <x:c r="T3629" s="9" t="str"/>
    </x:row>
    <x:row r="3630" ht="22" customHeight="1">
      <x:c r="A3630" s="2" t="str">
        <x:v>L00399-030</x:v>
      </x:c>
      <x:c r="B3630" s="2" t="str">
        <x:v>L00399</x:v>
      </x:c>
      <x:c r="C3630" s="2" t="str">
        <x:v>SO-26080</x:v>
      </x:c>
      <x:c r="D3630" s="2" t="str">
        <x:v>S-C-SS</x:v>
      </x:c>
      <x:c r="E3630" s="14" t="n">
        <x:v>15</x:v>
      </x:c>
      <x:c r="F3630" s="2" t="str">
        <x:v>Wash &amp; dry</x:v>
      </x:c>
      <x:c r="G3630" s="9" t="str">
        <x:v>WS-01</x:v>
      </x:c>
      <x:c r="H3630" s="15" t="n">
        <x:v>334</x:v>
      </x:c>
      <x:c r="I3630" s="9" t="str">
        <x:v>P15</x:v>
      </x:c>
      <x:c r="J3630" s="11" t="n">
        <x:v>46314.71597222222</x:v>
      </x:c>
      <x:c r="K3630" s="15" t="n">
        <x:v>12</x:v>
      </x:c>
      <x:c r="L3630" s="15" t="n">
        <x:v>4</x:v>
      </x:c>
      <x:c r="M3630" s="13" t="n">
        <x:f>J3630+(K3630+L3630)/1440</x:f>
        <x:v>46314.72708333333</x:v>
      </x:c>
      <x:c r="N3630" s="13" t="n">
        <x:f>VLOOKUP(C3630,'MES orders'!$A$8:$H$127,5,FALSE)</x:f>
        <x:v>46311.666666666664</x:v>
      </x:c>
      <x:c r="O3630" s="16" t="n">
        <x:f>MAX(0,(M3630-N3630)*24)</x:f>
        <x:v>73.45000000001164</x:v>
      </x:c>
      <x:c r="P3630" s="9" t="str">
        <x:v>No</x:v>
      </x:c>
      <x:c r="Q3630" s="15" t="n">
        <x:v>16</x:v>
      </x:c>
      <x:c r="R3630" s="13" t="n">
        <x:f>J3630+Q3630/1440</x:f>
        <x:v>46314.72708333333</x:v>
      </x:c>
      <x:c r="S3630" s="2" t="str">
        <x:f>VLOOKUP(C3630,'MES orders'!$A$8:$H$127,6,FALSE)</x:f>
        <x:v>Normal</x:v>
      </x:c>
      <x:c r="T3630" s="9" t="str"/>
    </x:row>
    <x:row r="3631" ht="22" customHeight="1">
      <x:c r="A3631" s="2" t="str">
        <x:v>L00396-050</x:v>
      </x:c>
      <x:c r="B3631" s="2" t="str">
        <x:v>L00396</x:v>
      </x:c>
      <x:c r="C3631" s="2" t="str">
        <x:v>SO-26080</x:v>
      </x:c>
      <x:c r="D3631" s="2" t="str">
        <x:v>S-C-SS</x:v>
      </x:c>
      <x:c r="E3631" s="14" t="n">
        <x:v>15</x:v>
      </x:c>
      <x:c r="F3631" s="2" t="str">
        <x:v>Sensor installation</x:v>
      </x:c>
      <x:c r="G3631" s="9" t="str">
        <x:v>EL-01</x:v>
      </x:c>
      <x:c r="H3631" s="15" t="n">
        <x:v>125</x:v>
      </x:c>
      <x:c r="I3631" s="9" t="str">
        <x:v>P19</x:v>
      </x:c>
      <x:c r="J3631" s="11" t="n">
        <x:v>46314.71666666667</x:v>
      </x:c>
      <x:c r="K3631" s="15" t="n">
        <x:v>8</x:v>
      </x:c>
      <x:c r="L3631" s="15" t="n">
        <x:v>14</x:v>
      </x:c>
      <x:c r="M3631" s="13" t="n">
        <x:f>J3631+(K3631+L3631)/1440</x:f>
        <x:v>46314.731944444444</x:v>
      </x:c>
      <x:c r="N3631" s="13" t="n">
        <x:f>VLOOKUP(C3631,'MES orders'!$A$8:$H$127,5,FALSE)</x:f>
        <x:v>46311.666666666664</x:v>
      </x:c>
      <x:c r="O3631" s="16" t="n">
        <x:f>MAX(0,(M3631-N3631)*24)</x:f>
        <x:v>73.56666666670935</x:v>
      </x:c>
      <x:c r="P3631" s="9" t="str">
        <x:v>No</x:v>
      </x:c>
      <x:c r="Q3631" s="15" t="n">
        <x:v>22</x:v>
      </x:c>
      <x:c r="R3631" s="13" t="n">
        <x:f>J3631+Q3631/1440</x:f>
        <x:v>46314.731944444444</x:v>
      </x:c>
      <x:c r="S3631" s="2" t="str">
        <x:f>VLOOKUP(C3631,'MES orders'!$A$8:$H$127,6,FALSE)</x:f>
        <x:v>Normal</x:v>
      </x:c>
      <x:c r="T3631" s="9" t="str"/>
    </x:row>
    <x:row r="3632" ht="22" customHeight="1">
      <x:c r="A3632" s="2" t="str">
        <x:v>L00278-050</x:v>
      </x:c>
      <x:c r="B3632" s="2" t="str">
        <x:v>L00278</x:v>
      </x:c>
      <x:c r="C3632" s="2" t="str">
        <x:v>SO-26056</x:v>
      </x:c>
      <x:c r="D3632" s="2" t="str">
        <x:v>R-C-SS</x:v>
      </x:c>
      <x:c r="E3632" s="14" t="n">
        <x:v>5</x:v>
      </x:c>
      <x:c r="F3632" s="2" t="str">
        <x:v>Valve adjustment</x:v>
      </x:c>
      <x:c r="G3632" s="9" t="str">
        <x:v>AS-01</x:v>
      </x:c>
      <x:c r="H3632" s="15" t="n">
        <x:v>291</x:v>
      </x:c>
      <x:c r="I3632" s="9" t="str">
        <x:v>P18</x:v>
      </x:c>
      <x:c r="J3632" s="11" t="n">
        <x:v>46314.720138888886</x:v>
      </x:c>
      <x:c r="K3632" s="15" t="n">
        <x:v>6</x:v>
      </x:c>
      <x:c r="L3632" s="15" t="n">
        <x:v>4</x:v>
      </x:c>
      <x:c r="M3632" s="13" t="n">
        <x:f>J3632+(K3632+L3632)/1440</x:f>
        <x:v>46314.72708333333</x:v>
      </x:c>
      <x:c r="N3632" s="13" t="n">
        <x:f>VLOOKUP(C3632,'MES orders'!$A$8:$H$127,5,FALSE)</x:f>
        <x:v>46311.666666666664</x:v>
      </x:c>
      <x:c r="O3632" s="16" t="n">
        <x:f>MAX(0,(M3632-N3632)*24)</x:f>
        <x:v>73.45000000001164</x:v>
      </x:c>
      <x:c r="P3632" s="9" t="str">
        <x:v>No</x:v>
      </x:c>
      <x:c r="Q3632" s="15" t="n">
        <x:v>10</x:v>
      </x:c>
      <x:c r="R3632" s="13" t="n">
        <x:f>J3632+Q3632/1440</x:f>
        <x:v>46314.72708333333</x:v>
      </x:c>
      <x:c r="S3632" s="2" t="str">
        <x:f>VLOOKUP(C3632,'MES orders'!$A$8:$H$127,6,FALSE)</x:f>
        <x:v>Normal</x:v>
      </x:c>
      <x:c r="T3632" s="9" t="str"/>
    </x:row>
    <x:row r="3633" ht="22" customHeight="1">
      <x:c r="A3633" s="2" t="str">
        <x:v>L00239-050</x:v>
      </x:c>
      <x:c r="B3633" s="2" t="str">
        <x:v>L00239</x:v>
      </x:c>
      <x:c r="C3633" s="2" t="str">
        <x:v>SO-26048</x:v>
      </x:c>
      <x:c r="D3633" s="2" t="str">
        <x:v>D-L-SS</x:v>
      </x:c>
      <x:c r="E3633" s="14" t="n">
        <x:v>20</x:v>
      </x:c>
      <x:c r="F3633" s="2" t="str">
        <x:v>Final leak / function test</x:v>
      </x:c>
      <x:c r="G3633" s="9" t="str">
        <x:v>QA-01</x:v>
      </x:c>
      <x:c r="H3633" s="15" t="n">
        <x:v>136</x:v>
      </x:c>
      <x:c r="I3633" s="9" t="str">
        <x:v>P23</x:v>
      </x:c>
      <x:c r="J3633" s="11" t="n">
        <x:v>46314.720138888886</x:v>
      </x:c>
      <x:c r="K3633" s="15" t="n">
        <x:v>10</x:v>
      </x:c>
      <x:c r="L3633" s="15" t="n">
        <x:v>24</x:v>
      </x:c>
      <x:c r="M3633" s="13" t="n">
        <x:f>J3633+(K3633+L3633)/1440</x:f>
        <x:v>46314.743749999994</x:v>
      </x:c>
      <x:c r="N3633" s="13" t="n">
        <x:f>VLOOKUP(C3633,'MES orders'!$A$8:$H$127,5,FALSE)</x:f>
        <x:v>46311.666666666664</x:v>
      </x:c>
      <x:c r="O3633" s="16" t="n">
        <x:f>MAX(0,(M3633-N3633)*24)</x:f>
        <x:v>73.84999999991851</x:v>
      </x:c>
      <x:c r="P3633" s="9" t="str">
        <x:v>No</x:v>
      </x:c>
      <x:c r="Q3633" s="15" t="n">
        <x:v>34</x:v>
      </x:c>
      <x:c r="R3633" s="13" t="n">
        <x:f>J3633+Q3633/1440</x:f>
        <x:v>46314.743749999994</x:v>
      </x:c>
      <x:c r="S3633" s="2" t="str">
        <x:f>VLOOKUP(C3633,'MES orders'!$A$8:$H$127,6,FALSE)</x:f>
        <x:v>Normal</x:v>
      </x:c>
      <x:c r="T3633" s="9" t="str"/>
    </x:row>
    <x:row r="3634" ht="22" customHeight="1">
      <x:c r="A3634" s="2" t="str">
        <x:v>L00400-020</x:v>
      </x:c>
      <x:c r="B3634" s="2" t="str">
        <x:v>L00400</x:v>
      </x:c>
      <x:c r="C3634" s="2" t="str">
        <x:v>SO-26080</x:v>
      </x:c>
      <x:c r="D3634" s="2" t="str">
        <x:v>S-C-SS</x:v>
      </x:c>
      <x:c r="E3634" s="14" t="n">
        <x:v>15</x:v>
      </x:c>
      <x:c r="F3634" s="2" t="str">
        <x:v>Deburr &amp; inspect</x:v>
      </x:c>
      <x:c r="G3634" s="9" t="str">
        <x:v>DB-01</x:v>
      </x:c>
      <x:c r="H3634" s="15" t="n">
        <x:v>342</x:v>
      </x:c>
      <x:c r="I3634" s="9" t="str">
        <x:v>P13</x:v>
      </x:c>
      <x:c r="J3634" s="11" t="n">
        <x:v>46314.72152777778</x:v>
      </x:c>
      <x:c r="K3634" s="15" t="n">
        <x:v>4</x:v>
      </x:c>
      <x:c r="L3634" s="15" t="n">
        <x:v>8</x:v>
      </x:c>
      <x:c r="M3634" s="13" t="n">
        <x:f>J3634+(K3634+L3634)/1440</x:f>
        <x:v>46314.72986111111</x:v>
      </x:c>
      <x:c r="N3634" s="13" t="n">
        <x:f>VLOOKUP(C3634,'MES orders'!$A$8:$H$127,5,FALSE)</x:f>
        <x:v>46311.666666666664</x:v>
      </x:c>
      <x:c r="O3634" s="16" t="n">
        <x:f>MAX(0,(M3634-N3634)*24)</x:f>
        <x:v>73.516666666721</x:v>
      </x:c>
      <x:c r="P3634" s="9" t="str">
        <x:v>No</x:v>
      </x:c>
      <x:c r="Q3634" s="15" t="n">
        <x:v>12</x:v>
      </x:c>
      <x:c r="R3634" s="13" t="n">
        <x:f>J3634+Q3634/1440</x:f>
        <x:v>46314.72986111111</x:v>
      </x:c>
      <x:c r="S3634" s="2" t="str">
        <x:f>VLOOKUP(C3634,'MES orders'!$A$8:$H$127,6,FALSE)</x:f>
        <x:v>Normal</x:v>
      </x:c>
      <x:c r="T3634" s="9" t="str"/>
    </x:row>
    <x:row r="3635" ht="22" customHeight="1">
      <x:c r="A3635" s="2" t="str">
        <x:v>L00436-010</x:v>
      </x:c>
      <x:c r="B3635" s="2" t="str">
        <x:v>L00436</x:v>
      </x:c>
      <x:c r="C3635" s="2" t="str">
        <x:v>SO-26088</x:v>
      </x:c>
      <x:c r="D3635" s="2" t="str">
        <x:v>S-S-SS</x:v>
      </x:c>
      <x:c r="E3635" s="14" t="n">
        <x:v>20</x:v>
      </x:c>
      <x:c r="F3635" s="2" t="str">
        <x:v>CNC machining</x:v>
      </x:c>
      <x:c r="G3635" s="9" t="str">
        <x:v>CNC-03</x:v>
      </x:c>
      <x:c r="H3635" s="15" t="n">
        <x:v>120</x:v>
      </x:c>
      <x:c r="I3635" s="9" t="str">
        <x:v>P14</x:v>
      </x:c>
      <x:c r="J3635" s="11" t="n">
        <x:v>46314.72361111111</x:v>
      </x:c>
      <x:c r="K3635" s="15" t="n">
        <x:v>18</x:v>
      </x:c>
      <x:c r="L3635" s="15" t="n">
        <x:v>60</x:v>
      </x:c>
      <x:c r="M3635" s="13" t="n">
        <x:f>J3635+(K3635+L3635)/1440</x:f>
        <x:v>46314.77777777778</x:v>
      </x:c>
      <x:c r="N3635" s="13" t="n">
        <x:f>VLOOKUP(C3635,'MES orders'!$A$8:$H$127,5,FALSE)</x:f>
        <x:v>46311.666666666664</x:v>
      </x:c>
      <x:c r="O3635" s="16" t="n">
        <x:f>MAX(0,(M3635-N3635)*24)</x:f>
        <x:v>74.66666666680248</x:v>
      </x:c>
      <x:c r="P3635" s="9" t="str">
        <x:v>No</x:v>
      </x:c>
      <x:c r="Q3635" s="15" t="n">
        <x:v>18</x:v>
      </x:c>
      <x:c r="R3635" s="13" t="n">
        <x:f>J3635+Q3635/1440</x:f>
        <x:v>46314.73611111111</x:v>
      </x:c>
      <x:c r="S3635" s="2" t="str">
        <x:f>VLOOKUP(C3635,'MES orders'!$A$8:$H$127,6,FALSE)</x:f>
        <x:v>Normal</x:v>
      </x:c>
      <x:c r="T3635" s="9" t="str"/>
    </x:row>
    <x:row r="3636" ht="22" customHeight="1">
      <x:c r="A3636" s="2" t="str">
        <x:v>L00397-050</x:v>
      </x:c>
      <x:c r="B3636" s="2" t="str">
        <x:v>L00397</x:v>
      </x:c>
      <x:c r="C3636" s="2" t="str">
        <x:v>SO-26080</x:v>
      </x:c>
      <x:c r="D3636" s="2" t="str">
        <x:v>S-C-SS</x:v>
      </x:c>
      <x:c r="E3636" s="14" t="n">
        <x:v>15</x:v>
      </x:c>
      <x:c r="F3636" s="2" t="str">
        <x:v>Sensor installation</x:v>
      </x:c>
      <x:c r="G3636" s="9" t="str">
        <x:v>EL-02</x:v>
      </x:c>
      <x:c r="H3636" s="15" t="n">
        <x:v>62</x:v>
      </x:c>
      <x:c r="I3636" s="9" t="str">
        <x:v>P20</x:v>
      </x:c>
      <x:c r="J3636" s="11" t="n">
        <x:v>46314.72361111111</x:v>
      </x:c>
      <x:c r="K3636" s="15" t="n">
        <x:v>8</x:v>
      </x:c>
      <x:c r="L3636" s="15" t="n">
        <x:v>14</x:v>
      </x:c>
      <x:c r="M3636" s="13" t="n">
        <x:f>J3636+(K3636+L3636)/1440</x:f>
        <x:v>46314.73888888889</x:v>
      </x:c>
      <x:c r="N3636" s="13" t="n">
        <x:f>VLOOKUP(C3636,'MES orders'!$A$8:$H$127,5,FALSE)</x:f>
        <x:v>46311.666666666664</x:v>
      </x:c>
      <x:c r="O3636" s="16" t="n">
        <x:f>MAX(0,(M3636-N3636)*24)</x:f>
        <x:v>73.73333333339542</x:v>
      </x:c>
      <x:c r="P3636" s="9" t="str">
        <x:v>No</x:v>
      </x:c>
      <x:c r="Q3636" s="15" t="n">
        <x:v>22</x:v>
      </x:c>
      <x:c r="R3636" s="13" t="n">
        <x:f>J3636+Q3636/1440</x:f>
        <x:v>46314.73888888889</x:v>
      </x:c>
      <x:c r="S3636" s="2" t="str">
        <x:f>VLOOKUP(C3636,'MES orders'!$A$8:$H$127,6,FALSE)</x:f>
        <x:v>Normal</x:v>
      </x:c>
      <x:c r="T3636" s="9" t="str"/>
    </x:row>
    <x:row r="3637" ht="22" customHeight="1">
      <x:c r="A3637" s="2" t="str">
        <x:v>L00357-040</x:v>
      </x:c>
      <x:c r="B3637" s="2" t="str">
        <x:v>L00357</x:v>
      </x:c>
      <x:c r="C3637" s="2" t="str">
        <x:v>SO-26072</x:v>
      </x:c>
      <x:c r="D3637" s="2" t="str">
        <x:v>R-L-SS</x:v>
      </x:c>
      <x:c r="E3637" s="14" t="n">
        <x:v>5</x:v>
      </x:c>
      <x:c r="F3637" s="2" t="str">
        <x:v>Mechanical assembly</x:v>
      </x:c>
      <x:c r="G3637" s="9" t="str">
        <x:v>AS-03</x:v>
      </x:c>
      <x:c r="H3637" s="15" t="n">
        <x:v>194</x:v>
      </x:c>
      <x:c r="I3637" s="9" t="str">
        <x:v>P18</x:v>
      </x:c>
      <x:c r="J3637" s="11" t="n">
        <x:v>46314.72708333333</x:v>
      </x:c>
      <x:c r="K3637" s="15" t="n">
        <x:v>8</x:v>
      </x:c>
      <x:c r="L3637" s="15" t="n">
        <x:v>12</x:v>
      </x:c>
      <x:c r="M3637" s="13" t="n">
        <x:f>J3637+(K3637+L3637)/1440</x:f>
        <x:v>46314.74097222222</x:v>
      </x:c>
      <x:c r="N3637" s="13" t="n">
        <x:f>VLOOKUP(C3637,'MES orders'!$A$8:$H$127,5,FALSE)</x:f>
        <x:v>46311.666666666664</x:v>
      </x:c>
      <x:c r="O3637" s="16" t="n">
        <x:f>MAX(0,(M3637-N3637)*24)</x:f>
        <x:v>73.78333333338378</x:v>
      </x:c>
      <x:c r="P3637" s="9" t="str">
        <x:v>No</x:v>
      </x:c>
      <x:c r="Q3637" s="15" t="n">
        <x:v>20</x:v>
      </x:c>
      <x:c r="R3637" s="13" t="n">
        <x:f>J3637+Q3637/1440</x:f>
        <x:v>46314.74097222222</x:v>
      </x:c>
      <x:c r="S3637" s="2" t="str">
        <x:f>VLOOKUP(C3637,'MES orders'!$A$8:$H$127,6,FALSE)</x:f>
        <x:v>Normal</x:v>
      </x:c>
      <x:c r="T3637" s="9" t="str"/>
    </x:row>
    <x:row r="3638" ht="22" customHeight="1">
      <x:c r="A3638" s="2" t="str">
        <x:v>L00437-010</x:v>
      </x:c>
      <x:c r="B3638" s="2" t="str">
        <x:v>L00437</x:v>
      </x:c>
      <x:c r="C3638" s="2" t="str">
        <x:v>SO-26088</x:v>
      </x:c>
      <x:c r="D3638" s="2" t="str">
        <x:v>S-S-SS</x:v>
      </x:c>
      <x:c r="E3638" s="14" t="n">
        <x:v>20</x:v>
      </x:c>
      <x:c r="F3638" s="2" t="str">
        <x:v>CNC machining</x:v>
      </x:c>
      <x:c r="G3638" s="9" t="str">
        <x:v>CNC-04</x:v>
      </x:c>
      <x:c r="H3638" s="15" t="n">
        <x:v>115</x:v>
      </x:c>
      <x:c r="I3638" s="9" t="str">
        <x:v>P15</x:v>
      </x:c>
      <x:c r="J3638" s="11" t="n">
        <x:v>46314.72708333333</x:v>
      </x:c>
      <x:c r="K3638" s="15" t="n">
        <x:v>18</x:v>
      </x:c>
      <x:c r="L3638" s="15" t="n">
        <x:v>60</x:v>
      </x:c>
      <x:c r="M3638" s="13" t="n">
        <x:f>J3638+(K3638+L3638)/1440</x:f>
        <x:v>46314.78125</x:v>
      </x:c>
      <x:c r="N3638" s="13" t="n">
        <x:f>VLOOKUP(C3638,'MES orders'!$A$8:$H$127,5,FALSE)</x:f>
        <x:v>46311.666666666664</x:v>
      </x:c>
      <x:c r="O3638" s="16" t="n">
        <x:f>MAX(0,(M3638-N3638)*24)</x:f>
        <x:v>74.75000000005821</x:v>
      </x:c>
      <x:c r="P3638" s="9" t="str">
        <x:v>No</x:v>
      </x:c>
      <x:c r="Q3638" s="15" t="n">
        <x:v>18</x:v>
      </x:c>
      <x:c r="R3638" s="13" t="n">
        <x:f>J3638+Q3638/1440</x:f>
        <x:v>46314.73958333333</x:v>
      </x:c>
      <x:c r="S3638" s="2" t="str">
        <x:f>VLOOKUP(C3638,'MES orders'!$A$8:$H$127,6,FALSE)</x:f>
        <x:v>Normal</x:v>
      </x:c>
      <x:c r="T3638" s="9" t="str"/>
    </x:row>
    <x:row r="3639" ht="22" customHeight="1">
      <x:c r="A3639" s="2" t="str">
        <x:v>L00278-060</x:v>
      </x:c>
      <x:c r="B3639" s="2" t="str">
        <x:v>L00278</x:v>
      </x:c>
      <x:c r="C3639" s="2" t="str">
        <x:v>SO-26056</x:v>
      </x:c>
      <x:c r="D3639" s="2" t="str">
        <x:v>R-C-SS</x:v>
      </x:c>
      <x:c r="E3639" s="14" t="n">
        <x:v>5</x:v>
      </x:c>
      <x:c r="F3639" s="2" t="str">
        <x:v>Final leak / function test</x:v>
      </x:c>
      <x:c r="G3639" s="9" t="str">
        <x:v>QA-02</x:v>
      </x:c>
      <x:c r="H3639" s="15" t="n">
        <x:v>274</x:v>
      </x:c>
      <x:c r="I3639" s="9" t="str">
        <x:v>P24</x:v>
      </x:c>
      <x:c r="J3639" s="11" t="n">
        <x:v>46314.729166666664</x:v>
      </x:c>
      <x:c r="K3639" s="15" t="n">
        <x:v>10</x:v>
      </x:c>
      <x:c r="L3639" s="15" t="n">
        <x:v>4</x:v>
      </x:c>
      <x:c r="M3639" s="13" t="n">
        <x:f>J3639+(K3639+L3639)/1440</x:f>
        <x:v>46314.73888888889</x:v>
      </x:c>
      <x:c r="N3639" s="13" t="n">
        <x:f>VLOOKUP(C3639,'MES orders'!$A$8:$H$127,5,FALSE)</x:f>
        <x:v>46311.666666666664</x:v>
      </x:c>
      <x:c r="O3639" s="16" t="n">
        <x:f>MAX(0,(M3639-N3639)*24)</x:f>
        <x:v>73.73333333339542</x:v>
      </x:c>
      <x:c r="P3639" s="9" t="str">
        <x:v>No</x:v>
      </x:c>
      <x:c r="Q3639" s="15" t="n">
        <x:v>14</x:v>
      </x:c>
      <x:c r="R3639" s="13" t="n">
        <x:f>J3639+Q3639/1440</x:f>
        <x:v>46314.73888888889</x:v>
      </x:c>
      <x:c r="S3639" s="2" t="str">
        <x:f>VLOOKUP(C3639,'MES orders'!$A$8:$H$127,6,FALSE)</x:f>
        <x:v>Normal</x:v>
      </x:c>
      <x:c r="T3639" s="9" t="str"/>
    </x:row>
    <x:row r="3640" ht="22" customHeight="1">
      <x:c r="A3640" s="2" t="str">
        <x:v>L00356-050</x:v>
      </x:c>
      <x:c r="B3640" s="2" t="str">
        <x:v>L00356</x:v>
      </x:c>
      <x:c r="C3640" s="2" t="str">
        <x:v>SO-26072</x:v>
      </x:c>
      <x:c r="D3640" s="2" t="str">
        <x:v>R-L-SS</x:v>
      </x:c>
      <x:c r="E3640" s="14" t="n">
        <x:v>5</x:v>
      </x:c>
      <x:c r="F3640" s="2" t="str">
        <x:v>Valve adjustment</x:v>
      </x:c>
      <x:c r="G3640" s="9" t="str">
        <x:v>AS-01</x:v>
      </x:c>
      <x:c r="H3640" s="15" t="n">
        <x:v>292</x:v>
      </x:c>
      <x:c r="I3640" s="9" t="str">
        <x:v>P17</x:v>
      </x:c>
      <x:c r="J3640" s="11" t="n">
        <x:v>46314.72986111111</x:v>
      </x:c>
      <x:c r="K3640" s="15" t="n">
        <x:v>6</x:v>
      </x:c>
      <x:c r="L3640" s="15" t="n">
        <x:v>7</x:v>
      </x:c>
      <x:c r="M3640" s="13" t="n">
        <x:f>J3640+(K3640+L3640)/1440</x:f>
        <x:v>46314.73888888889</x:v>
      </x:c>
      <x:c r="N3640" s="13" t="n">
        <x:f>VLOOKUP(C3640,'MES orders'!$A$8:$H$127,5,FALSE)</x:f>
        <x:v>46311.666666666664</x:v>
      </x:c>
      <x:c r="O3640" s="16" t="n">
        <x:f>MAX(0,(M3640-N3640)*24)</x:f>
        <x:v>73.73333333339542</x:v>
      </x:c>
      <x:c r="P3640" s="9" t="str">
        <x:v>No</x:v>
      </x:c>
      <x:c r="Q3640" s="15" t="n">
        <x:v>13</x:v>
      </x:c>
      <x:c r="R3640" s="13" t="n">
        <x:f>J3640+Q3640/1440</x:f>
        <x:v>46314.73888888889</x:v>
      </x:c>
      <x:c r="S3640" s="2" t="str">
        <x:f>VLOOKUP(C3640,'MES orders'!$A$8:$H$127,6,FALSE)</x:f>
        <x:v>Normal</x:v>
      </x:c>
      <x:c r="T3640" s="9" t="str"/>
    </x:row>
    <x:row r="3641" ht="22" customHeight="1">
      <x:c r="A3641" s="2" t="str">
        <x:v>L00438-010</x:v>
      </x:c>
      <x:c r="B3641" s="2" t="str">
        <x:v>L00438</x:v>
      </x:c>
      <x:c r="C3641" s="2" t="str">
        <x:v>SO-26088</x:v>
      </x:c>
      <x:c r="D3641" s="2" t="str">
        <x:v>S-S-SS</x:v>
      </x:c>
      <x:c r="E3641" s="14" t="n">
        <x:v>20</x:v>
      </x:c>
      <x:c r="F3641" s="2" t="str">
        <x:v>CNC machining</x:v>
      </x:c>
      <x:c r="G3641" s="9" t="str">
        <x:v>CNC-05</x:v>
      </x:c>
      <x:c r="H3641" s="15" t="n">
        <x:v>103</x:v>
      </x:c>
      <x:c r="I3641" s="9" t="str">
        <x:v>P13</x:v>
      </x:c>
      <x:c r="J3641" s="11" t="n">
        <x:v>46314.72986111111</x:v>
      </x:c>
      <x:c r="K3641" s="15" t="n">
        <x:v>18</x:v>
      </x:c>
      <x:c r="L3641" s="15" t="n">
        <x:v>60</x:v>
      </x:c>
      <x:c r="M3641" s="13" t="n">
        <x:f>J3641+(K3641+L3641)/1440</x:f>
        <x:v>46314.78402777778</x:v>
      </x:c>
      <x:c r="N3641" s="13" t="n">
        <x:f>VLOOKUP(C3641,'MES orders'!$A$8:$H$127,5,FALSE)</x:f>
        <x:v>46311.666666666664</x:v>
      </x:c>
      <x:c r="O3641" s="16" t="n">
        <x:f>MAX(0,(M3641-N3641)*24)</x:f>
        <x:v>74.81666666676756</x:v>
      </x:c>
      <x:c r="P3641" s="9" t="str">
        <x:v>No</x:v>
      </x:c>
      <x:c r="Q3641" s="15" t="n">
        <x:v>18</x:v>
      </x:c>
      <x:c r="R3641" s="13" t="n">
        <x:f>J3641+Q3641/1440</x:f>
        <x:v>46314.74236111111</x:v>
      </x:c>
      <x:c r="S3641" s="2" t="str">
        <x:f>VLOOKUP(C3641,'MES orders'!$A$8:$H$127,6,FALSE)</x:f>
        <x:v>Normal</x:v>
      </x:c>
      <x:c r="T3641" s="9" t="str"/>
    </x:row>
    <x:row r="3642" ht="22" customHeight="1">
      <x:c r="A3642" s="2" t="str">
        <x:v>L00358-030</x:v>
      </x:c>
      <x:c r="B3642" s="2" t="str">
        <x:v>L00358</x:v>
      </x:c>
      <x:c r="C3642" s="2" t="str">
        <x:v>SO-26072</x:v>
      </x:c>
      <x:c r="D3642" s="2" t="str">
        <x:v>R-L-SS</x:v>
      </x:c>
      <x:c r="E3642" s="14" t="n">
        <x:v>5</x:v>
      </x:c>
      <x:c r="F3642" s="2" t="str">
        <x:v>Wash &amp; dry</x:v>
      </x:c>
      <x:c r="G3642" s="9" t="str">
        <x:v>WS-01</x:v>
      </x:c>
      <x:c r="H3642" s="15" t="n">
        <x:v>335</x:v>
      </x:c>
      <x:c r="I3642" s="9" t="str">
        <x:v>P16</x:v>
      </x:c>
      <x:c r="J3642" s="11" t="n">
        <x:v>46314.72986111111</x:v>
      </x:c>
      <x:c r="K3642" s="15" t="n">
        <x:v>12</x:v>
      </x:c>
      <x:c r="L3642" s="15" t="n">
        <x:v>2</x:v>
      </x:c>
      <x:c r="M3642" s="13" t="n">
        <x:f>J3642+(K3642+L3642)/1440</x:f>
        <x:v>46314.739583333336</x:v>
      </x:c>
      <x:c r="N3642" s="13" t="n">
        <x:f>VLOOKUP(C3642,'MES orders'!$A$8:$H$127,5,FALSE)</x:f>
        <x:v>46311.666666666664</x:v>
      </x:c>
      <x:c r="O3642" s="16" t="n">
        <x:f>MAX(0,(M3642-N3642)*24)</x:f>
        <x:v>73.75000000011642</x:v>
      </x:c>
      <x:c r="P3642" s="9" t="str">
        <x:v>No</x:v>
      </x:c>
      <x:c r="Q3642" s="15" t="n">
        <x:v>14</x:v>
      </x:c>
      <x:c r="R3642" s="13" t="n">
        <x:f>J3642+Q3642/1440</x:f>
        <x:v>46314.739583333336</x:v>
      </x:c>
      <x:c r="S3642" s="2" t="str">
        <x:f>VLOOKUP(C3642,'MES orders'!$A$8:$H$127,6,FALSE)</x:f>
        <x:v>Normal</x:v>
      </x:c>
      <x:c r="T3642" s="9" t="str"/>
    </x:row>
    <x:row r="3643" ht="22" customHeight="1">
      <x:c r="A3643" s="2" t="str">
        <x:v>L00396-060</x:v>
      </x:c>
      <x:c r="B3643" s="2" t="str">
        <x:v>L00396</x:v>
      </x:c>
      <x:c r="C3643" s="2" t="str">
        <x:v>SO-26080</x:v>
      </x:c>
      <x:c r="D3643" s="2" t="str">
        <x:v>S-C-SS</x:v>
      </x:c>
      <x:c r="E3643" s="14" t="n">
        <x:v>15</x:v>
      </x:c>
      <x:c r="F3643" s="2" t="str">
        <x:v>Sensor calibration</x:v>
      </x:c>
      <x:c r="G3643" s="9" t="str">
        <x:v>CAL-01</x:v>
      </x:c>
      <x:c r="H3643" s="15" t="n">
        <x:v>186</x:v>
      </x:c>
      <x:c r="I3643" s="9" t="str">
        <x:v>P21</x:v>
      </x:c>
      <x:c r="J3643" s="11" t="n">
        <x:v>46314.731944444444</x:v>
      </x:c>
      <x:c r="K3643" s="15" t="n">
        <x:v>10</x:v>
      </x:c>
      <x:c r="L3643" s="15" t="n">
        <x:v>16</x:v>
      </x:c>
      <x:c r="M3643" s="13" t="n">
        <x:f>J3643+(K3643+L3643)/1440</x:f>
        <x:v>46314.75</x:v>
      </x:c>
      <x:c r="N3643" s="13" t="n">
        <x:f>VLOOKUP(C3643,'MES orders'!$A$8:$H$127,5,FALSE)</x:f>
        <x:v>46311.666666666664</x:v>
      </x:c>
      <x:c r="O3643" s="16" t="n">
        <x:f>MAX(0,(M3643-N3643)*24)</x:f>
        <x:v>74.00000000005821</x:v>
      </x:c>
      <x:c r="P3643" s="9" t="str">
        <x:v>No</x:v>
      </x:c>
      <x:c r="Q3643" s="15" t="n">
        <x:v>26</x:v>
      </x:c>
      <x:c r="R3643" s="13" t="n">
        <x:f>J3643+Q3643/1440</x:f>
        <x:v>46314.75</x:v>
      </x:c>
      <x:c r="S3643" s="2" t="str">
        <x:f>VLOOKUP(C3643,'MES orders'!$A$8:$H$127,6,FALSE)</x:f>
        <x:v>Normal</x:v>
      </x:c>
      <x:c r="T3643" s="9" t="str"/>
    </x:row>
    <x:row r="3644" ht="22" customHeight="1">
      <x:c r="A3644" s="2" t="str">
        <x:v>L00439-010</x:v>
      </x:c>
      <x:c r="B3644" s="2" t="str">
        <x:v>L00439</x:v>
      </x:c>
      <x:c r="C3644" s="2" t="str">
        <x:v>SO-26088</x:v>
      </x:c>
      <x:c r="D3644" s="2" t="str">
        <x:v>S-S-SS</x:v>
      </x:c>
      <x:c r="E3644" s="14" t="n">
        <x:v>20</x:v>
      </x:c>
      <x:c r="F3644" s="2" t="str">
        <x:v>CNC machining</x:v>
      </x:c>
      <x:c r="G3644" s="9" t="str">
        <x:v>CNC-06</x:v>
      </x:c>
      <x:c r="H3644" s="15" t="n">
        <x:v>94</x:v>
      </x:c>
      <x:c r="I3644" s="9" t="str">
        <x:v>P14</x:v>
      </x:c>
      <x:c r="J3644" s="11" t="n">
        <x:v>46314.73611111111</x:v>
      </x:c>
      <x:c r="K3644" s="15" t="n">
        <x:v>18</x:v>
      </x:c>
      <x:c r="L3644" s="15" t="n">
        <x:v>60</x:v>
      </x:c>
      <x:c r="M3644" s="13" t="n">
        <x:f>J3644+(K3644+L3644)/1440</x:f>
        <x:v>46314.79027777778</x:v>
      </x:c>
      <x:c r="N3644" s="13" t="n">
        <x:f>VLOOKUP(C3644,'MES orders'!$A$8:$H$127,5,FALSE)</x:f>
        <x:v>46311.666666666664</x:v>
      </x:c>
      <x:c r="O3644" s="16" t="n">
        <x:f>MAX(0,(M3644-N3644)*24)</x:f>
        <x:v>74.96666666673264</x:v>
      </x:c>
      <x:c r="P3644" s="9" t="str">
        <x:v>No</x:v>
      </x:c>
      <x:c r="Q3644" s="15" t="n">
        <x:v>18</x:v>
      </x:c>
      <x:c r="R3644" s="13" t="n">
        <x:f>J3644+Q3644/1440</x:f>
        <x:v>46314.74861111111</x:v>
      </x:c>
      <x:c r="S3644" s="2" t="str">
        <x:f>VLOOKUP(C3644,'MES orders'!$A$8:$H$127,6,FALSE)</x:f>
        <x:v>Normal</x:v>
      </x:c>
      <x:c r="T3644" s="9" t="str"/>
    </x:row>
    <x:row r="3645" ht="22" customHeight="1">
      <x:c r="A3645" s="2" t="str">
        <x:v>L00356-060</x:v>
      </x:c>
      <x:c r="B3645" s="2" t="str">
        <x:v>L00356</x:v>
      </x:c>
      <x:c r="C3645" s="2" t="str">
        <x:v>SO-26072</x:v>
      </x:c>
      <x:c r="D3645" s="2" t="str">
        <x:v>R-L-SS</x:v>
      </x:c>
      <x:c r="E3645" s="14" t="n">
        <x:v>5</x:v>
      </x:c>
      <x:c r="F3645" s="2" t="str">
        <x:v>Final leak / function test</x:v>
      </x:c>
      <x:c r="G3645" s="9" t="str">
        <x:v>QA-02</x:v>
      </x:c>
      <x:c r="H3645" s="15" t="n">
        <x:v>275</x:v>
      </x:c>
      <x:c r="I3645" s="9" t="str">
        <x:v>P24</x:v>
      </x:c>
      <x:c r="J3645" s="11" t="n">
        <x:v>46314.73888888889</x:v>
      </x:c>
      <x:c r="K3645" s="15" t="n">
        <x:v>10</x:v>
      </x:c>
      <x:c r="L3645" s="15" t="n">
        <x:v>6</x:v>
      </x:c>
      <x:c r="M3645" s="13" t="n">
        <x:f>J3645+(K3645+L3645)/1440</x:f>
        <x:v>46314.75</x:v>
      </x:c>
      <x:c r="N3645" s="13" t="n">
        <x:f>VLOOKUP(C3645,'MES orders'!$A$8:$H$127,5,FALSE)</x:f>
        <x:v>46311.666666666664</x:v>
      </x:c>
      <x:c r="O3645" s="16" t="n">
        <x:f>MAX(0,(M3645-N3645)*24)</x:f>
        <x:v>74.00000000005821</x:v>
      </x:c>
      <x:c r="P3645" s="9" t="str">
        <x:v>No</x:v>
      </x:c>
      <x:c r="Q3645" s="15" t="n">
        <x:v>16</x:v>
      </x:c>
      <x:c r="R3645" s="13" t="n">
        <x:f>J3645+Q3645/1440</x:f>
        <x:v>46314.75</x:v>
      </x:c>
      <x:c r="S3645" s="2" t="str">
        <x:f>VLOOKUP(C3645,'MES orders'!$A$8:$H$127,6,FALSE)</x:f>
        <x:v>Normal</x:v>
      </x:c>
      <x:c r="T3645" s="9" t="str"/>
    </x:row>
    <x:row r="3646" ht="22" customHeight="1">
      <x:c r="A3646" s="2" t="str">
        <x:v>L00359-030</x:v>
      </x:c>
      <x:c r="B3646" s="2" t="str">
        <x:v>L00359</x:v>
      </x:c>
      <x:c r="C3646" s="2" t="str">
        <x:v>SO-26072</x:v>
      </x:c>
      <x:c r="D3646" s="2" t="str">
        <x:v>R-L-SS</x:v>
      </x:c>
      <x:c r="E3646" s="14" t="n">
        <x:v>5</x:v>
      </x:c>
      <x:c r="F3646" s="2" t="str">
        <x:v>Wash &amp; dry</x:v>
      </x:c>
      <x:c r="G3646" s="9" t="str">
        <x:v>WS-01</x:v>
      </x:c>
      <x:c r="H3646" s="15" t="n">
        <x:v>336</x:v>
      </x:c>
      <x:c r="I3646" s="9" t="str">
        <x:v>P16</x:v>
      </x:c>
      <x:c r="J3646" s="11" t="n">
        <x:v>46314.739583333336</x:v>
      </x:c>
      <x:c r="K3646" s="15" t="n">
        <x:v>12</x:v>
      </x:c>
      <x:c r="L3646" s="15" t="n">
        <x:v>2</x:v>
      </x:c>
      <x:c r="M3646" s="13" t="n">
        <x:f>J3646+(K3646+L3646)/1440</x:f>
        <x:v>46314.74930555556</x:v>
      </x:c>
      <x:c r="N3646" s="13" t="n">
        <x:f>VLOOKUP(C3646,'MES orders'!$A$8:$H$127,5,FALSE)</x:f>
        <x:v>46311.666666666664</x:v>
      </x:c>
      <x:c r="O3646" s="16" t="n">
        <x:f>MAX(0,(M3646-N3646)*24)</x:f>
        <x:v>73.98333333351184</x:v>
      </x:c>
      <x:c r="P3646" s="9" t="str">
        <x:v>No</x:v>
      </x:c>
      <x:c r="Q3646" s="15" t="n">
        <x:v>14</x:v>
      </x:c>
      <x:c r="R3646" s="13" t="n">
        <x:f>J3646+Q3646/1440</x:f>
        <x:v>46314.74930555556</x:v>
      </x:c>
      <x:c r="S3646" s="2" t="str">
        <x:f>VLOOKUP(C3646,'MES orders'!$A$8:$H$127,6,FALSE)</x:f>
        <x:v>Normal</x:v>
      </x:c>
      <x:c r="T3646" s="9" t="str"/>
    </x:row>
    <x:row r="3647" ht="22" customHeight="1">
      <x:c r="A3647" s="2" t="str">
        <x:v>L00357-050</x:v>
      </x:c>
      <x:c r="B3647" s="2" t="str">
        <x:v>L00357</x:v>
      </x:c>
      <x:c r="C3647" s="2" t="str">
        <x:v>SO-26072</x:v>
      </x:c>
      <x:c r="D3647" s="2" t="str">
        <x:v>R-L-SS</x:v>
      </x:c>
      <x:c r="E3647" s="14" t="n">
        <x:v>5</x:v>
      </x:c>
      <x:c r="F3647" s="2" t="str">
        <x:v>Valve adjustment</x:v>
      </x:c>
      <x:c r="G3647" s="9" t="str">
        <x:v>AS-01</x:v>
      </x:c>
      <x:c r="H3647" s="15" t="n">
        <x:v>293</x:v>
      </x:c>
      <x:c r="I3647" s="9" t="str">
        <x:v>P17</x:v>
      </x:c>
      <x:c r="J3647" s="11" t="n">
        <x:v>46314.74097222222</x:v>
      </x:c>
      <x:c r="K3647" s="15" t="n">
        <x:v>6</x:v>
      </x:c>
      <x:c r="L3647" s="15" t="n">
        <x:v>7</x:v>
      </x:c>
      <x:c r="M3647" s="13" t="n">
        <x:f>J3647+(K3647+L3647)/1440</x:f>
        <x:v>46314.75</x:v>
      </x:c>
      <x:c r="N3647" s="13" t="n">
        <x:f>VLOOKUP(C3647,'MES orders'!$A$8:$H$127,5,FALSE)</x:f>
        <x:v>46311.666666666664</x:v>
      </x:c>
      <x:c r="O3647" s="16" t="n">
        <x:f>MAX(0,(M3647-N3647)*24)</x:f>
        <x:v>74.00000000005821</x:v>
      </x:c>
      <x:c r="P3647" s="9" t="str">
        <x:v>No</x:v>
      </x:c>
      <x:c r="Q3647" s="15" t="n">
        <x:v>13</x:v>
      </x:c>
      <x:c r="R3647" s="13" t="n">
        <x:f>J3647+Q3647/1440</x:f>
        <x:v>46314.75</x:v>
      </x:c>
      <x:c r="S3647" s="2" t="str">
        <x:f>VLOOKUP(C3647,'MES orders'!$A$8:$H$127,6,FALSE)</x:f>
        <x:v>Normal</x:v>
      </x:c>
      <x:c r="T3647" s="9" t="str"/>
    </x:row>
    <x:row r="3648" ht="22" customHeight="1">
      <x:c r="A3648" s="2" t="str">
        <x:v>L00360-020</x:v>
      </x:c>
      <x:c r="B3648" s="2" t="str">
        <x:v>L00360</x:v>
      </x:c>
      <x:c r="C3648" s="2" t="str">
        <x:v>SO-26072</x:v>
      </x:c>
      <x:c r="D3648" s="2" t="str">
        <x:v>R-L-SS</x:v>
      </x:c>
      <x:c r="E3648" s="14" t="n">
        <x:v>5</x:v>
      </x:c>
      <x:c r="F3648" s="2" t="str">
        <x:v>Deburr &amp; inspect</x:v>
      </x:c>
      <x:c r="G3648" s="9" t="str">
        <x:v>DB-01</x:v>
      </x:c>
      <x:c r="H3648" s="15" t="n">
        <x:v>343</x:v>
      </x:c>
      <x:c r="I3648" s="9" t="str">
        <x:v>P18</x:v>
      </x:c>
      <x:c r="J3648" s="11" t="n">
        <x:v>46314.74097222222</x:v>
      </x:c>
      <x:c r="K3648" s="15" t="n">
        <x:v>4</x:v>
      </x:c>
      <x:c r="L3648" s="15" t="n">
        <x:v>5</x:v>
      </x:c>
      <x:c r="M3648" s="13" t="n">
        <x:f>J3648+(K3648+L3648)/1440</x:f>
        <x:v>46314.74722222222</x:v>
      </x:c>
      <x:c r="N3648" s="13" t="n">
        <x:f>VLOOKUP(C3648,'MES orders'!$A$8:$H$127,5,FALSE)</x:f>
        <x:v>46311.666666666664</x:v>
      </x:c>
      <x:c r="O3648" s="16" t="n">
        <x:f>MAX(0,(M3648-N3648)*24)</x:f>
        <x:v>73.93333333334886</x:v>
      </x:c>
      <x:c r="P3648" s="9" t="str">
        <x:v>No</x:v>
      </x:c>
      <x:c r="Q3648" s="15" t="n">
        <x:v>9</x:v>
      </x:c>
      <x:c r="R3648" s="13" t="n">
        <x:f>J3648+Q3648/1440</x:f>
        <x:v>46314.74722222222</x:v>
      </x:c>
      <x:c r="S3648" s="2" t="str">
        <x:f>VLOOKUP(C3648,'MES orders'!$A$8:$H$127,6,FALSE)</x:f>
        <x:v>Normal</x:v>
      </x:c>
      <x:c r="T3648" s="9" t="str"/>
    </x:row>
    <x:row r="3649" ht="22" customHeight="1">
      <x:c r="A3649" s="2" t="str">
        <x:v>L00358-040</x:v>
      </x:c>
      <x:c r="B3649" s="2" t="str">
        <x:v>L00358</x:v>
      </x:c>
      <x:c r="C3649" s="2" t="str">
        <x:v>SO-26072</x:v>
      </x:c>
      <x:c r="D3649" s="2" t="str">
        <x:v>R-L-SS</x:v>
      </x:c>
      <x:c r="E3649" s="14" t="n">
        <x:v>5</x:v>
      </x:c>
      <x:c r="F3649" s="2" t="str">
        <x:v>Mechanical assembly</x:v>
      </x:c>
      <x:c r="G3649" s="9" t="str">
        <x:v>AS-01</x:v>
      </x:c>
      <x:c r="H3649" s="15" t="n">
        <x:v>294</x:v>
      </x:c>
      <x:c r="I3649" s="9" t="str">
        <x:v>P16</x:v>
      </x:c>
      <x:c r="J3649" s="11" t="n">
        <x:v>46314.770833333336</x:v>
      </x:c>
      <x:c r="K3649" s="15" t="n">
        <x:v>8</x:v>
      </x:c>
      <x:c r="L3649" s="15" t="n">
        <x:v>12</x:v>
      </x:c>
      <x:c r="M3649" s="13" t="n">
        <x:f>J3649+(K3649+L3649)/1440</x:f>
        <x:v>46314.784722222226</x:v>
      </x:c>
      <x:c r="N3649" s="13" t="n">
        <x:f>VLOOKUP(C3649,'MES orders'!$A$8:$H$127,5,FALSE)</x:f>
        <x:v>46311.666666666664</x:v>
      </x:c>
      <x:c r="O3649" s="16" t="n">
        <x:f>MAX(0,(M3649-N3649)*24)</x:f>
        <x:v>74.83333333348855</x:v>
      </x:c>
      <x:c r="P3649" s="9" t="str">
        <x:v>No</x:v>
      </x:c>
      <x:c r="Q3649" s="15" t="n">
        <x:v>20</x:v>
      </x:c>
      <x:c r="R3649" s="13" t="n">
        <x:f>J3649+Q3649/1440</x:f>
        <x:v>46314.784722222226</x:v>
      </x:c>
      <x:c r="S3649" s="2" t="str">
        <x:f>VLOOKUP(C3649,'MES orders'!$A$8:$H$127,6,FALSE)</x:f>
        <x:v>Normal</x:v>
      </x:c>
      <x:c r="T3649" s="9" t="str"/>
    </x:row>
    <x:row r="3650" ht="22" customHeight="1">
      <x:c r="A3650" s="2" t="str">
        <x:v>L00359-040</x:v>
      </x:c>
      <x:c r="B3650" s="2" t="str">
        <x:v>L00359</x:v>
      </x:c>
      <x:c r="C3650" s="2" t="str">
        <x:v>SO-26072</x:v>
      </x:c>
      <x:c r="D3650" s="2" t="str">
        <x:v>R-L-SS</x:v>
      </x:c>
      <x:c r="E3650" s="14" t="n">
        <x:v>5</x:v>
      </x:c>
      <x:c r="F3650" s="2" t="str">
        <x:v>Mechanical assembly</x:v>
      </x:c>
      <x:c r="G3650" s="9" t="str">
        <x:v>AS-02</x:v>
      </x:c>
      <x:c r="H3650" s="15" t="n">
        <x:v>239</x:v>
      </x:c>
      <x:c r="I3650" s="9" t="str">
        <x:v>P17</x:v>
      </x:c>
      <x:c r="J3650" s="11" t="n">
        <x:v>46314.770833333336</x:v>
      </x:c>
      <x:c r="K3650" s="15" t="n">
        <x:v>8</x:v>
      </x:c>
      <x:c r="L3650" s="15" t="n">
        <x:v>12</x:v>
      </x:c>
      <x:c r="M3650" s="13" t="n">
        <x:f>J3650+(K3650+L3650)/1440</x:f>
        <x:v>46314.784722222226</x:v>
      </x:c>
      <x:c r="N3650" s="13" t="n">
        <x:f>VLOOKUP(C3650,'MES orders'!$A$8:$H$127,5,FALSE)</x:f>
        <x:v>46311.666666666664</x:v>
      </x:c>
      <x:c r="O3650" s="16" t="n">
        <x:f>MAX(0,(M3650-N3650)*24)</x:f>
        <x:v>74.83333333348855</x:v>
      </x:c>
      <x:c r="P3650" s="9" t="str">
        <x:v>No</x:v>
      </x:c>
      <x:c r="Q3650" s="15" t="n">
        <x:v>20</x:v>
      </x:c>
      <x:c r="R3650" s="13" t="n">
        <x:f>J3650+Q3650/1440</x:f>
        <x:v>46314.784722222226</x:v>
      </x:c>
      <x:c r="S3650" s="2" t="str">
        <x:f>VLOOKUP(C3650,'MES orders'!$A$8:$H$127,6,FALSE)</x:f>
        <x:v>Normal</x:v>
      </x:c>
      <x:c r="T3650" s="9" t="str"/>
    </x:row>
    <x:row r="3651" ht="22" customHeight="1">
      <x:c r="A3651" s="2" t="str">
        <x:v>L00397-060</x:v>
      </x:c>
      <x:c r="B3651" s="2" t="str">
        <x:v>L00397</x:v>
      </x:c>
      <x:c r="C3651" s="2" t="str">
        <x:v>SO-26080</x:v>
      </x:c>
      <x:c r="D3651" s="2" t="str">
        <x:v>S-C-SS</x:v>
      </x:c>
      <x:c r="E3651" s="14" t="n">
        <x:v>15</x:v>
      </x:c>
      <x:c r="F3651" s="2" t="str">
        <x:v>Sensor calibration</x:v>
      </x:c>
      <x:c r="G3651" s="9" t="str">
        <x:v>CAL-01</x:v>
      </x:c>
      <x:c r="H3651" s="15" t="n">
        <x:v>187</x:v>
      </x:c>
      <x:c r="I3651" s="9" t="str">
        <x:v>P21</x:v>
      </x:c>
      <x:c r="J3651" s="11" t="n">
        <x:v>46314.770833333336</x:v>
      </x:c>
      <x:c r="K3651" s="15" t="n">
        <x:v>10</x:v>
      </x:c>
      <x:c r="L3651" s="15" t="n">
        <x:v>16</x:v>
      </x:c>
      <x:c r="M3651" s="13" t="n">
        <x:f>J3651+(K3651+L3651)/1440</x:f>
        <x:v>46314.78888888889</x:v>
      </x:c>
      <x:c r="N3651" s="13" t="n">
        <x:f>VLOOKUP(C3651,'MES orders'!$A$8:$H$127,5,FALSE)</x:f>
        <x:v>46311.666666666664</x:v>
      </x:c>
      <x:c r="O3651" s="16" t="n">
        <x:f>MAX(0,(M3651-N3651)*24)</x:f>
        <x:v>74.93333333346527</x:v>
      </x:c>
      <x:c r="P3651" s="9" t="str">
        <x:v>No</x:v>
      </x:c>
      <x:c r="Q3651" s="15" t="n">
        <x:v>26</x:v>
      </x:c>
      <x:c r="R3651" s="13" t="n">
        <x:f>J3651+Q3651/1440</x:f>
        <x:v>46314.78888888889</x:v>
      </x:c>
      <x:c r="S3651" s="2" t="str">
        <x:f>VLOOKUP(C3651,'MES orders'!$A$8:$H$127,6,FALSE)</x:f>
        <x:v>Normal</x:v>
      </x:c>
      <x:c r="T3651" s="9" t="str"/>
    </x:row>
    <x:row r="3652" ht="22" customHeight="1">
      <x:c r="A3652" s="2" t="str">
        <x:v>L00240-050</x:v>
      </x:c>
      <x:c r="B3652" s="2" t="str">
        <x:v>L00240</x:v>
      </x:c>
      <x:c r="C3652" s="2" t="str">
        <x:v>SO-26048</x:v>
      </x:c>
      <x:c r="D3652" s="2" t="str">
        <x:v>D-L-SS</x:v>
      </x:c>
      <x:c r="E3652" s="14" t="n">
        <x:v>20</x:v>
      </x:c>
      <x:c r="F3652" s="2" t="str">
        <x:v>Final leak / function test</x:v>
      </x:c>
      <x:c r="G3652" s="9" t="str">
        <x:v>QA-01</x:v>
      </x:c>
      <x:c r="H3652" s="15" t="n">
        <x:v>137</x:v>
      </x:c>
      <x:c r="I3652" s="9" t="str">
        <x:v>P23</x:v>
      </x:c>
      <x:c r="J3652" s="11" t="n">
        <x:v>46314.770833333336</x:v>
      </x:c>
      <x:c r="K3652" s="15" t="n">
        <x:v>10</x:v>
      </x:c>
      <x:c r="L3652" s="15" t="n">
        <x:v>24</x:v>
      </x:c>
      <x:c r="M3652" s="13" t="n">
        <x:f>J3652+(K3652+L3652)/1440</x:f>
        <x:v>46314.794444444444</x:v>
      </x:c>
      <x:c r="N3652" s="13" t="n">
        <x:f>VLOOKUP(C3652,'MES orders'!$A$8:$H$127,5,FALSE)</x:f>
        <x:v>46311.666666666664</x:v>
      </x:c>
      <x:c r="O3652" s="16" t="n">
        <x:f>MAX(0,(M3652-N3652)*24)</x:f>
        <x:v>75.06666666670935</x:v>
      </x:c>
      <x:c r="P3652" s="9" t="str">
        <x:v>No</x:v>
      </x:c>
      <x:c r="Q3652" s="15" t="n">
        <x:v>34</x:v>
      </x:c>
      <x:c r="R3652" s="13" t="n">
        <x:f>J3652+Q3652/1440</x:f>
        <x:v>46314.794444444444</x:v>
      </x:c>
      <x:c r="S3652" s="2" t="str">
        <x:f>VLOOKUP(C3652,'MES orders'!$A$8:$H$127,6,FALSE)</x:f>
        <x:v>Normal</x:v>
      </x:c>
      <x:c r="T3652" s="9" t="str"/>
    </x:row>
    <x:row r="3653" ht="22" customHeight="1">
      <x:c r="A3653" s="2" t="str">
        <x:v>L00357-060</x:v>
      </x:c>
      <x:c r="B3653" s="2" t="str">
        <x:v>L00357</x:v>
      </x:c>
      <x:c r="C3653" s="2" t="str">
        <x:v>SO-26072</x:v>
      </x:c>
      <x:c r="D3653" s="2" t="str">
        <x:v>R-L-SS</x:v>
      </x:c>
      <x:c r="E3653" s="14" t="n">
        <x:v>5</x:v>
      </x:c>
      <x:c r="F3653" s="2" t="str">
        <x:v>Final leak / function test</x:v>
      </x:c>
      <x:c r="G3653" s="9" t="str">
        <x:v>QA-02</x:v>
      </x:c>
      <x:c r="H3653" s="15" t="n">
        <x:v>276</x:v>
      </x:c>
      <x:c r="I3653" s="9" t="str">
        <x:v>P24</x:v>
      </x:c>
      <x:c r="J3653" s="11" t="n">
        <x:v>46314.770833333336</x:v>
      </x:c>
      <x:c r="K3653" s="15" t="n">
        <x:v>10</x:v>
      </x:c>
      <x:c r="L3653" s="15" t="n">
        <x:v>6</x:v>
      </x:c>
      <x:c r="M3653" s="13" t="n">
        <x:f>J3653+(K3653+L3653)/1440</x:f>
        <x:v>46314.78194444445</x:v>
      </x:c>
      <x:c r="N3653" s="13" t="n">
        <x:f>VLOOKUP(C3653,'MES orders'!$A$8:$H$127,5,FALSE)</x:f>
        <x:v>46311.666666666664</x:v>
      </x:c>
      <x:c r="O3653" s="16" t="n">
        <x:f>MAX(0,(M3653-N3653)*24)</x:f>
        <x:v>74.7666666667792</x:v>
      </x:c>
      <x:c r="P3653" s="9" t="str">
        <x:v>No</x:v>
      </x:c>
      <x:c r="Q3653" s="15" t="n">
        <x:v>16</x:v>
      </x:c>
      <x:c r="R3653" s="13" t="n">
        <x:f>J3653+Q3653/1440</x:f>
        <x:v>46314.78194444445</x:v>
      </x:c>
      <x:c r="S3653" s="2" t="str">
        <x:f>VLOOKUP(C3653,'MES orders'!$A$8:$H$127,6,FALSE)</x:f>
        <x:v>Normal</x:v>
      </x:c>
      <x:c r="T3653" s="9" t="str"/>
    </x:row>
    <x:row r="3654" ht="22" customHeight="1">
      <x:c r="A3654" s="2" t="str">
        <x:v>L00360-030</x:v>
      </x:c>
      <x:c r="B3654" s="2" t="str">
        <x:v>L00360</x:v>
      </x:c>
      <x:c r="C3654" s="2" t="str">
        <x:v>SO-26072</x:v>
      </x:c>
      <x:c r="D3654" s="2" t="str">
        <x:v>R-L-SS</x:v>
      </x:c>
      <x:c r="E3654" s="14" t="n">
        <x:v>5</x:v>
      </x:c>
      <x:c r="F3654" s="2" t="str">
        <x:v>Wash &amp; dry</x:v>
      </x:c>
      <x:c r="G3654" s="9" t="str">
        <x:v>WS-01</x:v>
      </x:c>
      <x:c r="H3654" s="15" t="n">
        <x:v>337</x:v>
      </x:c>
      <x:c r="I3654" s="9" t="str">
        <x:v>P18</x:v>
      </x:c>
      <x:c r="J3654" s="11" t="n">
        <x:v>46314.770833333336</x:v>
      </x:c>
      <x:c r="K3654" s="15" t="n">
        <x:v>12</x:v>
      </x:c>
      <x:c r="L3654" s="15" t="n">
        <x:v>2</x:v>
      </x:c>
      <x:c r="M3654" s="13" t="n">
        <x:f>J3654+(K3654+L3654)/1440</x:f>
        <x:v>46314.78055555556</x:v>
      </x:c>
      <x:c r="N3654" s="13" t="n">
        <x:f>VLOOKUP(C3654,'MES orders'!$A$8:$H$127,5,FALSE)</x:f>
        <x:v>46311.666666666664</x:v>
      </x:c>
      <x:c r="O3654" s="16" t="n">
        <x:f>MAX(0,(M3654-N3654)*24)</x:f>
        <x:v>74.73333333351184</x:v>
      </x:c>
      <x:c r="P3654" s="9" t="str">
        <x:v>No</x:v>
      </x:c>
      <x:c r="Q3654" s="15" t="n">
        <x:v>14</x:v>
      </x:c>
      <x:c r="R3654" s="13" t="n">
        <x:f>J3654+Q3654/1440</x:f>
        <x:v>46314.78055555556</x:v>
      </x:c>
      <x:c r="S3654" s="2" t="str">
        <x:f>VLOOKUP(C3654,'MES orders'!$A$8:$H$127,6,FALSE)</x:f>
        <x:v>Normal</x:v>
      </x:c>
      <x:c r="T3654" s="9" t="str"/>
    </x:row>
    <x:row r="3655" ht="22" customHeight="1">
      <x:c r="A3655" s="2" t="str">
        <x:v>L00440-010</x:v>
      </x:c>
      <x:c r="B3655" s="2" t="str">
        <x:v>L00440</x:v>
      </x:c>
      <x:c r="C3655" s="2" t="str">
        <x:v>SO-26088</x:v>
      </x:c>
      <x:c r="D3655" s="2" t="str">
        <x:v>S-S-SS</x:v>
      </x:c>
      <x:c r="E3655" s="14" t="n">
        <x:v>20</x:v>
      </x:c>
      <x:c r="F3655" s="2" t="str">
        <x:v>CNC machining</x:v>
      </x:c>
      <x:c r="G3655" s="9" t="str">
        <x:v>CNC-03</x:v>
      </x:c>
      <x:c r="H3655" s="15" t="n">
        <x:v>121</x:v>
      </x:c>
      <x:c r="I3655" s="9" t="str">
        <x:v>P13</x:v>
      </x:c>
      <x:c r="J3655" s="11" t="n">
        <x:v>46314.77777777778</x:v>
      </x:c>
      <x:c r="K3655" s="15" t="n">
        <x:v>18</x:v>
      </x:c>
      <x:c r="L3655" s="15" t="n">
        <x:v>60</x:v>
      </x:c>
      <x:c r="M3655" s="13" t="n">
        <x:f>J3655+(K3655+L3655)/1440</x:f>
        <x:v>46314.83194444445</x:v>
      </x:c>
      <x:c r="N3655" s="13" t="n">
        <x:f>VLOOKUP(C3655,'MES orders'!$A$8:$H$127,5,FALSE)</x:f>
        <x:v>46311.666666666664</x:v>
      </x:c>
      <x:c r="O3655" s="16" t="n">
        <x:f>MAX(0,(M3655-N3655)*24)</x:f>
        <x:v>75.96666666684905</x:v>
      </x:c>
      <x:c r="P3655" s="9" t="str">
        <x:v>No</x:v>
      </x:c>
      <x:c r="Q3655" s="15" t="n">
        <x:v>18</x:v>
      </x:c>
      <x:c r="R3655" s="13" t="n">
        <x:f>J3655+Q3655/1440</x:f>
        <x:v>46314.79027777778</x:v>
      </x:c>
      <x:c r="S3655" s="2" t="str">
        <x:f>VLOOKUP(C3655,'MES orders'!$A$8:$H$127,6,FALSE)</x:f>
        <x:v>Normal</x:v>
      </x:c>
      <x:c r="T3655" s="9" t="str"/>
    </x:row>
    <x:row r="3656" ht="22" customHeight="1">
      <x:c r="A3656" s="2" t="str">
        <x:v>L00476-010</x:v>
      </x:c>
      <x:c r="B3656" s="2" t="str">
        <x:v>L00476</x:v>
      </x:c>
      <x:c r="C3656" s="2" t="str">
        <x:v>SO-26096</x:v>
      </x:c>
      <x:c r="D3656" s="2" t="str">
        <x:v>S-L-SS</x:v>
      </x:c>
      <x:c r="E3656" s="14" t="n">
        <x:v>20</x:v>
      </x:c>
      <x:c r="F3656" s="2" t="str">
        <x:v>CNC machining</x:v>
      </x:c>
      <x:c r="G3656" s="9" t="str">
        <x:v>CNC-04</x:v>
      </x:c>
      <x:c r="H3656" s="15" t="n">
        <x:v>116</x:v>
      </x:c>
      <x:c r="I3656" s="9" t="str">
        <x:v>P14</x:v>
      </x:c>
      <x:c r="J3656" s="11" t="n">
        <x:v>46314.78125</x:v>
      </x:c>
      <x:c r="K3656" s="15" t="n">
        <x:v>18</x:v>
      </x:c>
      <x:c r="L3656" s="15" t="n">
        <x:v>81</x:v>
      </x:c>
      <x:c r="M3656" s="13" t="n">
        <x:f>J3656+(K3656+L3656)/1440</x:f>
        <x:v>46314.85</x:v>
      </x:c>
      <x:c r="N3656" s="13" t="n">
        <x:f>VLOOKUP(C3656,'MES orders'!$A$8:$H$127,5,FALSE)</x:f>
        <x:v>46311.666666666664</x:v>
      </x:c>
      <x:c r="O3656" s="16" t="n">
        <x:f>MAX(0,(M3656-N3656)*24)</x:f>
        <x:v>76.40000000002328</x:v>
      </x:c>
      <x:c r="P3656" s="9" t="str">
        <x:v>No</x:v>
      </x:c>
      <x:c r="Q3656" s="15" t="n">
        <x:v>18</x:v>
      </x:c>
      <x:c r="R3656" s="13" t="n">
        <x:f>J3656+Q3656/1440</x:f>
        <x:v>46314.79375</x:v>
      </x:c>
      <x:c r="S3656" s="2" t="str">
        <x:f>VLOOKUP(C3656,'MES orders'!$A$8:$H$127,6,FALSE)</x:f>
        <x:v>Normal</x:v>
      </x:c>
      <x:c r="T3656" s="9" t="str"/>
    </x:row>
    <x:row r="3657" ht="22" customHeight="1">
      <x:c r="A3657" s="2" t="str">
        <x:v>L00477-010</x:v>
      </x:c>
      <x:c r="B3657" s="2" t="str">
        <x:v>L00477</x:v>
      </x:c>
      <x:c r="C3657" s="2" t="str">
        <x:v>SO-26096</x:v>
      </x:c>
      <x:c r="D3657" s="2" t="str">
        <x:v>S-L-SS</x:v>
      </x:c>
      <x:c r="E3657" s="14" t="n">
        <x:v>20</x:v>
      </x:c>
      <x:c r="F3657" s="2" t="str">
        <x:v>CNC machining</x:v>
      </x:c>
      <x:c r="G3657" s="9" t="str">
        <x:v>CNC-05</x:v>
      </x:c>
      <x:c r="H3657" s="15" t="n">
        <x:v>104</x:v>
      </x:c>
      <x:c r="I3657" s="9" t="str">
        <x:v>P15</x:v>
      </x:c>
      <x:c r="J3657" s="11" t="n">
        <x:v>46314.78402777778</x:v>
      </x:c>
      <x:c r="K3657" s="15" t="n">
        <x:v>18</x:v>
      </x:c>
      <x:c r="L3657" s="15" t="n">
        <x:v>81</x:v>
      </x:c>
      <x:c r="M3657" s="13" t="n">
        <x:f>J3657+(K3657+L3657)/1440</x:f>
        <x:v>46314.85277777778</x:v>
      </x:c>
      <x:c r="N3657" s="13" t="n">
        <x:f>VLOOKUP(C3657,'MES orders'!$A$8:$H$127,5,FALSE)</x:f>
        <x:v>46311.666666666664</x:v>
      </x:c>
      <x:c r="O3657" s="16" t="n">
        <x:f>MAX(0,(M3657-N3657)*24)</x:f>
        <x:v>76.46666666673264</x:v>
      </x:c>
      <x:c r="P3657" s="9" t="str">
        <x:v>No</x:v>
      </x:c>
      <x:c r="Q3657" s="15" t="n">
        <x:v>18</x:v>
      </x:c>
      <x:c r="R3657" s="13" t="n">
        <x:f>J3657+Q3657/1440</x:f>
        <x:v>46314.79652777778</x:v>
      </x:c>
      <x:c r="S3657" s="2" t="str">
        <x:f>VLOOKUP(C3657,'MES orders'!$A$8:$H$127,6,FALSE)</x:f>
        <x:v>Normal</x:v>
      </x:c>
      <x:c r="T3657" s="9" t="str"/>
    </x:row>
    <x:row r="3658" ht="22" customHeight="1">
      <x:c r="A3658" s="2" t="str">
        <x:v>L00358-050</x:v>
      </x:c>
      <x:c r="B3658" s="2" t="str">
        <x:v>L00358</x:v>
      </x:c>
      <x:c r="C3658" s="2" t="str">
        <x:v>SO-26072</x:v>
      </x:c>
      <x:c r="D3658" s="2" t="str">
        <x:v>R-L-SS</x:v>
      </x:c>
      <x:c r="E3658" s="14" t="n">
        <x:v>5</x:v>
      </x:c>
      <x:c r="F3658" s="2" t="str">
        <x:v>Valve adjustment</x:v>
      </x:c>
      <x:c r="G3658" s="9" t="str">
        <x:v>AS-01</x:v>
      </x:c>
      <x:c r="H3658" s="15" t="n">
        <x:v>295</x:v>
      </x:c>
      <x:c r="I3658" s="9" t="str">
        <x:v>P17</x:v>
      </x:c>
      <x:c r="J3658" s="11" t="n">
        <x:v>46314.78472222222</x:v>
      </x:c>
      <x:c r="K3658" s="15" t="n">
        <x:v>6</x:v>
      </x:c>
      <x:c r="L3658" s="15" t="n">
        <x:v>7</x:v>
      </x:c>
      <x:c r="M3658" s="13" t="n">
        <x:f>J3658+(K3658+L3658)/1440</x:f>
        <x:v>46314.79375</x:v>
      </x:c>
      <x:c r="N3658" s="13" t="n">
        <x:f>VLOOKUP(C3658,'MES orders'!$A$8:$H$127,5,FALSE)</x:f>
        <x:v>46311.666666666664</x:v>
      </x:c>
      <x:c r="O3658" s="16" t="n">
        <x:f>MAX(0,(M3658-N3658)*24)</x:f>
        <x:v>75.04999999998836</x:v>
      </x:c>
      <x:c r="P3658" s="9" t="str">
        <x:v>No</x:v>
      </x:c>
      <x:c r="Q3658" s="15" t="n">
        <x:v>13</x:v>
      </x:c>
      <x:c r="R3658" s="13" t="n">
        <x:f>J3658+Q3658/1440</x:f>
        <x:v>46314.79375</x:v>
      </x:c>
      <x:c r="S3658" s="2" t="str">
        <x:f>VLOOKUP(C3658,'MES orders'!$A$8:$H$127,6,FALSE)</x:f>
        <x:v>Normal</x:v>
      </x:c>
      <x:c r="T3658" s="9" t="str"/>
    </x:row>
    <x:row r="3659" ht="22" customHeight="1">
      <x:c r="A3659" s="2" t="str">
        <x:v>L00359-050</x:v>
      </x:c>
      <x:c r="B3659" s="2" t="str">
        <x:v>L00359</x:v>
      </x:c>
      <x:c r="C3659" s="2" t="str">
        <x:v>SO-26072</x:v>
      </x:c>
      <x:c r="D3659" s="2" t="str">
        <x:v>R-L-SS</x:v>
      </x:c>
      <x:c r="E3659" s="14" t="n">
        <x:v>5</x:v>
      </x:c>
      <x:c r="F3659" s="2" t="str">
        <x:v>Valve adjustment</x:v>
      </x:c>
      <x:c r="G3659" s="9" t="str">
        <x:v>AS-02</x:v>
      </x:c>
      <x:c r="H3659" s="15" t="n">
        <x:v>240</x:v>
      </x:c>
      <x:c r="I3659" s="9" t="str">
        <x:v>P18</x:v>
      </x:c>
      <x:c r="J3659" s="11" t="n">
        <x:v>46314.78472222222</x:v>
      </x:c>
      <x:c r="K3659" s="15" t="n">
        <x:v>6</x:v>
      </x:c>
      <x:c r="L3659" s="15" t="n">
        <x:v>7</x:v>
      </x:c>
      <x:c r="M3659" s="13" t="n">
        <x:f>J3659+(K3659+L3659)/1440</x:f>
        <x:v>46314.79375</x:v>
      </x:c>
      <x:c r="N3659" s="13" t="n">
        <x:f>VLOOKUP(C3659,'MES orders'!$A$8:$H$127,5,FALSE)</x:f>
        <x:v>46311.666666666664</x:v>
      </x:c>
      <x:c r="O3659" s="16" t="n">
        <x:f>MAX(0,(M3659-N3659)*24)</x:f>
        <x:v>75.04999999998836</x:v>
      </x:c>
      <x:c r="P3659" s="9" t="str">
        <x:v>No</x:v>
      </x:c>
      <x:c r="Q3659" s="15" t="n">
        <x:v>13</x:v>
      </x:c>
      <x:c r="R3659" s="13" t="n">
        <x:f>J3659+Q3659/1440</x:f>
        <x:v>46314.79375</x:v>
      </x:c>
      <x:c r="S3659" s="2" t="str">
        <x:f>VLOOKUP(C3659,'MES orders'!$A$8:$H$127,6,FALSE)</x:f>
        <x:v>Normal</x:v>
      </x:c>
      <x:c r="T3659" s="9" t="str"/>
    </x:row>
    <x:row r="3660" ht="22" customHeight="1">
      <x:c r="A3660" s="2" t="str">
        <x:v>L00360-040</x:v>
      </x:c>
      <x:c r="B3660" s="2" t="str">
        <x:v>L00360</x:v>
      </x:c>
      <x:c r="C3660" s="2" t="str">
        <x:v>SO-26072</x:v>
      </x:c>
      <x:c r="D3660" s="2" t="str">
        <x:v>R-L-SS</x:v>
      </x:c>
      <x:c r="E3660" s="14" t="n">
        <x:v>5</x:v>
      </x:c>
      <x:c r="F3660" s="2" t="str">
        <x:v>Mechanical assembly</x:v>
      </x:c>
      <x:c r="G3660" s="9" t="str">
        <x:v>AS-03</x:v>
      </x:c>
      <x:c r="H3660" s="15" t="n">
        <x:v>195</x:v>
      </x:c>
      <x:c r="I3660" s="9" t="str">
        <x:v>P16</x:v>
      </x:c>
      <x:c r="J3660" s="11" t="n">
        <x:v>46314.78472222222</x:v>
      </x:c>
      <x:c r="K3660" s="15" t="n">
        <x:v>8</x:v>
      </x:c>
      <x:c r="L3660" s="15" t="n">
        <x:v>12</x:v>
      </x:c>
      <x:c r="M3660" s="13" t="n">
        <x:f>J3660+(K3660+L3660)/1440</x:f>
        <x:v>46314.79861111111</x:v>
      </x:c>
      <x:c r="N3660" s="13" t="n">
        <x:f>VLOOKUP(C3660,'MES orders'!$A$8:$H$127,5,FALSE)</x:f>
        <x:v>46311.666666666664</x:v>
      </x:c>
      <x:c r="O3660" s="16" t="n">
        <x:f>MAX(0,(M3660-N3660)*24)</x:f>
        <x:v>75.16666666668607</x:v>
      </x:c>
      <x:c r="P3660" s="9" t="str">
        <x:v>No</x:v>
      </x:c>
      <x:c r="Q3660" s="15" t="n">
        <x:v>20</x:v>
      </x:c>
      <x:c r="R3660" s="13" t="n">
        <x:f>J3660+Q3660/1440</x:f>
        <x:v>46314.79861111111</x:v>
      </x:c>
      <x:c r="S3660" s="2" t="str">
        <x:f>VLOOKUP(C3660,'MES orders'!$A$8:$H$127,6,FALSE)</x:f>
        <x:v>Normal</x:v>
      </x:c>
      <x:c r="T3660" s="9" t="str"/>
    </x:row>
    <x:row r="3661" ht="22" customHeight="1">
      <x:c r="A3661" s="2" t="str">
        <x:v>L00478-010</x:v>
      </x:c>
      <x:c r="B3661" s="2" t="str">
        <x:v>L00478</x:v>
      </x:c>
      <x:c r="C3661" s="2" t="str">
        <x:v>SO-26096</x:v>
      </x:c>
      <x:c r="D3661" s="2" t="str">
        <x:v>S-L-SS</x:v>
      </x:c>
      <x:c r="E3661" s="14" t="n">
        <x:v>20</x:v>
      </x:c>
      <x:c r="F3661" s="2" t="str">
        <x:v>CNC machining</x:v>
      </x:c>
      <x:c r="G3661" s="9" t="str">
        <x:v>CNC-06</x:v>
      </x:c>
      <x:c r="H3661" s="15" t="n">
        <x:v>95</x:v>
      </x:c>
      <x:c r="I3661" s="9" t="str">
        <x:v>P13</x:v>
      </x:c>
      <x:c r="J3661" s="11" t="n">
        <x:v>46314.79027777778</x:v>
      </x:c>
      <x:c r="K3661" s="15" t="n">
        <x:v>18</x:v>
      </x:c>
      <x:c r="L3661" s="15" t="n">
        <x:v>81</x:v>
      </x:c>
      <x:c r="M3661" s="13" t="n">
        <x:f>J3661+(K3661+L3661)/1440</x:f>
        <x:v>46314.85902777778</x:v>
      </x:c>
      <x:c r="N3661" s="13" t="n">
        <x:f>VLOOKUP(C3661,'MES orders'!$A$8:$H$127,5,FALSE)</x:f>
        <x:v>46311.666666666664</x:v>
      </x:c>
      <x:c r="O3661" s="16" t="n">
        <x:f>MAX(0,(M3661-N3661)*24)</x:f>
        <x:v>76.61666666669771</x:v>
      </x:c>
      <x:c r="P3661" s="9" t="str">
        <x:v>No</x:v>
      </x:c>
      <x:c r="Q3661" s="15" t="n">
        <x:v>18</x:v>
      </x:c>
      <x:c r="R3661" s="13" t="n">
        <x:f>J3661+Q3661/1440</x:f>
        <x:v>46314.802777777775</x:v>
      </x:c>
      <x:c r="S3661" s="2" t="str">
        <x:f>VLOOKUP(C3661,'MES orders'!$A$8:$H$127,6,FALSE)</x:f>
        <x:v>Normal</x:v>
      </x:c>
      <x:c r="T3661" s="9" t="str"/>
    </x:row>
    <x:row r="3662" ht="22" customHeight="1">
      <x:c r="A3662" s="2" t="str">
        <x:v>L00396-070</x:v>
      </x:c>
      <x:c r="B3662" s="2" t="str">
        <x:v>L00396</x:v>
      </x:c>
      <x:c r="C3662" s="2" t="str">
        <x:v>SO-26080</x:v>
      </x:c>
      <x:c r="D3662" s="2" t="str">
        <x:v>S-C-SS</x:v>
      </x:c>
      <x:c r="E3662" s="14" t="n">
        <x:v>15</x:v>
      </x:c>
      <x:c r="F3662" s="2" t="str">
        <x:v>Final assembly</x:v>
      </x:c>
      <x:c r="G3662" s="9" t="str">
        <x:v>AS-02</x:v>
      </x:c>
      <x:c r="H3662" s="15" t="n">
        <x:v>241</x:v>
      </x:c>
      <x:c r="I3662" s="9" t="str">
        <x:v>P18</x:v>
      </x:c>
      <x:c r="J3662" s="11" t="n">
        <x:v>46314.79375</x:v>
      </x:c>
      <x:c r="K3662" s="15" t="n">
        <x:v>5</x:v>
      </x:c>
      <x:c r="L3662" s="15" t="n">
        <x:v>10</x:v>
      </x:c>
      <x:c r="M3662" s="13" t="n">
        <x:f>J3662+(K3662+L3662)/1440</x:f>
        <x:v>46314.80416666666</x:v>
      </x:c>
      <x:c r="N3662" s="13" t="n">
        <x:f>VLOOKUP(C3662,'MES orders'!$A$8:$H$127,5,FALSE)</x:f>
        <x:v>46311.666666666664</x:v>
      </x:c>
      <x:c r="O3662" s="16" t="n">
        <x:f>MAX(0,(M3662-N3662)*24)</x:f>
        <x:v>75.29999999993015</x:v>
      </x:c>
      <x:c r="P3662" s="9" t="str">
        <x:v>No</x:v>
      </x:c>
      <x:c r="Q3662" s="15" t="n">
        <x:v>15</x:v>
      </x:c>
      <x:c r="R3662" s="13" t="n">
        <x:f>J3662+Q3662/1440</x:f>
        <x:v>46314.80416666666</x:v>
      </x:c>
      <x:c r="S3662" s="2" t="str">
        <x:f>VLOOKUP(C3662,'MES orders'!$A$8:$H$127,6,FALSE)</x:f>
        <x:v>Normal</x:v>
      </x:c>
      <x:c r="T3662" s="9" t="str"/>
    </x:row>
    <x:row r="3663" ht="22" customHeight="1">
      <x:c r="A3663" s="2" t="str">
        <x:v>L00358-060</x:v>
      </x:c>
      <x:c r="B3663" s="2" t="str">
        <x:v>L00358</x:v>
      </x:c>
      <x:c r="C3663" s="2" t="str">
        <x:v>SO-26072</x:v>
      </x:c>
      <x:c r="D3663" s="2" t="str">
        <x:v>R-L-SS</x:v>
      </x:c>
      <x:c r="E3663" s="14" t="n">
        <x:v>5</x:v>
      </x:c>
      <x:c r="F3663" s="2" t="str">
        <x:v>Final leak / function test</x:v>
      </x:c>
      <x:c r="G3663" s="9" t="str">
        <x:v>QA-02</x:v>
      </x:c>
      <x:c r="H3663" s="15" t="n">
        <x:v>277</x:v>
      </x:c>
      <x:c r="I3663" s="9" t="str">
        <x:v>P24</x:v>
      </x:c>
      <x:c r="J3663" s="11" t="n">
        <x:v>46314.79375</x:v>
      </x:c>
      <x:c r="K3663" s="15" t="n">
        <x:v>10</x:v>
      </x:c>
      <x:c r="L3663" s="15" t="n">
        <x:v>6</x:v>
      </x:c>
      <x:c r="M3663" s="13" t="n">
        <x:f>J3663+(K3663+L3663)/1440</x:f>
        <x:v>46314.80486111111</x:v>
      </x:c>
      <x:c r="N3663" s="13" t="n">
        <x:f>VLOOKUP(C3663,'MES orders'!$A$8:$H$127,5,FALSE)</x:f>
        <x:v>46311.666666666664</x:v>
      </x:c>
      <x:c r="O3663" s="16" t="n">
        <x:f>MAX(0,(M3663-N3663)*24)</x:f>
        <x:v>75.31666666665114</x:v>
      </x:c>
      <x:c r="P3663" s="9" t="str">
        <x:v>No</x:v>
      </x:c>
      <x:c r="Q3663" s="15" t="n">
        <x:v>16</x:v>
      </x:c>
      <x:c r="R3663" s="13" t="n">
        <x:f>J3663+Q3663/1440</x:f>
        <x:v>46314.80486111111</x:v>
      </x:c>
      <x:c r="S3663" s="2" t="str">
        <x:f>VLOOKUP(C3663,'MES orders'!$A$8:$H$127,6,FALSE)</x:f>
        <x:v>Normal</x:v>
      </x:c>
      <x:c r="T3663" s="9" t="str"/>
    </x:row>
    <x:row r="3664" ht="22" customHeight="1">
      <x:c r="A3664" s="2" t="str">
        <x:v>L00359-060</x:v>
      </x:c>
      <x:c r="B3664" s="2" t="str">
        <x:v>L00359</x:v>
      </x:c>
      <x:c r="C3664" s="2" t="str">
        <x:v>SO-26072</x:v>
      </x:c>
      <x:c r="D3664" s="2" t="str">
        <x:v>R-L-SS</x:v>
      </x:c>
      <x:c r="E3664" s="14" t="n">
        <x:v>5</x:v>
      </x:c>
      <x:c r="F3664" s="2" t="str">
        <x:v>Final leak / function test</x:v>
      </x:c>
      <x:c r="G3664" s="9" t="str">
        <x:v>QA-03</x:v>
      </x:c>
      <x:c r="H3664" s="15" t="n">
        <x:v>160</x:v>
      </x:c>
      <x:c r="I3664" s="9" t="str">
        <x:v>P23</x:v>
      </x:c>
      <x:c r="J3664" s="11" t="n">
        <x:v>46314.794444444444</x:v>
      </x:c>
      <x:c r="K3664" s="15" t="n">
        <x:v>10</x:v>
      </x:c>
      <x:c r="L3664" s="15" t="n">
        <x:v>6</x:v>
      </x:c>
      <x:c r="M3664" s="13" t="n">
        <x:f>J3664+(K3664+L3664)/1440</x:f>
        <x:v>46314.805555555555</x:v>
      </x:c>
      <x:c r="N3664" s="13" t="n">
        <x:f>VLOOKUP(C3664,'MES orders'!$A$8:$H$127,5,FALSE)</x:f>
        <x:v>46311.666666666664</x:v>
      </x:c>
      <x:c r="O3664" s="16" t="n">
        <x:f>MAX(0,(M3664-N3664)*24)</x:f>
        <x:v>75.33333333337214</x:v>
      </x:c>
      <x:c r="P3664" s="9" t="str">
        <x:v>No</x:v>
      </x:c>
      <x:c r="Q3664" s="15" t="n">
        <x:v>16</x:v>
      </x:c>
      <x:c r="R3664" s="13" t="n">
        <x:f>J3664+Q3664/1440</x:f>
        <x:v>46314.805555555555</x:v>
      </x:c>
      <x:c r="S3664" s="2" t="str">
        <x:f>VLOOKUP(C3664,'MES orders'!$A$8:$H$127,6,FALSE)</x:f>
        <x:v>Normal</x:v>
      </x:c>
      <x:c r="T3664" s="9" t="str"/>
    </x:row>
    <x:row r="3665" ht="22" customHeight="1">
      <x:c r="A3665" s="2" t="str">
        <x:v>L00360-050</x:v>
      </x:c>
      <x:c r="B3665" s="2" t="str">
        <x:v>L00360</x:v>
      </x:c>
      <x:c r="C3665" s="2" t="str">
        <x:v>SO-26072</x:v>
      </x:c>
      <x:c r="D3665" s="2" t="str">
        <x:v>R-L-SS</x:v>
      </x:c>
      <x:c r="E3665" s="14" t="n">
        <x:v>5</x:v>
      </x:c>
      <x:c r="F3665" s="2" t="str">
        <x:v>Valve adjustment</x:v>
      </x:c>
      <x:c r="G3665" s="9" t="str">
        <x:v>AS-01</x:v>
      </x:c>
      <x:c r="H3665" s="15" t="n">
        <x:v>296</x:v>
      </x:c>
      <x:c r="I3665" s="9" t="str">
        <x:v>P17</x:v>
      </x:c>
      <x:c r="J3665" s="11" t="n">
        <x:v>46314.79861111111</x:v>
      </x:c>
      <x:c r="K3665" s="15" t="n">
        <x:v>6</x:v>
      </x:c>
      <x:c r="L3665" s="15" t="n">
        <x:v>7</x:v>
      </x:c>
      <x:c r="M3665" s="13" t="n">
        <x:f>J3665+(K3665+L3665)/1440</x:f>
        <x:v>46314.80763888889</x:v>
      </x:c>
      <x:c r="N3665" s="13" t="n">
        <x:f>VLOOKUP(C3665,'MES orders'!$A$8:$H$127,5,FALSE)</x:f>
        <x:v>46311.666666666664</x:v>
      </x:c>
      <x:c r="O3665" s="16" t="n">
        <x:f>MAX(0,(M3665-N3665)*24)</x:f>
        <x:v>75.3833333333605</x:v>
      </x:c>
      <x:c r="P3665" s="9" t="str">
        <x:v>No</x:v>
      </x:c>
      <x:c r="Q3665" s="15" t="n">
        <x:v>13</x:v>
      </x:c>
      <x:c r="R3665" s="13" t="n">
        <x:f>J3665+Q3665/1440</x:f>
        <x:v>46314.80763888889</x:v>
      </x:c>
      <x:c r="S3665" s="2" t="str">
        <x:f>VLOOKUP(C3665,'MES orders'!$A$8:$H$127,6,FALSE)</x:f>
        <x:v>Normal</x:v>
      </x:c>
      <x:c r="T3665" s="9" t="str"/>
    </x:row>
    <x:row r="3666" ht="22" customHeight="1">
      <x:c r="A3666" s="2" t="str">
        <x:v>L00398-040</x:v>
      </x:c>
      <x:c r="B3666" s="2" t="str">
        <x:v>L00398</x:v>
      </x:c>
      <x:c r="C3666" s="2" t="str">
        <x:v>SO-26080</x:v>
      </x:c>
      <x:c r="D3666" s="2" t="str">
        <x:v>S-C-SS</x:v>
      </x:c>
      <x:c r="E3666" s="14" t="n">
        <x:v>15</x:v>
      </x:c>
      <x:c r="F3666" s="2" t="str">
        <x:v>Mechanical preassembly</x:v>
      </x:c>
      <x:c r="G3666" s="9" t="str">
        <x:v>AS-03</x:v>
      </x:c>
      <x:c r="H3666" s="15" t="n">
        <x:v>196</x:v>
      </x:c>
      <x:c r="I3666" s="9" t="str">
        <x:v>P16</x:v>
      </x:c>
      <x:c r="J3666" s="11" t="n">
        <x:v>46314.79861111111</x:v>
      </x:c>
      <x:c r="K3666" s="15" t="n">
        <x:v>6</x:v>
      </x:c>
      <x:c r="L3666" s="15" t="n">
        <x:v>13</x:v>
      </x:c>
      <x:c r="M3666" s="13" t="n">
        <x:f>J3666+(K3666+L3666)/1440</x:f>
        <x:v>46314.81180555555</x:v>
      </x:c>
      <x:c r="N3666" s="13" t="n">
        <x:f>VLOOKUP(C3666,'MES orders'!$A$8:$H$127,5,FALSE)</x:f>
        <x:v>46311.666666666664</x:v>
      </x:c>
      <x:c r="O3666" s="16" t="n">
        <x:f>MAX(0,(M3666-N3666)*24)</x:f>
        <x:v>75.48333333333721</x:v>
      </x:c>
      <x:c r="P3666" s="9" t="str">
        <x:v>No</x:v>
      </x:c>
      <x:c r="Q3666" s="15" t="n">
        <x:v>19</x:v>
      </x:c>
      <x:c r="R3666" s="13" t="n">
        <x:f>J3666+Q3666/1440</x:f>
        <x:v>46314.81180555555</x:v>
      </x:c>
      <x:c r="S3666" s="2" t="str">
        <x:f>VLOOKUP(C3666,'MES orders'!$A$8:$H$127,6,FALSE)</x:f>
        <x:v>Normal</x:v>
      </x:c>
      <x:c r="T3666" s="9" t="str"/>
    </x:row>
    <x:row r="3667" ht="22" customHeight="1">
      <x:c r="A3667" s="2" t="str">
        <x:v>L00397-070</x:v>
      </x:c>
      <x:c r="B3667" s="2" t="str">
        <x:v>L00397</x:v>
      </x:c>
      <x:c r="C3667" s="2" t="str">
        <x:v>SO-26080</x:v>
      </x:c>
      <x:c r="D3667" s="2" t="str">
        <x:v>S-C-SS</x:v>
      </x:c>
      <x:c r="E3667" s="14" t="n">
        <x:v>15</x:v>
      </x:c>
      <x:c r="F3667" s="2" t="str">
        <x:v>Final assembly</x:v>
      </x:c>
      <x:c r="G3667" s="9" t="str">
        <x:v>AS-02</x:v>
      </x:c>
      <x:c r="H3667" s="15" t="n">
        <x:v>242</x:v>
      </x:c>
      <x:c r="I3667" s="9" t="str">
        <x:v>P18</x:v>
      </x:c>
      <x:c r="J3667" s="11" t="n">
        <x:v>46314.80416666667</x:v>
      </x:c>
      <x:c r="K3667" s="15" t="n">
        <x:v>5</x:v>
      </x:c>
      <x:c r="L3667" s="15" t="n">
        <x:v>10</x:v>
      </x:c>
      <x:c r="M3667" s="13" t="n">
        <x:f>J3667+(K3667+L3667)/1440</x:f>
        <x:v>46314.81458333333</x:v>
      </x:c>
      <x:c r="N3667" s="13" t="n">
        <x:f>VLOOKUP(C3667,'MES orders'!$A$8:$H$127,5,FALSE)</x:f>
        <x:v>46311.666666666664</x:v>
      </x:c>
      <x:c r="O3667" s="16" t="n">
        <x:f>MAX(0,(M3667-N3667)*24)</x:f>
        <x:v>75.55000000004657</x:v>
      </x:c>
      <x:c r="P3667" s="9" t="str">
        <x:v>No</x:v>
      </x:c>
      <x:c r="Q3667" s="15" t="n">
        <x:v>15</x:v>
      </x:c>
      <x:c r="R3667" s="13" t="n">
        <x:f>J3667+Q3667/1440</x:f>
        <x:v>46314.81458333333</x:v>
      </x:c>
      <x:c r="S3667" s="2" t="str">
        <x:f>VLOOKUP(C3667,'MES orders'!$A$8:$H$127,6,FALSE)</x:f>
        <x:v>Normal</x:v>
      </x:c>
      <x:c r="T3667" s="9" t="str"/>
    </x:row>
    <x:row r="3668" ht="22" customHeight="1">
      <x:c r="A3668" s="2" t="str">
        <x:v>L00396-080</x:v>
      </x:c>
      <x:c r="B3668" s="2" t="str">
        <x:v>L00396</x:v>
      </x:c>
      <x:c r="C3668" s="2" t="str">
        <x:v>SO-26080</x:v>
      </x:c>
      <x:c r="D3668" s="2" t="str">
        <x:v>S-C-SS</x:v>
      </x:c>
      <x:c r="E3668" s="14" t="n">
        <x:v>15</x:v>
      </x:c>
      <x:c r="F3668" s="2" t="str">
        <x:v>Final leak / function test</x:v>
      </x:c>
      <x:c r="G3668" s="9" t="str">
        <x:v>QA-03</x:v>
      </x:c>
      <x:c r="H3668" s="15" t="n">
        <x:v>161</x:v>
      </x:c>
      <x:c r="I3668" s="9" t="str">
        <x:v>P24</x:v>
      </x:c>
      <x:c r="J3668" s="11" t="n">
        <x:v>46314.805555555555</x:v>
      </x:c>
      <x:c r="K3668" s="15" t="n">
        <x:v>10</x:v>
      </x:c>
      <x:c r="L3668" s="15" t="n">
        <x:v>11</x:v>
      </x:c>
      <x:c r="M3668" s="13" t="n">
        <x:f>J3668+(K3668+L3668)/1440</x:f>
        <x:v>46314.820138888885</x:v>
      </x:c>
      <x:c r="N3668" s="13" t="n">
        <x:f>VLOOKUP(C3668,'MES orders'!$A$8:$H$127,5,FALSE)</x:f>
        <x:v>46311.666666666664</x:v>
      </x:c>
      <x:c r="O3668" s="16" t="n">
        <x:f>MAX(0,(M3668-N3668)*24)</x:f>
        <x:v>75.68333333329065</x:v>
      </x:c>
      <x:c r="P3668" s="9" t="str">
        <x:v>No</x:v>
      </x:c>
      <x:c r="Q3668" s="15" t="n">
        <x:v>21</x:v>
      </x:c>
      <x:c r="R3668" s="13" t="n">
        <x:f>J3668+Q3668/1440</x:f>
        <x:v>46314.820138888885</x:v>
      </x:c>
      <x:c r="S3668" s="2" t="str">
        <x:f>VLOOKUP(C3668,'MES orders'!$A$8:$H$127,6,FALSE)</x:f>
        <x:v>Normal</x:v>
      </x:c>
      <x:c r="T3668" s="9" t="str"/>
    </x:row>
    <x:row r="3669" ht="22" customHeight="1">
      <x:c r="A3669" s="2" t="str">
        <x:v>L00399-040</x:v>
      </x:c>
      <x:c r="B3669" s="2" t="str">
        <x:v>L00399</x:v>
      </x:c>
      <x:c r="C3669" s="2" t="str">
        <x:v>SO-26080</x:v>
      </x:c>
      <x:c r="D3669" s="2" t="str">
        <x:v>S-C-SS</x:v>
      </x:c>
      <x:c r="E3669" s="14" t="n">
        <x:v>15</x:v>
      </x:c>
      <x:c r="F3669" s="2" t="str">
        <x:v>Mechanical preassembly</x:v>
      </x:c>
      <x:c r="G3669" s="9" t="str">
        <x:v>AS-01</x:v>
      </x:c>
      <x:c r="H3669" s="15" t="n">
        <x:v>297</x:v>
      </x:c>
      <x:c r="I3669" s="9" t="str">
        <x:v>P17</x:v>
      </x:c>
      <x:c r="J3669" s="11" t="n">
        <x:v>46314.80763888889</x:v>
      </x:c>
      <x:c r="K3669" s="15" t="n">
        <x:v>6</x:v>
      </x:c>
      <x:c r="L3669" s="15" t="n">
        <x:v>13</x:v>
      </x:c>
      <x:c r="M3669" s="13" t="n">
        <x:f>J3669+(K3669+L3669)/1440</x:f>
        <x:v>46314.82083333333</x:v>
      </x:c>
      <x:c r="N3669" s="13" t="n">
        <x:f>VLOOKUP(C3669,'MES orders'!$A$8:$H$127,5,FALSE)</x:f>
        <x:v>46311.666666666664</x:v>
      </x:c>
      <x:c r="O3669" s="16" t="n">
        <x:f>MAX(0,(M3669-N3669)*24)</x:f>
        <x:v>75.70000000001164</x:v>
      </x:c>
      <x:c r="P3669" s="9" t="str">
        <x:v>No</x:v>
      </x:c>
      <x:c r="Q3669" s="15" t="n">
        <x:v>19</x:v>
      </x:c>
      <x:c r="R3669" s="13" t="n">
        <x:f>J3669+Q3669/1440</x:f>
        <x:v>46314.82083333333</x:v>
      </x:c>
      <x:c r="S3669" s="2" t="str">
        <x:f>VLOOKUP(C3669,'MES orders'!$A$8:$H$127,6,FALSE)</x:f>
        <x:v>Normal</x:v>
      </x:c>
      <x:c r="T3669" s="9" t="str"/>
    </x:row>
    <x:row r="3670" ht="22" customHeight="1">
      <x:c r="A3670" s="2" t="str">
        <x:v>L00360-060</x:v>
      </x:c>
      <x:c r="B3670" s="2" t="str">
        <x:v>L00360</x:v>
      </x:c>
      <x:c r="C3670" s="2" t="str">
        <x:v>SO-26072</x:v>
      </x:c>
      <x:c r="D3670" s="2" t="str">
        <x:v>R-L-SS</x:v>
      </x:c>
      <x:c r="E3670" s="14" t="n">
        <x:v>5</x:v>
      </x:c>
      <x:c r="F3670" s="2" t="str">
        <x:v>Final leak / function test</x:v>
      </x:c>
      <x:c r="G3670" s="9" t="str">
        <x:v>QA-02</x:v>
      </x:c>
      <x:c r="H3670" s="15" t="n">
        <x:v>278</x:v>
      </x:c>
      <x:c r="I3670" s="9" t="str">
        <x:v>P23</x:v>
      </x:c>
      <x:c r="J3670" s="11" t="n">
        <x:v>46314.80763888889</x:v>
      </x:c>
      <x:c r="K3670" s="15" t="n">
        <x:v>10</x:v>
      </x:c>
      <x:c r="L3670" s="15" t="n">
        <x:v>6</x:v>
      </x:c>
      <x:c r="M3670" s="13" t="n">
        <x:f>J3670+(K3670+L3670)/1440</x:f>
        <x:v>46314.81875</x:v>
      </x:c>
      <x:c r="N3670" s="13" t="n">
        <x:f>VLOOKUP(C3670,'MES orders'!$A$8:$H$127,5,FALSE)</x:f>
        <x:v>46311.666666666664</x:v>
      </x:c>
      <x:c r="O3670" s="16" t="n">
        <x:f>MAX(0,(M3670-N3670)*24)</x:f>
        <x:v>75.65000000002328</x:v>
      </x:c>
      <x:c r="P3670" s="9" t="str">
        <x:v>No</x:v>
      </x:c>
      <x:c r="Q3670" s="15" t="n">
        <x:v>16</x:v>
      </x:c>
      <x:c r="R3670" s="13" t="n">
        <x:f>J3670+Q3670/1440</x:f>
        <x:v>46314.81875</x:v>
      </x:c>
      <x:c r="S3670" s="2" t="str">
        <x:f>VLOOKUP(C3670,'MES orders'!$A$8:$H$127,6,FALSE)</x:f>
        <x:v>Normal</x:v>
      </x:c>
      <x:c r="T3670" s="9" t="str"/>
    </x:row>
    <x:row r="3671" ht="22" customHeight="1">
      <x:c r="A3671" s="2" t="str">
        <x:v>L00398-050</x:v>
      </x:c>
      <x:c r="B3671" s="2" t="str">
        <x:v>L00398</x:v>
      </x:c>
      <x:c r="C3671" s="2" t="str">
        <x:v>SO-26080</x:v>
      </x:c>
      <x:c r="D3671" s="2" t="str">
        <x:v>S-C-SS</x:v>
      </x:c>
      <x:c r="E3671" s="14" t="n">
        <x:v>15</x:v>
      </x:c>
      <x:c r="F3671" s="2" t="str">
        <x:v>Sensor installation</x:v>
      </x:c>
      <x:c r="G3671" s="9" t="str">
        <x:v>EL-01</x:v>
      </x:c>
      <x:c r="H3671" s="15" t="n">
        <x:v>126</x:v>
      </x:c>
      <x:c r="I3671" s="9" t="str">
        <x:v>P19</x:v>
      </x:c>
      <x:c r="J3671" s="11" t="n">
        <x:v>46314.81180555555</x:v>
      </x:c>
      <x:c r="K3671" s="15" t="n">
        <x:v>8</x:v>
      </x:c>
      <x:c r="L3671" s="15" t="n">
        <x:v>14</x:v>
      </x:c>
      <x:c r="M3671" s="13" t="n">
        <x:f>J3671+(K3671+L3671)/1440</x:f>
        <x:v>46314.82708333333</x:v>
      </x:c>
      <x:c r="N3671" s="13" t="n">
        <x:f>VLOOKUP(C3671,'MES orders'!$A$8:$H$127,5,FALSE)</x:f>
        <x:v>46311.666666666664</x:v>
      </x:c>
      <x:c r="O3671" s="16" t="n">
        <x:f>MAX(0,(M3671-N3671)*24)</x:f>
        <x:v>75.84999999997672</x:v>
      </x:c>
      <x:c r="P3671" s="9" t="str">
        <x:v>No</x:v>
      </x:c>
      <x:c r="Q3671" s="15" t="n">
        <x:v>22</x:v>
      </x:c>
      <x:c r="R3671" s="13" t="n">
        <x:f>J3671+Q3671/1440</x:f>
        <x:v>46314.82708333333</x:v>
      </x:c>
      <x:c r="S3671" s="2" t="str">
        <x:f>VLOOKUP(C3671,'MES orders'!$A$8:$H$127,6,FALSE)</x:f>
        <x:v>Normal</x:v>
      </x:c>
      <x:c r="T3671" s="9" t="str"/>
    </x:row>
    <x:row r="3672" ht="22" customHeight="1">
      <x:c r="A3672" s="2" t="str">
        <x:v>L00400-030</x:v>
      </x:c>
      <x:c r="B3672" s="2" t="str">
        <x:v>L00400</x:v>
      </x:c>
      <x:c r="C3672" s="2" t="str">
        <x:v>SO-26080</x:v>
      </x:c>
      <x:c r="D3672" s="2" t="str">
        <x:v>S-C-SS</x:v>
      </x:c>
      <x:c r="E3672" s="14" t="n">
        <x:v>15</x:v>
      </x:c>
      <x:c r="F3672" s="2" t="str">
        <x:v>Wash &amp; dry</x:v>
      </x:c>
      <x:c r="G3672" s="9" t="str">
        <x:v>WS-01</x:v>
      </x:c>
      <x:c r="H3672" s="15" t="n">
        <x:v>338</x:v>
      </x:c>
      <x:c r="I3672" s="9" t="str">
        <x:v>P16</x:v>
      </x:c>
      <x:c r="J3672" s="11" t="n">
        <x:v>46314.81180555555</x:v>
      </x:c>
      <x:c r="K3672" s="15" t="n">
        <x:v>12</x:v>
      </x:c>
      <x:c r="L3672" s="15" t="n">
        <x:v>4</x:v>
      </x:c>
      <x:c r="M3672" s="13" t="n">
        <x:f>J3672+(K3672+L3672)/1440</x:f>
        <x:v>46314.822916666664</x:v>
      </x:c>
      <x:c r="N3672" s="13" t="n">
        <x:f>VLOOKUP(C3672,'MES orders'!$A$8:$H$127,5,FALSE)</x:f>
        <x:v>46311.666666666664</x:v>
      </x:c>
      <x:c r="O3672" s="16" t="n">
        <x:f>MAX(0,(M3672-N3672)*24)</x:f>
        <x:v>75.75</x:v>
      </x:c>
      <x:c r="P3672" s="9" t="str">
        <x:v>No</x:v>
      </x:c>
      <x:c r="Q3672" s="15" t="n">
        <x:v>16</x:v>
      </x:c>
      <x:c r="R3672" s="13" t="n">
        <x:f>J3672+Q3672/1440</x:f>
        <x:v>46314.822916666664</x:v>
      </x:c>
      <x:c r="S3672" s="2" t="str">
        <x:f>VLOOKUP(C3672,'MES orders'!$A$8:$H$127,6,FALSE)</x:f>
        <x:v>Normal</x:v>
      </x:c>
      <x:c r="T3672" s="9" t="str"/>
    </x:row>
    <x:row r="3673" ht="22" customHeight="1">
      <x:c r="A3673" s="2" t="str">
        <x:v>L00436-020</x:v>
      </x:c>
      <x:c r="B3673" s="2" t="str">
        <x:v>L00436</x:v>
      </x:c>
      <x:c r="C3673" s="2" t="str">
        <x:v>SO-26088</x:v>
      </x:c>
      <x:c r="D3673" s="2" t="str">
        <x:v>S-S-SS</x:v>
      </x:c>
      <x:c r="E3673" s="14" t="n">
        <x:v>20</x:v>
      </x:c>
      <x:c r="F3673" s="2" t="str">
        <x:v>Deburr &amp; inspect</x:v>
      </x:c>
      <x:c r="G3673" s="9" t="str">
        <x:v>DB-01</x:v>
      </x:c>
      <x:c r="H3673" s="15" t="n">
        <x:v>344</x:v>
      </x:c>
      <x:c r="I3673" s="9" t="str">
        <x:v>P18</x:v>
      </x:c>
      <x:c r="J3673" s="11" t="n">
        <x:v>46314.81458333333</x:v>
      </x:c>
      <x:c r="K3673" s="15" t="n">
        <x:v>4</x:v>
      </x:c>
      <x:c r="L3673" s="15" t="n">
        <x:v>14</x:v>
      </x:c>
      <x:c r="M3673" s="13" t="n">
        <x:f>J3673+(K3673+L3673)/1440</x:f>
        <x:v>46314.82708333333</x:v>
      </x:c>
      <x:c r="N3673" s="13" t="n">
        <x:f>VLOOKUP(C3673,'MES orders'!$A$8:$H$127,5,FALSE)</x:f>
        <x:v>46311.666666666664</x:v>
      </x:c>
      <x:c r="O3673" s="16" t="n">
        <x:f>MAX(0,(M3673-N3673)*24)</x:f>
        <x:v>75.84999999997672</x:v>
      </x:c>
      <x:c r="P3673" s="9" t="str">
        <x:v>No</x:v>
      </x:c>
      <x:c r="Q3673" s="15" t="n">
        <x:v>18</x:v>
      </x:c>
      <x:c r="R3673" s="13" t="n">
        <x:f>J3673+Q3673/1440</x:f>
        <x:v>46314.82708333333</x:v>
      </x:c>
      <x:c r="S3673" s="2" t="str">
        <x:f>VLOOKUP(C3673,'MES orders'!$A$8:$H$127,6,FALSE)</x:f>
        <x:v>Normal</x:v>
      </x:c>
      <x:c r="T3673" s="9" t="str"/>
    </x:row>
    <x:row r="3674" ht="22" customHeight="1">
      <x:c r="A3674" s="2" t="str">
        <x:v>L00397-080</x:v>
      </x:c>
      <x:c r="B3674" s="2" t="str">
        <x:v>L00397</x:v>
      </x:c>
      <x:c r="C3674" s="2" t="str">
        <x:v>SO-26080</x:v>
      </x:c>
      <x:c r="D3674" s="2" t="str">
        <x:v>S-C-SS</x:v>
      </x:c>
      <x:c r="E3674" s="14" t="n">
        <x:v>15</x:v>
      </x:c>
      <x:c r="F3674" s="2" t="str">
        <x:v>Final leak / function test</x:v>
      </x:c>
      <x:c r="G3674" s="9" t="str">
        <x:v>QA-02</x:v>
      </x:c>
      <x:c r="H3674" s="15" t="n">
        <x:v>279</x:v>
      </x:c>
      <x:c r="I3674" s="9" t="str">
        <x:v>P23</x:v>
      </x:c>
      <x:c r="J3674" s="11" t="n">
        <x:v>46314.81875</x:v>
      </x:c>
      <x:c r="K3674" s="15" t="n">
        <x:v>10</x:v>
      </x:c>
      <x:c r="L3674" s="15" t="n">
        <x:v>11</x:v>
      </x:c>
      <x:c r="M3674" s="13" t="n">
        <x:f>J3674+(K3674+L3674)/1440</x:f>
        <x:v>46314.83333333333</x:v>
      </x:c>
      <x:c r="N3674" s="13" t="n">
        <x:f>VLOOKUP(C3674,'MES orders'!$A$8:$H$127,5,FALSE)</x:f>
        <x:v>46311.666666666664</x:v>
      </x:c>
      <x:c r="O3674" s="16" t="n">
        <x:f>MAX(0,(M3674-N3674)*24)</x:f>
        <x:v>75.99999999994179</x:v>
      </x:c>
      <x:c r="P3674" s="9" t="str">
        <x:v>No</x:v>
      </x:c>
      <x:c r="Q3674" s="15" t="n">
        <x:v>21</x:v>
      </x:c>
      <x:c r="R3674" s="13" t="n">
        <x:f>J3674+Q3674/1440</x:f>
        <x:v>46314.83333333333</x:v>
      </x:c>
      <x:c r="S3674" s="2" t="str">
        <x:f>VLOOKUP(C3674,'MES orders'!$A$8:$H$127,6,FALSE)</x:f>
        <x:v>Normal</x:v>
      </x:c>
      <x:c r="T3674" s="9" t="str"/>
    </x:row>
    <x:row r="3675" ht="22" customHeight="1">
      <x:c r="A3675" s="2" t="str">
        <x:v>L00399-050</x:v>
      </x:c>
      <x:c r="B3675" s="2" t="str">
        <x:v>L00399</x:v>
      </x:c>
      <x:c r="C3675" s="2" t="str">
        <x:v>SO-26080</x:v>
      </x:c>
      <x:c r="D3675" s="2" t="str">
        <x:v>S-C-SS</x:v>
      </x:c>
      <x:c r="E3675" s="14" t="n">
        <x:v>15</x:v>
      </x:c>
      <x:c r="F3675" s="2" t="str">
        <x:v>Sensor installation</x:v>
      </x:c>
      <x:c r="G3675" s="9" t="str">
        <x:v>EL-02</x:v>
      </x:c>
      <x:c r="H3675" s="15" t="n">
        <x:v>63</x:v>
      </x:c>
      <x:c r="I3675" s="9" t="str">
        <x:v>P20</x:v>
      </x:c>
      <x:c r="J3675" s="11" t="n">
        <x:v>46314.82083333333</x:v>
      </x:c>
      <x:c r="K3675" s="15" t="n">
        <x:v>8</x:v>
      </x:c>
      <x:c r="L3675" s="15" t="n">
        <x:v>14</x:v>
      </x:c>
      <x:c r="M3675" s="13" t="n">
        <x:f>J3675+(K3675+L3675)/1440</x:f>
        <x:v>46314.83611111111</x:v>
      </x:c>
      <x:c r="N3675" s="13" t="n">
        <x:f>VLOOKUP(C3675,'MES orders'!$A$8:$H$127,5,FALSE)</x:f>
        <x:v>46311.666666666664</x:v>
      </x:c>
      <x:c r="O3675" s="16" t="n">
        <x:f>MAX(0,(M3675-N3675)*24)</x:f>
        <x:v>76.06666666665114</x:v>
      </x:c>
      <x:c r="P3675" s="9" t="str">
        <x:v>No</x:v>
      </x:c>
      <x:c r="Q3675" s="15" t="n">
        <x:v>22</x:v>
      </x:c>
      <x:c r="R3675" s="13" t="n">
        <x:f>J3675+Q3675/1440</x:f>
        <x:v>46314.83611111111</x:v>
      </x:c>
      <x:c r="S3675" s="2" t="str">
        <x:f>VLOOKUP(C3675,'MES orders'!$A$8:$H$127,6,FALSE)</x:f>
        <x:v>Normal</x:v>
      </x:c>
      <x:c r="T3675" s="9" t="str"/>
    </x:row>
    <x:row r="3676" ht="22" customHeight="1">
      <x:c r="A3676" s="2" t="str">
        <x:v>L00400-040</x:v>
      </x:c>
      <x:c r="B3676" s="2" t="str">
        <x:v>L00400</x:v>
      </x:c>
      <x:c r="C3676" s="2" t="str">
        <x:v>SO-26080</x:v>
      </x:c>
      <x:c r="D3676" s="2" t="str">
        <x:v>S-C-SS</x:v>
      </x:c>
      <x:c r="E3676" s="14" t="n">
        <x:v>15</x:v>
      </x:c>
      <x:c r="F3676" s="2" t="str">
        <x:v>Mechanical preassembly</x:v>
      </x:c>
      <x:c r="G3676" s="9" t="str">
        <x:v>AS-01</x:v>
      </x:c>
      <x:c r="H3676" s="15" t="n">
        <x:v>298</x:v>
      </x:c>
      <x:c r="I3676" s="9" t="str">
        <x:v>P16</x:v>
      </x:c>
      <x:c r="J3676" s="11" t="n">
        <x:v>46314.822916666664</x:v>
      </x:c>
      <x:c r="K3676" s="15" t="n">
        <x:v>6</x:v>
      </x:c>
      <x:c r="L3676" s="15" t="n">
        <x:v>13</x:v>
      </x:c>
      <x:c r="M3676" s="13" t="n">
        <x:f>J3676+(K3676+L3676)/1440</x:f>
        <x:v>46314.83611111111</x:v>
      </x:c>
      <x:c r="N3676" s="13" t="n">
        <x:f>VLOOKUP(C3676,'MES orders'!$A$8:$H$127,5,FALSE)</x:f>
        <x:v>46311.666666666664</x:v>
      </x:c>
      <x:c r="O3676" s="16" t="n">
        <x:f>MAX(0,(M3676-N3676)*24)</x:f>
        <x:v>76.06666666665114</x:v>
      </x:c>
      <x:c r="P3676" s="9" t="str">
        <x:v>No</x:v>
      </x:c>
      <x:c r="Q3676" s="15" t="n">
        <x:v>19</x:v>
      </x:c>
      <x:c r="R3676" s="13" t="n">
        <x:f>J3676+Q3676/1440</x:f>
        <x:v>46314.83611111111</x:v>
      </x:c>
      <x:c r="S3676" s="2" t="str">
        <x:f>VLOOKUP(C3676,'MES orders'!$A$8:$H$127,6,FALSE)</x:f>
        <x:v>Normal</x:v>
      </x:c>
      <x:c r="T3676" s="9" t="str"/>
    </x:row>
    <x:row r="3677" ht="22" customHeight="1">
      <x:c r="A3677" s="2" t="str">
        <x:v>L00398-060</x:v>
      </x:c>
      <x:c r="B3677" s="2" t="str">
        <x:v>L00398</x:v>
      </x:c>
      <x:c r="C3677" s="2" t="str">
        <x:v>SO-26080</x:v>
      </x:c>
      <x:c r="D3677" s="2" t="str">
        <x:v>S-C-SS</x:v>
      </x:c>
      <x:c r="E3677" s="14" t="n">
        <x:v>15</x:v>
      </x:c>
      <x:c r="F3677" s="2" t="str">
        <x:v>Sensor calibration</x:v>
      </x:c>
      <x:c r="G3677" s="9" t="str">
        <x:v>CAL-01</x:v>
      </x:c>
      <x:c r="H3677" s="15" t="n">
        <x:v>188</x:v>
      </x:c>
      <x:c r="I3677" s="9" t="str">
        <x:v>P21</x:v>
      </x:c>
      <x:c r="J3677" s="11" t="n">
        <x:v>46314.82708333333</x:v>
      </x:c>
      <x:c r="K3677" s="15" t="n">
        <x:v>10</x:v>
      </x:c>
      <x:c r="L3677" s="15" t="n">
        <x:v>16</x:v>
      </x:c>
      <x:c r="M3677" s="13" t="n">
        <x:f>J3677+(K3677+L3677)/1440</x:f>
        <x:v>46314.845138888886</x:v>
      </x:c>
      <x:c r="N3677" s="13" t="n">
        <x:f>VLOOKUP(C3677,'MES orders'!$A$8:$H$127,5,FALSE)</x:f>
        <x:v>46311.666666666664</x:v>
      </x:c>
      <x:c r="O3677" s="16" t="n">
        <x:f>MAX(0,(M3677-N3677)*24)</x:f>
        <x:v>76.28333333332557</x:v>
      </x:c>
      <x:c r="P3677" s="9" t="str">
        <x:v>No</x:v>
      </x:c>
      <x:c r="Q3677" s="15" t="n">
        <x:v>26</x:v>
      </x:c>
      <x:c r="R3677" s="13" t="n">
        <x:f>J3677+Q3677/1440</x:f>
        <x:v>46314.845138888886</x:v>
      </x:c>
      <x:c r="S3677" s="2" t="str">
        <x:f>VLOOKUP(C3677,'MES orders'!$A$8:$H$127,6,FALSE)</x:f>
        <x:v>Normal</x:v>
      </x:c>
      <x:c r="T3677" s="9" t="str"/>
    </x:row>
    <x:row r="3678" ht="22" customHeight="1">
      <x:c r="A3678" s="2" t="str">
        <x:v>L00437-020</x:v>
      </x:c>
      <x:c r="B3678" s="2" t="str">
        <x:v>L00437</x:v>
      </x:c>
      <x:c r="C3678" s="2" t="str">
        <x:v>SO-26088</x:v>
      </x:c>
      <x:c r="D3678" s="2" t="str">
        <x:v>S-S-SS</x:v>
      </x:c>
      <x:c r="E3678" s="14" t="n">
        <x:v>20</x:v>
      </x:c>
      <x:c r="F3678" s="2" t="str">
        <x:v>Deburr &amp; inspect</x:v>
      </x:c>
      <x:c r="G3678" s="9" t="str">
        <x:v>DB-01</x:v>
      </x:c>
      <x:c r="H3678" s="15" t="n">
        <x:v>345</x:v>
      </x:c>
      <x:c r="I3678" s="9" t="str">
        <x:v>P18</x:v>
      </x:c>
      <x:c r="J3678" s="11" t="n">
        <x:v>46314.82708333333</x:v>
      </x:c>
      <x:c r="K3678" s="15" t="n">
        <x:v>4</x:v>
      </x:c>
      <x:c r="L3678" s="15" t="n">
        <x:v>14</x:v>
      </x:c>
      <x:c r="M3678" s="13" t="n">
        <x:f>J3678+(K3678+L3678)/1440</x:f>
        <x:v>46314.83958333333</x:v>
      </x:c>
      <x:c r="N3678" s="13" t="n">
        <x:f>VLOOKUP(C3678,'MES orders'!$A$8:$H$127,5,FALSE)</x:f>
        <x:v>46311.666666666664</x:v>
      </x:c>
      <x:c r="O3678" s="16" t="n">
        <x:f>MAX(0,(M3678-N3678)*24)</x:f>
        <x:v>76.14999999990687</x:v>
      </x:c>
      <x:c r="P3678" s="9" t="str">
        <x:v>No</x:v>
      </x:c>
      <x:c r="Q3678" s="15" t="n">
        <x:v>18</x:v>
      </x:c>
      <x:c r="R3678" s="13" t="n">
        <x:f>J3678+Q3678/1440</x:f>
        <x:v>46314.83958333333</x:v>
      </x:c>
      <x:c r="S3678" s="2" t="str">
        <x:f>VLOOKUP(C3678,'MES orders'!$A$8:$H$127,6,FALSE)</x:f>
        <x:v>Normal</x:v>
      </x:c>
      <x:c r="T3678" s="9" t="str"/>
    </x:row>
    <x:row r="3679" ht="22" customHeight="1">
      <x:c r="A3679" s="2" t="str">
        <x:v>L00436-030</x:v>
      </x:c>
      <x:c r="B3679" s="2" t="str">
        <x:v>L00436</x:v>
      </x:c>
      <x:c r="C3679" s="2" t="str">
        <x:v>SO-26088</x:v>
      </x:c>
      <x:c r="D3679" s="2" t="str">
        <x:v>S-S-SS</x:v>
      </x:c>
      <x:c r="E3679" s="14" t="n">
        <x:v>20</x:v>
      </x:c>
      <x:c r="F3679" s="2" t="str">
        <x:v>Wash &amp; dry</x:v>
      </x:c>
      <x:c r="G3679" s="9" t="str">
        <x:v>WS-01</x:v>
      </x:c>
      <x:c r="H3679" s="15" t="n">
        <x:v>339</x:v>
      </x:c>
      <x:c r="I3679" s="9" t="str">
        <x:v>P17</x:v>
      </x:c>
      <x:c r="J3679" s="11" t="n">
        <x:v>46314.82708333333</x:v>
      </x:c>
      <x:c r="K3679" s="15" t="n">
        <x:v>12</x:v>
      </x:c>
      <x:c r="L3679" s="15" t="n">
        <x:v>7</x:v>
      </x:c>
      <x:c r="M3679" s="13" t="n">
        <x:f>J3679+(K3679+L3679)/1440</x:f>
        <x:v>46314.840277777774</x:v>
      </x:c>
      <x:c r="N3679" s="13" t="n">
        <x:f>VLOOKUP(C3679,'MES orders'!$A$8:$H$127,5,FALSE)</x:f>
        <x:v>46311.666666666664</x:v>
      </x:c>
      <x:c r="O3679" s="16" t="n">
        <x:f>MAX(0,(M3679-N3679)*24)</x:f>
        <x:v>76.16666666662786</x:v>
      </x:c>
      <x:c r="P3679" s="9" t="str">
        <x:v>No</x:v>
      </x:c>
      <x:c r="Q3679" s="15" t="n">
        <x:v>19</x:v>
      </x:c>
      <x:c r="R3679" s="13" t="n">
        <x:f>J3679+Q3679/1440</x:f>
        <x:v>46314.840277777774</x:v>
      </x:c>
      <x:c r="S3679" s="2" t="str">
        <x:f>VLOOKUP(C3679,'MES orders'!$A$8:$H$127,6,FALSE)</x:f>
        <x:v>Normal</x:v>
      </x:c>
      <x:c r="T3679" s="9" t="str"/>
    </x:row>
    <x:row r="3680" ht="22" customHeight="1">
      <x:c r="A3680" s="2" t="str">
        <x:v>L00479-010</x:v>
      </x:c>
      <x:c r="B3680" s="2" t="str">
        <x:v>L00479</x:v>
      </x:c>
      <x:c r="C3680" s="2" t="str">
        <x:v>SO-26096</x:v>
      </x:c>
      <x:c r="D3680" s="2" t="str">
        <x:v>S-L-SS</x:v>
      </x:c>
      <x:c r="E3680" s="14" t="n">
        <x:v>20</x:v>
      </x:c>
      <x:c r="F3680" s="2" t="str">
        <x:v>CNC machining</x:v>
      </x:c>
      <x:c r="G3680" s="9" t="str">
        <x:v>CNC-03</x:v>
      </x:c>
      <x:c r="H3680" s="15" t="n">
        <x:v>122</x:v>
      </x:c>
      <x:c r="I3680" s="9" t="str">
        <x:v>P13</x:v>
      </x:c>
      <x:c r="J3680" s="11" t="n">
        <x:v>46314.83194444444</x:v>
      </x:c>
      <x:c r="K3680" s="15" t="n">
        <x:v>18</x:v>
      </x:c>
      <x:c r="L3680" s="15" t="n">
        <x:v>81</x:v>
      </x:c>
      <x:c r="M3680" s="13" t="n">
        <x:f>J3680+(K3680+L3680)/1440</x:f>
        <x:v>46314.90069444444</x:v>
      </x:c>
      <x:c r="N3680" s="13" t="n">
        <x:f>VLOOKUP(C3680,'MES orders'!$A$8:$H$127,5,FALSE)</x:f>
        <x:v>46311.666666666664</x:v>
      </x:c>
      <x:c r="O3680" s="16" t="n">
        <x:f>MAX(0,(M3680-N3680)*24)</x:f>
        <x:v>77.6166666666395</x:v>
      </x:c>
      <x:c r="P3680" s="9" t="str">
        <x:v>No</x:v>
      </x:c>
      <x:c r="Q3680" s="15" t="n">
        <x:v>18</x:v>
      </x:c>
      <x:c r="R3680" s="13" t="n">
        <x:f>J3680+Q3680/1440</x:f>
        <x:v>46314.84444444444</x:v>
      </x:c>
      <x:c r="S3680" s="2" t="str">
        <x:f>VLOOKUP(C3680,'MES orders'!$A$8:$H$127,6,FALSE)</x:f>
        <x:v>Normal</x:v>
      </x:c>
      <x:c r="T3680" s="9" t="str"/>
    </x:row>
    <x:row r="3681" ht="22" customHeight="1">
      <x:c r="A3681" s="2" t="str">
        <x:v>L00400-050</x:v>
      </x:c>
      <x:c r="B3681" s="2" t="str">
        <x:v>L00400</x:v>
      </x:c>
      <x:c r="C3681" s="2" t="str">
        <x:v>SO-26080</x:v>
      </x:c>
      <x:c r="D3681" s="2" t="str">
        <x:v>S-C-SS</x:v>
      </x:c>
      <x:c r="E3681" s="14" t="n">
        <x:v>15</x:v>
      </x:c>
      <x:c r="F3681" s="2" t="str">
        <x:v>Sensor installation</x:v>
      </x:c>
      <x:c r="G3681" s="9" t="str">
        <x:v>EL-01</x:v>
      </x:c>
      <x:c r="H3681" s="15" t="n">
        <x:v>127</x:v>
      </x:c>
      <x:c r="I3681" s="9" t="str">
        <x:v>P19</x:v>
      </x:c>
      <x:c r="J3681" s="11" t="n">
        <x:v>46314.83611111111</x:v>
      </x:c>
      <x:c r="K3681" s="15" t="n">
        <x:v>8</x:v>
      </x:c>
      <x:c r="L3681" s="15" t="n">
        <x:v>14</x:v>
      </x:c>
      <x:c r="M3681" s="13" t="n">
        <x:f>J3681+(K3681+L3681)/1440</x:f>
        <x:v>46314.851388888885</x:v>
      </x:c>
      <x:c r="N3681" s="13" t="n">
        <x:f>VLOOKUP(C3681,'MES orders'!$A$8:$H$127,5,FALSE)</x:f>
        <x:v>46311.666666666664</x:v>
      </x:c>
      <x:c r="O3681" s="16" t="n">
        <x:f>MAX(0,(M3681-N3681)*24)</x:f>
        <x:v>76.43333333329065</x:v>
      </x:c>
      <x:c r="P3681" s="9" t="str">
        <x:v>No</x:v>
      </x:c>
      <x:c r="Q3681" s="15" t="n">
        <x:v>22</x:v>
      </x:c>
      <x:c r="R3681" s="13" t="n">
        <x:f>J3681+Q3681/1440</x:f>
        <x:v>46314.851388888885</x:v>
      </x:c>
      <x:c r="S3681" s="2" t="str">
        <x:f>VLOOKUP(C3681,'MES orders'!$A$8:$H$127,6,FALSE)</x:f>
        <x:v>Normal</x:v>
      </x:c>
      <x:c r="T3681" s="9" t="str"/>
    </x:row>
    <x:row r="3682" ht="22" customHeight="1">
      <x:c r="A3682" s="2" t="str">
        <x:v>L00437-030</x:v>
      </x:c>
      <x:c r="B3682" s="2" t="str">
        <x:v>L00437</x:v>
      </x:c>
      <x:c r="C3682" s="2" t="str">
        <x:v>SO-26088</x:v>
      </x:c>
      <x:c r="D3682" s="2" t="str">
        <x:v>S-S-SS</x:v>
      </x:c>
      <x:c r="E3682" s="14" t="n">
        <x:v>20</x:v>
      </x:c>
      <x:c r="F3682" s="2" t="str">
        <x:v>Wash &amp; dry</x:v>
      </x:c>
      <x:c r="G3682" s="9" t="str">
        <x:v>WS-02</x:v>
      </x:c>
      <x:c r="H3682" s="15" t="n">
        <x:v>243</x:v>
      </x:c>
      <x:c r="I3682" s="9" t="str">
        <x:v>P18</x:v>
      </x:c>
      <x:c r="J3682" s="11" t="n">
        <x:v>46314.839583333334</x:v>
      </x:c>
      <x:c r="K3682" s="15" t="n">
        <x:v>12</x:v>
      </x:c>
      <x:c r="L3682" s="15" t="n">
        <x:v>7</x:v>
      </x:c>
      <x:c r="M3682" s="13" t="n">
        <x:f>J3682+(K3682+L3682)/1440</x:f>
        <x:v>46314.85277777778</x:v>
      </x:c>
      <x:c r="N3682" s="13" t="n">
        <x:f>VLOOKUP(C3682,'MES orders'!$A$8:$H$127,5,FALSE)</x:f>
        <x:v>46311.666666666664</x:v>
      </x:c>
      <x:c r="O3682" s="16" t="n">
        <x:f>MAX(0,(M3682-N3682)*24)</x:f>
        <x:v>76.46666666673264</x:v>
      </x:c>
      <x:c r="P3682" s="9" t="str">
        <x:v>No</x:v>
      </x:c>
      <x:c r="Q3682" s="15" t="n">
        <x:v>19</x:v>
      </x:c>
      <x:c r="R3682" s="13" t="n">
        <x:f>J3682+Q3682/1440</x:f>
        <x:v>46314.85277777778</x:v>
      </x:c>
      <x:c r="S3682" s="2" t="str">
        <x:f>VLOOKUP(C3682,'MES orders'!$A$8:$H$127,6,FALSE)</x:f>
        <x:v>Normal</x:v>
      </x:c>
      <x:c r="T3682" s="9" t="str"/>
    </x:row>
    <x:row r="3683" ht="22" customHeight="1">
      <x:c r="A3683" s="2" t="str">
        <x:v>L00436-040</x:v>
      </x:c>
      <x:c r="B3683" s="2" t="str">
        <x:v>L00436</x:v>
      </x:c>
      <x:c r="C3683" s="2" t="str">
        <x:v>SO-26088</x:v>
      </x:c>
      <x:c r="D3683" s="2" t="str">
        <x:v>S-S-SS</x:v>
      </x:c>
      <x:c r="E3683" s="14" t="n">
        <x:v>20</x:v>
      </x:c>
      <x:c r="F3683" s="2" t="str">
        <x:v>Mechanical preassembly</x:v>
      </x:c>
      <x:c r="G3683" s="9" t="str">
        <x:v>AS-02</x:v>
      </x:c>
      <x:c r="H3683" s="15" t="n">
        <x:v>243</x:v>
      </x:c>
      <x:c r="I3683" s="9" t="str">
        <x:v>P16</x:v>
      </x:c>
      <x:c r="J3683" s="11" t="n">
        <x:v>46314.84027777778</x:v>
      </x:c>
      <x:c r="K3683" s="15" t="n">
        <x:v>6</x:v>
      </x:c>
      <x:c r="L3683" s="15" t="n">
        <x:v>22</x:v>
      </x:c>
      <x:c r="M3683" s="13" t="n">
        <x:f>J3683+(K3683+L3683)/1440</x:f>
        <x:v>46314.85972222222</x:v>
      </x:c>
      <x:c r="N3683" s="13" t="n">
        <x:f>VLOOKUP(C3683,'MES orders'!$A$8:$H$127,5,FALSE)</x:f>
        <x:v>46311.666666666664</x:v>
      </x:c>
      <x:c r="O3683" s="16" t="n">
        <x:f>MAX(0,(M3683-N3683)*24)</x:f>
        <x:v>76.6333333334187</x:v>
      </x:c>
      <x:c r="P3683" s="9" t="str">
        <x:v>No</x:v>
      </x:c>
      <x:c r="Q3683" s="15" t="n">
        <x:v>28</x:v>
      </x:c>
      <x:c r="R3683" s="13" t="n">
        <x:f>J3683+Q3683/1440</x:f>
        <x:v>46314.85972222222</x:v>
      </x:c>
      <x:c r="S3683" s="2" t="str">
        <x:f>VLOOKUP(C3683,'MES orders'!$A$8:$H$127,6,FALSE)</x:f>
        <x:v>Normal</x:v>
      </x:c>
      <x:c r="T3683" s="9" t="str"/>
    </x:row>
    <x:row r="3684" ht="22" customHeight="1">
      <x:c r="A3684" s="2" t="str">
        <x:v>L00398-070</x:v>
      </x:c>
      <x:c r="B3684" s="2" t="str">
        <x:v>L00398</x:v>
      </x:c>
      <x:c r="C3684" s="2" t="str">
        <x:v>SO-26080</x:v>
      </x:c>
      <x:c r="D3684" s="2" t="str">
        <x:v>S-C-SS</x:v>
      </x:c>
      <x:c r="E3684" s="14" t="n">
        <x:v>15</x:v>
      </x:c>
      <x:c r="F3684" s="2" t="str">
        <x:v>Final assembly</x:v>
      </x:c>
      <x:c r="G3684" s="9" t="str">
        <x:v>AS-01</x:v>
      </x:c>
      <x:c r="H3684" s="15" t="n">
        <x:v>299</x:v>
      </x:c>
      <x:c r="I3684" s="9" t="str">
        <x:v>P17</x:v>
      </x:c>
      <x:c r="J3684" s="11" t="n">
        <x:v>46314.845138888886</x:v>
      </x:c>
      <x:c r="K3684" s="15" t="n">
        <x:v>5</x:v>
      </x:c>
      <x:c r="L3684" s="15" t="n">
        <x:v>10</x:v>
      </x:c>
      <x:c r="M3684" s="13" t="n">
        <x:f>J3684+(K3684+L3684)/1440</x:f>
        <x:v>46314.85555555555</x:v>
      </x:c>
      <x:c r="N3684" s="13" t="n">
        <x:f>VLOOKUP(C3684,'MES orders'!$A$8:$H$127,5,FALSE)</x:f>
        <x:v>46311.666666666664</x:v>
      </x:c>
      <x:c r="O3684" s="16" t="n">
        <x:f>MAX(0,(M3684-N3684)*24)</x:f>
        <x:v>76.53333333326736</x:v>
      </x:c>
      <x:c r="P3684" s="9" t="str">
        <x:v>No</x:v>
      </x:c>
      <x:c r="Q3684" s="15" t="n">
        <x:v>15</x:v>
      </x:c>
      <x:c r="R3684" s="13" t="n">
        <x:f>J3684+Q3684/1440</x:f>
        <x:v>46314.85555555555</x:v>
      </x:c>
      <x:c r="S3684" s="2" t="str">
        <x:f>VLOOKUP(C3684,'MES orders'!$A$8:$H$127,6,FALSE)</x:f>
        <x:v>Normal</x:v>
      </x:c>
      <x:c r="T3684" s="9" t="str"/>
    </x:row>
    <x:row r="3685" ht="22" customHeight="1">
      <x:c r="A3685" s="2" t="str">
        <x:v>L00399-060</x:v>
      </x:c>
      <x:c r="B3685" s="2" t="str">
        <x:v>L00399</x:v>
      </x:c>
      <x:c r="C3685" s="2" t="str">
        <x:v>SO-26080</x:v>
      </x:c>
      <x:c r="D3685" s="2" t="str">
        <x:v>S-C-SS</x:v>
      </x:c>
      <x:c r="E3685" s="14" t="n">
        <x:v>15</x:v>
      </x:c>
      <x:c r="F3685" s="2" t="str">
        <x:v>Sensor calibration</x:v>
      </x:c>
      <x:c r="G3685" s="9" t="str">
        <x:v>CAL-01</x:v>
      </x:c>
      <x:c r="H3685" s="15" t="n">
        <x:v>189</x:v>
      </x:c>
      <x:c r="I3685" s="9" t="str">
        <x:v>P21</x:v>
      </x:c>
      <x:c r="J3685" s="11" t="n">
        <x:v>46314.845138888886</x:v>
      </x:c>
      <x:c r="K3685" s="15" t="n">
        <x:v>10</x:v>
      </x:c>
      <x:c r="L3685" s="15" t="n">
        <x:v>16</x:v>
      </x:c>
      <x:c r="M3685" s="13" t="n">
        <x:f>J3685+(K3685+L3685)/1440</x:f>
        <x:v>46314.86319444444</x:v>
      </x:c>
      <x:c r="N3685" s="13" t="n">
        <x:f>VLOOKUP(C3685,'MES orders'!$A$8:$H$127,5,FALSE)</x:f>
        <x:v>46311.666666666664</x:v>
      </x:c>
      <x:c r="O3685" s="16" t="n">
        <x:f>MAX(0,(M3685-N3685)*24)</x:f>
        <x:v>76.71666666667443</x:v>
      </x:c>
      <x:c r="P3685" s="9" t="str">
        <x:v>No</x:v>
      </x:c>
      <x:c r="Q3685" s="15" t="n">
        <x:v>26</x:v>
      </x:c>
      <x:c r="R3685" s="13" t="n">
        <x:f>J3685+Q3685/1440</x:f>
        <x:v>46314.86319444444</x:v>
      </x:c>
      <x:c r="S3685" s="2" t="str">
        <x:f>VLOOKUP(C3685,'MES orders'!$A$8:$H$127,6,FALSE)</x:f>
        <x:v>Normal</x:v>
      </x:c>
      <x:c r="T3685" s="9" t="str"/>
    </x:row>
    <x:row r="3686" ht="22" customHeight="1">
      <x:c r="A3686" s="2" t="str">
        <x:v>L00516-010</x:v>
      </x:c>
      <x:c r="B3686" s="2" t="str">
        <x:v>L00516</x:v>
      </x:c>
      <x:c r="C3686" s="2" t="str">
        <x:v>SO-26104</x:v>
      </x:c>
      <x:c r="D3686" s="2" t="str">
        <x:v>D-C-SS</x:v>
      </x:c>
      <x:c r="E3686" s="14" t="n">
        <x:v>15</x:v>
      </x:c>
      <x:c r="F3686" s="2" t="str">
        <x:v>CNC machining</x:v>
      </x:c>
      <x:c r="G3686" s="9" t="str">
        <x:v>CNC-04</x:v>
      </x:c>
      <x:c r="H3686" s="15" t="n">
        <x:v>117</x:v>
      </x:c>
      <x:c r="I3686" s="9" t="str">
        <x:v>P14</x:v>
      </x:c>
      <x:c r="J3686" s="11" t="n">
        <x:v>46314.85</x:v>
      </x:c>
      <x:c r="K3686" s="15" t="n">
        <x:v>18</x:v>
      </x:c>
      <x:c r="L3686" s="15" t="n">
        <x:v>36</x:v>
      </x:c>
      <x:c r="M3686" s="13" t="n">
        <x:f>J3686+(K3686+L3686)/1440</x:f>
        <x:v>46314.8875</x:v>
      </x:c>
      <x:c r="N3686" s="13" t="n">
        <x:f>VLOOKUP(C3686,'MES orders'!$A$8:$H$127,5,FALSE)</x:f>
        <x:v>46311.666666666664</x:v>
      </x:c>
      <x:c r="O3686" s="16" t="n">
        <x:f>MAX(0,(M3686-N3686)*24)</x:f>
        <x:v>77.29999999998836</x:v>
      </x:c>
      <x:c r="P3686" s="9" t="str">
        <x:v>No</x:v>
      </x:c>
      <x:c r="Q3686" s="15" t="n">
        <x:v>18</x:v>
      </x:c>
      <x:c r="R3686" s="13" t="n">
        <x:f>J3686+Q3686/1440</x:f>
        <x:v>46314.862499999996</x:v>
      </x:c>
      <x:c r="S3686" s="2" t="str">
        <x:f>VLOOKUP(C3686,'MES orders'!$A$8:$H$127,6,FALSE)</x:f>
        <x:v>Normal</x:v>
      </x:c>
      <x:c r="T3686" s="9" t="str"/>
    </x:row>
    <x:row r="3687" ht="22" customHeight="1">
      <x:c r="A3687" s="2" t="str">
        <x:v>L00437-040</x:v>
      </x:c>
      <x:c r="B3687" s="2" t="str">
        <x:v>L00437</x:v>
      </x:c>
      <x:c r="C3687" s="2" t="str">
        <x:v>SO-26088</x:v>
      </x:c>
      <x:c r="D3687" s="2" t="str">
        <x:v>S-S-SS</x:v>
      </x:c>
      <x:c r="E3687" s="14" t="n">
        <x:v>20</x:v>
      </x:c>
      <x:c r="F3687" s="2" t="str">
        <x:v>Mechanical preassembly</x:v>
      </x:c>
      <x:c r="G3687" s="9" t="str">
        <x:v>AS-03</x:v>
      </x:c>
      <x:c r="H3687" s="15" t="n">
        <x:v>197</x:v>
      </x:c>
      <x:c r="I3687" s="9" t="str">
        <x:v>P18</x:v>
      </x:c>
      <x:c r="J3687" s="11" t="n">
        <x:v>46314.85277777778</x:v>
      </x:c>
      <x:c r="K3687" s="15" t="n">
        <x:v>6</x:v>
      </x:c>
      <x:c r="L3687" s="15" t="n">
        <x:v>22</x:v>
      </x:c>
      <x:c r="M3687" s="13" t="n">
        <x:f>J3687+(K3687+L3687)/1440</x:f>
        <x:v>46314.87222222222</x:v>
      </x:c>
      <x:c r="N3687" s="13" t="n">
        <x:f>VLOOKUP(C3687,'MES orders'!$A$8:$H$127,5,FALSE)</x:f>
        <x:v>46311.666666666664</x:v>
      </x:c>
      <x:c r="O3687" s="16" t="n">
        <x:f>MAX(0,(M3687-N3687)*24)</x:f>
        <x:v>76.93333333334886</x:v>
      </x:c>
      <x:c r="P3687" s="9" t="str">
        <x:v>No</x:v>
      </x:c>
      <x:c r="Q3687" s="15" t="n">
        <x:v>28</x:v>
      </x:c>
      <x:c r="R3687" s="13" t="n">
        <x:f>J3687+Q3687/1440</x:f>
        <x:v>46314.87222222222</x:v>
      </x:c>
      <x:c r="S3687" s="2" t="str">
        <x:f>VLOOKUP(C3687,'MES orders'!$A$8:$H$127,6,FALSE)</x:f>
        <x:v>Normal</x:v>
      </x:c>
      <x:c r="T3687" s="9" t="str"/>
    </x:row>
    <x:row r="3688" ht="22" customHeight="1">
      <x:c r="A3688" s="2" t="str">
        <x:v>L00517-010</x:v>
      </x:c>
      <x:c r="B3688" s="2" t="str">
        <x:v>L00517</x:v>
      </x:c>
      <x:c r="C3688" s="2" t="str">
        <x:v>SO-26104</x:v>
      </x:c>
      <x:c r="D3688" s="2" t="str">
        <x:v>D-C-SS</x:v>
      </x:c>
      <x:c r="E3688" s="14" t="n">
        <x:v>15</x:v>
      </x:c>
      <x:c r="F3688" s="2" t="str">
        <x:v>CNC machining</x:v>
      </x:c>
      <x:c r="G3688" s="9" t="str">
        <x:v>CNC-05</x:v>
      </x:c>
      <x:c r="H3688" s="15" t="n">
        <x:v>105</x:v>
      </x:c>
      <x:c r="I3688" s="9" t="str">
        <x:v>P15</x:v>
      </x:c>
      <x:c r="J3688" s="11" t="n">
        <x:v>46314.85277777778</x:v>
      </x:c>
      <x:c r="K3688" s="15" t="n">
        <x:v>18</x:v>
      </x:c>
      <x:c r="L3688" s="15" t="n">
        <x:v>36</x:v>
      </x:c>
      <x:c r="M3688" s="13" t="n">
        <x:f>J3688+(K3688+L3688)/1440</x:f>
        <x:v>46314.89027777778</x:v>
      </x:c>
      <x:c r="N3688" s="13" t="n">
        <x:f>VLOOKUP(C3688,'MES orders'!$A$8:$H$127,5,FALSE)</x:f>
        <x:v>46311.666666666664</x:v>
      </x:c>
      <x:c r="O3688" s="16" t="n">
        <x:f>MAX(0,(M3688-N3688)*24)</x:f>
        <x:v>77.36666666669771</x:v>
      </x:c>
      <x:c r="P3688" s="9" t="str">
        <x:v>No</x:v>
      </x:c>
      <x:c r="Q3688" s="15" t="n">
        <x:v>18</x:v>
      </x:c>
      <x:c r="R3688" s="13" t="n">
        <x:f>J3688+Q3688/1440</x:f>
        <x:v>46314.865277777775</x:v>
      </x:c>
      <x:c r="S3688" s="2" t="str">
        <x:f>VLOOKUP(C3688,'MES orders'!$A$8:$H$127,6,FALSE)</x:f>
        <x:v>Normal</x:v>
      </x:c>
      <x:c r="T3688" s="9" t="str"/>
    </x:row>
    <x:row r="3689" ht="22" customHeight="1">
      <x:c r="A3689" s="2" t="str">
        <x:v>L00477-020</x:v>
      </x:c>
      <x:c r="B3689" s="2" t="str">
        <x:v>L00477</x:v>
      </x:c>
      <x:c r="C3689" s="2" t="str">
        <x:v>SO-26096</x:v>
      </x:c>
      <x:c r="D3689" s="2" t="str">
        <x:v>S-L-SS</x:v>
      </x:c>
      <x:c r="E3689" s="14" t="n">
        <x:v>20</x:v>
      </x:c>
      <x:c r="F3689" s="2" t="str">
        <x:v>Deburr &amp; inspect</x:v>
      </x:c>
      <x:c r="G3689" s="9" t="str">
        <x:v>DB-02</x:v>
      </x:c>
      <x:c r="H3689" s="15" t="n">
        <x:v>238</x:v>
      </x:c>
      <x:c r="I3689" s="9" t="str">
        <x:v>P13</x:v>
      </x:c>
      <x:c r="J3689" s="11" t="n">
        <x:v>46314.85277777778</x:v>
      </x:c>
      <x:c r="K3689" s="15" t="n">
        <x:v>4</x:v>
      </x:c>
      <x:c r="L3689" s="15" t="n">
        <x:v>19</x:v>
      </x:c>
      <x:c r="M3689" s="13" t="n">
        <x:f>J3689+(K3689+L3689)/1440</x:f>
        <x:v>46314.86875</x:v>
      </x:c>
      <x:c r="N3689" s="13" t="n">
        <x:f>VLOOKUP(C3689,'MES orders'!$A$8:$H$127,5,FALSE)</x:f>
        <x:v>46311.666666666664</x:v>
      </x:c>
      <x:c r="O3689" s="16" t="n">
        <x:f>MAX(0,(M3689-N3689)*24)</x:f>
        <x:v>76.85000000009313</x:v>
      </x:c>
      <x:c r="P3689" s="9" t="str">
        <x:v>No</x:v>
      </x:c>
      <x:c r="Q3689" s="15" t="n">
        <x:v>23</x:v>
      </x:c>
      <x:c r="R3689" s="13" t="n">
        <x:f>J3689+Q3689/1440</x:f>
        <x:v>46314.86875</x:v>
      </x:c>
      <x:c r="S3689" s="2" t="str">
        <x:f>VLOOKUP(C3689,'MES orders'!$A$8:$H$127,6,FALSE)</x:f>
        <x:v>Normal</x:v>
      </x:c>
      <x:c r="T3689" s="9" t="str"/>
    </x:row>
    <x:row r="3690" ht="22" customHeight="1">
      <x:c r="A3690" s="2" t="str">
        <x:v>L00398-080</x:v>
      </x:c>
      <x:c r="B3690" s="2" t="str">
        <x:v>L00398</x:v>
      </x:c>
      <x:c r="C3690" s="2" t="str">
        <x:v>SO-26080</x:v>
      </x:c>
      <x:c r="D3690" s="2" t="str">
        <x:v>S-C-SS</x:v>
      </x:c>
      <x:c r="E3690" s="14" t="n">
        <x:v>15</x:v>
      </x:c>
      <x:c r="F3690" s="2" t="str">
        <x:v>Final leak / function test</x:v>
      </x:c>
      <x:c r="G3690" s="9" t="str">
        <x:v>QA-02</x:v>
      </x:c>
      <x:c r="H3690" s="15" t="n">
        <x:v>280</x:v>
      </x:c>
      <x:c r="I3690" s="9" t="str">
        <x:v>P23</x:v>
      </x:c>
      <x:c r="J3690" s="11" t="n">
        <x:v>46314.85555555556</x:v>
      </x:c>
      <x:c r="K3690" s="15" t="n">
        <x:v>10</x:v>
      </x:c>
      <x:c r="L3690" s="15" t="n">
        <x:v>11</x:v>
      </x:c>
      <x:c r="M3690" s="13" t="n">
        <x:f>J3690+(K3690+L3690)/1440</x:f>
        <x:v>46314.87013888889</x:v>
      </x:c>
      <x:c r="N3690" s="13" t="n">
        <x:f>VLOOKUP(C3690,'MES orders'!$A$8:$H$127,5,FALSE)</x:f>
        <x:v>46311.666666666664</x:v>
      </x:c>
      <x:c r="O3690" s="16" t="n">
        <x:f>MAX(0,(M3690-N3690)*24)</x:f>
        <x:v>76.8833333333605</x:v>
      </x:c>
      <x:c r="P3690" s="9" t="str">
        <x:v>No</x:v>
      </x:c>
      <x:c r="Q3690" s="15" t="n">
        <x:v>21</x:v>
      </x:c>
      <x:c r="R3690" s="13" t="n">
        <x:f>J3690+Q3690/1440</x:f>
        <x:v>46314.87013888889</x:v>
      </x:c>
      <x:c r="S3690" s="2" t="str">
        <x:f>VLOOKUP(C3690,'MES orders'!$A$8:$H$127,6,FALSE)</x:f>
        <x:v>Normal</x:v>
      </x:c>
      <x:c r="T3690" s="9" t="str"/>
    </x:row>
    <x:row r="3691" ht="22" customHeight="1">
      <x:c r="A3691" s="2" t="str">
        <x:v>L00438-020</x:v>
      </x:c>
      <x:c r="B3691" s="2" t="str">
        <x:v>L00438</x:v>
      </x:c>
      <x:c r="C3691" s="2" t="str">
        <x:v>SO-26088</x:v>
      </x:c>
      <x:c r="D3691" s="2" t="str">
        <x:v>S-S-SS</x:v>
      </x:c>
      <x:c r="E3691" s="14" t="n">
        <x:v>20</x:v>
      </x:c>
      <x:c r="F3691" s="2" t="str">
        <x:v>Deburr &amp; inspect</x:v>
      </x:c>
      <x:c r="G3691" s="9" t="str">
        <x:v>DB-01</x:v>
      </x:c>
      <x:c r="H3691" s="15" t="n">
        <x:v>346</x:v>
      </x:c>
      <x:c r="I3691" s="9" t="str">
        <x:v>P16</x:v>
      </x:c>
      <x:c r="J3691" s="11" t="n">
        <x:v>46314.85972222222</x:v>
      </x:c>
      <x:c r="K3691" s="15" t="n">
        <x:v>4</x:v>
      </x:c>
      <x:c r="L3691" s="15" t="n">
        <x:v>14</x:v>
      </x:c>
      <x:c r="M3691" s="13" t="n">
        <x:f>J3691+(K3691+L3691)/1440</x:f>
        <x:v>46314.87222222222</x:v>
      </x:c>
      <x:c r="N3691" s="13" t="n">
        <x:f>VLOOKUP(C3691,'MES orders'!$A$8:$H$127,5,FALSE)</x:f>
        <x:v>46311.666666666664</x:v>
      </x:c>
      <x:c r="O3691" s="16" t="n">
        <x:f>MAX(0,(M3691-N3691)*24)</x:f>
        <x:v>76.93333333334886</x:v>
      </x:c>
      <x:c r="P3691" s="9" t="str">
        <x:v>No</x:v>
      </x:c>
      <x:c r="Q3691" s="15" t="n">
        <x:v>18</x:v>
      </x:c>
      <x:c r="R3691" s="13" t="n">
        <x:f>J3691+Q3691/1440</x:f>
        <x:v>46314.87222222222</x:v>
      </x:c>
      <x:c r="S3691" s="2" t="str">
        <x:f>VLOOKUP(C3691,'MES orders'!$A$8:$H$127,6,FALSE)</x:f>
        <x:v>Normal</x:v>
      </x:c>
      <x:c r="T3691" s="9" t="str"/>
    </x:row>
    <x:row r="3692" ht="22" customHeight="1">
      <x:c r="A3692" s="2" t="str">
        <x:v>L00436-050</x:v>
      </x:c>
      <x:c r="B3692" s="2" t="str">
        <x:v>L00436</x:v>
      </x:c>
      <x:c r="C3692" s="2" t="str">
        <x:v>SO-26088</x:v>
      </x:c>
      <x:c r="D3692" s="2" t="str">
        <x:v>S-S-SS</x:v>
      </x:c>
      <x:c r="E3692" s="14" t="n">
        <x:v>20</x:v>
      </x:c>
      <x:c r="F3692" s="2" t="str">
        <x:v>Sensor installation</x:v>
      </x:c>
      <x:c r="G3692" s="9" t="str">
        <x:v>EL-01</x:v>
      </x:c>
      <x:c r="H3692" s="15" t="n">
        <x:v>128</x:v>
      </x:c>
      <x:c r="I3692" s="9" t="str">
        <x:v>P19</x:v>
      </x:c>
      <x:c r="J3692" s="11" t="n">
        <x:v>46314.85972222222</x:v>
      </x:c>
      <x:c r="K3692" s="15" t="n">
        <x:v>8</x:v>
      </x:c>
      <x:c r="L3692" s="15" t="n">
        <x:v>24</x:v>
      </x:c>
      <x:c r="M3692" s="13" t="n">
        <x:f>J3692+(K3692+L3692)/1440</x:f>
        <x:v>46314.881944444445</x:v>
      </x:c>
      <x:c r="N3692" s="13" t="n">
        <x:f>VLOOKUP(C3692,'MES orders'!$A$8:$H$127,5,FALSE)</x:f>
        <x:v>46311.666666666664</x:v>
      </x:c>
      <x:c r="O3692" s="16" t="n">
        <x:f>MAX(0,(M3692-N3692)*24)</x:f>
        <x:v>77.16666666674428</x:v>
      </x:c>
      <x:c r="P3692" s="9" t="str">
        <x:v>No</x:v>
      </x:c>
      <x:c r="Q3692" s="15" t="n">
        <x:v>32</x:v>
      </x:c>
      <x:c r="R3692" s="13" t="n">
        <x:f>J3692+Q3692/1440</x:f>
        <x:v>46314.881944444445</x:v>
      </x:c>
      <x:c r="S3692" s="2" t="str">
        <x:f>VLOOKUP(C3692,'MES orders'!$A$8:$H$127,6,FALSE)</x:f>
        <x:v>Normal</x:v>
      </x:c>
      <x:c r="T3692" s="9" t="str"/>
    </x:row>
    <x:row r="3693" ht="22" customHeight="1">
      <x:c r="A3693" s="2" t="str">
        <x:v>L00399-070</x:v>
      </x:c>
      <x:c r="B3693" s="2" t="str">
        <x:v>L00399</x:v>
      </x:c>
      <x:c r="C3693" s="2" t="str">
        <x:v>SO-26080</x:v>
      </x:c>
      <x:c r="D3693" s="2" t="str">
        <x:v>S-C-SS</x:v>
      </x:c>
      <x:c r="E3693" s="14" t="n">
        <x:v>15</x:v>
      </x:c>
      <x:c r="F3693" s="2" t="str">
        <x:v>Final assembly</x:v>
      </x:c>
      <x:c r="G3693" s="9" t="str">
        <x:v>AS-01</x:v>
      </x:c>
      <x:c r="H3693" s="15" t="n">
        <x:v>300</x:v>
      </x:c>
      <x:c r="I3693" s="9" t="str">
        <x:v>P17</x:v>
      </x:c>
      <x:c r="J3693" s="11" t="n">
        <x:v>46314.86319444444</x:v>
      </x:c>
      <x:c r="K3693" s="15" t="n">
        <x:v>5</x:v>
      </x:c>
      <x:c r="L3693" s="15" t="n">
        <x:v>10</x:v>
      </x:c>
      <x:c r="M3693" s="13" t="n">
        <x:f>J3693+(K3693+L3693)/1440</x:f>
        <x:v>46314.87361111111</x:v>
      </x:c>
      <x:c r="N3693" s="13" t="n">
        <x:f>VLOOKUP(C3693,'MES orders'!$A$8:$H$127,5,FALSE)</x:f>
        <x:v>46311.666666666664</x:v>
      </x:c>
      <x:c r="O3693" s="16" t="n">
        <x:f>MAX(0,(M3693-N3693)*24)</x:f>
        <x:v>76.96666666661622</x:v>
      </x:c>
      <x:c r="P3693" s="9" t="str">
        <x:v>No</x:v>
      </x:c>
      <x:c r="Q3693" s="15" t="n">
        <x:v>15</x:v>
      </x:c>
      <x:c r="R3693" s="13" t="n">
        <x:f>J3693+Q3693/1440</x:f>
        <x:v>46314.87361111111</x:v>
      </x:c>
      <x:c r="S3693" s="2" t="str">
        <x:f>VLOOKUP(C3693,'MES orders'!$A$8:$H$127,6,FALSE)</x:f>
        <x:v>Normal</x:v>
      </x:c>
      <x:c r="T3693" s="9" t="str"/>
    </x:row>
    <x:row r="3694" ht="22" customHeight="1">
      <x:c r="A3694" s="2" t="str">
        <x:v>L00400-060</x:v>
      </x:c>
      <x:c r="B3694" s="2" t="str">
        <x:v>L00400</x:v>
      </x:c>
      <x:c r="C3694" s="2" t="str">
        <x:v>SO-26080</x:v>
      </x:c>
      <x:c r="D3694" s="2" t="str">
        <x:v>S-C-SS</x:v>
      </x:c>
      <x:c r="E3694" s="14" t="n">
        <x:v>15</x:v>
      </x:c>
      <x:c r="F3694" s="2" t="str">
        <x:v>Sensor calibration</x:v>
      </x:c>
      <x:c r="G3694" s="9" t="str">
        <x:v>CAL-01</x:v>
      </x:c>
      <x:c r="H3694" s="15" t="n">
        <x:v>190</x:v>
      </x:c>
      <x:c r="I3694" s="9" t="str">
        <x:v>P21</x:v>
      </x:c>
      <x:c r="J3694" s="11" t="n">
        <x:v>46314.86319444444</x:v>
      </x:c>
      <x:c r="K3694" s="15" t="n">
        <x:v>10</x:v>
      </x:c>
      <x:c r="L3694" s="15" t="n">
        <x:v>16</x:v>
      </x:c>
      <x:c r="M3694" s="13" t="n">
        <x:f>J3694+(K3694+L3694)/1440</x:f>
        <x:v>46314.88125</x:v>
      </x:c>
      <x:c r="N3694" s="13" t="n">
        <x:f>VLOOKUP(C3694,'MES orders'!$A$8:$H$127,5,FALSE)</x:f>
        <x:v>46311.666666666664</x:v>
      </x:c>
      <x:c r="O3694" s="16" t="n">
        <x:f>MAX(0,(M3694-N3694)*24)</x:f>
        <x:v>77.15000000002328</x:v>
      </x:c>
      <x:c r="P3694" s="9" t="str">
        <x:v>No</x:v>
      </x:c>
      <x:c r="Q3694" s="15" t="n">
        <x:v>26</x:v>
      </x:c>
      <x:c r="R3694" s="13" t="n">
        <x:f>J3694+Q3694/1440</x:f>
        <x:v>46314.88125</x:v>
      </x:c>
      <x:c r="S3694" s="2" t="str">
        <x:f>VLOOKUP(C3694,'MES orders'!$A$8:$H$127,6,FALSE)</x:f>
        <x:v>Normal</x:v>
      </x:c>
      <x:c r="T3694" s="9" t="str"/>
    </x:row>
    <x:row r="3695" ht="22" customHeight="1">
      <x:c r="A3695" s="2" t="str">
        <x:v>L00518-010</x:v>
      </x:c>
      <x:c r="B3695" s="2" t="str">
        <x:v>L00518</x:v>
      </x:c>
      <x:c r="C3695" s="2" t="str">
        <x:v>SO-26104</x:v>
      </x:c>
      <x:c r="D3695" s="2" t="str">
        <x:v>D-C-SS</x:v>
      </x:c>
      <x:c r="E3695" s="14" t="n">
        <x:v>15</x:v>
      </x:c>
      <x:c r="F3695" s="2" t="str">
        <x:v>CNC machining</x:v>
      </x:c>
      <x:c r="G3695" s="9" t="str">
        <x:v>CNC-06</x:v>
      </x:c>
      <x:c r="H3695" s="15" t="n">
        <x:v>96</x:v>
      </x:c>
      <x:c r="I3695" s="9" t="str">
        <x:v>P15</x:v>
      </x:c>
      <x:c r="J3695" s="11" t="n">
        <x:v>46314.865277777775</x:v>
      </x:c>
      <x:c r="K3695" s="15" t="n">
        <x:v>18</x:v>
      </x:c>
      <x:c r="L3695" s="15" t="n">
        <x:v>36</x:v>
      </x:c>
      <x:c r="M3695" s="13" t="n">
        <x:f>J3695+(K3695+L3695)/1440</x:f>
        <x:v>46314.902777777774</x:v>
      </x:c>
      <x:c r="N3695" s="13" t="n">
        <x:f>VLOOKUP(C3695,'MES orders'!$A$8:$H$127,5,FALSE)</x:f>
        <x:v>46311.666666666664</x:v>
      </x:c>
      <x:c r="O3695" s="16" t="n">
        <x:f>MAX(0,(M3695-N3695)*24)</x:f>
        <x:v>77.66666666662786</x:v>
      </x:c>
      <x:c r="P3695" s="9" t="str">
        <x:v>No</x:v>
      </x:c>
      <x:c r="Q3695" s="15" t="n">
        <x:v>18</x:v>
      </x:c>
      <x:c r="R3695" s="13" t="n">
        <x:f>J3695+Q3695/1440</x:f>
        <x:v>46314.87777777777</x:v>
      </x:c>
      <x:c r="S3695" s="2" t="str">
        <x:f>VLOOKUP(C3695,'MES orders'!$A$8:$H$127,6,FALSE)</x:f>
        <x:v>Normal</x:v>
      </x:c>
      <x:c r="T3695" s="9" t="str"/>
    </x:row>
    <x:row r="3696" ht="22" customHeight="1">
      <x:c r="A3696" s="2" t="str">
        <x:v>L00478-020</x:v>
      </x:c>
      <x:c r="B3696" s="2" t="str">
        <x:v>L00478</x:v>
      </x:c>
      <x:c r="C3696" s="2" t="str">
        <x:v>SO-26096</x:v>
      </x:c>
      <x:c r="D3696" s="2" t="str">
        <x:v>S-L-SS</x:v>
      </x:c>
      <x:c r="E3696" s="14" t="n">
        <x:v>20</x:v>
      </x:c>
      <x:c r="F3696" s="2" t="str">
        <x:v>Deburr &amp; inspect</x:v>
      </x:c>
      <x:c r="G3696" s="9" t="str">
        <x:v>DB-02</x:v>
      </x:c>
      <x:c r="H3696" s="15" t="n">
        <x:v>239</x:v>
      </x:c>
      <x:c r="I3696" s="9" t="str">
        <x:v>P14</x:v>
      </x:c>
      <x:c r="J3696" s="11" t="n">
        <x:v>46314.86875</x:v>
      </x:c>
      <x:c r="K3696" s="15" t="n">
        <x:v>4</x:v>
      </x:c>
      <x:c r="L3696" s="15" t="n">
        <x:v>19</x:v>
      </x:c>
      <x:c r="M3696" s="13" t="n">
        <x:f>J3696+(K3696+L3696)/1440</x:f>
        <x:v>46314.884722222225</x:v>
      </x:c>
      <x:c r="N3696" s="13" t="n">
        <x:f>VLOOKUP(C3696,'MES orders'!$A$8:$H$127,5,FALSE)</x:f>
        <x:v>46311.666666666664</x:v>
      </x:c>
      <x:c r="O3696" s="16" t="n">
        <x:f>MAX(0,(M3696-N3696)*24)</x:f>
        <x:v>77.23333333345363</x:v>
      </x:c>
      <x:c r="P3696" s="9" t="str">
        <x:v>No</x:v>
      </x:c>
      <x:c r="Q3696" s="15" t="n">
        <x:v>23</x:v>
      </x:c>
      <x:c r="R3696" s="13" t="n">
        <x:f>J3696+Q3696/1440</x:f>
        <x:v>46314.884722222225</x:v>
      </x:c>
      <x:c r="S3696" s="2" t="str">
        <x:f>VLOOKUP(C3696,'MES orders'!$A$8:$H$127,6,FALSE)</x:f>
        <x:v>Normal</x:v>
      </x:c>
      <x:c r="T3696" s="9" t="str"/>
    </x:row>
    <x:row r="3697" ht="22" customHeight="1">
      <x:c r="A3697" s="2" t="str">
        <x:v>L00477-030</x:v>
      </x:c>
      <x:c r="B3697" s="2" t="str">
        <x:v>L00477</x:v>
      </x:c>
      <x:c r="C3697" s="2" t="str">
        <x:v>SO-26096</x:v>
      </x:c>
      <x:c r="D3697" s="2" t="str">
        <x:v>S-L-SS</x:v>
      </x:c>
      <x:c r="E3697" s="14" t="n">
        <x:v>20</x:v>
      </x:c>
      <x:c r="F3697" s="2" t="str">
        <x:v>Wash &amp; dry</x:v>
      </x:c>
      <x:c r="G3697" s="9" t="str">
        <x:v>WS-02</x:v>
      </x:c>
      <x:c r="H3697" s="15" t="n">
        <x:v>244</x:v>
      </x:c>
      <x:c r="I3697" s="9" t="str">
        <x:v>P13</x:v>
      </x:c>
      <x:c r="J3697" s="11" t="n">
        <x:v>46314.86875</x:v>
      </x:c>
      <x:c r="K3697" s="15" t="n">
        <x:v>12</x:v>
      </x:c>
      <x:c r="L3697" s="15" t="n">
        <x:v>9</x:v>
      </x:c>
      <x:c r="M3697" s="13" t="n">
        <x:f>J3697+(K3697+L3697)/1440</x:f>
        <x:v>46314.88333333333</x:v>
      </x:c>
      <x:c r="N3697" s="13" t="n">
        <x:f>VLOOKUP(C3697,'MES orders'!$A$8:$H$127,5,FALSE)</x:f>
        <x:v>46311.666666666664</x:v>
      </x:c>
      <x:c r="O3697" s="16" t="n">
        <x:f>MAX(0,(M3697-N3697)*24)</x:f>
        <x:v>77.20000000001164</x:v>
      </x:c>
      <x:c r="P3697" s="9" t="str">
        <x:v>No</x:v>
      </x:c>
      <x:c r="Q3697" s="15" t="n">
        <x:v>21</x:v>
      </x:c>
      <x:c r="R3697" s="13" t="n">
        <x:f>J3697+Q3697/1440</x:f>
        <x:v>46314.88333333333</x:v>
      </x:c>
      <x:c r="S3697" s="2" t="str">
        <x:f>VLOOKUP(C3697,'MES orders'!$A$8:$H$127,6,FALSE)</x:f>
        <x:v>Normal</x:v>
      </x:c>
      <x:c r="T3697" s="9" t="str"/>
    </x:row>
    <x:row r="3698" ht="22" customHeight="1">
      <x:c r="A3698" s="2" t="str">
        <x:v>L00439-020</x:v>
      </x:c>
      <x:c r="B3698" s="2" t="str">
        <x:v>L00439</x:v>
      </x:c>
      <x:c r="C3698" s="2" t="str">
        <x:v>SO-26088</x:v>
      </x:c>
      <x:c r="D3698" s="2" t="str">
        <x:v>S-S-SS</x:v>
      </x:c>
      <x:c r="E3698" s="14" t="n">
        <x:v>20</x:v>
      </x:c>
      <x:c r="F3698" s="2" t="str">
        <x:v>Deburr &amp; inspect</x:v>
      </x:c>
      <x:c r="G3698" s="9" t="str">
        <x:v>DB-01</x:v>
      </x:c>
      <x:c r="H3698" s="15" t="n">
        <x:v>347</x:v>
      </x:c>
      <x:c r="I3698" s="9" t="str">
        <x:v>P18</x:v>
      </x:c>
      <x:c r="J3698" s="11" t="n">
        <x:v>46314.87222222222</x:v>
      </x:c>
      <x:c r="K3698" s="15" t="n">
        <x:v>4</x:v>
      </x:c>
      <x:c r="L3698" s="15" t="n">
        <x:v>14</x:v>
      </x:c>
      <x:c r="M3698" s="13" t="n">
        <x:f>J3698+(K3698+L3698)/1440</x:f>
        <x:v>46314.88472222222</x:v>
      </x:c>
      <x:c r="N3698" s="13" t="n">
        <x:f>VLOOKUP(C3698,'MES orders'!$A$8:$H$127,5,FALSE)</x:f>
        <x:v>46311.666666666664</x:v>
      </x:c>
      <x:c r="O3698" s="16" t="n">
        <x:f>MAX(0,(M3698-N3698)*24)</x:f>
        <x:v>77.233333333279</x:v>
      </x:c>
      <x:c r="P3698" s="9" t="str">
        <x:v>No</x:v>
      </x:c>
      <x:c r="Q3698" s="15" t="n">
        <x:v>18</x:v>
      </x:c>
      <x:c r="R3698" s="13" t="n">
        <x:f>J3698+Q3698/1440</x:f>
        <x:v>46314.88472222222</x:v>
      </x:c>
      <x:c r="S3698" s="2" t="str">
        <x:f>VLOOKUP(C3698,'MES orders'!$A$8:$H$127,6,FALSE)</x:f>
        <x:v>Normal</x:v>
      </x:c>
      <x:c r="T3698" s="9" t="str"/>
    </x:row>
    <x:row r="3699" ht="22" customHeight="1">
      <x:c r="A3699" s="2" t="str">
        <x:v>L00437-050</x:v>
      </x:c>
      <x:c r="B3699" s="2" t="str">
        <x:v>L00437</x:v>
      </x:c>
      <x:c r="C3699" s="2" t="str">
        <x:v>SO-26088</x:v>
      </x:c>
      <x:c r="D3699" s="2" t="str">
        <x:v>S-S-SS</x:v>
      </x:c>
      <x:c r="E3699" s="14" t="n">
        <x:v>20</x:v>
      </x:c>
      <x:c r="F3699" s="2" t="str">
        <x:v>Sensor installation</x:v>
      </x:c>
      <x:c r="G3699" s="9" t="str">
        <x:v>EL-02</x:v>
      </x:c>
      <x:c r="H3699" s="15" t="n">
        <x:v>64</x:v>
      </x:c>
      <x:c r="I3699" s="9" t="str">
        <x:v>P20</x:v>
      </x:c>
      <x:c r="J3699" s="11" t="n">
        <x:v>46314.87222222222</x:v>
      </x:c>
      <x:c r="K3699" s="15" t="n">
        <x:v>8</x:v>
      </x:c>
      <x:c r="L3699" s="15" t="n">
        <x:v>24</x:v>
      </x:c>
      <x:c r="M3699" s="13" t="n">
        <x:f>J3699+(K3699+L3699)/1440</x:f>
        <x:v>46314.89444444444</x:v>
      </x:c>
      <x:c r="N3699" s="13" t="n">
        <x:f>VLOOKUP(C3699,'MES orders'!$A$8:$H$127,5,FALSE)</x:f>
        <x:v>46311.666666666664</x:v>
      </x:c>
      <x:c r="O3699" s="16" t="n">
        <x:f>MAX(0,(M3699-N3699)*24)</x:f>
        <x:v>77.46666666667443</x:v>
      </x:c>
      <x:c r="P3699" s="9" t="str">
        <x:v>No</x:v>
      </x:c>
      <x:c r="Q3699" s="15" t="n">
        <x:v>32</x:v>
      </x:c>
      <x:c r="R3699" s="13" t="n">
        <x:f>J3699+Q3699/1440</x:f>
        <x:v>46314.89444444444</x:v>
      </x:c>
      <x:c r="S3699" s="2" t="str">
        <x:f>VLOOKUP(C3699,'MES orders'!$A$8:$H$127,6,FALSE)</x:f>
        <x:v>Normal</x:v>
      </x:c>
      <x:c r="T3699" s="9" t="str"/>
    </x:row>
    <x:row r="3700" ht="22" customHeight="1">
      <x:c r="A3700" s="2" t="str">
        <x:v>L00438-030</x:v>
      </x:c>
      <x:c r="B3700" s="2" t="str">
        <x:v>L00438</x:v>
      </x:c>
      <x:c r="C3700" s="2" t="str">
        <x:v>SO-26088</x:v>
      </x:c>
      <x:c r="D3700" s="2" t="str">
        <x:v>S-S-SS</x:v>
      </x:c>
      <x:c r="E3700" s="14" t="n">
        <x:v>20</x:v>
      </x:c>
      <x:c r="F3700" s="2" t="str">
        <x:v>Wash &amp; dry</x:v>
      </x:c>
      <x:c r="G3700" s="9" t="str">
        <x:v>WS-01</x:v>
      </x:c>
      <x:c r="H3700" s="15" t="n">
        <x:v>340</x:v>
      </x:c>
      <x:c r="I3700" s="9" t="str">
        <x:v>P16</x:v>
      </x:c>
      <x:c r="J3700" s="11" t="n">
        <x:v>46314.87222222222</x:v>
      </x:c>
      <x:c r="K3700" s="15" t="n">
        <x:v>12</x:v>
      </x:c>
      <x:c r="L3700" s="15" t="n">
        <x:v>7</x:v>
      </x:c>
      <x:c r="M3700" s="13" t="n">
        <x:f>J3700+(K3700+L3700)/1440</x:f>
        <x:v>46314.885416666664</x:v>
      </x:c>
      <x:c r="N3700" s="13" t="n">
        <x:f>VLOOKUP(C3700,'MES orders'!$A$8:$H$127,5,FALSE)</x:f>
        <x:v>46311.666666666664</x:v>
      </x:c>
      <x:c r="O3700" s="16" t="n">
        <x:f>MAX(0,(M3700-N3700)*24)</x:f>
        <x:v>77.25</x:v>
      </x:c>
      <x:c r="P3700" s="9" t="str">
        <x:v>No</x:v>
      </x:c>
      <x:c r="Q3700" s="15" t="n">
        <x:v>19</x:v>
      </x:c>
      <x:c r="R3700" s="13" t="n">
        <x:f>J3700+Q3700/1440</x:f>
        <x:v>46314.885416666664</x:v>
      </x:c>
      <x:c r="S3700" s="2" t="str">
        <x:f>VLOOKUP(C3700,'MES orders'!$A$8:$H$127,6,FALSE)</x:f>
        <x:v>Normal</x:v>
      </x:c>
      <x:c r="T3700" s="9" t="str"/>
    </x:row>
    <x:row r="3701" ht="22" customHeight="1">
      <x:c r="A3701" s="2" t="str">
        <x:v>L00399-080</x:v>
      </x:c>
      <x:c r="B3701" s="2" t="str">
        <x:v>L00399</x:v>
      </x:c>
      <x:c r="C3701" s="2" t="str">
        <x:v>SO-26080</x:v>
      </x:c>
      <x:c r="D3701" s="2" t="str">
        <x:v>S-C-SS</x:v>
      </x:c>
      <x:c r="E3701" s="14" t="n">
        <x:v>15</x:v>
      </x:c>
      <x:c r="F3701" s="2" t="str">
        <x:v>Final leak / function test</x:v>
      </x:c>
      <x:c r="G3701" s="9" t="str">
        <x:v>QA-02</x:v>
      </x:c>
      <x:c r="H3701" s="15" t="n">
        <x:v>281</x:v>
      </x:c>
      <x:c r="I3701" s="9" t="str">
        <x:v>P23</x:v>
      </x:c>
      <x:c r="J3701" s="11" t="n">
        <x:v>46314.873611111114</x:v>
      </x:c>
      <x:c r="K3701" s="15" t="n">
        <x:v>10</x:v>
      </x:c>
      <x:c r="L3701" s="15" t="n">
        <x:v>11</x:v>
      </x:c>
      <x:c r="M3701" s="13" t="n">
        <x:f>J3701+(K3701+L3701)/1440</x:f>
        <x:v>46314.888194444444</x:v>
      </x:c>
      <x:c r="N3701" s="13" t="n">
        <x:f>VLOOKUP(C3701,'MES orders'!$A$8:$H$127,5,FALSE)</x:f>
        <x:v>46311.666666666664</x:v>
      </x:c>
      <x:c r="O3701" s="16" t="n">
        <x:f>MAX(0,(M3701-N3701)*24)</x:f>
        <x:v>77.31666666670935</x:v>
      </x:c>
      <x:c r="P3701" s="9" t="str">
        <x:v>No</x:v>
      </x:c>
      <x:c r="Q3701" s="15" t="n">
        <x:v>21</x:v>
      </x:c>
      <x:c r="R3701" s="13" t="n">
        <x:f>J3701+Q3701/1440</x:f>
        <x:v>46314.888194444444</x:v>
      </x:c>
      <x:c r="S3701" s="2" t="str">
        <x:f>VLOOKUP(C3701,'MES orders'!$A$8:$H$127,6,FALSE)</x:f>
        <x:v>Normal</x:v>
      </x:c>
      <x:c r="T3701" s="9" t="str"/>
    </x:row>
    <x:row r="3702" ht="22" customHeight="1">
      <x:c r="A3702" s="2" t="str">
        <x:v>L00400-070</x:v>
      </x:c>
      <x:c r="B3702" s="2" t="str">
        <x:v>L00400</x:v>
      </x:c>
      <x:c r="C3702" s="2" t="str">
        <x:v>SO-26080</x:v>
      </x:c>
      <x:c r="D3702" s="2" t="str">
        <x:v>S-C-SS</x:v>
      </x:c>
      <x:c r="E3702" s="14" t="n">
        <x:v>15</x:v>
      </x:c>
      <x:c r="F3702" s="2" t="str">
        <x:v>Final assembly</x:v>
      </x:c>
      <x:c r="G3702" s="9" t="str">
        <x:v>AS-01</x:v>
      </x:c>
      <x:c r="H3702" s="15" t="n">
        <x:v>301</x:v>
      </x:c>
      <x:c r="I3702" s="9" t="str">
        <x:v>P17</x:v>
      </x:c>
      <x:c r="J3702" s="11" t="n">
        <x:v>46314.88125</x:v>
      </x:c>
      <x:c r="K3702" s="15" t="n">
        <x:v>5</x:v>
      </x:c>
      <x:c r="L3702" s="15" t="n">
        <x:v>10</x:v>
      </x:c>
      <x:c r="M3702" s="13" t="n">
        <x:f>J3702+(K3702+L3702)/1440</x:f>
        <x:v>46314.89166666666</x:v>
      </x:c>
      <x:c r="N3702" s="13" t="n">
        <x:f>VLOOKUP(C3702,'MES orders'!$A$8:$H$127,5,FALSE)</x:f>
        <x:v>46311.666666666664</x:v>
      </x:c>
      <x:c r="O3702" s="16" t="n">
        <x:f>MAX(0,(M3702-N3702)*24)</x:f>
        <x:v>77.39999999996508</x:v>
      </x:c>
      <x:c r="P3702" s="9" t="str">
        <x:v>No</x:v>
      </x:c>
      <x:c r="Q3702" s="15" t="n">
        <x:v>15</x:v>
      </x:c>
      <x:c r="R3702" s="13" t="n">
        <x:f>J3702+Q3702/1440</x:f>
        <x:v>46314.89166666666</x:v>
      </x:c>
      <x:c r="S3702" s="2" t="str">
        <x:f>VLOOKUP(C3702,'MES orders'!$A$8:$H$127,6,FALSE)</x:f>
        <x:v>Normal</x:v>
      </x:c>
      <x:c r="T3702" s="9" t="str"/>
    </x:row>
    <x:row r="3703" ht="22" customHeight="1">
      <x:c r="A3703" s="2" t="str">
        <x:v>L00436-060</x:v>
      </x:c>
      <x:c r="B3703" s="2" t="str">
        <x:v>L00436</x:v>
      </x:c>
      <x:c r="C3703" s="2" t="str">
        <x:v>SO-26088</x:v>
      </x:c>
      <x:c r="D3703" s="2" t="str">
        <x:v>S-S-SS</x:v>
      </x:c>
      <x:c r="E3703" s="14" t="n">
        <x:v>20</x:v>
      </x:c>
      <x:c r="F3703" s="2" t="str">
        <x:v>Sensor calibration</x:v>
      </x:c>
      <x:c r="G3703" s="9" t="str">
        <x:v>CAL-01</x:v>
      </x:c>
      <x:c r="H3703" s="15" t="n">
        <x:v>191</x:v>
      </x:c>
      <x:c r="I3703" s="9" t="str">
        <x:v>P21</x:v>
      </x:c>
      <x:c r="J3703" s="11" t="n">
        <x:v>46314.881944444445</x:v>
      </x:c>
      <x:c r="K3703" s="15" t="n">
        <x:v>10</x:v>
      </x:c>
      <x:c r="L3703" s="15" t="n">
        <x:v>26</x:v>
      </x:c>
      <x:c r="M3703" s="13" t="n">
        <x:f>J3703+(K3703+L3703)/1440</x:f>
        <x:v>46314.90694444445</x:v>
      </x:c>
      <x:c r="N3703" s="13" t="n">
        <x:f>VLOOKUP(C3703,'MES orders'!$A$8:$H$127,5,FALSE)</x:f>
        <x:v>46311.666666666664</x:v>
      </x:c>
      <x:c r="O3703" s="16" t="n">
        <x:f>MAX(0,(M3703-N3703)*24)</x:f>
        <x:v>77.7666666667792</x:v>
      </x:c>
      <x:c r="P3703" s="9" t="str">
        <x:v>No</x:v>
      </x:c>
      <x:c r="Q3703" s="15" t="n">
        <x:v>36</x:v>
      </x:c>
      <x:c r="R3703" s="13" t="n">
        <x:f>J3703+Q3703/1440</x:f>
        <x:v>46314.90694444445</x:v>
      </x:c>
      <x:c r="S3703" s="2" t="str">
        <x:f>VLOOKUP(C3703,'MES orders'!$A$8:$H$127,6,FALSE)</x:f>
        <x:v>Normal</x:v>
      </x:c>
      <x:c r="T3703" s="9" t="str"/>
    </x:row>
    <x:row r="3704" ht="22" customHeight="1">
      <x:c r="A3704" s="2" t="str">
        <x:v>L00477-040</x:v>
      </x:c>
      <x:c r="B3704" s="2" t="str">
        <x:v>L00477</x:v>
      </x:c>
      <x:c r="C3704" s="2" t="str">
        <x:v>SO-26096</x:v>
      </x:c>
      <x:c r="D3704" s="2" t="str">
        <x:v>S-L-SS</x:v>
      </x:c>
      <x:c r="E3704" s="14" t="n">
        <x:v>20</x:v>
      </x:c>
      <x:c r="F3704" s="2" t="str">
        <x:v>Mechanical preassembly</x:v>
      </x:c>
      <x:c r="G3704" s="9" t="str">
        <x:v>AS-03</x:v>
      </x:c>
      <x:c r="H3704" s="15" t="n">
        <x:v>198</x:v>
      </x:c>
      <x:c r="I3704" s="9" t="str">
        <x:v>P13</x:v>
      </x:c>
      <x:c r="J3704" s="11" t="n">
        <x:v>46314.88333333333</x:v>
      </x:c>
      <x:c r="K3704" s="15" t="n">
        <x:v>6</x:v>
      </x:c>
      <x:c r="L3704" s="15" t="n">
        <x:v>30</x:v>
      </x:c>
      <x:c r="M3704" s="13" t="n">
        <x:f>J3704+(K3704+L3704)/1440</x:f>
        <x:v>46314.90833333333</x:v>
      </x:c>
      <x:c r="N3704" s="13" t="n">
        <x:f>VLOOKUP(C3704,'MES orders'!$A$8:$H$127,5,FALSE)</x:f>
        <x:v>46311.666666666664</x:v>
      </x:c>
      <x:c r="O3704" s="16" t="n">
        <x:f>MAX(0,(M3704-N3704)*24)</x:f>
        <x:v>77.80000000004657</x:v>
      </x:c>
      <x:c r="P3704" s="9" t="str">
        <x:v>No</x:v>
      </x:c>
      <x:c r="Q3704" s="15" t="n">
        <x:v>36</x:v>
      </x:c>
      <x:c r="R3704" s="13" t="n">
        <x:f>J3704+Q3704/1440</x:f>
        <x:v>46314.90833333333</x:v>
      </x:c>
      <x:c r="S3704" s="2" t="str">
        <x:f>VLOOKUP(C3704,'MES orders'!$A$8:$H$127,6,FALSE)</x:f>
        <x:v>Normal</x:v>
      </x:c>
      <x:c r="T3704" s="9" t="str"/>
    </x:row>
    <x:row r="3705" ht="22" customHeight="1">
      <x:c r="A3705" s="2" t="str">
        <x:v>L00439-030</x:v>
      </x:c>
      <x:c r="B3705" s="2" t="str">
        <x:v>L00439</x:v>
      </x:c>
      <x:c r="C3705" s="2" t="str">
        <x:v>SO-26088</x:v>
      </x:c>
      <x:c r="D3705" s="2" t="str">
        <x:v>S-S-SS</x:v>
      </x:c>
      <x:c r="E3705" s="14" t="n">
        <x:v>20</x:v>
      </x:c>
      <x:c r="F3705" s="2" t="str">
        <x:v>Wash &amp; dry</x:v>
      </x:c>
      <x:c r="G3705" s="9" t="str">
        <x:v>WS-02</x:v>
      </x:c>
      <x:c r="H3705" s="15" t="n">
        <x:v>245</x:v>
      </x:c>
      <x:c r="I3705" s="9" t="str">
        <x:v>P18</x:v>
      </x:c>
      <x:c r="J3705" s="11" t="n">
        <x:v>46314.884722222225</x:v>
      </x:c>
      <x:c r="K3705" s="15" t="n">
        <x:v>12</x:v>
      </x:c>
      <x:c r="L3705" s="15" t="n">
        <x:v>7</x:v>
      </x:c>
      <x:c r="M3705" s="13" t="n">
        <x:f>J3705+(K3705+L3705)/1440</x:f>
        <x:v>46314.89791666667</x:v>
      </x:c>
      <x:c r="N3705" s="13" t="n">
        <x:f>VLOOKUP(C3705,'MES orders'!$A$8:$H$127,5,FALSE)</x:f>
        <x:v>46311.666666666664</x:v>
      </x:c>
      <x:c r="O3705" s="16" t="n">
        <x:f>MAX(0,(M3705-N3705)*24)</x:f>
        <x:v>77.55000000010477</x:v>
      </x:c>
      <x:c r="P3705" s="9" t="str">
        <x:v>No</x:v>
      </x:c>
      <x:c r="Q3705" s="15" t="n">
        <x:v>19</x:v>
      </x:c>
      <x:c r="R3705" s="13" t="n">
        <x:f>J3705+Q3705/1440</x:f>
        <x:v>46314.89791666667</x:v>
      </x:c>
      <x:c r="S3705" s="2" t="str">
        <x:f>VLOOKUP(C3705,'MES orders'!$A$8:$H$127,6,FALSE)</x:f>
        <x:v>Normal</x:v>
      </x:c>
      <x:c r="T3705" s="9" t="str"/>
    </x:row>
    <x:row r="3706" ht="22" customHeight="1">
      <x:c r="A3706" s="2" t="str">
        <x:v>L00438-040</x:v>
      </x:c>
      <x:c r="B3706" s="2" t="str">
        <x:v>L00438</x:v>
      </x:c>
      <x:c r="C3706" s="2" t="str">
        <x:v>SO-26088</x:v>
      </x:c>
      <x:c r="D3706" s="2" t="str">
        <x:v>S-S-SS</x:v>
      </x:c>
      <x:c r="E3706" s="14" t="n">
        <x:v>20</x:v>
      </x:c>
      <x:c r="F3706" s="2" t="str">
        <x:v>Mechanical preassembly</x:v>
      </x:c>
      <x:c r="G3706" s="9" t="str">
        <x:v>AS-02</x:v>
      </x:c>
      <x:c r="H3706" s="15" t="n">
        <x:v>244</x:v>
      </x:c>
      <x:c r="I3706" s="9" t="str">
        <x:v>P16</x:v>
      </x:c>
      <x:c r="J3706" s="11" t="n">
        <x:v>46314.885416666664</x:v>
      </x:c>
      <x:c r="K3706" s="15" t="n">
        <x:v>6</x:v>
      </x:c>
      <x:c r="L3706" s="15" t="n">
        <x:v>22</x:v>
      </x:c>
      <x:c r="M3706" s="13" t="n">
        <x:f>J3706+(K3706+L3706)/1440</x:f>
        <x:v>46314.90486111111</x:v>
      </x:c>
      <x:c r="N3706" s="13" t="n">
        <x:f>VLOOKUP(C3706,'MES orders'!$A$8:$H$127,5,FALSE)</x:f>
        <x:v>46311.666666666664</x:v>
      </x:c>
      <x:c r="O3706" s="16" t="n">
        <x:f>MAX(0,(M3706-N3706)*24)</x:f>
        <x:v>77.71666666661622</x:v>
      </x:c>
      <x:c r="P3706" s="9" t="str">
        <x:v>No</x:v>
      </x:c>
      <x:c r="Q3706" s="15" t="n">
        <x:v>28</x:v>
      </x:c>
      <x:c r="R3706" s="13" t="n">
        <x:f>J3706+Q3706/1440</x:f>
        <x:v>46314.90486111111</x:v>
      </x:c>
      <x:c r="S3706" s="2" t="str">
        <x:f>VLOOKUP(C3706,'MES orders'!$A$8:$H$127,6,FALSE)</x:f>
        <x:v>Normal</x:v>
      </x:c>
      <x:c r="T3706" s="9" t="str"/>
    </x:row>
    <x:row r="3707" ht="22" customHeight="1">
      <x:c r="A3707" s="2" t="str">
        <x:v>L00478-030</x:v>
      </x:c>
      <x:c r="B3707" s="2" t="str">
        <x:v>L00478</x:v>
      </x:c>
      <x:c r="C3707" s="2" t="str">
        <x:v>SO-26096</x:v>
      </x:c>
      <x:c r="D3707" s="2" t="str">
        <x:v>S-L-SS</x:v>
      </x:c>
      <x:c r="E3707" s="14" t="n">
        <x:v>20</x:v>
      </x:c>
      <x:c r="F3707" s="2" t="str">
        <x:v>Wash &amp; dry</x:v>
      </x:c>
      <x:c r="G3707" s="9" t="str">
        <x:v>WS-01</x:v>
      </x:c>
      <x:c r="H3707" s="15" t="n">
        <x:v>341</x:v>
      </x:c>
      <x:c r="I3707" s="9" t="str">
        <x:v>P14</x:v>
      </x:c>
      <x:c r="J3707" s="11" t="n">
        <x:v>46314.885416666664</x:v>
      </x:c>
      <x:c r="K3707" s="15" t="n">
        <x:v>12</x:v>
      </x:c>
      <x:c r="L3707" s="15" t="n">
        <x:v>9</x:v>
      </x:c>
      <x:c r="M3707" s="13" t="n">
        <x:f>J3707+(K3707+L3707)/1440</x:f>
        <x:v>46314.899999999994</x:v>
      </x:c>
      <x:c r="N3707" s="13" t="n">
        <x:f>VLOOKUP(C3707,'MES orders'!$A$8:$H$127,5,FALSE)</x:f>
        <x:v>46311.666666666664</x:v>
      </x:c>
      <x:c r="O3707" s="16" t="n">
        <x:f>MAX(0,(M3707-N3707)*24)</x:f>
        <x:v>77.59999999991851</x:v>
      </x:c>
      <x:c r="P3707" s="9" t="str">
        <x:v>No</x:v>
      </x:c>
      <x:c r="Q3707" s="15" t="n">
        <x:v>21</x:v>
      </x:c>
      <x:c r="R3707" s="13" t="n">
        <x:f>J3707+Q3707/1440</x:f>
        <x:v>46314.899999999994</x:v>
      </x:c>
      <x:c r="S3707" s="2" t="str">
        <x:f>VLOOKUP(C3707,'MES orders'!$A$8:$H$127,6,FALSE)</x:f>
        <x:v>Normal</x:v>
      </x:c>
      <x:c r="T3707" s="9" t="str"/>
    </x:row>
    <x:row r="3708" ht="22" customHeight="1">
      <x:c r="A3708" s="2" t="str">
        <x:v>L00440-020</x:v>
      </x:c>
      <x:c r="B3708" s="2" t="str">
        <x:v>L00440</x:v>
      </x:c>
      <x:c r="C3708" s="2" t="str">
        <x:v>SO-26088</x:v>
      </x:c>
      <x:c r="D3708" s="2" t="str">
        <x:v>S-S-SS</x:v>
      </x:c>
      <x:c r="E3708" s="14" t="n">
        <x:v>20</x:v>
      </x:c>
      <x:c r="F3708" s="2" t="str">
        <x:v>Deburr &amp; inspect</x:v>
      </x:c>
      <x:c r="G3708" s="9" t="str">
        <x:v>DB-01</x:v>
      </x:c>
      <x:c r="H3708" s="15" t="n">
        <x:v>348</x:v>
      </x:c>
      <x:c r="I3708" s="9" t="str">
        <x:v>P17</x:v>
      </x:c>
      <x:c r="J3708" s="11" t="n">
        <x:v>46314.89166666667</x:v>
      </x:c>
      <x:c r="K3708" s="15" t="n">
        <x:v>4</x:v>
      </x:c>
      <x:c r="L3708" s="15" t="n">
        <x:v>14</x:v>
      </x:c>
      <x:c r="M3708" s="13" t="n">
        <x:f>J3708+(K3708+L3708)/1440</x:f>
        <x:v>46314.90416666667</x:v>
      </x:c>
      <x:c r="N3708" s="13" t="n">
        <x:f>VLOOKUP(C3708,'MES orders'!$A$8:$H$127,5,FALSE)</x:f>
        <x:v>46311.666666666664</x:v>
      </x:c>
      <x:c r="O3708" s="16" t="n">
        <x:f>MAX(0,(M3708-N3708)*24)</x:f>
        <x:v>77.70000000006985</x:v>
      </x:c>
      <x:c r="P3708" s="9" t="str">
        <x:v>No</x:v>
      </x:c>
      <x:c r="Q3708" s="15" t="n">
        <x:v>18</x:v>
      </x:c>
      <x:c r="R3708" s="13" t="n">
        <x:f>J3708+Q3708/1440</x:f>
        <x:v>46314.90416666667</x:v>
      </x:c>
      <x:c r="S3708" s="2" t="str">
        <x:f>VLOOKUP(C3708,'MES orders'!$A$8:$H$127,6,FALSE)</x:f>
        <x:v>Normal</x:v>
      </x:c>
      <x:c r="T3708" s="9" t="str"/>
    </x:row>
    <x:row r="3709" ht="22" customHeight="1">
      <x:c r="A3709" s="2" t="str">
        <x:v>L00400-080</x:v>
      </x:c>
      <x:c r="B3709" s="2" t="str">
        <x:v>L00400</x:v>
      </x:c>
      <x:c r="C3709" s="2" t="str">
        <x:v>SO-26080</x:v>
      </x:c>
      <x:c r="D3709" s="2" t="str">
        <x:v>S-C-SS</x:v>
      </x:c>
      <x:c r="E3709" s="14" t="n">
        <x:v>15</x:v>
      </x:c>
      <x:c r="F3709" s="2" t="str">
        <x:v>Final leak / function test</x:v>
      </x:c>
      <x:c r="G3709" s="9" t="str">
        <x:v>QA-02</x:v>
      </x:c>
      <x:c r="H3709" s="15" t="n">
        <x:v>282</x:v>
      </x:c>
      <x:c r="I3709" s="9" t="str">
        <x:v>P23</x:v>
      </x:c>
      <x:c r="J3709" s="11" t="n">
        <x:v>46314.89166666667</x:v>
      </x:c>
      <x:c r="K3709" s="15" t="n">
        <x:v>10</x:v>
      </x:c>
      <x:c r="L3709" s="15" t="n">
        <x:v>11</x:v>
      </x:c>
      <x:c r="M3709" s="13" t="n">
        <x:f>J3709+(K3709+L3709)/1440</x:f>
        <x:v>46314.90625</x:v>
      </x:c>
      <x:c r="N3709" s="13" t="n">
        <x:f>VLOOKUP(C3709,'MES orders'!$A$8:$H$127,5,FALSE)</x:f>
        <x:v>46311.666666666664</x:v>
      </x:c>
      <x:c r="O3709" s="16" t="n">
        <x:f>MAX(0,(M3709-N3709)*24)</x:f>
        <x:v>77.75000000005821</x:v>
      </x:c>
      <x:c r="P3709" s="9" t="str">
        <x:v>No</x:v>
      </x:c>
      <x:c r="Q3709" s="15" t="n">
        <x:v>21</x:v>
      </x:c>
      <x:c r="R3709" s="13" t="n">
        <x:f>J3709+Q3709/1440</x:f>
        <x:v>46314.90625</x:v>
      </x:c>
      <x:c r="S3709" s="2" t="str">
        <x:f>VLOOKUP(C3709,'MES orders'!$A$8:$H$127,6,FALSE)</x:f>
        <x:v>Normal</x:v>
      </x:c>
      <x:c r="T3709" s="9" t="str"/>
    </x:row>
    <x:row r="3710" ht="22" customHeight="1">
      <x:c r="A3710" s="2" t="str">
        <x:v>L00476-020</x:v>
      </x:c>
      <x:c r="B3710" s="2" t="str">
        <x:v>L00476</x:v>
      </x:c>
      <x:c r="C3710" s="2" t="str">
        <x:v>SO-26096</x:v>
      </x:c>
      <x:c r="D3710" s="2" t="str">
        <x:v>S-L-SS</x:v>
      </x:c>
      <x:c r="E3710" s="14" t="n">
        <x:v>20</x:v>
      </x:c>
      <x:c r="F3710" s="2" t="str">
        <x:v>Deburr &amp; inspect</x:v>
      </x:c>
      <x:c r="G3710" s="9" t="str">
        <x:v>DB-02</x:v>
      </x:c>
      <x:c r="H3710" s="15" t="n">
        <x:v>240</x:v>
      </x:c>
      <x:c r="I3710" s="9" t="str">
        <x:v>P18</x:v>
      </x:c>
      <x:c r="J3710" s="11" t="n">
        <x:v>46314.89791666667</x:v>
      </x:c>
      <x:c r="K3710" s="15" t="n">
        <x:v>4</x:v>
      </x:c>
      <x:c r="L3710" s="15" t="n">
        <x:v>19</x:v>
      </x:c>
      <x:c r="M3710" s="13" t="n">
        <x:f>J3710+(K3710+L3710)/1440</x:f>
        <x:v>46314.91388888889</x:v>
      </x:c>
      <x:c r="N3710" s="13" t="n">
        <x:f>VLOOKUP(C3710,'MES orders'!$A$8:$H$127,5,FALSE)</x:f>
        <x:v>46311.666666666664</x:v>
      </x:c>
      <x:c r="O3710" s="16" t="n">
        <x:f>MAX(0,(M3710-N3710)*24)</x:f>
        <x:v>77.93333333346527</x:v>
      </x:c>
      <x:c r="P3710" s="9" t="str">
        <x:v>No</x:v>
      </x:c>
      <x:c r="Q3710" s="15" t="n">
        <x:v>23</x:v>
      </x:c>
      <x:c r="R3710" s="13" t="n">
        <x:f>J3710+Q3710/1440</x:f>
        <x:v>46314.91388888889</x:v>
      </x:c>
      <x:c r="S3710" s="2" t="str">
        <x:f>VLOOKUP(C3710,'MES orders'!$A$8:$H$127,6,FALSE)</x:f>
        <x:v>Normal</x:v>
      </x:c>
      <x:c r="T3710" s="9" t="str"/>
    </x:row>
    <x:row r="3711" ht="22" customHeight="1">
      <x:c r="A3711" s="2" t="str">
        <x:v>L00516-020</x:v>
      </x:c>
      <x:c r="B3711" s="2" t="str">
        <x:v>L00516</x:v>
      </x:c>
      <x:c r="C3711" s="2" t="str">
        <x:v>SO-26104</x:v>
      </x:c>
      <x:c r="D3711" s="2" t="str">
        <x:v>D-C-SS</x:v>
      </x:c>
      <x:c r="E3711" s="14" t="n">
        <x:v>15</x:v>
      </x:c>
      <x:c r="F3711" s="2" t="str">
        <x:v>Deburr &amp; inspect</x:v>
      </x:c>
      <x:c r="G3711" s="9" t="str">
        <x:v>DB-01</x:v>
      </x:c>
      <x:c r="H3711" s="15" t="n">
        <x:v>349</x:v>
      </x:c>
      <x:c r="I3711" s="9" t="str">
        <x:v>P17</x:v>
      </x:c>
      <x:c r="J3711" s="11" t="n">
        <x:v>46314.90416666667</x:v>
      </x:c>
      <x:c r="K3711" s="15" t="n">
        <x:v>4</x:v>
      </x:c>
      <x:c r="L3711" s="15" t="n">
        <x:v>8</x:v>
      </x:c>
      <x:c r="M3711" s="13" t="n">
        <x:f>J3711+(K3711+L3711)/1440</x:f>
        <x:v>46314.9125</x:v>
      </x:c>
      <x:c r="N3711" s="13" t="n">
        <x:f>VLOOKUP(C3711,'MES orders'!$A$8:$H$127,5,FALSE)</x:f>
        <x:v>46311.666666666664</x:v>
      </x:c>
      <x:c r="O3711" s="16" t="n">
        <x:f>MAX(0,(M3711-N3711)*24)</x:f>
        <x:v>77.90000000002328</x:v>
      </x:c>
      <x:c r="P3711" s="9" t="str">
        <x:v>No</x:v>
      </x:c>
      <x:c r="Q3711" s="15" t="n">
        <x:v>12</x:v>
      </x:c>
      <x:c r="R3711" s="13" t="n">
        <x:f>J3711+Q3711/1440</x:f>
        <x:v>46314.9125</x:v>
      </x:c>
      <x:c r="S3711" s="2" t="str">
        <x:f>VLOOKUP(C3711,'MES orders'!$A$8:$H$127,6,FALSE)</x:f>
        <x:v>Normal</x:v>
      </x:c>
      <x:c r="T3711" s="9" t="str"/>
    </x:row>
    <x:row r="3712" ht="22" customHeight="1">
      <x:c r="A3712" s="2" t="str">
        <x:v>L00436-070</x:v>
      </x:c>
      <x:c r="B3712" s="2" t="str">
        <x:v>L00436</x:v>
      </x:c>
      <x:c r="C3712" s="2" t="str">
        <x:v>SO-26088</x:v>
      </x:c>
      <x:c r="D3712" s="2" t="str">
        <x:v>S-S-SS</x:v>
      </x:c>
      <x:c r="E3712" s="14" t="n">
        <x:v>20</x:v>
      </x:c>
      <x:c r="F3712" s="2" t="str">
        <x:v>Final assembly</x:v>
      </x:c>
      <x:c r="G3712" s="9" t="str">
        <x:v>AS-01</x:v>
      </x:c>
      <x:c r="H3712" s="15" t="n">
        <x:v>302</x:v>
      </x:c>
      <x:c r="I3712" s="9" t="str">
        <x:v>P05</x:v>
      </x:c>
      <x:c r="J3712" s="11" t="n">
        <x:v>46315.25</x:v>
      </x:c>
      <x:c r="K3712" s="15" t="n">
        <x:v>5</x:v>
      </x:c>
      <x:c r="L3712" s="15" t="n">
        <x:v>16</x:v>
      </x:c>
      <x:c r="M3712" s="13" t="n">
        <x:f>J3712+(K3712+L3712)/1440</x:f>
        <x:v>46315.26458333333</x:v>
      </x:c>
      <x:c r="N3712" s="13" t="n">
        <x:f>VLOOKUP(C3712,'MES orders'!$A$8:$H$127,5,FALSE)</x:f>
        <x:v>46311.666666666664</x:v>
      </x:c>
      <x:c r="O3712" s="16" t="n">
        <x:f>MAX(0,(M3712-N3712)*24)</x:f>
        <x:v>86.34999999997672</x:v>
      </x:c>
      <x:c r="P3712" s="9" t="str">
        <x:v>No</x:v>
      </x:c>
      <x:c r="Q3712" s="15" t="n">
        <x:v>21</x:v>
      </x:c>
      <x:c r="R3712" s="13" t="n">
        <x:f>J3712+Q3712/1440</x:f>
        <x:v>46315.26458333333</x:v>
      </x:c>
      <x:c r="S3712" s="2" t="str">
        <x:f>VLOOKUP(C3712,'MES orders'!$A$8:$H$127,6,FALSE)</x:f>
        <x:v>Normal</x:v>
      </x:c>
      <x:c r="T3712" s="9" t="str"/>
    </x:row>
    <x:row r="3713" ht="22" customHeight="1">
      <x:c r="A3713" s="2" t="str">
        <x:v>L00439-040</x:v>
      </x:c>
      <x:c r="B3713" s="2" t="str">
        <x:v>L00439</x:v>
      </x:c>
      <x:c r="C3713" s="2" t="str">
        <x:v>SO-26088</x:v>
      </x:c>
      <x:c r="D3713" s="2" t="str">
        <x:v>S-S-SS</x:v>
      </x:c>
      <x:c r="E3713" s="14" t="n">
        <x:v>20</x:v>
      </x:c>
      <x:c r="F3713" s="2" t="str">
        <x:v>Mechanical preassembly</x:v>
      </x:c>
      <x:c r="G3713" s="9" t="str">
        <x:v>AS-02</x:v>
      </x:c>
      <x:c r="H3713" s="15" t="n">
        <x:v>245</x:v>
      </x:c>
      <x:c r="I3713" s="9" t="str">
        <x:v>P04</x:v>
      </x:c>
      <x:c r="J3713" s="11" t="n">
        <x:v>46315.25</x:v>
      </x:c>
      <x:c r="K3713" s="15" t="n">
        <x:v>6</x:v>
      </x:c>
      <x:c r="L3713" s="15" t="n">
        <x:v>22</x:v>
      </x:c>
      <x:c r="M3713" s="13" t="n">
        <x:f>J3713+(K3713+L3713)/1440</x:f>
        <x:v>46315.26944444444</x:v>
      </x:c>
      <x:c r="N3713" s="13" t="n">
        <x:f>VLOOKUP(C3713,'MES orders'!$A$8:$H$127,5,FALSE)</x:f>
        <x:v>46311.666666666664</x:v>
      </x:c>
      <x:c r="O3713" s="16" t="n">
        <x:f>MAX(0,(M3713-N3713)*24)</x:f>
        <x:v>86.46666666667443</x:v>
      </x:c>
      <x:c r="P3713" s="9" t="str">
        <x:v>No</x:v>
      </x:c>
      <x:c r="Q3713" s="15" t="n">
        <x:v>28</x:v>
      </x:c>
      <x:c r="R3713" s="13" t="n">
        <x:f>J3713+Q3713/1440</x:f>
        <x:v>46315.26944444444</x:v>
      </x:c>
      <x:c r="S3713" s="2" t="str">
        <x:f>VLOOKUP(C3713,'MES orders'!$A$8:$H$127,6,FALSE)</x:f>
        <x:v>Normal</x:v>
      </x:c>
      <x:c r="T3713" s="9" t="str"/>
    </x:row>
    <x:row r="3714" ht="22" customHeight="1">
      <x:c r="A3714" s="2" t="str">
        <x:v>L00437-060</x:v>
      </x:c>
      <x:c r="B3714" s="2" t="str">
        <x:v>L00437</x:v>
      </x:c>
      <x:c r="C3714" s="2" t="str">
        <x:v>SO-26088</x:v>
      </x:c>
      <x:c r="D3714" s="2" t="str">
        <x:v>S-S-SS</x:v>
      </x:c>
      <x:c r="E3714" s="14" t="n">
        <x:v>20</x:v>
      </x:c>
      <x:c r="F3714" s="2" t="str">
        <x:v>Sensor calibration</x:v>
      </x:c>
      <x:c r="G3714" s="9" t="str">
        <x:v>CAL-01</x:v>
      </x:c>
      <x:c r="H3714" s="15" t="n">
        <x:v>192</x:v>
      </x:c>
      <x:c r="I3714" s="9" t="str">
        <x:v>P09</x:v>
      </x:c>
      <x:c r="J3714" s="11" t="n">
        <x:v>46315.25</x:v>
      </x:c>
      <x:c r="K3714" s="15" t="n">
        <x:v>10</x:v>
      </x:c>
      <x:c r="L3714" s="15" t="n">
        <x:v>26</x:v>
      </x:c>
      <x:c r="M3714" s="13" t="n">
        <x:f>J3714+(K3714+L3714)/1440</x:f>
        <x:v>46315.275</x:v>
      </x:c>
      <x:c r="N3714" s="13" t="n">
        <x:f>VLOOKUP(C3714,'MES orders'!$A$8:$H$127,5,FALSE)</x:f>
        <x:v>46311.666666666664</x:v>
      </x:c>
      <x:c r="O3714" s="16" t="n">
        <x:f>MAX(0,(M3714-N3714)*24)</x:f>
        <x:v>86.60000000009313</x:v>
      </x:c>
      <x:c r="P3714" s="9" t="str">
        <x:v>No</x:v>
      </x:c>
      <x:c r="Q3714" s="15" t="n">
        <x:v>36</x:v>
      </x:c>
      <x:c r="R3714" s="13" t="n">
        <x:f>J3714+Q3714/1440</x:f>
        <x:v>46315.275</x:v>
      </x:c>
      <x:c r="S3714" s="2" t="str">
        <x:f>VLOOKUP(C3714,'MES orders'!$A$8:$H$127,6,FALSE)</x:f>
        <x:v>Normal</x:v>
      </x:c>
      <x:c r="T3714" s="9" t="str"/>
    </x:row>
    <x:row r="3715" ht="22" customHeight="1">
      <x:c r="A3715" s="2" t="str">
        <x:v>L00480-010</x:v>
      </x:c>
      <x:c r="B3715" s="2" t="str">
        <x:v>L00480</x:v>
      </x:c>
      <x:c r="C3715" s="2" t="str">
        <x:v>SO-26096</x:v>
      </x:c>
      <x:c r="D3715" s="2" t="str">
        <x:v>S-L-SS</x:v>
      </x:c>
      <x:c r="E3715" s="14" t="n">
        <x:v>20</x:v>
      </x:c>
      <x:c r="F3715" s="2" t="str">
        <x:v>CNC machining</x:v>
      </x:c>
      <x:c r="G3715" s="9" t="str">
        <x:v>CNC-03</x:v>
      </x:c>
      <x:c r="H3715" s="15" t="n">
        <x:v>123</x:v>
      </x:c>
      <x:c r="I3715" s="9" t="str">
        <x:v>P01</x:v>
      </x:c>
      <x:c r="J3715" s="11" t="n">
        <x:v>46315.25</x:v>
      </x:c>
      <x:c r="K3715" s="15" t="n">
        <x:v>18</x:v>
      </x:c>
      <x:c r="L3715" s="15" t="n">
        <x:v>81</x:v>
      </x:c>
      <x:c r="M3715" s="13" t="n">
        <x:f>J3715+(K3715+L3715)/1440</x:f>
        <x:v>46315.31875</x:v>
      </x:c>
      <x:c r="N3715" s="13" t="n">
        <x:f>VLOOKUP(C3715,'MES orders'!$A$8:$H$127,5,FALSE)</x:f>
        <x:v>46311.666666666664</x:v>
      </x:c>
      <x:c r="O3715" s="16" t="n">
        <x:f>MAX(0,(M3715-N3715)*24)</x:f>
        <x:v>87.65000000002328</x:v>
      </x:c>
      <x:c r="P3715" s="9" t="str">
        <x:v>No</x:v>
      </x:c>
      <x:c r="Q3715" s="15" t="n">
        <x:v>18</x:v>
      </x:c>
      <x:c r="R3715" s="13" t="n">
        <x:f>J3715+Q3715/1440</x:f>
        <x:v>46315.2625</x:v>
      </x:c>
      <x:c r="S3715" s="2" t="str">
        <x:f>VLOOKUP(C3715,'MES orders'!$A$8:$H$127,6,FALSE)</x:f>
        <x:v>Normal</x:v>
      </x:c>
      <x:c r="T3715" s="9" t="str"/>
    </x:row>
    <x:row r="3716" ht="22" customHeight="1">
      <x:c r="A3716" s="2" t="str">
        <x:v>L00519-010</x:v>
      </x:c>
      <x:c r="B3716" s="2" t="str">
        <x:v>L00519</x:v>
      </x:c>
      <x:c r="C3716" s="2" t="str">
        <x:v>SO-26104</x:v>
      </x:c>
      <x:c r="D3716" s="2" t="str">
        <x:v>D-C-SS</x:v>
      </x:c>
      <x:c r="E3716" s="14" t="n">
        <x:v>15</x:v>
      </x:c>
      <x:c r="F3716" s="2" t="str">
        <x:v>CNC machining</x:v>
      </x:c>
      <x:c r="G3716" s="9" t="str">
        <x:v>CNC-04</x:v>
      </x:c>
      <x:c r="H3716" s="15" t="n">
        <x:v>118</x:v>
      </x:c>
      <x:c r="I3716" s="9" t="str">
        <x:v>P02</x:v>
      </x:c>
      <x:c r="J3716" s="11" t="n">
        <x:v>46315.25</x:v>
      </x:c>
      <x:c r="K3716" s="15" t="n">
        <x:v>18</x:v>
      </x:c>
      <x:c r="L3716" s="15" t="n">
        <x:v>36</x:v>
      </x:c>
      <x:c r="M3716" s="13" t="n">
        <x:f>J3716+(K3716+L3716)/1440</x:f>
        <x:v>46315.2875</x:v>
      </x:c>
      <x:c r="N3716" s="13" t="n">
        <x:f>VLOOKUP(C3716,'MES orders'!$A$8:$H$127,5,FALSE)</x:f>
        <x:v>46311.666666666664</x:v>
      </x:c>
      <x:c r="O3716" s="16" t="n">
        <x:f>MAX(0,(M3716-N3716)*24)</x:f>
        <x:v>86.90000000002328</x:v>
      </x:c>
      <x:c r="P3716" s="9" t="str">
        <x:v>No</x:v>
      </x:c>
      <x:c r="Q3716" s="15" t="n">
        <x:v>18</x:v>
      </x:c>
      <x:c r="R3716" s="13" t="n">
        <x:f>J3716+Q3716/1440</x:f>
        <x:v>46315.2625</x:v>
      </x:c>
      <x:c r="S3716" s="2" t="str">
        <x:f>VLOOKUP(C3716,'MES orders'!$A$8:$H$127,6,FALSE)</x:f>
        <x:v>Normal</x:v>
      </x:c>
      <x:c r="T3716" s="9" t="str"/>
    </x:row>
    <x:row r="3717" ht="22" customHeight="1">
      <x:c r="A3717" s="2" t="str">
        <x:v>L00520-010</x:v>
      </x:c>
      <x:c r="B3717" s="2" t="str">
        <x:v>L00520</x:v>
      </x:c>
      <x:c r="C3717" s="2" t="str">
        <x:v>SO-26104</x:v>
      </x:c>
      <x:c r="D3717" s="2" t="str">
        <x:v>D-C-SS</x:v>
      </x:c>
      <x:c r="E3717" s="14" t="n">
        <x:v>15</x:v>
      </x:c>
      <x:c r="F3717" s="2" t="str">
        <x:v>CNC machining</x:v>
      </x:c>
      <x:c r="G3717" s="9" t="str">
        <x:v>CNC-05</x:v>
      </x:c>
      <x:c r="H3717" s="15" t="n">
        <x:v>106</x:v>
      </x:c>
      <x:c r="I3717" s="9" t="str">
        <x:v>P03</x:v>
      </x:c>
      <x:c r="J3717" s="11" t="n">
        <x:v>46315.25</x:v>
      </x:c>
      <x:c r="K3717" s="15" t="n">
        <x:v>18</x:v>
      </x:c>
      <x:c r="L3717" s="15" t="n">
        <x:v>36</x:v>
      </x:c>
      <x:c r="M3717" s="13" t="n">
        <x:f>J3717+(K3717+L3717)/1440</x:f>
        <x:v>46315.2875</x:v>
      </x:c>
      <x:c r="N3717" s="13" t="n">
        <x:f>VLOOKUP(C3717,'MES orders'!$A$8:$H$127,5,FALSE)</x:f>
        <x:v>46311.666666666664</x:v>
      </x:c>
      <x:c r="O3717" s="16" t="n">
        <x:f>MAX(0,(M3717-N3717)*24)</x:f>
        <x:v>86.90000000002328</x:v>
      </x:c>
      <x:c r="P3717" s="9" t="str">
        <x:v>No</x:v>
      </x:c>
      <x:c r="Q3717" s="15" t="n">
        <x:v>18</x:v>
      </x:c>
      <x:c r="R3717" s="13" t="n">
        <x:f>J3717+Q3717/1440</x:f>
        <x:v>46315.2625</x:v>
      </x:c>
      <x:c r="S3717" s="2" t="str">
        <x:f>VLOOKUP(C3717,'MES orders'!$A$8:$H$127,6,FALSE)</x:f>
        <x:v>Normal</x:v>
      </x:c>
      <x:c r="T3717" s="9" t="str"/>
    </x:row>
    <x:row r="3718" ht="22" customHeight="1">
      <x:c r="A3718" s="2" t="str">
        <x:v>L00438-050</x:v>
      </x:c>
      <x:c r="B3718" s="2" t="str">
        <x:v>L00438</x:v>
      </x:c>
      <x:c r="C3718" s="2" t="str">
        <x:v>SO-26088</x:v>
      </x:c>
      <x:c r="D3718" s="2" t="str">
        <x:v>S-S-SS</x:v>
      </x:c>
      <x:c r="E3718" s="14" t="n">
        <x:v>20</x:v>
      </x:c>
      <x:c r="F3718" s="2" t="str">
        <x:v>Sensor installation</x:v>
      </x:c>
      <x:c r="G3718" s="9" t="str">
        <x:v>EL-01</x:v>
      </x:c>
      <x:c r="H3718" s="15" t="n">
        <x:v>129</x:v>
      </x:c>
      <x:c r="I3718" s="9" t="str">
        <x:v>P07</x:v>
      </x:c>
      <x:c r="J3718" s="11" t="n">
        <x:v>46315.25</x:v>
      </x:c>
      <x:c r="K3718" s="15" t="n">
        <x:v>8</x:v>
      </x:c>
      <x:c r="L3718" s="15" t="n">
        <x:v>24</x:v>
      </x:c>
      <x:c r="M3718" s="13" t="n">
        <x:f>J3718+(K3718+L3718)/1440</x:f>
        <x:v>46315.27222222222</x:v>
      </x:c>
      <x:c r="N3718" s="13" t="n">
        <x:f>VLOOKUP(C3718,'MES orders'!$A$8:$H$127,5,FALSE)</x:f>
        <x:v>46311.666666666664</x:v>
      </x:c>
      <x:c r="O3718" s="16" t="n">
        <x:f>MAX(0,(M3718-N3718)*24)</x:f>
        <x:v>86.53333333338378</x:v>
      </x:c>
      <x:c r="P3718" s="9" t="str">
        <x:v>No</x:v>
      </x:c>
      <x:c r="Q3718" s="15" t="n">
        <x:v>32</x:v>
      </x:c>
      <x:c r="R3718" s="13" t="n">
        <x:f>J3718+Q3718/1440</x:f>
        <x:v>46315.27222222222</x:v>
      </x:c>
      <x:c r="S3718" s="2" t="str">
        <x:f>VLOOKUP(C3718,'MES orders'!$A$8:$H$127,6,FALSE)</x:f>
        <x:v>Normal</x:v>
      </x:c>
      <x:c r="T3718" s="9" t="str"/>
    </x:row>
    <x:row r="3719" ht="22" customHeight="1">
      <x:c r="A3719" s="2" t="str">
        <x:v>L00440-030</x:v>
      </x:c>
      <x:c r="B3719" s="2" t="str">
        <x:v>L00440</x:v>
      </x:c>
      <x:c r="C3719" s="2" t="str">
        <x:v>SO-26088</x:v>
      </x:c>
      <x:c r="D3719" s="2" t="str">
        <x:v>S-S-SS</x:v>
      </x:c>
      <x:c r="E3719" s="14" t="n">
        <x:v>20</x:v>
      </x:c>
      <x:c r="F3719" s="2" t="str">
        <x:v>Wash &amp; dry</x:v>
      </x:c>
      <x:c r="G3719" s="9" t="str">
        <x:v>WS-01</x:v>
      </x:c>
      <x:c r="H3719" s="15" t="n">
        <x:v>342</x:v>
      </x:c>
      <x:c r="I3719" s="9" t="str">
        <x:v>P06</x:v>
      </x:c>
      <x:c r="J3719" s="11" t="n">
        <x:v>46315.25</x:v>
      </x:c>
      <x:c r="K3719" s="15" t="n">
        <x:v>12</x:v>
      </x:c>
      <x:c r="L3719" s="15" t="n">
        <x:v>7</x:v>
      </x:c>
      <x:c r="M3719" s="13" t="n">
        <x:f>J3719+(K3719+L3719)/1440</x:f>
        <x:v>46315.263194444444</x:v>
      </x:c>
      <x:c r="N3719" s="13" t="n">
        <x:f>VLOOKUP(C3719,'MES orders'!$A$8:$H$127,5,FALSE)</x:f>
        <x:v>46311.666666666664</x:v>
      </x:c>
      <x:c r="O3719" s="16" t="n">
        <x:f>MAX(0,(M3719-N3719)*24)</x:f>
        <x:v>86.31666666670935</x:v>
      </x:c>
      <x:c r="P3719" s="9" t="str">
        <x:v>No</x:v>
      </x:c>
      <x:c r="Q3719" s="15" t="n">
        <x:v>19</x:v>
      </x:c>
      <x:c r="R3719" s="13" t="n">
        <x:f>J3719+Q3719/1440</x:f>
        <x:v>46315.263194444444</x:v>
      </x:c>
      <x:c r="S3719" s="2" t="str">
        <x:f>VLOOKUP(C3719,'MES orders'!$A$8:$H$127,6,FALSE)</x:f>
        <x:v>Normal</x:v>
      </x:c>
      <x:c r="T3719" s="9" t="str"/>
    </x:row>
    <x:row r="3720" ht="22" customHeight="1">
      <x:c r="A3720" s="2" t="str">
        <x:v>L00556-010</x:v>
      </x:c>
      <x:c r="B3720" s="2" t="str">
        <x:v>L00556</x:v>
      </x:c>
      <x:c r="C3720" s="2" t="str">
        <x:v>SO-26112</x:v>
      </x:c>
      <x:c r="D3720" s="2" t="str">
        <x:v>D-S-SS</x:v>
      </x:c>
      <x:c r="E3720" s="14" t="n">
        <x:v>25</x:v>
      </x:c>
      <x:c r="F3720" s="2" t="str">
        <x:v>CNC machining</x:v>
      </x:c>
      <x:c r="G3720" s="9" t="str">
        <x:v>CNC-06</x:v>
      </x:c>
      <x:c r="H3720" s="15" t="n">
        <x:v>97</x:v>
      </x:c>
      <x:c r="I3720" s="9" t="str">
        <x:v>P02</x:v>
      </x:c>
      <x:c r="J3720" s="11" t="n">
        <x:v>46315.2625</x:v>
      </x:c>
      <x:c r="K3720" s="15" t="n">
        <x:v>18</x:v>
      </x:c>
      <x:c r="L3720" s="15" t="n">
        <x:v>75</x:v>
      </x:c>
      <x:c r="M3720" s="13" t="n">
        <x:f>J3720+(K3720+L3720)/1440</x:f>
        <x:v>46315.32708333333</x:v>
      </x:c>
      <x:c r="N3720" s="13" t="n">
        <x:f>VLOOKUP(C3720,'MES orders'!$A$8:$H$127,5,FALSE)</x:f>
        <x:v>46311.666666666664</x:v>
      </x:c>
      <x:c r="O3720" s="16" t="n">
        <x:f>MAX(0,(M3720-N3720)*24)</x:f>
        <x:v>87.84999999997672</x:v>
      </x:c>
      <x:c r="P3720" s="9" t="str">
        <x:v>No</x:v>
      </x:c>
      <x:c r="Q3720" s="15" t="n">
        <x:v>18</x:v>
      </x:c>
      <x:c r="R3720" s="13" t="n">
        <x:f>J3720+Q3720/1440</x:f>
        <x:v>46315.274999999994</x:v>
      </x:c>
      <x:c r="S3720" s="2" t="str">
        <x:f>VLOOKUP(C3720,'MES orders'!$A$8:$H$127,6,FALSE)</x:f>
        <x:v>Normal</x:v>
      </x:c>
      <x:c r="T3720" s="9" t="str"/>
    </x:row>
    <x:row r="3721" ht="22" customHeight="1">
      <x:c r="A3721" s="2" t="str">
        <x:v>L00440-040</x:v>
      </x:c>
      <x:c r="B3721" s="2" t="str">
        <x:v>L00440</x:v>
      </x:c>
      <x:c r="C3721" s="2" t="str">
        <x:v>SO-26088</x:v>
      </x:c>
      <x:c r="D3721" s="2" t="str">
        <x:v>S-S-SS</x:v>
      </x:c>
      <x:c r="E3721" s="14" t="n">
        <x:v>20</x:v>
      </x:c>
      <x:c r="F3721" s="2" t="str">
        <x:v>Mechanical preassembly</x:v>
      </x:c>
      <x:c r="G3721" s="9" t="str">
        <x:v>AS-03</x:v>
      </x:c>
      <x:c r="H3721" s="15" t="n">
        <x:v>199</x:v>
      </x:c>
      <x:c r="I3721" s="9" t="str">
        <x:v>P06</x:v>
      </x:c>
      <x:c r="J3721" s="11" t="n">
        <x:v>46315.263194444444</x:v>
      </x:c>
      <x:c r="K3721" s="15" t="n">
        <x:v>6</x:v>
      </x:c>
      <x:c r="L3721" s="15" t="n">
        <x:v>22</x:v>
      </x:c>
      <x:c r="M3721" s="13" t="n">
        <x:f>J3721+(K3721+L3721)/1440</x:f>
        <x:v>46315.282638888886</x:v>
      </x:c>
      <x:c r="N3721" s="13" t="n">
        <x:f>VLOOKUP(C3721,'MES orders'!$A$8:$H$127,5,FALSE)</x:f>
        <x:v>46311.666666666664</x:v>
      </x:c>
      <x:c r="O3721" s="16" t="n">
        <x:f>MAX(0,(M3721-N3721)*24)</x:f>
        <x:v>86.78333333332557</x:v>
      </x:c>
      <x:c r="P3721" s="9" t="str">
        <x:v>No</x:v>
      </x:c>
      <x:c r="Q3721" s="15" t="n">
        <x:v>28</x:v>
      </x:c>
      <x:c r="R3721" s="13" t="n">
        <x:f>J3721+Q3721/1440</x:f>
        <x:v>46315.282638888886</x:v>
      </x:c>
      <x:c r="S3721" s="2" t="str">
        <x:f>VLOOKUP(C3721,'MES orders'!$A$8:$H$127,6,FALSE)</x:f>
        <x:v>Normal</x:v>
      </x:c>
      <x:c r="T3721" s="9" t="str"/>
    </x:row>
    <x:row r="3722" ht="22" customHeight="1">
      <x:c r="A3722" s="2" t="str">
        <x:v>L00517-020</x:v>
      </x:c>
      <x:c r="B3722" s="2" t="str">
        <x:v>L00517</x:v>
      </x:c>
      <x:c r="C3722" s="2" t="str">
        <x:v>SO-26104</x:v>
      </x:c>
      <x:c r="D3722" s="2" t="str">
        <x:v>D-C-SS</x:v>
      </x:c>
      <x:c r="E3722" s="14" t="n">
        <x:v>15</x:v>
      </x:c>
      <x:c r="F3722" s="2" t="str">
        <x:v>Deburr &amp; inspect</x:v>
      </x:c>
      <x:c r="G3722" s="9" t="str">
        <x:v>DB-01</x:v>
      </x:c>
      <x:c r="H3722" s="15" t="n">
        <x:v>350</x:v>
      </x:c>
      <x:c r="I3722" s="9" t="str">
        <x:v>P05</x:v>
      </x:c>
      <x:c r="J3722" s="11" t="n">
        <x:v>46315.26458333333</x:v>
      </x:c>
      <x:c r="K3722" s="15" t="n">
        <x:v>4</x:v>
      </x:c>
      <x:c r="L3722" s="15" t="n">
        <x:v>8</x:v>
      </x:c>
      <x:c r="M3722" s="13" t="n">
        <x:f>J3722+(K3722+L3722)/1440</x:f>
        <x:v>46315.27291666666</x:v>
      </x:c>
      <x:c r="N3722" s="13" t="n">
        <x:f>VLOOKUP(C3722,'MES orders'!$A$8:$H$127,5,FALSE)</x:f>
        <x:v>46311.666666666664</x:v>
      </x:c>
      <x:c r="O3722" s="16" t="n">
        <x:f>MAX(0,(M3722-N3722)*24)</x:f>
        <x:v>86.54999999993015</x:v>
      </x:c>
      <x:c r="P3722" s="9" t="str">
        <x:v>No</x:v>
      </x:c>
      <x:c r="Q3722" s="15" t="n">
        <x:v>12</x:v>
      </x:c>
      <x:c r="R3722" s="13" t="n">
        <x:f>J3722+Q3722/1440</x:f>
        <x:v>46315.27291666666</x:v>
      </x:c>
      <x:c r="S3722" s="2" t="str">
        <x:f>VLOOKUP(C3722,'MES orders'!$A$8:$H$127,6,FALSE)</x:f>
        <x:v>Normal</x:v>
      </x:c>
      <x:c r="T3722" s="9" t="str"/>
    </x:row>
    <x:row r="3723" ht="22" customHeight="1">
      <x:c r="A3723" s="2" t="str">
        <x:v>L00436-080</x:v>
      </x:c>
      <x:c r="B3723" s="2" t="str">
        <x:v>L00436</x:v>
      </x:c>
      <x:c r="C3723" s="2" t="str">
        <x:v>SO-26088</x:v>
      </x:c>
      <x:c r="D3723" s="2" t="str">
        <x:v>S-S-SS</x:v>
      </x:c>
      <x:c r="E3723" s="14" t="n">
        <x:v>20</x:v>
      </x:c>
      <x:c r="F3723" s="2" t="str">
        <x:v>Final leak / function test</x:v>
      </x:c>
      <x:c r="G3723" s="9" t="str">
        <x:v>QA-02</x:v>
      </x:c>
      <x:c r="H3723" s="15" t="n">
        <x:v>283</x:v>
      </x:c>
      <x:c r="I3723" s="9" t="str">
        <x:v>P11</x:v>
      </x:c>
      <x:c r="J3723" s="11" t="n">
        <x:v>46315.26458333333</x:v>
      </x:c>
      <x:c r="K3723" s="15" t="n">
        <x:v>10</x:v>
      </x:c>
      <x:c r="L3723" s="15" t="n">
        <x:v>18</x:v>
      </x:c>
      <x:c r="M3723" s="13" t="n">
        <x:f>J3723+(K3723+L3723)/1440</x:f>
        <x:v>46315.28402777777</x:v>
      </x:c>
      <x:c r="N3723" s="13" t="n">
        <x:f>VLOOKUP(C3723,'MES orders'!$A$8:$H$127,5,FALSE)</x:f>
        <x:v>46311.666666666664</x:v>
      </x:c>
      <x:c r="O3723" s="16" t="n">
        <x:f>MAX(0,(M3723-N3723)*24)</x:f>
        <x:v>86.81666666659294</x:v>
      </x:c>
      <x:c r="P3723" s="9" t="str">
        <x:v>No</x:v>
      </x:c>
      <x:c r="Q3723" s="15" t="n">
        <x:v>28</x:v>
      </x:c>
      <x:c r="R3723" s="13" t="n">
        <x:f>J3723+Q3723/1440</x:f>
        <x:v>46315.28402777777</x:v>
      </x:c>
      <x:c r="S3723" s="2" t="str">
        <x:f>VLOOKUP(C3723,'MES orders'!$A$8:$H$127,6,FALSE)</x:f>
        <x:v>Normal</x:v>
      </x:c>
      <x:c r="T3723" s="9" t="str"/>
    </x:row>
    <x:row r="3724" ht="22" customHeight="1">
      <x:c r="A3724" s="2" t="str">
        <x:v>L00439-050</x:v>
      </x:c>
      <x:c r="B3724" s="2" t="str">
        <x:v>L00439</x:v>
      </x:c>
      <x:c r="C3724" s="2" t="str">
        <x:v>SO-26088</x:v>
      </x:c>
      <x:c r="D3724" s="2" t="str">
        <x:v>S-S-SS</x:v>
      </x:c>
      <x:c r="E3724" s="14" t="n">
        <x:v>20</x:v>
      </x:c>
      <x:c r="F3724" s="2" t="str">
        <x:v>Sensor installation</x:v>
      </x:c>
      <x:c r="G3724" s="9" t="str">
        <x:v>EL-02</x:v>
      </x:c>
      <x:c r="H3724" s="15" t="n">
        <x:v>65</x:v>
      </x:c>
      <x:c r="I3724" s="9" t="str">
        <x:v>P08</x:v>
      </x:c>
      <x:c r="J3724" s="11" t="n">
        <x:v>46315.26944444444</x:v>
      </x:c>
      <x:c r="K3724" s="15" t="n">
        <x:v>8</x:v>
      </x:c>
      <x:c r="L3724" s="15" t="n">
        <x:v>24</x:v>
      </x:c>
      <x:c r="M3724" s="13" t="n">
        <x:f>J3724+(K3724+L3724)/1440</x:f>
        <x:v>46315.291666666664</x:v>
      </x:c>
      <x:c r="N3724" s="13" t="n">
        <x:f>VLOOKUP(C3724,'MES orders'!$A$8:$H$127,5,FALSE)</x:f>
        <x:v>46311.666666666664</x:v>
      </x:c>
      <x:c r="O3724" s="16" t="n">
        <x:f>MAX(0,(M3724-N3724)*24)</x:f>
        <x:v>87</x:v>
      </x:c>
      <x:c r="P3724" s="9" t="str">
        <x:v>No</x:v>
      </x:c>
      <x:c r="Q3724" s="15" t="n">
        <x:v>32</x:v>
      </x:c>
      <x:c r="R3724" s="13" t="n">
        <x:f>J3724+Q3724/1440</x:f>
        <x:v>46315.291666666664</x:v>
      </x:c>
      <x:c r="S3724" s="2" t="str">
        <x:f>VLOOKUP(C3724,'MES orders'!$A$8:$H$127,6,FALSE)</x:f>
        <x:v>Normal</x:v>
      </x:c>
      <x:c r="T3724" s="9" t="str"/>
    </x:row>
    <x:row r="3725" ht="22" customHeight="1">
      <x:c r="A3725" s="2" t="str">
        <x:v>L00476-030</x:v>
      </x:c>
      <x:c r="B3725" s="2" t="str">
        <x:v>L00476</x:v>
      </x:c>
      <x:c r="C3725" s="2" t="str">
        <x:v>SO-26096</x:v>
      </x:c>
      <x:c r="D3725" s="2" t="str">
        <x:v>S-L-SS</x:v>
      </x:c>
      <x:c r="E3725" s="14" t="n">
        <x:v>20</x:v>
      </x:c>
      <x:c r="F3725" s="2" t="str">
        <x:v>Wash &amp; dry</x:v>
      </x:c>
      <x:c r="G3725" s="9" t="str">
        <x:v>WS-01</x:v>
      </x:c>
      <x:c r="H3725" s="15" t="n">
        <x:v>343</x:v>
      </x:c>
      <x:c r="I3725" s="9" t="str">
        <x:v>P04</x:v>
      </x:c>
      <x:c r="J3725" s="11" t="n">
        <x:v>46315.26944444444</x:v>
      </x:c>
      <x:c r="K3725" s="15" t="n">
        <x:v>12</x:v>
      </x:c>
      <x:c r="L3725" s="15" t="n">
        <x:v>9</x:v>
      </x:c>
      <x:c r="M3725" s="13" t="n">
        <x:f>J3725+(K3725+L3725)/1440</x:f>
        <x:v>46315.28402777777</x:v>
      </x:c>
      <x:c r="N3725" s="13" t="n">
        <x:f>VLOOKUP(C3725,'MES orders'!$A$8:$H$127,5,FALSE)</x:f>
        <x:v>46311.666666666664</x:v>
      </x:c>
      <x:c r="O3725" s="16" t="n">
        <x:f>MAX(0,(M3725-N3725)*24)</x:f>
        <x:v>86.81666666659294</x:v>
      </x:c>
      <x:c r="P3725" s="9" t="str">
        <x:v>No</x:v>
      </x:c>
      <x:c r="Q3725" s="15" t="n">
        <x:v>21</x:v>
      </x:c>
      <x:c r="R3725" s="13" t="n">
        <x:f>J3725+Q3725/1440</x:f>
        <x:v>46315.28402777777</x:v>
      </x:c>
      <x:c r="S3725" s="2" t="str">
        <x:f>VLOOKUP(C3725,'MES orders'!$A$8:$H$127,6,FALSE)</x:f>
        <x:v>Normal</x:v>
      </x:c>
      <x:c r="T3725" s="9" t="str"/>
    </x:row>
    <x:row r="3726" ht="22" customHeight="1">
      <x:c r="A3726" s="2" t="str">
        <x:v>L00517-030</x:v>
      </x:c>
      <x:c r="B3726" s="2" t="str">
        <x:v>L00517</x:v>
      </x:c>
      <x:c r="C3726" s="2" t="str">
        <x:v>SO-26104</x:v>
      </x:c>
      <x:c r="D3726" s="2" t="str">
        <x:v>D-C-SS</x:v>
      </x:c>
      <x:c r="E3726" s="14" t="n">
        <x:v>15</x:v>
      </x:c>
      <x:c r="F3726" s="2" t="str">
        <x:v>Wash &amp; dry</x:v>
      </x:c>
      <x:c r="G3726" s="9" t="str">
        <x:v>WS-02</x:v>
      </x:c>
      <x:c r="H3726" s="15" t="n">
        <x:v>246</x:v>
      </x:c>
      <x:c r="I3726" s="9" t="str">
        <x:v>P01</x:v>
      </x:c>
      <x:c r="J3726" s="11" t="n">
        <x:v>46315.27291666667</x:v>
      </x:c>
      <x:c r="K3726" s="15" t="n">
        <x:v>12</x:v>
      </x:c>
      <x:c r="L3726" s="15" t="n">
        <x:v>4</x:v>
      </x:c>
      <x:c r="M3726" s="13" t="n">
        <x:f>J3726+(K3726+L3726)/1440</x:f>
        <x:v>46315.28402777778</x:v>
      </x:c>
      <x:c r="N3726" s="13" t="n">
        <x:f>VLOOKUP(C3726,'MES orders'!$A$8:$H$127,5,FALSE)</x:f>
        <x:v>46311.666666666664</x:v>
      </x:c>
      <x:c r="O3726" s="16" t="n">
        <x:f>MAX(0,(M3726-N3726)*24)</x:f>
        <x:v>86.81666666676756</x:v>
      </x:c>
      <x:c r="P3726" s="9" t="str">
        <x:v>No</x:v>
      </x:c>
      <x:c r="Q3726" s="15" t="n">
        <x:v>16</x:v>
      </x:c>
      <x:c r="R3726" s="13" t="n">
        <x:f>J3726+Q3726/1440</x:f>
        <x:v>46315.28402777778</x:v>
      </x:c>
      <x:c r="S3726" s="2" t="str">
        <x:f>VLOOKUP(C3726,'MES orders'!$A$8:$H$127,6,FALSE)</x:f>
        <x:v>Normal</x:v>
      </x:c>
      <x:c r="T3726" s="9" t="str"/>
    </x:row>
    <x:row r="3727" ht="22" customHeight="1">
      <x:c r="A3727" s="2" t="str">
        <x:v>L00437-070</x:v>
      </x:c>
      <x:c r="B3727" s="2" t="str">
        <x:v>L00437</x:v>
      </x:c>
      <x:c r="C3727" s="2" t="str">
        <x:v>SO-26088</x:v>
      </x:c>
      <x:c r="D3727" s="2" t="str">
        <x:v>S-S-SS</x:v>
      </x:c>
      <x:c r="E3727" s="14" t="n">
        <x:v>20</x:v>
      </x:c>
      <x:c r="F3727" s="2" t="str">
        <x:v>Final assembly</x:v>
      </x:c>
      <x:c r="G3727" s="9" t="str">
        <x:v>AS-01</x:v>
      </x:c>
      <x:c r="H3727" s="15" t="n">
        <x:v>303</x:v>
      </x:c>
      <x:c r="I3727" s="9" t="str">
        <x:v>P05</x:v>
      </x:c>
      <x:c r="J3727" s="11" t="n">
        <x:v>46315.275</x:v>
      </x:c>
      <x:c r="K3727" s="15" t="n">
        <x:v>5</x:v>
      </x:c>
      <x:c r="L3727" s="15" t="n">
        <x:v>16</x:v>
      </x:c>
      <x:c r="M3727" s="13" t="n">
        <x:f>J3727+(K3727+L3727)/1440</x:f>
        <x:v>46315.28958333333</x:v>
      </x:c>
      <x:c r="N3727" s="13" t="n">
        <x:f>VLOOKUP(C3727,'MES orders'!$A$8:$H$127,5,FALSE)</x:f>
        <x:v>46311.666666666664</x:v>
      </x:c>
      <x:c r="O3727" s="16" t="n">
        <x:f>MAX(0,(M3727-N3727)*24)</x:f>
        <x:v>86.95000000001164</x:v>
      </x:c>
      <x:c r="P3727" s="9" t="str">
        <x:v>No</x:v>
      </x:c>
      <x:c r="Q3727" s="15" t="n">
        <x:v>21</x:v>
      </x:c>
      <x:c r="R3727" s="13" t="n">
        <x:f>J3727+Q3727/1440</x:f>
        <x:v>46315.28958333333</x:v>
      </x:c>
      <x:c r="S3727" s="2" t="str">
        <x:f>VLOOKUP(C3727,'MES orders'!$A$8:$H$127,6,FALSE)</x:f>
        <x:v>Normal</x:v>
      </x:c>
      <x:c r="T3727" s="9" t="str"/>
    </x:row>
    <x:row r="3728" ht="22" customHeight="1">
      <x:c r="A3728" s="2" t="str">
        <x:v>L00438-060</x:v>
      </x:c>
      <x:c r="B3728" s="2" t="str">
        <x:v>L00438</x:v>
      </x:c>
      <x:c r="C3728" s="2" t="str">
        <x:v>SO-26088</x:v>
      </x:c>
      <x:c r="D3728" s="2" t="str">
        <x:v>S-S-SS</x:v>
      </x:c>
      <x:c r="E3728" s="14" t="n">
        <x:v>20</x:v>
      </x:c>
      <x:c r="F3728" s="2" t="str">
        <x:v>Sensor calibration</x:v>
      </x:c>
      <x:c r="G3728" s="9" t="str">
        <x:v>CAL-01</x:v>
      </x:c>
      <x:c r="H3728" s="15" t="n">
        <x:v>193</x:v>
      </x:c>
      <x:c r="I3728" s="9" t="str">
        <x:v>P09</x:v>
      </x:c>
      <x:c r="J3728" s="11" t="n">
        <x:v>46315.275</x:v>
      </x:c>
      <x:c r="K3728" s="15" t="n">
        <x:v>10</x:v>
      </x:c>
      <x:c r="L3728" s="15" t="n">
        <x:v>26</x:v>
      </x:c>
      <x:c r="M3728" s="13" t="n">
        <x:f>J3728+(K3728+L3728)/1440</x:f>
        <x:v>46315.3</x:v>
      </x:c>
      <x:c r="N3728" s="13" t="n">
        <x:f>VLOOKUP(C3728,'MES orders'!$A$8:$H$127,5,FALSE)</x:f>
        <x:v>46311.666666666664</x:v>
      </x:c>
      <x:c r="O3728" s="16" t="n">
        <x:f>MAX(0,(M3728-N3728)*24)</x:f>
        <x:v>87.20000000012806</x:v>
      </x:c>
      <x:c r="P3728" s="9" t="str">
        <x:v>No</x:v>
      </x:c>
      <x:c r="Q3728" s="15" t="n">
        <x:v>36</x:v>
      </x:c>
      <x:c r="R3728" s="13" t="n">
        <x:f>J3728+Q3728/1440</x:f>
        <x:v>46315.3</x:v>
      </x:c>
      <x:c r="S3728" s="2" t="str">
        <x:f>VLOOKUP(C3728,'MES orders'!$A$8:$H$127,6,FALSE)</x:f>
        <x:v>Normal</x:v>
      </x:c>
      <x:c r="T3728" s="9" t="str"/>
    </x:row>
    <x:row r="3729" ht="22" customHeight="1">
      <x:c r="A3729" s="2" t="str">
        <x:v>L00478-040</x:v>
      </x:c>
      <x:c r="B3729" s="2" t="str">
        <x:v>L00478</x:v>
      </x:c>
      <x:c r="C3729" s="2" t="str">
        <x:v>SO-26096</x:v>
      </x:c>
      <x:c r="D3729" s="2" t="str">
        <x:v>S-L-SS</x:v>
      </x:c>
      <x:c r="E3729" s="14" t="n">
        <x:v>20</x:v>
      </x:c>
      <x:c r="F3729" s="2" t="str">
        <x:v>Mechanical preassembly</x:v>
      </x:c>
      <x:c r="G3729" s="9" t="str">
        <x:v>AS-03</x:v>
      </x:c>
      <x:c r="H3729" s="15" t="n">
        <x:v>200</x:v>
      </x:c>
      <x:c r="I3729" s="9" t="str">
        <x:v>P06</x:v>
      </x:c>
      <x:c r="J3729" s="11" t="n">
        <x:v>46315.282638888886</x:v>
      </x:c>
      <x:c r="K3729" s="15" t="n">
        <x:v>6</x:v>
      </x:c>
      <x:c r="L3729" s="15" t="n">
        <x:v>30</x:v>
      </x:c>
      <x:c r="M3729" s="13" t="n">
        <x:f>J3729+(K3729+L3729)/1440</x:f>
        <x:v>46315.30763888889</x:v>
      </x:c>
      <x:c r="N3729" s="13" t="n">
        <x:f>VLOOKUP(C3729,'MES orders'!$A$8:$H$127,5,FALSE)</x:f>
        <x:v>46311.666666666664</x:v>
      </x:c>
      <x:c r="O3729" s="16" t="n">
        <x:f>MAX(0,(M3729-N3729)*24)</x:f>
        <x:v>87.3833333333605</x:v>
      </x:c>
      <x:c r="P3729" s="9" t="str">
        <x:v>No</x:v>
      </x:c>
      <x:c r="Q3729" s="15" t="n">
        <x:v>36</x:v>
      </x:c>
      <x:c r="R3729" s="13" t="n">
        <x:f>J3729+Q3729/1440</x:f>
        <x:v>46315.30763888889</x:v>
      </x:c>
      <x:c r="S3729" s="2" t="str">
        <x:f>VLOOKUP(C3729,'MES orders'!$A$8:$H$127,6,FALSE)</x:f>
        <x:v>Normal</x:v>
      </x:c>
      <x:c r="T3729" s="9" t="str"/>
    </x:row>
    <x:row r="3730" ht="22" customHeight="1">
      <x:c r="A3730" s="2" t="str">
        <x:v>L00440-050</x:v>
      </x:c>
      <x:c r="B3730" s="2" t="str">
        <x:v>L00440</x:v>
      </x:c>
      <x:c r="C3730" s="2" t="str">
        <x:v>SO-26088</x:v>
      </x:c>
      <x:c r="D3730" s="2" t="str">
        <x:v>S-S-SS</x:v>
      </x:c>
      <x:c r="E3730" s="14" t="n">
        <x:v>20</x:v>
      </x:c>
      <x:c r="F3730" s="2" t="str">
        <x:v>Sensor installation</x:v>
      </x:c>
      <x:c r="G3730" s="9" t="str">
        <x:v>EL-01</x:v>
      </x:c>
      <x:c r="H3730" s="15" t="n">
        <x:v>130</x:v>
      </x:c>
      <x:c r="I3730" s="9" t="str">
        <x:v>P07</x:v>
      </x:c>
      <x:c r="J3730" s="11" t="n">
        <x:v>46315.282638888886</x:v>
      </x:c>
      <x:c r="K3730" s="15" t="n">
        <x:v>8</x:v>
      </x:c>
      <x:c r="L3730" s="15" t="n">
        <x:v>24</x:v>
      </x:c>
      <x:c r="M3730" s="13" t="n">
        <x:f>J3730+(K3730+L3730)/1440</x:f>
        <x:v>46315.30486111111</x:v>
      </x:c>
      <x:c r="N3730" s="13" t="n">
        <x:f>VLOOKUP(C3730,'MES orders'!$A$8:$H$127,5,FALSE)</x:f>
        <x:v>46311.666666666664</x:v>
      </x:c>
      <x:c r="O3730" s="16" t="n">
        <x:f>MAX(0,(M3730-N3730)*24)</x:f>
        <x:v>87.31666666665114</x:v>
      </x:c>
      <x:c r="P3730" s="9" t="str">
        <x:v>No</x:v>
      </x:c>
      <x:c r="Q3730" s="15" t="n">
        <x:v>32</x:v>
      </x:c>
      <x:c r="R3730" s="13" t="n">
        <x:f>J3730+Q3730/1440</x:f>
        <x:v>46315.30486111111</x:v>
      </x:c>
      <x:c r="S3730" s="2" t="str">
        <x:f>VLOOKUP(C3730,'MES orders'!$A$8:$H$127,6,FALSE)</x:f>
        <x:v>Normal</x:v>
      </x:c>
      <x:c r="T3730" s="9" t="str"/>
    </x:row>
    <x:row r="3731" ht="22" customHeight="1">
      <x:c r="A3731" s="2" t="str">
        <x:v>L00476-040</x:v>
      </x:c>
      <x:c r="B3731" s="2" t="str">
        <x:v>L00476</x:v>
      </x:c>
      <x:c r="C3731" s="2" t="str">
        <x:v>SO-26096</x:v>
      </x:c>
      <x:c r="D3731" s="2" t="str">
        <x:v>S-L-SS</x:v>
      </x:c>
      <x:c r="E3731" s="14" t="n">
        <x:v>20</x:v>
      </x:c>
      <x:c r="F3731" s="2" t="str">
        <x:v>Mechanical preassembly</x:v>
      </x:c>
      <x:c r="G3731" s="9" t="str">
        <x:v>AS-02</x:v>
      </x:c>
      <x:c r="H3731" s="15" t="n">
        <x:v>246</x:v>
      </x:c>
      <x:c r="I3731" s="9" t="str">
        <x:v>P04</x:v>
      </x:c>
      <x:c r="J3731" s="11" t="n">
        <x:v>46315.28402777778</x:v>
      </x:c>
      <x:c r="K3731" s="15" t="n">
        <x:v>6</x:v>
      </x:c>
      <x:c r="L3731" s="15" t="n">
        <x:v>30</x:v>
      </x:c>
      <x:c r="M3731" s="13" t="n">
        <x:f>J3731+(K3731+L3731)/1440</x:f>
        <x:v>46315.30902777778</x:v>
      </x:c>
      <x:c r="N3731" s="13" t="n">
        <x:f>VLOOKUP(C3731,'MES orders'!$A$8:$H$127,5,FALSE)</x:f>
        <x:v>46311.666666666664</x:v>
      </x:c>
      <x:c r="O3731" s="16" t="n">
        <x:f>MAX(0,(M3731-N3731)*24)</x:f>
        <x:v>87.41666666680248</x:v>
      </x:c>
      <x:c r="P3731" s="9" t="str">
        <x:v>No</x:v>
      </x:c>
      <x:c r="Q3731" s="15" t="n">
        <x:v>36</x:v>
      </x:c>
      <x:c r="R3731" s="13" t="n">
        <x:f>J3731+Q3731/1440</x:f>
        <x:v>46315.30902777778</x:v>
      </x:c>
      <x:c r="S3731" s="2" t="str">
        <x:f>VLOOKUP(C3731,'MES orders'!$A$8:$H$127,6,FALSE)</x:f>
        <x:v>Normal</x:v>
      </x:c>
      <x:c r="T3731" s="9" t="str"/>
    </x:row>
    <x:row r="3732" ht="22" customHeight="1">
      <x:c r="A3732" s="2" t="str">
        <x:v>L00517-040</x:v>
      </x:c>
      <x:c r="B3732" s="2" t="str">
        <x:v>L00517</x:v>
      </x:c>
      <x:c r="C3732" s="2" t="str">
        <x:v>SO-26104</x:v>
      </x:c>
      <x:c r="D3732" s="2" t="str">
        <x:v>D-C-SS</x:v>
      </x:c>
      <x:c r="E3732" s="14" t="n">
        <x:v>15</x:v>
      </x:c>
      <x:c r="F3732" s="2" t="str">
        <x:v>Mechanical assembly</x:v>
      </x:c>
      <x:c r="G3732" s="9" t="str">
        <x:v>AS-04</x:v>
      </x:c>
      <x:c r="H3732" s="15" t="n">
        <x:v>127</x:v>
      </x:c>
      <x:c r="I3732" s="9" t="str">
        <x:v>P01</x:v>
      </x:c>
      <x:c r="J3732" s="11" t="n">
        <x:v>46315.28402777778</x:v>
      </x:c>
      <x:c r="K3732" s="15" t="n">
        <x:v>8</x:v>
      </x:c>
      <x:c r="L3732" s="15" t="n">
        <x:v>22</x:v>
      </x:c>
      <x:c r="M3732" s="13" t="n">
        <x:f>J3732+(K3732+L3732)/1440</x:f>
        <x:v>46315.304861111115</x:v>
      </x:c>
      <x:c r="N3732" s="13" t="n">
        <x:f>VLOOKUP(C3732,'MES orders'!$A$8:$H$127,5,FALSE)</x:f>
        <x:v>46311.666666666664</x:v>
      </x:c>
      <x:c r="O3732" s="16" t="n">
        <x:f>MAX(0,(M3732-N3732)*24)</x:f>
        <x:v>87.31666666682577</x:v>
      </x:c>
      <x:c r="P3732" s="9" t="str">
        <x:v>No</x:v>
      </x:c>
      <x:c r="Q3732" s="15" t="n">
        <x:v>30</x:v>
      </x:c>
      <x:c r="R3732" s="13" t="n">
        <x:f>J3732+Q3732/1440</x:f>
        <x:v>46315.304861111115</x:v>
      </x:c>
      <x:c r="S3732" s="2" t="str">
        <x:f>VLOOKUP(C3732,'MES orders'!$A$8:$H$127,6,FALSE)</x:f>
        <x:v>Normal</x:v>
      </x:c>
      <x:c r="T3732" s="9" t="str"/>
    </x:row>
    <x:row r="3733" ht="22" customHeight="1">
      <x:c r="A3733" s="2" t="str">
        <x:v>L00557-010</x:v>
      </x:c>
      <x:c r="B3733" s="2" t="str">
        <x:v>L00557</x:v>
      </x:c>
      <x:c r="C3733" s="2" t="str">
        <x:v>SO-26112</x:v>
      </x:c>
      <x:c r="D3733" s="2" t="str">
        <x:v>D-S-SS</x:v>
      </x:c>
      <x:c r="E3733" s="14" t="n">
        <x:v>25</x:v>
      </x:c>
      <x:c r="F3733" s="2" t="str">
        <x:v>CNC machining</x:v>
      </x:c>
      <x:c r="G3733" s="9" t="str">
        <x:v>CNC-04</x:v>
      </x:c>
      <x:c r="H3733" s="15" t="n">
        <x:v>119</x:v>
      </x:c>
      <x:c r="I3733" s="9" t="str">
        <x:v>P02</x:v>
      </x:c>
      <x:c r="J3733" s="11" t="n">
        <x:v>46315.2875</x:v>
      </x:c>
      <x:c r="K3733" s="15" t="n">
        <x:v>18</x:v>
      </x:c>
      <x:c r="L3733" s="15" t="n">
        <x:v>75</x:v>
      </x:c>
      <x:c r="M3733" s="13" t="n">
        <x:f>J3733+(K3733+L3733)/1440</x:f>
        <x:v>46315.35208333333</x:v>
      </x:c>
      <x:c r="N3733" s="13" t="n">
        <x:f>VLOOKUP(C3733,'MES orders'!$A$8:$H$127,5,FALSE)</x:f>
        <x:v>46311.666666666664</x:v>
      </x:c>
      <x:c r="O3733" s="16" t="n">
        <x:f>MAX(0,(M3733-N3733)*24)</x:f>
        <x:v>88.45000000001164</x:v>
      </x:c>
      <x:c r="P3733" s="9" t="str">
        <x:v>No</x:v>
      </x:c>
      <x:c r="Q3733" s="15" t="n">
        <x:v>18</x:v>
      </x:c>
      <x:c r="R3733" s="13" t="n">
        <x:f>J3733+Q3733/1440</x:f>
        <x:v>46315.299999999996</x:v>
      </x:c>
      <x:c r="S3733" s="2" t="str">
        <x:f>VLOOKUP(C3733,'MES orders'!$A$8:$H$127,6,FALSE)</x:f>
        <x:v>Normal</x:v>
      </x:c>
      <x:c r="T3733" s="9" t="str"/>
    </x:row>
    <x:row r="3734" ht="22" customHeight="1">
      <x:c r="A3734" s="2" t="str">
        <x:v>L00558-010</x:v>
      </x:c>
      <x:c r="B3734" s="2" t="str">
        <x:v>L00558</x:v>
      </x:c>
      <x:c r="C3734" s="2" t="str">
        <x:v>SO-26112</x:v>
      </x:c>
      <x:c r="D3734" s="2" t="str">
        <x:v>D-S-SS</x:v>
      </x:c>
      <x:c r="E3734" s="14" t="n">
        <x:v>25</x:v>
      </x:c>
      <x:c r="F3734" s="2" t="str">
        <x:v>CNC machining</x:v>
      </x:c>
      <x:c r="G3734" s="9" t="str">
        <x:v>CNC-05</x:v>
      </x:c>
      <x:c r="H3734" s="15" t="n">
        <x:v>107</x:v>
      </x:c>
      <x:c r="I3734" s="9" t="str">
        <x:v>P03</x:v>
      </x:c>
      <x:c r="J3734" s="11" t="n">
        <x:v>46315.2875</x:v>
      </x:c>
      <x:c r="K3734" s="15" t="n">
        <x:v>18</x:v>
      </x:c>
      <x:c r="L3734" s="15" t="n">
        <x:v>75</x:v>
      </x:c>
      <x:c r="M3734" s="13" t="n">
        <x:f>J3734+(K3734+L3734)/1440</x:f>
        <x:v>46315.35208333333</x:v>
      </x:c>
      <x:c r="N3734" s="13" t="n">
        <x:f>VLOOKUP(C3734,'MES orders'!$A$8:$H$127,5,FALSE)</x:f>
        <x:v>46311.666666666664</x:v>
      </x:c>
      <x:c r="O3734" s="16" t="n">
        <x:f>MAX(0,(M3734-N3734)*24)</x:f>
        <x:v>88.45000000001164</x:v>
      </x:c>
      <x:c r="P3734" s="9" t="str">
        <x:v>No</x:v>
      </x:c>
      <x:c r="Q3734" s="15" t="n">
        <x:v>18</x:v>
      </x:c>
      <x:c r="R3734" s="13" t="n">
        <x:f>J3734+Q3734/1440</x:f>
        <x:v>46315.299999999996</x:v>
      </x:c>
      <x:c r="S3734" s="2" t="str">
        <x:f>VLOOKUP(C3734,'MES orders'!$A$8:$H$127,6,FALSE)</x:f>
        <x:v>Normal</x:v>
      </x:c>
      <x:c r="T3734" s="9" t="str"/>
    </x:row>
    <x:row r="3735" ht="22" customHeight="1">
      <x:c r="A3735" s="2" t="str">
        <x:v>L00518-020</x:v>
      </x:c>
      <x:c r="B3735" s="2" t="str">
        <x:v>L00518</x:v>
      </x:c>
      <x:c r="C3735" s="2" t="str">
        <x:v>SO-26104</x:v>
      </x:c>
      <x:c r="D3735" s="2" t="str">
        <x:v>D-C-SS</x:v>
      </x:c>
      <x:c r="E3735" s="14" t="n">
        <x:v>15</x:v>
      </x:c>
      <x:c r="F3735" s="2" t="str">
        <x:v>Deburr &amp; inspect</x:v>
      </x:c>
      <x:c r="G3735" s="9" t="str">
        <x:v>DB-01</x:v>
      </x:c>
      <x:c r="H3735" s="15" t="n">
        <x:v>351</x:v>
      </x:c>
      <x:c r="I3735" s="9" t="str">
        <x:v>P05</x:v>
      </x:c>
      <x:c r="J3735" s="11" t="n">
        <x:v>46315.28958333333</x:v>
      </x:c>
      <x:c r="K3735" s="15" t="n">
        <x:v>4</x:v>
      </x:c>
      <x:c r="L3735" s="15" t="n">
        <x:v>8</x:v>
      </x:c>
      <x:c r="M3735" s="13" t="n">
        <x:f>J3735+(K3735+L3735)/1440</x:f>
        <x:v>46315.29791666666</x:v>
      </x:c>
      <x:c r="N3735" s="13" t="n">
        <x:f>VLOOKUP(C3735,'MES orders'!$A$8:$H$127,5,FALSE)</x:f>
        <x:v>46311.666666666664</x:v>
      </x:c>
      <x:c r="O3735" s="16" t="n">
        <x:f>MAX(0,(M3735-N3735)*24)</x:f>
        <x:v>87.14999999996508</x:v>
      </x:c>
      <x:c r="P3735" s="9" t="str">
        <x:v>No</x:v>
      </x:c>
      <x:c r="Q3735" s="15" t="n">
        <x:v>12</x:v>
      </x:c>
      <x:c r="R3735" s="13" t="n">
        <x:f>J3735+Q3735/1440</x:f>
        <x:v>46315.29791666666</x:v>
      </x:c>
      <x:c r="S3735" s="2" t="str">
        <x:f>VLOOKUP(C3735,'MES orders'!$A$8:$H$127,6,FALSE)</x:f>
        <x:v>Normal</x:v>
      </x:c>
      <x:c r="T3735" s="9" t="str"/>
    </x:row>
    <x:row r="3736" ht="22" customHeight="1">
      <x:c r="A3736" s="2" t="str">
        <x:v>L00437-080</x:v>
      </x:c>
      <x:c r="B3736" s="2" t="str">
        <x:v>L00437</x:v>
      </x:c>
      <x:c r="C3736" s="2" t="str">
        <x:v>SO-26088</x:v>
      </x:c>
      <x:c r="D3736" s="2" t="str">
        <x:v>S-S-SS</x:v>
      </x:c>
      <x:c r="E3736" s="14" t="n">
        <x:v>20</x:v>
      </x:c>
      <x:c r="F3736" s="2" t="str">
        <x:v>Final leak / function test</x:v>
      </x:c>
      <x:c r="G3736" s="9" t="str">
        <x:v>QA-02</x:v>
      </x:c>
      <x:c r="H3736" s="15" t="n">
        <x:v>284</x:v>
      </x:c>
      <x:c r="I3736" s="9" t="str">
        <x:v>P11</x:v>
      </x:c>
      <x:c r="J3736" s="11" t="n">
        <x:v>46315.28958333333</x:v>
      </x:c>
      <x:c r="K3736" s="15" t="n">
        <x:v>10</x:v>
      </x:c>
      <x:c r="L3736" s="15" t="n">
        <x:v>18</x:v>
      </x:c>
      <x:c r="M3736" s="13" t="n">
        <x:f>J3736+(K3736+L3736)/1440</x:f>
        <x:v>46315.309027777774</x:v>
      </x:c>
      <x:c r="N3736" s="13" t="n">
        <x:f>VLOOKUP(C3736,'MES orders'!$A$8:$H$127,5,FALSE)</x:f>
        <x:v>46311.666666666664</x:v>
      </x:c>
      <x:c r="O3736" s="16" t="n">
        <x:f>MAX(0,(M3736-N3736)*24)</x:f>
        <x:v>87.41666666662786</x:v>
      </x:c>
      <x:c r="P3736" s="9" t="str">
        <x:v>No</x:v>
      </x:c>
      <x:c r="Q3736" s="15" t="n">
        <x:v>28</x:v>
      </x:c>
      <x:c r="R3736" s="13" t="n">
        <x:f>J3736+Q3736/1440</x:f>
        <x:v>46315.309027777774</x:v>
      </x:c>
      <x:c r="S3736" s="2" t="str">
        <x:f>VLOOKUP(C3736,'MES orders'!$A$8:$H$127,6,FALSE)</x:f>
        <x:v>Normal</x:v>
      </x:c>
      <x:c r="T3736" s="9" t="str"/>
    </x:row>
    <x:row r="3737" ht="22" customHeight="1">
      <x:c r="A3737" s="2" t="str">
        <x:v>L00477-050</x:v>
      </x:c>
      <x:c r="B3737" s="2" t="str">
        <x:v>L00477</x:v>
      </x:c>
      <x:c r="C3737" s="2" t="str">
        <x:v>SO-26096</x:v>
      </x:c>
      <x:c r="D3737" s="2" t="str">
        <x:v>S-L-SS</x:v>
      </x:c>
      <x:c r="E3737" s="14" t="n">
        <x:v>20</x:v>
      </x:c>
      <x:c r="F3737" s="2" t="str">
        <x:v>Sensor installation</x:v>
      </x:c>
      <x:c r="G3737" s="9" t="str">
        <x:v>EL-02</x:v>
      </x:c>
      <x:c r="H3737" s="15" t="n">
        <x:v>66</x:v>
      </x:c>
      <x:c r="I3737" s="9" t="str">
        <x:v>P08</x:v>
      </x:c>
      <x:c r="J3737" s="11" t="n">
        <x:v>46315.291666666664</x:v>
      </x:c>
      <x:c r="K3737" s="15" t="n">
        <x:v>8</x:v>
      </x:c>
      <x:c r="L3737" s="15" t="n">
        <x:v>32</x:v>
      </x:c>
      <x:c r="M3737" s="13" t="n">
        <x:f>J3737+(K3737+L3737)/1440</x:f>
        <x:v>46315.319444444445</x:v>
      </x:c>
      <x:c r="N3737" s="13" t="n">
        <x:f>VLOOKUP(C3737,'MES orders'!$A$8:$H$127,5,FALSE)</x:f>
        <x:v>46311.666666666664</x:v>
      </x:c>
      <x:c r="O3737" s="16" t="n">
        <x:f>MAX(0,(M3737-N3737)*24)</x:f>
        <x:v>87.66666666674428</x:v>
      </x:c>
      <x:c r="P3737" s="9" t="str">
        <x:v>No</x:v>
      </x:c>
      <x:c r="Q3737" s="15" t="n">
        <x:v>40</x:v>
      </x:c>
      <x:c r="R3737" s="13" t="n">
        <x:f>J3737+Q3737/1440</x:f>
        <x:v>46315.319444444445</x:v>
      </x:c>
      <x:c r="S3737" s="2" t="str">
        <x:f>VLOOKUP(C3737,'MES orders'!$A$8:$H$127,6,FALSE)</x:f>
        <x:v>Normal</x:v>
      </x:c>
      <x:c r="T3737" s="9" t="str"/>
    </x:row>
    <x:row r="3738" ht="22" customHeight="1">
      <x:c r="A3738" s="2" t="str">
        <x:v>L00438-070</x:v>
      </x:c>
      <x:c r="B3738" s="2" t="str">
        <x:v>L00438</x:v>
      </x:c>
      <x:c r="C3738" s="2" t="str">
        <x:v>SO-26088</x:v>
      </x:c>
      <x:c r="D3738" s="2" t="str">
        <x:v>S-S-SS</x:v>
      </x:c>
      <x:c r="E3738" s="14" t="n">
        <x:v>20</x:v>
      </x:c>
      <x:c r="F3738" s="2" t="str">
        <x:v>Final assembly</x:v>
      </x:c>
      <x:c r="G3738" s="9" t="str">
        <x:v>AS-01</x:v>
      </x:c>
      <x:c r="H3738" s="15" t="n">
        <x:v>304</x:v>
      </x:c>
      <x:c r="I3738" s="9" t="str">
        <x:v>P05</x:v>
      </x:c>
      <x:c r="J3738" s="11" t="n">
        <x:v>46315.3</x:v>
      </x:c>
      <x:c r="K3738" s="15" t="n">
        <x:v>5</x:v>
      </x:c>
      <x:c r="L3738" s="15" t="n">
        <x:v>16</x:v>
      </x:c>
      <x:c r="M3738" s="13" t="n">
        <x:f>J3738+(K3738+L3738)/1440</x:f>
        <x:v>46315.31458333333</x:v>
      </x:c>
      <x:c r="N3738" s="13" t="n">
        <x:f>VLOOKUP(C3738,'MES orders'!$A$8:$H$127,5,FALSE)</x:f>
        <x:v>46311.666666666664</x:v>
      </x:c>
      <x:c r="O3738" s="16" t="n">
        <x:f>MAX(0,(M3738-N3738)*24)</x:f>
        <x:v>87.55000000004657</x:v>
      </x:c>
      <x:c r="P3738" s="9" t="str">
        <x:v>No</x:v>
      </x:c>
      <x:c r="Q3738" s="15" t="n">
        <x:v>21</x:v>
      </x:c>
      <x:c r="R3738" s="13" t="n">
        <x:f>J3738+Q3738/1440</x:f>
        <x:v>46315.31458333333</x:v>
      </x:c>
      <x:c r="S3738" s="2" t="str">
        <x:f>VLOOKUP(C3738,'MES orders'!$A$8:$H$127,6,FALSE)</x:f>
        <x:v>Normal</x:v>
      </x:c>
      <x:c r="T3738" s="9" t="str"/>
    </x:row>
    <x:row r="3739" ht="22" customHeight="1">
      <x:c r="A3739" s="2" t="str">
        <x:v>L00439-060</x:v>
      </x:c>
      <x:c r="B3739" s="2" t="str">
        <x:v>L00439</x:v>
      </x:c>
      <x:c r="C3739" s="2" t="str">
        <x:v>SO-26088</x:v>
      </x:c>
      <x:c r="D3739" s="2" t="str">
        <x:v>S-S-SS</x:v>
      </x:c>
      <x:c r="E3739" s="14" t="n">
        <x:v>20</x:v>
      </x:c>
      <x:c r="F3739" s="2" t="str">
        <x:v>Sensor calibration</x:v>
      </x:c>
      <x:c r="G3739" s="9" t="str">
        <x:v>CAL-01</x:v>
      </x:c>
      <x:c r="H3739" s="15" t="n">
        <x:v>194</x:v>
      </x:c>
      <x:c r="I3739" s="9" t="str">
        <x:v>P09</x:v>
      </x:c>
      <x:c r="J3739" s="11" t="n">
        <x:v>46315.3</x:v>
      </x:c>
      <x:c r="K3739" s="15" t="n">
        <x:v>10</x:v>
      </x:c>
      <x:c r="L3739" s="15" t="n">
        <x:v>26</x:v>
      </x:c>
      <x:c r="M3739" s="13" t="n">
        <x:f>J3739+(K3739+L3739)/1440</x:f>
        <x:v>46315.325000000004</x:v>
      </x:c>
      <x:c r="N3739" s="13" t="n">
        <x:f>VLOOKUP(C3739,'MES orders'!$A$8:$H$127,5,FALSE)</x:f>
        <x:v>46311.666666666664</x:v>
      </x:c>
      <x:c r="O3739" s="16" t="n">
        <x:f>MAX(0,(M3739-N3739)*24)</x:f>
        <x:v>87.80000000016298</x:v>
      </x:c>
      <x:c r="P3739" s="9" t="str">
        <x:v>No</x:v>
      </x:c>
      <x:c r="Q3739" s="15" t="n">
        <x:v>36</x:v>
      </x:c>
      <x:c r="R3739" s="13" t="n">
        <x:f>J3739+Q3739/1440</x:f>
        <x:v>46315.325000000004</x:v>
      </x:c>
      <x:c r="S3739" s="2" t="str">
        <x:f>VLOOKUP(C3739,'MES orders'!$A$8:$H$127,6,FALSE)</x:f>
        <x:v>Normal</x:v>
      </x:c>
      <x:c r="T3739" s="9" t="str"/>
    </x:row>
    <x:row r="3740" ht="22" customHeight="1">
      <x:c r="A3740" s="2" t="str">
        <x:v>L00517-050</x:v>
      </x:c>
      <x:c r="B3740" s="2" t="str">
        <x:v>L00517</x:v>
      </x:c>
      <x:c r="C3740" s="2" t="str">
        <x:v>SO-26104</x:v>
      </x:c>
      <x:c r="D3740" s="2" t="str">
        <x:v>D-C-SS</x:v>
      </x:c>
      <x:c r="E3740" s="14" t="n">
        <x:v>15</x:v>
      </x:c>
      <x:c r="F3740" s="2" t="str">
        <x:v>Final leak / function test</x:v>
      </x:c>
      <x:c r="G3740" s="9" t="str">
        <x:v>QA-01</x:v>
      </x:c>
      <x:c r="H3740" s="15" t="n">
        <x:v>138</x:v>
      </x:c>
      <x:c r="I3740" s="9" t="str">
        <x:v>P12</x:v>
      </x:c>
      <x:c r="J3740" s="11" t="n">
        <x:v>46315.30486111111</x:v>
      </x:c>
      <x:c r="K3740" s="15" t="n">
        <x:v>10</x:v>
      </x:c>
      <x:c r="L3740" s="15" t="n">
        <x:v>11</x:v>
      </x:c>
      <x:c r="M3740" s="13" t="n">
        <x:f>J3740+(K3740+L3740)/1440</x:f>
        <x:v>46315.31944444444</x:v>
      </x:c>
      <x:c r="N3740" s="13" t="n">
        <x:f>VLOOKUP(C3740,'MES orders'!$A$8:$H$127,5,FALSE)</x:f>
        <x:v>46311.666666666664</x:v>
      </x:c>
      <x:c r="O3740" s="16" t="n">
        <x:f>MAX(0,(M3740-N3740)*24)</x:f>
        <x:v>87.66666666656965</x:v>
      </x:c>
      <x:c r="P3740" s="9" t="str">
        <x:v>No</x:v>
      </x:c>
      <x:c r="Q3740" s="15" t="n">
        <x:v>21</x:v>
      </x:c>
      <x:c r="R3740" s="13" t="n">
        <x:f>J3740+Q3740/1440</x:f>
        <x:v>46315.31944444444</x:v>
      </x:c>
      <x:c r="S3740" s="2" t="str">
        <x:f>VLOOKUP(C3740,'MES orders'!$A$8:$H$127,6,FALSE)</x:f>
        <x:v>Normal</x:v>
      </x:c>
      <x:c r="T3740" s="9" t="str"/>
    </x:row>
    <x:row r="3741" ht="22" customHeight="1">
      <x:c r="A3741" s="2" t="str">
        <x:v>L00479-020</x:v>
      </x:c>
      <x:c r="B3741" s="2" t="str">
        <x:v>L00479</x:v>
      </x:c>
      <x:c r="C3741" s="2" t="str">
        <x:v>SO-26096</x:v>
      </x:c>
      <x:c r="D3741" s="2" t="str">
        <x:v>S-L-SS</x:v>
      </x:c>
      <x:c r="E3741" s="14" t="n">
        <x:v>20</x:v>
      </x:c>
      <x:c r="F3741" s="2" t="str">
        <x:v>Deburr &amp; inspect</x:v>
      </x:c>
      <x:c r="G3741" s="9" t="str">
        <x:v>DB-01</x:v>
      </x:c>
      <x:c r="H3741" s="15" t="n">
        <x:v>352</x:v>
      </x:c>
      <x:c r="I3741" s="9" t="str">
        <x:v>P06</x:v>
      </x:c>
      <x:c r="J3741" s="11" t="n">
        <x:v>46315.30763888889</x:v>
      </x:c>
      <x:c r="K3741" s="15" t="n">
        <x:v>4</x:v>
      </x:c>
      <x:c r="L3741" s="15" t="n">
        <x:v>19</x:v>
      </x:c>
      <x:c r="M3741" s="13" t="n">
        <x:f>J3741+(K3741+L3741)/1440</x:f>
        <x:v>46315.32361111111</x:v>
      </x:c>
      <x:c r="N3741" s="13" t="n">
        <x:f>VLOOKUP(C3741,'MES orders'!$A$8:$H$127,5,FALSE)</x:f>
        <x:v>46311.666666666664</x:v>
      </x:c>
      <x:c r="O3741" s="16" t="n">
        <x:f>MAX(0,(M3741-N3741)*24)</x:f>
        <x:v>87.766666666721</x:v>
      </x:c>
      <x:c r="P3741" s="9" t="str">
        <x:v>No</x:v>
      </x:c>
      <x:c r="Q3741" s="15" t="n">
        <x:v>23</x:v>
      </x:c>
      <x:c r="R3741" s="13" t="n">
        <x:f>J3741+Q3741/1440</x:f>
        <x:v>46315.32361111111</x:v>
      </x:c>
      <x:c r="S3741" s="2" t="str">
        <x:f>VLOOKUP(C3741,'MES orders'!$A$8:$H$127,6,FALSE)</x:f>
        <x:v>Normal</x:v>
      </x:c>
      <x:c r="T3741" s="9" t="str"/>
    </x:row>
    <x:row r="3742" ht="22" customHeight="1">
      <x:c r="A3742" s="2" t="str">
        <x:v>L00476-050</x:v>
      </x:c>
      <x:c r="B3742" s="2" t="str">
        <x:v>L00476</x:v>
      </x:c>
      <x:c r="C3742" s="2" t="str">
        <x:v>SO-26096</x:v>
      </x:c>
      <x:c r="D3742" s="2" t="str">
        <x:v>S-L-SS</x:v>
      </x:c>
      <x:c r="E3742" s="14" t="n">
        <x:v>20</x:v>
      </x:c>
      <x:c r="F3742" s="2" t="str">
        <x:v>Sensor installation</x:v>
      </x:c>
      <x:c r="G3742" s="9" t="str">
        <x:v>EL-01</x:v>
      </x:c>
      <x:c r="H3742" s="15" t="n">
        <x:v>131</x:v>
      </x:c>
      <x:c r="I3742" s="9" t="str">
        <x:v>P07</x:v>
      </x:c>
      <x:c r="J3742" s="11" t="n">
        <x:v>46315.30902777778</x:v>
      </x:c>
      <x:c r="K3742" s="15" t="n">
        <x:v>8</x:v>
      </x:c>
      <x:c r="L3742" s="15" t="n">
        <x:v>32</x:v>
      </x:c>
      <x:c r="M3742" s="13" t="n">
        <x:f>J3742+(K3742+L3742)/1440</x:f>
        <x:v>46315.33680555556</x:v>
      </x:c>
      <x:c r="N3742" s="13" t="n">
        <x:f>VLOOKUP(C3742,'MES orders'!$A$8:$H$127,5,FALSE)</x:f>
        <x:v>46311.666666666664</x:v>
      </x:c>
      <x:c r="O3742" s="16" t="n">
        <x:f>MAX(0,(M3742-N3742)*24)</x:f>
        <x:v>88.08333333354676</x:v>
      </x:c>
      <x:c r="P3742" s="9" t="str">
        <x:v>No</x:v>
      </x:c>
      <x:c r="Q3742" s="15" t="n">
        <x:v>40</x:v>
      </x:c>
      <x:c r="R3742" s="13" t="n">
        <x:f>J3742+Q3742/1440</x:f>
        <x:v>46315.33680555556</x:v>
      </x:c>
      <x:c r="S3742" s="2" t="str">
        <x:f>VLOOKUP(C3742,'MES orders'!$A$8:$H$127,6,FALSE)</x:f>
        <x:v>Normal</x:v>
      </x:c>
      <x:c r="T3742" s="9" t="str"/>
    </x:row>
    <x:row r="3743" ht="22" customHeight="1">
      <x:c r="A3743" s="2" t="str">
        <x:v>L00516-030</x:v>
      </x:c>
      <x:c r="B3743" s="2" t="str">
        <x:v>L00516</x:v>
      </x:c>
      <x:c r="C3743" s="2" t="str">
        <x:v>SO-26104</x:v>
      </x:c>
      <x:c r="D3743" s="2" t="str">
        <x:v>D-C-SS</x:v>
      </x:c>
      <x:c r="E3743" s="14" t="n">
        <x:v>15</x:v>
      </x:c>
      <x:c r="F3743" s="2" t="str">
        <x:v>Wash &amp; dry</x:v>
      </x:c>
      <x:c r="G3743" s="9" t="str">
        <x:v>WS-01</x:v>
      </x:c>
      <x:c r="H3743" s="15" t="n">
        <x:v>344</x:v>
      </x:c>
      <x:c r="I3743" s="9" t="str">
        <x:v>P04</x:v>
      </x:c>
      <x:c r="J3743" s="11" t="n">
        <x:v>46315.30902777778</x:v>
      </x:c>
      <x:c r="K3743" s="15" t="n">
        <x:v>12</x:v>
      </x:c>
      <x:c r="L3743" s="15" t="n">
        <x:v>4</x:v>
      </x:c>
      <x:c r="M3743" s="13" t="n">
        <x:f>J3743+(K3743+L3743)/1440</x:f>
        <x:v>46315.32013888889</x:v>
      </x:c>
      <x:c r="N3743" s="13" t="n">
        <x:f>VLOOKUP(C3743,'MES orders'!$A$8:$H$127,5,FALSE)</x:f>
        <x:v>46311.666666666664</x:v>
      </x:c>
      <x:c r="O3743" s="16" t="n">
        <x:f>MAX(0,(M3743-N3743)*24)</x:f>
        <x:v>87.68333333346527</x:v>
      </x:c>
      <x:c r="P3743" s="9" t="str">
        <x:v>No</x:v>
      </x:c>
      <x:c r="Q3743" s="15" t="n">
        <x:v>16</x:v>
      </x:c>
      <x:c r="R3743" s="13" t="n">
        <x:f>J3743+Q3743/1440</x:f>
        <x:v>46315.32013888889</x:v>
      </x:c>
      <x:c r="S3743" s="2" t="str">
        <x:f>VLOOKUP(C3743,'MES orders'!$A$8:$H$127,6,FALSE)</x:f>
        <x:v>Normal</x:v>
      </x:c>
      <x:c r="T3743" s="9" t="str"/>
    </x:row>
    <x:row r="3744" ht="22" customHeight="1">
      <x:c r="A3744" s="2" t="str">
        <x:v>L00519-020</x:v>
      </x:c>
      <x:c r="B3744" s="2" t="str">
        <x:v>L00519</x:v>
      </x:c>
      <x:c r="C3744" s="2" t="str">
        <x:v>SO-26104</x:v>
      </x:c>
      <x:c r="D3744" s="2" t="str">
        <x:v>D-C-SS</x:v>
      </x:c>
      <x:c r="E3744" s="14" t="n">
        <x:v>15</x:v>
      </x:c>
      <x:c r="F3744" s="2" t="str">
        <x:v>Deburr &amp; inspect</x:v>
      </x:c>
      <x:c r="G3744" s="9" t="str">
        <x:v>DB-02</x:v>
      </x:c>
      <x:c r="H3744" s="15" t="n">
        <x:v>241</x:v>
      </x:c>
      <x:c r="I3744" s="9" t="str">
        <x:v>P05</x:v>
      </x:c>
      <x:c r="J3744" s="11" t="n">
        <x:v>46315.31458333333</x:v>
      </x:c>
      <x:c r="K3744" s="15" t="n">
        <x:v>4</x:v>
      </x:c>
      <x:c r="L3744" s="15" t="n">
        <x:v>8</x:v>
      </x:c>
      <x:c r="M3744" s="13" t="n">
        <x:f>J3744+(K3744+L3744)/1440</x:f>
        <x:v>46315.322916666664</x:v>
      </x:c>
      <x:c r="N3744" s="13" t="n">
        <x:f>VLOOKUP(C3744,'MES orders'!$A$8:$H$127,5,FALSE)</x:f>
        <x:v>46311.666666666664</x:v>
      </x:c>
      <x:c r="O3744" s="16" t="n">
        <x:f>MAX(0,(M3744-N3744)*24)</x:f>
        <x:v>87.75</x:v>
      </x:c>
      <x:c r="P3744" s="9" t="str">
        <x:v>No</x:v>
      </x:c>
      <x:c r="Q3744" s="15" t="n">
        <x:v>12</x:v>
      </x:c>
      <x:c r="R3744" s="13" t="n">
        <x:f>J3744+Q3744/1440</x:f>
        <x:v>46315.322916666664</x:v>
      </x:c>
      <x:c r="S3744" s="2" t="str">
        <x:f>VLOOKUP(C3744,'MES orders'!$A$8:$H$127,6,FALSE)</x:f>
        <x:v>Normal</x:v>
      </x:c>
      <x:c r="T3744" s="9" t="str"/>
    </x:row>
    <x:row r="3745" ht="22" customHeight="1">
      <x:c r="A3745" s="2" t="str">
        <x:v>L00438-080</x:v>
      </x:c>
      <x:c r="B3745" s="2" t="str">
        <x:v>L00438</x:v>
      </x:c>
      <x:c r="C3745" s="2" t="str">
        <x:v>SO-26088</x:v>
      </x:c>
      <x:c r="D3745" s="2" t="str">
        <x:v>S-S-SS</x:v>
      </x:c>
      <x:c r="E3745" s="14" t="n">
        <x:v>20</x:v>
      </x:c>
      <x:c r="F3745" s="2" t="str">
        <x:v>Final leak / function test</x:v>
      </x:c>
      <x:c r="G3745" s="9" t="str">
        <x:v>QA-02</x:v>
      </x:c>
      <x:c r="H3745" s="15" t="n">
        <x:v>285</x:v>
      </x:c>
      <x:c r="I3745" s="9" t="str">
        <x:v>P11</x:v>
      </x:c>
      <x:c r="J3745" s="11" t="n">
        <x:v>46315.31458333333</x:v>
      </x:c>
      <x:c r="K3745" s="15" t="n">
        <x:v>10</x:v>
      </x:c>
      <x:c r="L3745" s="15" t="n">
        <x:v>18</x:v>
      </x:c>
      <x:c r="M3745" s="13" t="n">
        <x:f>J3745+(K3745+L3745)/1440</x:f>
        <x:v>46315.334027777775</x:v>
      </x:c>
      <x:c r="N3745" s="13" t="n">
        <x:f>VLOOKUP(C3745,'MES orders'!$A$8:$H$127,5,FALSE)</x:f>
        <x:v>46311.666666666664</x:v>
      </x:c>
      <x:c r="O3745" s="16" t="n">
        <x:f>MAX(0,(M3745-N3745)*24)</x:f>
        <x:v>88.01666666666279</x:v>
      </x:c>
      <x:c r="P3745" s="9" t="str">
        <x:v>No</x:v>
      </x:c>
      <x:c r="Q3745" s="15" t="n">
        <x:v>28</x:v>
      </x:c>
      <x:c r="R3745" s="13" t="n">
        <x:f>J3745+Q3745/1440</x:f>
        <x:v>46315.334027777775</x:v>
      </x:c>
      <x:c r="S3745" s="2" t="str">
        <x:f>VLOOKUP(C3745,'MES orders'!$A$8:$H$127,6,FALSE)</x:f>
        <x:v>Normal</x:v>
      </x:c>
      <x:c r="T3745" s="9" t="str"/>
    </x:row>
    <x:row r="3746" ht="22" customHeight="1">
      <x:c r="A3746" s="2" t="str">
        <x:v>L00559-010</x:v>
      </x:c>
      <x:c r="B3746" s="2" t="str">
        <x:v>L00559</x:v>
      </x:c>
      <x:c r="C3746" s="2" t="str">
        <x:v>SO-26112</x:v>
      </x:c>
      <x:c r="D3746" s="2" t="str">
        <x:v>D-S-SS</x:v>
      </x:c>
      <x:c r="E3746" s="14" t="n">
        <x:v>25</x:v>
      </x:c>
      <x:c r="F3746" s="2" t="str">
        <x:v>CNC machining</x:v>
      </x:c>
      <x:c r="G3746" s="9" t="str">
        <x:v>CNC-03</x:v>
      </x:c>
      <x:c r="H3746" s="15" t="n">
        <x:v>124</x:v>
      </x:c>
      <x:c r="I3746" s="9" t="str">
        <x:v>P01</x:v>
      </x:c>
      <x:c r="J3746" s="11" t="n">
        <x:v>46315.31875</x:v>
      </x:c>
      <x:c r="K3746" s="15" t="n">
        <x:v>18</x:v>
      </x:c>
      <x:c r="L3746" s="15" t="n">
        <x:v>75</x:v>
      </x:c>
      <x:c r="M3746" s="13" t="n">
        <x:f>J3746+(K3746+L3746)/1440</x:f>
        <x:v>46315.38333333333</x:v>
      </x:c>
      <x:c r="N3746" s="13" t="n">
        <x:f>VLOOKUP(C3746,'MES orders'!$A$8:$H$127,5,FALSE)</x:f>
        <x:v>46311.666666666664</x:v>
      </x:c>
      <x:c r="O3746" s="16" t="n">
        <x:f>MAX(0,(M3746-N3746)*24)</x:f>
        <x:v>89.20000000001164</x:v>
      </x:c>
      <x:c r="P3746" s="9" t="str">
        <x:v>No</x:v>
      </x:c>
      <x:c r="Q3746" s="15" t="n">
        <x:v>18</x:v>
      </x:c>
      <x:c r="R3746" s="13" t="n">
        <x:f>J3746+Q3746/1440</x:f>
        <x:v>46315.331249999996</x:v>
      </x:c>
      <x:c r="S3746" s="2" t="str">
        <x:f>VLOOKUP(C3746,'MES orders'!$A$8:$H$127,6,FALSE)</x:f>
        <x:v>Normal</x:v>
      </x:c>
      <x:c r="T3746" s="9" t="str"/>
    </x:row>
    <x:row r="3747" ht="22" customHeight="1">
      <x:c r="A3747" s="2" t="str">
        <x:v>L00478-050</x:v>
      </x:c>
      <x:c r="B3747" s="2" t="str">
        <x:v>L00478</x:v>
      </x:c>
      <x:c r="C3747" s="2" t="str">
        <x:v>SO-26096</x:v>
      </x:c>
      <x:c r="D3747" s="2" t="str">
        <x:v>S-L-SS</x:v>
      </x:c>
      <x:c r="E3747" s="14" t="n">
        <x:v>20</x:v>
      </x:c>
      <x:c r="F3747" s="2" t="str">
        <x:v>Sensor installation</x:v>
      </x:c>
      <x:c r="G3747" s="9" t="str">
        <x:v>EL-02</x:v>
      </x:c>
      <x:c r="H3747" s="15" t="n">
        <x:v>67</x:v>
      </x:c>
      <x:c r="I3747" s="9" t="str">
        <x:v>P08</x:v>
      </x:c>
      <x:c r="J3747" s="11" t="n">
        <x:v>46315.319444444445</x:v>
      </x:c>
      <x:c r="K3747" s="15" t="n">
        <x:v>8</x:v>
      </x:c>
      <x:c r="L3747" s="15" t="n">
        <x:v>32</x:v>
      </x:c>
      <x:c r="M3747" s="13" t="n">
        <x:f>J3747+(K3747+L3747)/1440</x:f>
        <x:v>46315.347222222226</x:v>
      </x:c>
      <x:c r="N3747" s="13" t="n">
        <x:f>VLOOKUP(C3747,'MES orders'!$A$8:$H$127,5,FALSE)</x:f>
        <x:v>46311.666666666664</x:v>
      </x:c>
      <x:c r="O3747" s="16" t="n">
        <x:f>MAX(0,(M3747-N3747)*24)</x:f>
        <x:v>88.33333333348855</x:v>
      </x:c>
      <x:c r="P3747" s="9" t="str">
        <x:v>No</x:v>
      </x:c>
      <x:c r="Q3747" s="15" t="n">
        <x:v>40</x:v>
      </x:c>
      <x:c r="R3747" s="13" t="n">
        <x:f>J3747+Q3747/1440</x:f>
        <x:v>46315.347222222226</x:v>
      </x:c>
      <x:c r="S3747" s="2" t="str">
        <x:f>VLOOKUP(C3747,'MES orders'!$A$8:$H$127,6,FALSE)</x:f>
        <x:v>Normal</x:v>
      </x:c>
      <x:c r="T3747" s="9" t="str"/>
    </x:row>
    <x:row r="3748" ht="22" customHeight="1">
      <x:c r="A3748" s="2" t="str">
        <x:v>L00480-020</x:v>
      </x:c>
      <x:c r="B3748" s="2" t="str">
        <x:v>L00480</x:v>
      </x:c>
      <x:c r="C3748" s="2" t="str">
        <x:v>SO-26096</x:v>
      </x:c>
      <x:c r="D3748" s="2" t="str">
        <x:v>S-L-SS</x:v>
      </x:c>
      <x:c r="E3748" s="14" t="n">
        <x:v>20</x:v>
      </x:c>
      <x:c r="F3748" s="2" t="str">
        <x:v>Deburr &amp; inspect</x:v>
      </x:c>
      <x:c r="G3748" s="9" t="str">
        <x:v>DB-01</x:v>
      </x:c>
      <x:c r="H3748" s="15" t="n">
        <x:v>353</x:v>
      </x:c>
      <x:c r="I3748" s="9" t="str">
        <x:v>P06</x:v>
      </x:c>
      <x:c r="J3748" s="11" t="n">
        <x:v>46315.32361111111</x:v>
      </x:c>
      <x:c r="K3748" s="15" t="n">
        <x:v>4</x:v>
      </x:c>
      <x:c r="L3748" s="15" t="n">
        <x:v>19</x:v>
      </x:c>
      <x:c r="M3748" s="13" t="n">
        <x:f>J3748+(K3748+L3748)/1440</x:f>
        <x:v>46315.339583333334</x:v>
      </x:c>
      <x:c r="N3748" s="13" t="n">
        <x:f>VLOOKUP(C3748,'MES orders'!$A$8:$H$127,5,FALSE)</x:f>
        <x:v>46311.666666666664</x:v>
      </x:c>
      <x:c r="O3748" s="16" t="n">
        <x:f>MAX(0,(M3748-N3748)*24)</x:f>
        <x:v>88.15000000008149</x:v>
      </x:c>
      <x:c r="P3748" s="9" t="str">
        <x:v>No</x:v>
      </x:c>
      <x:c r="Q3748" s="15" t="n">
        <x:v>23</x:v>
      </x:c>
      <x:c r="R3748" s="13" t="n">
        <x:f>J3748+Q3748/1440</x:f>
        <x:v>46315.339583333334</x:v>
      </x:c>
      <x:c r="S3748" s="2" t="str">
        <x:f>VLOOKUP(C3748,'MES orders'!$A$8:$H$127,6,FALSE)</x:f>
        <x:v>Normal</x:v>
      </x:c>
      <x:c r="T3748" s="9" t="str"/>
    </x:row>
    <x:row r="3749" ht="22" customHeight="1">
      <x:c r="A3749" s="2" t="str">
        <x:v>L00479-030</x:v>
      </x:c>
      <x:c r="B3749" s="2" t="str">
        <x:v>L00479</x:v>
      </x:c>
      <x:c r="C3749" s="2" t="str">
        <x:v>SO-26096</x:v>
      </x:c>
      <x:c r="D3749" s="2" t="str">
        <x:v>S-L-SS</x:v>
      </x:c>
      <x:c r="E3749" s="14" t="n">
        <x:v>20</x:v>
      </x:c>
      <x:c r="F3749" s="2" t="str">
        <x:v>Wash &amp; dry</x:v>
      </x:c>
      <x:c r="G3749" s="9" t="str">
        <x:v>WS-01</x:v>
      </x:c>
      <x:c r="H3749" s="15" t="n">
        <x:v>345</x:v>
      </x:c>
      <x:c r="I3749" s="9" t="str">
        <x:v>P04</x:v>
      </x:c>
      <x:c r="J3749" s="11" t="n">
        <x:v>46315.32361111111</x:v>
      </x:c>
      <x:c r="K3749" s="15" t="n">
        <x:v>12</x:v>
      </x:c>
      <x:c r="L3749" s="15" t="n">
        <x:v>9</x:v>
      </x:c>
      <x:c r="M3749" s="13" t="n">
        <x:f>J3749+(K3749+L3749)/1440</x:f>
        <x:v>46315.33819444444</x:v>
      </x:c>
      <x:c r="N3749" s="13" t="n">
        <x:f>VLOOKUP(C3749,'MES orders'!$A$8:$H$127,5,FALSE)</x:f>
        <x:v>46311.666666666664</x:v>
      </x:c>
      <x:c r="O3749" s="16" t="n">
        <x:f>MAX(0,(M3749-N3749)*24)</x:f>
        <x:v>88.1166666666395</x:v>
      </x:c>
      <x:c r="P3749" s="9" t="str">
        <x:v>No</x:v>
      </x:c>
      <x:c r="Q3749" s="15" t="n">
        <x:v>21</x:v>
      </x:c>
      <x:c r="R3749" s="13" t="n">
        <x:f>J3749+Q3749/1440</x:f>
        <x:v>46315.33819444444</x:v>
      </x:c>
      <x:c r="S3749" s="2" t="str">
        <x:f>VLOOKUP(C3749,'MES orders'!$A$8:$H$127,6,FALSE)</x:f>
        <x:v>Normal</x:v>
      </x:c>
      <x:c r="T3749" s="9" t="str"/>
    </x:row>
    <x:row r="3750" ht="22" customHeight="1">
      <x:c r="A3750" s="2" t="str">
        <x:v>L00439-070</x:v>
      </x:c>
      <x:c r="B3750" s="2" t="str">
        <x:v>L00439</x:v>
      </x:c>
      <x:c r="C3750" s="2" t="str">
        <x:v>SO-26088</x:v>
      </x:c>
      <x:c r="D3750" s="2" t="str">
        <x:v>S-S-SS</x:v>
      </x:c>
      <x:c r="E3750" s="14" t="n">
        <x:v>20</x:v>
      </x:c>
      <x:c r="F3750" s="2" t="str">
        <x:v>Final assembly</x:v>
      </x:c>
      <x:c r="G3750" s="9" t="str">
        <x:v>AS-01</x:v>
      </x:c>
      <x:c r="H3750" s="15" t="n">
        <x:v>305</x:v>
      </x:c>
      <x:c r="I3750" s="9" t="str">
        <x:v>P05</x:v>
      </x:c>
      <x:c r="J3750" s="11" t="n">
        <x:v>46315.325</x:v>
      </x:c>
      <x:c r="K3750" s="15" t="n">
        <x:v>5</x:v>
      </x:c>
      <x:c r="L3750" s="15" t="n">
        <x:v>16</x:v>
      </x:c>
      <x:c r="M3750" s="13" t="n">
        <x:f>J3750+(K3750+L3750)/1440</x:f>
        <x:v>46315.33958333333</x:v>
      </x:c>
      <x:c r="N3750" s="13" t="n">
        <x:f>VLOOKUP(C3750,'MES orders'!$A$8:$H$127,5,FALSE)</x:f>
        <x:v>46311.666666666664</x:v>
      </x:c>
      <x:c r="O3750" s="16" t="n">
        <x:f>MAX(0,(M3750-N3750)*24)</x:f>
        <x:v>88.14999999990687</x:v>
      </x:c>
      <x:c r="P3750" s="9" t="str">
        <x:v>No</x:v>
      </x:c>
      <x:c r="Q3750" s="15" t="n">
        <x:v>21</x:v>
      </x:c>
      <x:c r="R3750" s="13" t="n">
        <x:f>J3750+Q3750/1440</x:f>
        <x:v>46315.33958333333</x:v>
      </x:c>
      <x:c r="S3750" s="2" t="str">
        <x:f>VLOOKUP(C3750,'MES orders'!$A$8:$H$127,6,FALSE)</x:f>
        <x:v>Normal</x:v>
      </x:c>
      <x:c r="T3750" s="9" t="str"/>
    </x:row>
    <x:row r="3751" ht="22" customHeight="1">
      <x:c r="A3751" s="2" t="str">
        <x:v>L00440-060</x:v>
      </x:c>
      <x:c r="B3751" s="2" t="str">
        <x:v>L00440</x:v>
      </x:c>
      <x:c r="C3751" s="2" t="str">
        <x:v>SO-26088</x:v>
      </x:c>
      <x:c r="D3751" s="2" t="str">
        <x:v>S-S-SS</x:v>
      </x:c>
      <x:c r="E3751" s="14" t="n">
        <x:v>20</x:v>
      </x:c>
      <x:c r="F3751" s="2" t="str">
        <x:v>Sensor calibration</x:v>
      </x:c>
      <x:c r="G3751" s="9" t="str">
        <x:v>CAL-01</x:v>
      </x:c>
      <x:c r="H3751" s="15" t="n">
        <x:v>195</x:v>
      </x:c>
      <x:c r="I3751" s="9" t="str">
        <x:v>P09</x:v>
      </x:c>
      <x:c r="J3751" s="11" t="n">
        <x:v>46315.325</x:v>
      </x:c>
      <x:c r="K3751" s="15" t="n">
        <x:v>10</x:v>
      </x:c>
      <x:c r="L3751" s="15" t="n">
        <x:v>26</x:v>
      </x:c>
      <x:c r="M3751" s="13" t="n">
        <x:f>J3751+(K3751+L3751)/1440</x:f>
        <x:v>46315.35</x:v>
      </x:c>
      <x:c r="N3751" s="13" t="n">
        <x:f>VLOOKUP(C3751,'MES orders'!$A$8:$H$127,5,FALSE)</x:f>
        <x:v>46311.666666666664</x:v>
      </x:c>
      <x:c r="O3751" s="16" t="n">
        <x:f>MAX(0,(M3751-N3751)*24)</x:f>
        <x:v>88.40000000002328</x:v>
      </x:c>
      <x:c r="P3751" s="9" t="str">
        <x:v>No</x:v>
      </x:c>
      <x:c r="Q3751" s="15" t="n">
        <x:v>36</x:v>
      </x:c>
      <x:c r="R3751" s="13" t="n">
        <x:f>J3751+Q3751/1440</x:f>
        <x:v>46315.35</x:v>
      </x:c>
      <x:c r="S3751" s="2" t="str">
        <x:f>VLOOKUP(C3751,'MES orders'!$A$8:$H$127,6,FALSE)</x:f>
        <x:v>Normal</x:v>
      </x:c>
      <x:c r="T3751" s="9" t="str"/>
    </x:row>
    <x:row r="3752" ht="22" customHeight="1">
      <x:c r="A3752" s="2" t="str">
        <x:v>L00560-010</x:v>
      </x:c>
      <x:c r="B3752" s="2" t="str">
        <x:v>L00560</x:v>
      </x:c>
      <x:c r="C3752" s="2" t="str">
        <x:v>SO-26112</x:v>
      </x:c>
      <x:c r="D3752" s="2" t="str">
        <x:v>D-S-SS</x:v>
      </x:c>
      <x:c r="E3752" s="14" t="n">
        <x:v>25</x:v>
      </x:c>
      <x:c r="F3752" s="2" t="str">
        <x:v>CNC machining</x:v>
      </x:c>
      <x:c r="G3752" s="9" t="str">
        <x:v>CNC-06</x:v>
      </x:c>
      <x:c r="H3752" s="15" t="n">
        <x:v>98</x:v>
      </x:c>
      <x:c r="I3752" s="9" t="str">
        <x:v>P02</x:v>
      </x:c>
      <x:c r="J3752" s="11" t="n">
        <x:v>46315.32708333333</x:v>
      </x:c>
      <x:c r="K3752" s="15" t="n">
        <x:v>18</x:v>
      </x:c>
      <x:c r="L3752" s="15" t="n">
        <x:v>75</x:v>
      </x:c>
      <x:c r="M3752" s="13" t="n">
        <x:f>J3752+(K3752+L3752)/1440</x:f>
        <x:v>46315.39166666666</x:v>
      </x:c>
      <x:c r="N3752" s="13" t="n">
        <x:f>VLOOKUP(C3752,'MES orders'!$A$8:$H$127,5,FALSE)</x:f>
        <x:v>46311.666666666664</x:v>
      </x:c>
      <x:c r="O3752" s="16" t="n">
        <x:f>MAX(0,(M3752-N3752)*24)</x:f>
        <x:v>89.39999999996508</x:v>
      </x:c>
      <x:c r="P3752" s="9" t="str">
        <x:v>No</x:v>
      </x:c>
      <x:c r="Q3752" s="15" t="n">
        <x:v>18</x:v>
      </x:c>
      <x:c r="R3752" s="13" t="n">
        <x:f>J3752+Q3752/1440</x:f>
        <x:v>46315.33958333333</x:v>
      </x:c>
      <x:c r="S3752" s="2" t="str">
        <x:f>VLOOKUP(C3752,'MES orders'!$A$8:$H$127,6,FALSE)</x:f>
        <x:v>Normal</x:v>
      </x:c>
      <x:c r="T3752" s="9" t="str"/>
    </x:row>
    <x:row r="3753" ht="22" customHeight="1">
      <x:c r="A3753" s="2" t="str">
        <x:v>L00479-040</x:v>
      </x:c>
      <x:c r="B3753" s="2" t="str">
        <x:v>L00479</x:v>
      </x:c>
      <x:c r="C3753" s="2" t="str">
        <x:v>SO-26096</x:v>
      </x:c>
      <x:c r="D3753" s="2" t="str">
        <x:v>S-L-SS</x:v>
      </x:c>
      <x:c r="E3753" s="14" t="n">
        <x:v>20</x:v>
      </x:c>
      <x:c r="F3753" s="2" t="str">
        <x:v>Mechanical preassembly</x:v>
      </x:c>
      <x:c r="G3753" s="9" t="str">
        <x:v>AS-02</x:v>
      </x:c>
      <x:c r="H3753" s="15" t="n">
        <x:v>247</x:v>
      </x:c>
      <x:c r="I3753" s="9" t="str">
        <x:v>P04</x:v>
      </x:c>
      <x:c r="J3753" s="11" t="n">
        <x:v>46315.33819444444</x:v>
      </x:c>
      <x:c r="K3753" s="15" t="n">
        <x:v>6</x:v>
      </x:c>
      <x:c r="L3753" s="15" t="n">
        <x:v>30</x:v>
      </x:c>
      <x:c r="M3753" s="13" t="n">
        <x:f>J3753+(K3753+L3753)/1440</x:f>
        <x:v>46315.36319444444</x:v>
      </x:c>
      <x:c r="N3753" s="13" t="n">
        <x:f>VLOOKUP(C3753,'MES orders'!$A$8:$H$127,5,FALSE)</x:f>
        <x:v>46311.666666666664</x:v>
      </x:c>
      <x:c r="O3753" s="16" t="n">
        <x:f>MAX(0,(M3753-N3753)*24)</x:f>
        <x:v>88.71666666667443</x:v>
      </x:c>
      <x:c r="P3753" s="9" t="str">
        <x:v>No</x:v>
      </x:c>
      <x:c r="Q3753" s="15" t="n">
        <x:v>36</x:v>
      </x:c>
      <x:c r="R3753" s="13" t="n">
        <x:f>J3753+Q3753/1440</x:f>
        <x:v>46315.36319444444</x:v>
      </x:c>
      <x:c r="S3753" s="2" t="str">
        <x:f>VLOOKUP(C3753,'MES orders'!$A$8:$H$127,6,FALSE)</x:f>
        <x:v>Normal</x:v>
      </x:c>
      <x:c r="T3753" s="9" t="str"/>
    </x:row>
    <x:row r="3754" ht="22" customHeight="1">
      <x:c r="A3754" s="2" t="str">
        <x:v>L00520-020</x:v>
      </x:c>
      <x:c r="B3754" s="2" t="str">
        <x:v>L00520</x:v>
      </x:c>
      <x:c r="C3754" s="2" t="str">
        <x:v>SO-26104</x:v>
      </x:c>
      <x:c r="D3754" s="2" t="str">
        <x:v>D-C-SS</x:v>
      </x:c>
      <x:c r="E3754" s="14" t="n">
        <x:v>15</x:v>
      </x:c>
      <x:c r="F3754" s="2" t="str">
        <x:v>Deburr &amp; inspect</x:v>
      </x:c>
      <x:c r="G3754" s="9" t="str">
        <x:v>DB-01</x:v>
      </x:c>
      <x:c r="H3754" s="15" t="n">
        <x:v>354</x:v>
      </x:c>
      <x:c r="I3754" s="9" t="str">
        <x:v>P05</x:v>
      </x:c>
      <x:c r="J3754" s="11" t="n">
        <x:v>46315.339583333334</x:v>
      </x:c>
      <x:c r="K3754" s="15" t="n">
        <x:v>4</x:v>
      </x:c>
      <x:c r="L3754" s="15" t="n">
        <x:v>8</x:v>
      </x:c>
      <x:c r="M3754" s="13" t="n">
        <x:f>J3754+(K3754+L3754)/1440</x:f>
        <x:v>46315.347916666666</x:v>
      </x:c>
      <x:c r="N3754" s="13" t="n">
        <x:f>VLOOKUP(C3754,'MES orders'!$A$8:$H$127,5,FALSE)</x:f>
        <x:v>46311.666666666664</x:v>
      </x:c>
      <x:c r="O3754" s="16" t="n">
        <x:f>MAX(0,(M3754-N3754)*24)</x:f>
        <x:v>88.35000000003492</x:v>
      </x:c>
      <x:c r="P3754" s="9" t="str">
        <x:v>No</x:v>
      </x:c>
      <x:c r="Q3754" s="15" t="n">
        <x:v>12</x:v>
      </x:c>
      <x:c r="R3754" s="13" t="n">
        <x:f>J3754+Q3754/1440</x:f>
        <x:v>46315.347916666666</x:v>
      </x:c>
      <x:c r="S3754" s="2" t="str">
        <x:f>VLOOKUP(C3754,'MES orders'!$A$8:$H$127,6,FALSE)</x:f>
        <x:v>Normal</x:v>
      </x:c>
      <x:c r="T3754" s="9" t="str"/>
    </x:row>
    <x:row r="3755" ht="22" customHeight="1">
      <x:c r="A3755" s="2" t="str">
        <x:v>L00439-080</x:v>
      </x:c>
      <x:c r="B3755" s="2" t="str">
        <x:v>L00439</x:v>
      </x:c>
      <x:c r="C3755" s="2" t="str">
        <x:v>SO-26088</x:v>
      </x:c>
      <x:c r="D3755" s="2" t="str">
        <x:v>S-S-SS</x:v>
      </x:c>
      <x:c r="E3755" s="14" t="n">
        <x:v>20</x:v>
      </x:c>
      <x:c r="F3755" s="2" t="str">
        <x:v>Final leak / function test</x:v>
      </x:c>
      <x:c r="G3755" s="9" t="str">
        <x:v>QA-02</x:v>
      </x:c>
      <x:c r="H3755" s="15" t="n">
        <x:v>286</x:v>
      </x:c>
      <x:c r="I3755" s="9" t="str">
        <x:v>P11</x:v>
      </x:c>
      <x:c r="J3755" s="11" t="n">
        <x:v>46315.339583333334</x:v>
      </x:c>
      <x:c r="K3755" s="15" t="n">
        <x:v>10</x:v>
      </x:c>
      <x:c r="L3755" s="15" t="n">
        <x:v>18</x:v>
      </x:c>
      <x:c r="M3755" s="13" t="n">
        <x:f>J3755+(K3755+L3755)/1440</x:f>
        <x:v>46315.35902777778</x:v>
      </x:c>
      <x:c r="N3755" s="13" t="n">
        <x:f>VLOOKUP(C3755,'MES orders'!$A$8:$H$127,5,FALSE)</x:f>
        <x:v>46311.666666666664</x:v>
      </x:c>
      <x:c r="O3755" s="16" t="n">
        <x:f>MAX(0,(M3755-N3755)*24)</x:f>
        <x:v>88.61666666669771</x:v>
      </x:c>
      <x:c r="P3755" s="9" t="str">
        <x:v>No</x:v>
      </x:c>
      <x:c r="Q3755" s="15" t="n">
        <x:v>28</x:v>
      </x:c>
      <x:c r="R3755" s="13" t="n">
        <x:f>J3755+Q3755/1440</x:f>
        <x:v>46315.35902777778</x:v>
      </x:c>
      <x:c r="S3755" s="2" t="str">
        <x:f>VLOOKUP(C3755,'MES orders'!$A$8:$H$127,6,FALSE)</x:f>
        <x:v>Normal</x:v>
      </x:c>
      <x:c r="T3755" s="9" t="str"/>
    </x:row>
    <x:row r="3756" ht="22" customHeight="1">
      <x:c r="A3756" s="2" t="str">
        <x:v>L00480-030</x:v>
      </x:c>
      <x:c r="B3756" s="2" t="str">
        <x:v>L00480</x:v>
      </x:c>
      <x:c r="C3756" s="2" t="str">
        <x:v>SO-26096</x:v>
      </x:c>
      <x:c r="D3756" s="2" t="str">
        <x:v>S-L-SS</x:v>
      </x:c>
      <x:c r="E3756" s="14" t="n">
        <x:v>20</x:v>
      </x:c>
      <x:c r="F3756" s="2" t="str">
        <x:v>Wash &amp; dry</x:v>
      </x:c>
      <x:c r="G3756" s="9" t="str">
        <x:v>WS-01</x:v>
      </x:c>
      <x:c r="H3756" s="15" t="n">
        <x:v>346</x:v>
      </x:c>
      <x:c r="I3756" s="9" t="str">
        <x:v>P06</x:v>
      </x:c>
      <x:c r="J3756" s="11" t="n">
        <x:v>46315.339583333334</x:v>
      </x:c>
      <x:c r="K3756" s="15" t="n">
        <x:v>12</x:v>
      </x:c>
      <x:c r="L3756" s="15" t="n">
        <x:v>9</x:v>
      </x:c>
      <x:c r="M3756" s="13" t="n">
        <x:f>J3756+(K3756+L3756)/1440</x:f>
        <x:v>46315.354166666664</x:v>
      </x:c>
      <x:c r="N3756" s="13" t="n">
        <x:f>VLOOKUP(C3756,'MES orders'!$A$8:$H$127,5,FALSE)</x:f>
        <x:v>46311.666666666664</x:v>
      </x:c>
      <x:c r="O3756" s="16" t="n">
        <x:f>MAX(0,(M3756-N3756)*24)</x:f>
        <x:v>88.5</x:v>
      </x:c>
      <x:c r="P3756" s="9" t="str">
        <x:v>No</x:v>
      </x:c>
      <x:c r="Q3756" s="15" t="n">
        <x:v>21</x:v>
      </x:c>
      <x:c r="R3756" s="13" t="n">
        <x:f>J3756+Q3756/1440</x:f>
        <x:v>46315.354166666664</x:v>
      </x:c>
      <x:c r="S3756" s="2" t="str">
        <x:f>VLOOKUP(C3756,'MES orders'!$A$8:$H$127,6,FALSE)</x:f>
        <x:v>Normal</x:v>
      </x:c>
      <x:c r="T3756" s="9" t="str"/>
    </x:row>
    <x:row r="3757" ht="22" customHeight="1">
      <x:c r="A3757" s="2" t="str">
        <x:v>L00440-070</x:v>
      </x:c>
      <x:c r="B3757" s="2" t="str">
        <x:v>L00440</x:v>
      </x:c>
      <x:c r="C3757" s="2" t="str">
        <x:v>SO-26088</x:v>
      </x:c>
      <x:c r="D3757" s="2" t="str">
        <x:v>S-S-SS</x:v>
      </x:c>
      <x:c r="E3757" s="14" t="n">
        <x:v>20</x:v>
      </x:c>
      <x:c r="F3757" s="2" t="str">
        <x:v>Final assembly</x:v>
      </x:c>
      <x:c r="G3757" s="9" t="str">
        <x:v>AS-01</x:v>
      </x:c>
      <x:c r="H3757" s="15" t="n">
        <x:v>306</x:v>
      </x:c>
      <x:c r="I3757" s="9" t="str">
        <x:v>P05</x:v>
      </x:c>
      <x:c r="J3757" s="11" t="n">
        <x:v>46315.35</x:v>
      </x:c>
      <x:c r="K3757" s="15" t="n">
        <x:v>5</x:v>
      </x:c>
      <x:c r="L3757" s="15" t="n">
        <x:v>16</x:v>
      </x:c>
      <x:c r="M3757" s="13" t="n">
        <x:f>J3757+(K3757+L3757)/1440</x:f>
        <x:v>46315.36458333333</x:v>
      </x:c>
      <x:c r="N3757" s="13" t="n">
        <x:f>VLOOKUP(C3757,'MES orders'!$A$8:$H$127,5,FALSE)</x:f>
        <x:v>46311.666666666664</x:v>
      </x:c>
      <x:c r="O3757" s="16" t="n">
        <x:f>MAX(0,(M3757-N3757)*24)</x:f>
        <x:v>88.74999999994179</x:v>
      </x:c>
      <x:c r="P3757" s="9" t="str">
        <x:v>No</x:v>
      </x:c>
      <x:c r="Q3757" s="15" t="n">
        <x:v>21</x:v>
      </x:c>
      <x:c r="R3757" s="13" t="n">
        <x:f>J3757+Q3757/1440</x:f>
        <x:v>46315.36458333333</x:v>
      </x:c>
      <x:c r="S3757" s="2" t="str">
        <x:f>VLOOKUP(C3757,'MES orders'!$A$8:$H$127,6,FALSE)</x:f>
        <x:v>Normal</x:v>
      </x:c>
      <x:c r="T3757" s="9" t="str"/>
    </x:row>
    <x:row r="3758" ht="22" customHeight="1">
      <x:c r="A3758" s="2" t="str">
        <x:v>L00476-060</x:v>
      </x:c>
      <x:c r="B3758" s="2" t="str">
        <x:v>L00476</x:v>
      </x:c>
      <x:c r="C3758" s="2" t="str">
        <x:v>SO-26096</x:v>
      </x:c>
      <x:c r="D3758" s="2" t="str">
        <x:v>S-L-SS</x:v>
      </x:c>
      <x:c r="E3758" s="14" t="n">
        <x:v>20</x:v>
      </x:c>
      <x:c r="F3758" s="2" t="str">
        <x:v>Sensor calibration</x:v>
      </x:c>
      <x:c r="G3758" s="9" t="str">
        <x:v>CAL-01</x:v>
      </x:c>
      <x:c r="H3758" s="15" t="n">
        <x:v>196</x:v>
      </x:c>
      <x:c r="I3758" s="9" t="str">
        <x:v>P09</x:v>
      </x:c>
      <x:c r="J3758" s="11" t="n">
        <x:v>46315.35</x:v>
      </x:c>
      <x:c r="K3758" s="15" t="n">
        <x:v>10</x:v>
      </x:c>
      <x:c r="L3758" s="15" t="n">
        <x:v>35</x:v>
      </x:c>
      <x:c r="M3758" s="13" t="n">
        <x:f>J3758+(K3758+L3758)/1440</x:f>
        <x:v>46315.38125</x:v>
      </x:c>
      <x:c r="N3758" s="13" t="n">
        <x:f>VLOOKUP(C3758,'MES orders'!$A$8:$H$127,5,FALSE)</x:f>
        <x:v>46311.666666666664</x:v>
      </x:c>
      <x:c r="O3758" s="16" t="n">
        <x:f>MAX(0,(M3758-N3758)*24)</x:f>
        <x:v>89.15000000002328</x:v>
      </x:c>
      <x:c r="P3758" s="9" t="str">
        <x:v>No</x:v>
      </x:c>
      <x:c r="Q3758" s="15" t="n">
        <x:v>45</x:v>
      </x:c>
      <x:c r="R3758" s="13" t="n">
        <x:f>J3758+Q3758/1440</x:f>
        <x:v>46315.38125</x:v>
      </x:c>
      <x:c r="S3758" s="2" t="str">
        <x:f>VLOOKUP(C3758,'MES orders'!$A$8:$H$127,6,FALSE)</x:f>
        <x:v>Normal</x:v>
      </x:c>
      <x:c r="T3758" s="9" t="str"/>
    </x:row>
    <x:row r="3759" ht="22" customHeight="1">
      <x:c r="A3759" s="2" t="str">
        <x:v>L00557-020</x:v>
      </x:c>
      <x:c r="B3759" s="2" t="str">
        <x:v>L00557</x:v>
      </x:c>
      <x:c r="C3759" s="2" t="str">
        <x:v>SO-26112</x:v>
      </x:c>
      <x:c r="D3759" s="2" t="str">
        <x:v>D-S-SS</x:v>
      </x:c>
      <x:c r="E3759" s="14" t="n">
        <x:v>25</x:v>
      </x:c>
      <x:c r="F3759" s="2" t="str">
        <x:v>Deburr &amp; inspect</x:v>
      </x:c>
      <x:c r="G3759" s="9" t="str">
        <x:v>DB-01</x:v>
      </x:c>
      <x:c r="H3759" s="15" t="n">
        <x:v>355</x:v>
      </x:c>
      <x:c r="I3759" s="9" t="str">
        <x:v>P01</x:v>
      </x:c>
      <x:c r="J3759" s="11" t="n">
        <x:v>46315.35208333333</x:v>
      </x:c>
      <x:c r="K3759" s="15" t="n">
        <x:v>4</x:v>
      </x:c>
      <x:c r="L3759" s="15" t="n">
        <x:v>18</x:v>
      </x:c>
      <x:c r="M3759" s="13" t="n">
        <x:f>J3759+(K3759+L3759)/1440</x:f>
        <x:v>46315.36736111111</x:v>
      </x:c>
      <x:c r="N3759" s="13" t="n">
        <x:f>VLOOKUP(C3759,'MES orders'!$A$8:$H$127,5,FALSE)</x:f>
        <x:v>46311.666666666664</x:v>
      </x:c>
      <x:c r="O3759" s="16" t="n">
        <x:f>MAX(0,(M3759-N3759)*24)</x:f>
        <x:v>88.81666666665114</x:v>
      </x:c>
      <x:c r="P3759" s="9" t="str">
        <x:v>No</x:v>
      </x:c>
      <x:c r="Q3759" s="15" t="n">
        <x:v>22</x:v>
      </x:c>
      <x:c r="R3759" s="13" t="n">
        <x:f>J3759+Q3759/1440</x:f>
        <x:v>46315.36736111111</x:v>
      </x:c>
      <x:c r="S3759" s="2" t="str">
        <x:f>VLOOKUP(C3759,'MES orders'!$A$8:$H$127,6,FALSE)</x:f>
        <x:v>Normal</x:v>
      </x:c>
      <x:c r="T3759" s="9" t="str"/>
    </x:row>
    <x:row r="3760" ht="22" customHeight="1">
      <x:c r="A3760" s="2" t="str">
        <x:v>L00558-020</x:v>
      </x:c>
      <x:c r="B3760" s="2" t="str">
        <x:v>L00558</x:v>
      </x:c>
      <x:c r="C3760" s="2" t="str">
        <x:v>SO-26112</x:v>
      </x:c>
      <x:c r="D3760" s="2" t="str">
        <x:v>D-S-SS</x:v>
      </x:c>
      <x:c r="E3760" s="14" t="n">
        <x:v>25</x:v>
      </x:c>
      <x:c r="F3760" s="2" t="str">
        <x:v>Deburr &amp; inspect</x:v>
      </x:c>
      <x:c r="G3760" s="9" t="str">
        <x:v>DB-02</x:v>
      </x:c>
      <x:c r="H3760" s="15" t="n">
        <x:v>242</x:v>
      </x:c>
      <x:c r="I3760" s="9" t="str">
        <x:v>P02</x:v>
      </x:c>
      <x:c r="J3760" s="11" t="n">
        <x:v>46315.35208333333</x:v>
      </x:c>
      <x:c r="K3760" s="15" t="n">
        <x:v>4</x:v>
      </x:c>
      <x:c r="L3760" s="15" t="n">
        <x:v>18</x:v>
      </x:c>
      <x:c r="M3760" s="13" t="n">
        <x:f>J3760+(K3760+L3760)/1440</x:f>
        <x:v>46315.36736111111</x:v>
      </x:c>
      <x:c r="N3760" s="13" t="n">
        <x:f>VLOOKUP(C3760,'MES orders'!$A$8:$H$127,5,FALSE)</x:f>
        <x:v>46311.666666666664</x:v>
      </x:c>
      <x:c r="O3760" s="16" t="n">
        <x:f>MAX(0,(M3760-N3760)*24)</x:f>
        <x:v>88.81666666665114</x:v>
      </x:c>
      <x:c r="P3760" s="9" t="str">
        <x:v>No</x:v>
      </x:c>
      <x:c r="Q3760" s="15" t="n">
        <x:v>22</x:v>
      </x:c>
      <x:c r="R3760" s="13" t="n">
        <x:f>J3760+Q3760/1440</x:f>
        <x:v>46315.36736111111</x:v>
      </x:c>
      <x:c r="S3760" s="2" t="str">
        <x:f>VLOOKUP(C3760,'MES orders'!$A$8:$H$127,6,FALSE)</x:f>
        <x:v>Normal</x:v>
      </x:c>
      <x:c r="T3760" s="9" t="str"/>
    </x:row>
    <x:row r="3761" ht="22" customHeight="1">
      <x:c r="A3761" s="2" t="str">
        <x:v>L00480-040</x:v>
      </x:c>
      <x:c r="B3761" s="2" t="str">
        <x:v>L00480</x:v>
      </x:c>
      <x:c r="C3761" s="2" t="str">
        <x:v>SO-26096</x:v>
      </x:c>
      <x:c r="D3761" s="2" t="str">
        <x:v>S-L-SS</x:v>
      </x:c>
      <x:c r="E3761" s="14" t="n">
        <x:v>20</x:v>
      </x:c>
      <x:c r="F3761" s="2" t="str">
        <x:v>Mechanical preassembly</x:v>
      </x:c>
      <x:c r="G3761" s="9" t="str">
        <x:v>AS-03</x:v>
      </x:c>
      <x:c r="H3761" s="15" t="n">
        <x:v>201</x:v>
      </x:c>
      <x:c r="I3761" s="9" t="str">
        <x:v>P06</x:v>
      </x:c>
      <x:c r="J3761" s="11" t="n">
        <x:v>46315.354166666664</x:v>
      </x:c>
      <x:c r="K3761" s="15" t="n">
        <x:v>6</x:v>
      </x:c>
      <x:c r="L3761" s="15" t="n">
        <x:v>30</x:v>
      </x:c>
      <x:c r="M3761" s="13" t="n">
        <x:f>J3761+(K3761+L3761)/1440</x:f>
        <x:v>46315.379166666666</x:v>
      </x:c>
      <x:c r="N3761" s="13" t="n">
        <x:f>VLOOKUP(C3761,'MES orders'!$A$8:$H$127,5,FALSE)</x:f>
        <x:v>46311.666666666664</x:v>
      </x:c>
      <x:c r="O3761" s="16" t="n">
        <x:f>MAX(0,(M3761-N3761)*24)</x:f>
        <x:v>89.10000000003492</x:v>
      </x:c>
      <x:c r="P3761" s="9" t="str">
        <x:v>No</x:v>
      </x:c>
      <x:c r="Q3761" s="15" t="n">
        <x:v>36</x:v>
      </x:c>
      <x:c r="R3761" s="13" t="n">
        <x:f>J3761+Q3761/1440</x:f>
        <x:v>46315.379166666666</x:v>
      </x:c>
      <x:c r="S3761" s="2" t="str">
        <x:f>VLOOKUP(C3761,'MES orders'!$A$8:$H$127,6,FALSE)</x:f>
        <x:v>Normal</x:v>
      </x:c>
      <x:c r="T3761" s="9" t="str"/>
    </x:row>
    <x:row r="3762" ht="22" customHeight="1">
      <x:c r="A3762" s="2" t="str">
        <x:v>L00516-040</x:v>
      </x:c>
      <x:c r="B3762" s="2" t="str">
        <x:v>L00516</x:v>
      </x:c>
      <x:c r="C3762" s="2" t="str">
        <x:v>SO-26104</x:v>
      </x:c>
      <x:c r="D3762" s="2" t="str">
        <x:v>D-C-SS</x:v>
      </x:c>
      <x:c r="E3762" s="14" t="n">
        <x:v>15</x:v>
      </x:c>
      <x:c r="F3762" s="2" t="str">
        <x:v>Mechanical assembly</x:v>
      </x:c>
      <x:c r="G3762" s="9" t="str">
        <x:v>AS-02</x:v>
      </x:c>
      <x:c r="H3762" s="15" t="n">
        <x:v>248</x:v>
      </x:c>
      <x:c r="I3762" s="9" t="str">
        <x:v>P04</x:v>
      </x:c>
      <x:c r="J3762" s="11" t="n">
        <x:v>46315.36319444444</x:v>
      </x:c>
      <x:c r="K3762" s="15" t="n">
        <x:v>8</x:v>
      </x:c>
      <x:c r="L3762" s="15" t="n">
        <x:v>22</x:v>
      </x:c>
      <x:c r="M3762" s="13" t="n">
        <x:f>J3762+(K3762+L3762)/1440</x:f>
        <x:v>46315.38402777778</x:v>
      </x:c>
      <x:c r="N3762" s="13" t="n">
        <x:f>VLOOKUP(C3762,'MES orders'!$A$8:$H$127,5,FALSE)</x:f>
        <x:v>46311.666666666664</x:v>
      </x:c>
      <x:c r="O3762" s="16" t="n">
        <x:f>MAX(0,(M3762-N3762)*24)</x:f>
        <x:v>89.21666666673264</x:v>
      </x:c>
      <x:c r="P3762" s="9" t="str">
        <x:v>No</x:v>
      </x:c>
      <x:c r="Q3762" s="15" t="n">
        <x:v>30</x:v>
      </x:c>
      <x:c r="R3762" s="13" t="n">
        <x:f>J3762+Q3762/1440</x:f>
        <x:v>46315.38402777778</x:v>
      </x:c>
      <x:c r="S3762" s="2" t="str">
        <x:f>VLOOKUP(C3762,'MES orders'!$A$8:$H$127,6,FALSE)</x:f>
        <x:v>Normal</x:v>
      </x:c>
      <x:c r="T3762" s="9" t="str"/>
    </x:row>
    <x:row r="3763" ht="22" customHeight="1">
      <x:c r="A3763" s="2" t="str">
        <x:v>L00479-050</x:v>
      </x:c>
      <x:c r="B3763" s="2" t="str">
        <x:v>L00479</x:v>
      </x:c>
      <x:c r="C3763" s="2" t="str">
        <x:v>SO-26096</x:v>
      </x:c>
      <x:c r="D3763" s="2" t="str">
        <x:v>S-L-SS</x:v>
      </x:c>
      <x:c r="E3763" s="14" t="n">
        <x:v>20</x:v>
      </x:c>
      <x:c r="F3763" s="2" t="str">
        <x:v>Sensor installation</x:v>
      </x:c>
      <x:c r="G3763" s="9" t="str">
        <x:v>EL-01</x:v>
      </x:c>
      <x:c r="H3763" s="15" t="n">
        <x:v>132</x:v>
      </x:c>
      <x:c r="I3763" s="9" t="str">
        <x:v>P07</x:v>
      </x:c>
      <x:c r="J3763" s="11" t="n">
        <x:v>46315.36319444444</x:v>
      </x:c>
      <x:c r="K3763" s="15" t="n">
        <x:v>8</x:v>
      </x:c>
      <x:c r="L3763" s="15" t="n">
        <x:v>32</x:v>
      </x:c>
      <x:c r="M3763" s="13" t="n">
        <x:f>J3763+(K3763+L3763)/1440</x:f>
        <x:v>46315.39097222222</x:v>
      </x:c>
      <x:c r="N3763" s="13" t="n">
        <x:f>VLOOKUP(C3763,'MES orders'!$A$8:$H$127,5,FALSE)</x:f>
        <x:v>46311.666666666664</x:v>
      </x:c>
      <x:c r="O3763" s="16" t="n">
        <x:f>MAX(0,(M3763-N3763)*24)</x:f>
        <x:v>89.3833333334187</x:v>
      </x:c>
      <x:c r="P3763" s="9" t="str">
        <x:v>No</x:v>
      </x:c>
      <x:c r="Q3763" s="15" t="n">
        <x:v>40</x:v>
      </x:c>
      <x:c r="R3763" s="13" t="n">
        <x:f>J3763+Q3763/1440</x:f>
        <x:v>46315.39097222222</x:v>
      </x:c>
      <x:c r="S3763" s="2" t="str">
        <x:f>VLOOKUP(C3763,'MES orders'!$A$8:$H$127,6,FALSE)</x:f>
        <x:v>Normal</x:v>
      </x:c>
      <x:c r="T3763" s="9" t="str"/>
    </x:row>
    <x:row r="3764" ht="22" customHeight="1">
      <x:c r="A3764" s="2" t="str">
        <x:v>L00440-080</x:v>
      </x:c>
      <x:c r="B3764" s="2" t="str">
        <x:v>L00440</x:v>
      </x:c>
      <x:c r="C3764" s="2" t="str">
        <x:v>SO-26088</x:v>
      </x:c>
      <x:c r="D3764" s="2" t="str">
        <x:v>S-S-SS</x:v>
      </x:c>
      <x:c r="E3764" s="14" t="n">
        <x:v>20</x:v>
      </x:c>
      <x:c r="F3764" s="2" t="str">
        <x:v>Final leak / function test</x:v>
      </x:c>
      <x:c r="G3764" s="9" t="str">
        <x:v>QA-02</x:v>
      </x:c>
      <x:c r="H3764" s="15" t="n">
        <x:v>287</x:v>
      </x:c>
      <x:c r="I3764" s="9" t="str">
        <x:v>P11</x:v>
      </x:c>
      <x:c r="J3764" s="11" t="n">
        <x:v>46315.364583333336</x:v>
      </x:c>
      <x:c r="K3764" s="15" t="n">
        <x:v>10</x:v>
      </x:c>
      <x:c r="L3764" s="15" t="n">
        <x:v>18</x:v>
      </x:c>
      <x:c r="M3764" s="13" t="n">
        <x:f>J3764+(K3764+L3764)/1440</x:f>
        <x:v>46315.38402777778</x:v>
      </x:c>
      <x:c r="N3764" s="13" t="n">
        <x:f>VLOOKUP(C3764,'MES orders'!$A$8:$H$127,5,FALSE)</x:f>
        <x:v>46311.666666666664</x:v>
      </x:c>
      <x:c r="O3764" s="16" t="n">
        <x:f>MAX(0,(M3764-N3764)*24)</x:f>
        <x:v>89.21666666673264</x:v>
      </x:c>
      <x:c r="P3764" s="9" t="str">
        <x:v>No</x:v>
      </x:c>
      <x:c r="Q3764" s="15" t="n">
        <x:v>28</x:v>
      </x:c>
      <x:c r="R3764" s="13" t="n">
        <x:f>J3764+Q3764/1440</x:f>
        <x:v>46315.38402777778</x:v>
      </x:c>
      <x:c r="S3764" s="2" t="str">
        <x:f>VLOOKUP(C3764,'MES orders'!$A$8:$H$127,6,FALSE)</x:f>
        <x:v>Normal</x:v>
      </x:c>
      <x:c r="T3764" s="9" t="str"/>
    </x:row>
    <x:row r="3765" ht="22" customHeight="1">
      <x:c r="A3765" s="2" t="str">
        <x:v>L00518-030</x:v>
      </x:c>
      <x:c r="B3765" s="2" t="str">
        <x:v>L00518</x:v>
      </x:c>
      <x:c r="C3765" s="2" t="str">
        <x:v>SO-26104</x:v>
      </x:c>
      <x:c r="D3765" s="2" t="str">
        <x:v>D-C-SS</x:v>
      </x:c>
      <x:c r="E3765" s="14" t="n">
        <x:v>15</x:v>
      </x:c>
      <x:c r="F3765" s="2" t="str">
        <x:v>Wash &amp; dry</x:v>
      </x:c>
      <x:c r="G3765" s="9" t="str">
        <x:v>WS-01</x:v>
      </x:c>
      <x:c r="H3765" s="15" t="n">
        <x:v>347</x:v>
      </x:c>
      <x:c r="I3765" s="9" t="str">
        <x:v>P05</x:v>
      </x:c>
      <x:c r="J3765" s="11" t="n">
        <x:v>46315.364583333336</x:v>
      </x:c>
      <x:c r="K3765" s="15" t="n">
        <x:v>12</x:v>
      </x:c>
      <x:c r="L3765" s="15" t="n">
        <x:v>4</x:v>
      </x:c>
      <x:c r="M3765" s="13" t="n">
        <x:f>J3765+(K3765+L3765)/1440</x:f>
        <x:v>46315.37569444445</x:v>
      </x:c>
      <x:c r="N3765" s="13" t="n">
        <x:f>VLOOKUP(C3765,'MES orders'!$A$8:$H$127,5,FALSE)</x:f>
        <x:v>46311.666666666664</x:v>
      </x:c>
      <x:c r="O3765" s="16" t="n">
        <x:f>MAX(0,(M3765-N3765)*24)</x:f>
        <x:v>89.0166666667792</x:v>
      </x:c>
      <x:c r="P3765" s="9" t="str">
        <x:v>No</x:v>
      </x:c>
      <x:c r="Q3765" s="15" t="n">
        <x:v>16</x:v>
      </x:c>
      <x:c r="R3765" s="13" t="n">
        <x:f>J3765+Q3765/1440</x:f>
        <x:v>46315.37569444445</x:v>
      </x:c>
      <x:c r="S3765" s="2" t="str">
        <x:f>VLOOKUP(C3765,'MES orders'!$A$8:$H$127,6,FALSE)</x:f>
        <x:v>Normal</x:v>
      </x:c>
      <x:c r="T3765" s="9" t="str"/>
    </x:row>
    <x:row r="3766" ht="22" customHeight="1">
      <x:c r="A3766" s="2" t="str">
        <x:v>L00557-030</x:v>
      </x:c>
      <x:c r="B3766" s="2" t="str">
        <x:v>L00557</x:v>
      </x:c>
      <x:c r="C3766" s="2" t="str">
        <x:v>SO-26112</x:v>
      </x:c>
      <x:c r="D3766" s="2" t="str">
        <x:v>D-S-SS</x:v>
      </x:c>
      <x:c r="E3766" s="14" t="n">
        <x:v>25</x:v>
      </x:c>
      <x:c r="F3766" s="2" t="str">
        <x:v>Wash &amp; dry</x:v>
      </x:c>
      <x:c r="G3766" s="9" t="str">
        <x:v>WS-02</x:v>
      </x:c>
      <x:c r="H3766" s="15" t="n">
        <x:v>247</x:v>
      </x:c>
      <x:c r="I3766" s="9" t="str">
        <x:v>P01</x:v>
      </x:c>
      <x:c r="J3766" s="11" t="n">
        <x:v>46315.36736111111</x:v>
      </x:c>
      <x:c r="K3766" s="15" t="n">
        <x:v>12</x:v>
      </x:c>
      <x:c r="L3766" s="15" t="n">
        <x:v>9</x:v>
      </x:c>
      <x:c r="M3766" s="13" t="n">
        <x:f>J3766+(K3766+L3766)/1440</x:f>
        <x:v>46315.38194444444</x:v>
      </x:c>
      <x:c r="N3766" s="13" t="n">
        <x:f>VLOOKUP(C3766,'MES orders'!$A$8:$H$127,5,FALSE)</x:f>
        <x:v>46311.666666666664</x:v>
      </x:c>
      <x:c r="O3766" s="16" t="n">
        <x:f>MAX(0,(M3766-N3766)*24)</x:f>
        <x:v>89.16666666656965</x:v>
      </x:c>
      <x:c r="P3766" s="9" t="str">
        <x:v>No</x:v>
      </x:c>
      <x:c r="Q3766" s="15" t="n">
        <x:v>21</x:v>
      </x:c>
      <x:c r="R3766" s="13" t="n">
        <x:f>J3766+Q3766/1440</x:f>
        <x:v>46315.38194444444</x:v>
      </x:c>
      <x:c r="S3766" s="2" t="str">
        <x:f>VLOOKUP(C3766,'MES orders'!$A$8:$H$127,6,FALSE)</x:f>
        <x:v>Normal</x:v>
      </x:c>
      <x:c r="T3766" s="9" t="str"/>
    </x:row>
    <x:row r="3767" ht="22" customHeight="1">
      <x:c r="A3767" s="2" t="str">
        <x:v>L00518-040</x:v>
      </x:c>
      <x:c r="B3767" s="2" t="str">
        <x:v>L00518</x:v>
      </x:c>
      <x:c r="C3767" s="2" t="str">
        <x:v>SO-26104</x:v>
      </x:c>
      <x:c r="D3767" s="2" t="str">
        <x:v>D-C-SS</x:v>
      </x:c>
      <x:c r="E3767" s="14" t="n">
        <x:v>15</x:v>
      </x:c>
      <x:c r="F3767" s="2" t="str">
        <x:v>Mechanical assembly</x:v>
      </x:c>
      <x:c r="G3767" s="9" t="str">
        <x:v>AS-03</x:v>
      </x:c>
      <x:c r="H3767" s="15" t="n">
        <x:v>202</x:v>
      </x:c>
      <x:c r="I3767" s="9" t="str">
        <x:v>P06</x:v>
      </x:c>
      <x:c r="J3767" s="11" t="n">
        <x:v>46315.379166666666</x:v>
      </x:c>
      <x:c r="K3767" s="15" t="n">
        <x:v>8</x:v>
      </x:c>
      <x:c r="L3767" s="15" t="n">
        <x:v>22</x:v>
      </x:c>
      <x:c r="M3767" s="13" t="n">
        <x:f>J3767+(K3767+L3767)/1440</x:f>
        <x:v>46315.4</x:v>
      </x:c>
      <x:c r="N3767" s="13" t="n">
        <x:f>VLOOKUP(C3767,'MES orders'!$A$8:$H$127,5,FALSE)</x:f>
        <x:v>46311.666666666664</x:v>
      </x:c>
      <x:c r="O3767" s="16" t="n">
        <x:f>MAX(0,(M3767-N3767)*24)</x:f>
        <x:v>89.60000000009313</x:v>
      </x:c>
      <x:c r="P3767" s="9" t="str">
        <x:v>No</x:v>
      </x:c>
      <x:c r="Q3767" s="15" t="n">
        <x:v>30</x:v>
      </x:c>
      <x:c r="R3767" s="13" t="n">
        <x:f>J3767+Q3767/1440</x:f>
        <x:v>46315.4</x:v>
      </x:c>
      <x:c r="S3767" s="2" t="str">
        <x:f>VLOOKUP(C3767,'MES orders'!$A$8:$H$127,6,FALSE)</x:f>
        <x:v>Normal</x:v>
      </x:c>
      <x:c r="T3767" s="9" t="str"/>
    </x:row>
    <x:row r="3768" ht="22" customHeight="1">
      <x:c r="A3768" s="2" t="str">
        <x:v>L00480-050</x:v>
      </x:c>
      <x:c r="B3768" s="2" t="str">
        <x:v>L00480</x:v>
      </x:c>
      <x:c r="C3768" s="2" t="str">
        <x:v>SO-26096</x:v>
      </x:c>
      <x:c r="D3768" s="2" t="str">
        <x:v>S-L-SS</x:v>
      </x:c>
      <x:c r="E3768" s="14" t="n">
        <x:v>20</x:v>
      </x:c>
      <x:c r="F3768" s="2" t="str">
        <x:v>Sensor installation</x:v>
      </x:c>
      <x:c r="G3768" s="9" t="str">
        <x:v>EL-02</x:v>
      </x:c>
      <x:c r="H3768" s="15" t="n">
        <x:v>68</x:v>
      </x:c>
      <x:c r="I3768" s="9" t="str">
        <x:v>P08</x:v>
      </x:c>
      <x:c r="J3768" s="11" t="n">
        <x:v>46315.379166666666</x:v>
      </x:c>
      <x:c r="K3768" s="15" t="n">
        <x:v>8</x:v>
      </x:c>
      <x:c r="L3768" s="15" t="n">
        <x:v>32</x:v>
      </x:c>
      <x:c r="M3768" s="13" t="n">
        <x:f>J3768+(K3768+L3768)/1440</x:f>
        <x:v>46315.40694444445</x:v>
      </x:c>
      <x:c r="N3768" s="13" t="n">
        <x:f>VLOOKUP(C3768,'MES orders'!$A$8:$H$127,5,FALSE)</x:f>
        <x:v>46311.666666666664</x:v>
      </x:c>
      <x:c r="O3768" s="16" t="n">
        <x:f>MAX(0,(M3768-N3768)*24)</x:f>
        <x:v>89.7666666667792</x:v>
      </x:c>
      <x:c r="P3768" s="9" t="str">
        <x:v>No</x:v>
      </x:c>
      <x:c r="Q3768" s="15" t="n">
        <x:v>40</x:v>
      </x:c>
      <x:c r="R3768" s="13" t="n">
        <x:f>J3768+Q3768/1440</x:f>
        <x:v>46315.40694444445</x:v>
      </x:c>
      <x:c r="S3768" s="2" t="str">
        <x:f>VLOOKUP(C3768,'MES orders'!$A$8:$H$127,6,FALSE)</x:f>
        <x:v>Normal</x:v>
      </x:c>
      <x:c r="T3768" s="9" t="str"/>
    </x:row>
    <x:row r="3769" ht="22" customHeight="1">
      <x:c r="A3769" s="2" t="str">
        <x:v>L00476-070</x:v>
      </x:c>
      <x:c r="B3769" s="2" t="str">
        <x:v>L00476</x:v>
      </x:c>
      <x:c r="C3769" s="2" t="str">
        <x:v>SO-26096</x:v>
      </x:c>
      <x:c r="D3769" s="2" t="str">
        <x:v>S-L-SS</x:v>
      </x:c>
      <x:c r="E3769" s="14" t="n">
        <x:v>20</x:v>
      </x:c>
      <x:c r="F3769" s="2" t="str">
        <x:v>Final assembly</x:v>
      </x:c>
      <x:c r="G3769" s="9" t="str">
        <x:v>AS-01</x:v>
      </x:c>
      <x:c r="H3769" s="15" t="n">
        <x:v>307</x:v>
      </x:c>
      <x:c r="I3769" s="9" t="str">
        <x:v>P05</x:v>
      </x:c>
      <x:c r="J3769" s="11" t="n">
        <x:v>46315.38125</x:v>
      </x:c>
      <x:c r="K3769" s="15" t="n">
        <x:v>5</x:v>
      </x:c>
      <x:c r="L3769" s="15" t="n">
        <x:v>22</x:v>
      </x:c>
      <x:c r="M3769" s="13" t="n">
        <x:f>J3769+(K3769+L3769)/1440</x:f>
        <x:v>46315.4</x:v>
      </x:c>
      <x:c r="N3769" s="13" t="n">
        <x:f>VLOOKUP(C3769,'MES orders'!$A$8:$H$127,5,FALSE)</x:f>
        <x:v>46311.666666666664</x:v>
      </x:c>
      <x:c r="O3769" s="16" t="n">
        <x:f>MAX(0,(M3769-N3769)*24)</x:f>
        <x:v>89.60000000009313</x:v>
      </x:c>
      <x:c r="P3769" s="9" t="str">
        <x:v>No</x:v>
      </x:c>
      <x:c r="Q3769" s="15" t="n">
        <x:v>27</x:v>
      </x:c>
      <x:c r="R3769" s="13" t="n">
        <x:f>J3769+Q3769/1440</x:f>
        <x:v>46315.4</x:v>
      </x:c>
      <x:c r="S3769" s="2" t="str">
        <x:f>VLOOKUP(C3769,'MES orders'!$A$8:$H$127,6,FALSE)</x:f>
        <x:v>Normal</x:v>
      </x:c>
      <x:c r="T3769" s="9" t="str"/>
    </x:row>
    <x:row r="3770" ht="22" customHeight="1">
      <x:c r="A3770" s="2" t="str">
        <x:v>L00477-060</x:v>
      </x:c>
      <x:c r="B3770" s="2" t="str">
        <x:v>L00477</x:v>
      </x:c>
      <x:c r="C3770" s="2" t="str">
        <x:v>SO-26096</x:v>
      </x:c>
      <x:c r="D3770" s="2" t="str">
        <x:v>S-L-SS</x:v>
      </x:c>
      <x:c r="E3770" s="14" t="n">
        <x:v>20</x:v>
      </x:c>
      <x:c r="F3770" s="2" t="str">
        <x:v>Sensor calibration</x:v>
      </x:c>
      <x:c r="G3770" s="9" t="str">
        <x:v>CAL-01</x:v>
      </x:c>
      <x:c r="H3770" s="15" t="n">
        <x:v>197</x:v>
      </x:c>
      <x:c r="I3770" s="9" t="str">
        <x:v>P09</x:v>
      </x:c>
      <x:c r="J3770" s="11" t="n">
        <x:v>46315.38125</x:v>
      </x:c>
      <x:c r="K3770" s="15" t="n">
        <x:v>10</x:v>
      </x:c>
      <x:c r="L3770" s="15" t="n">
        <x:v>35</x:v>
      </x:c>
      <x:c r="M3770" s="13" t="n">
        <x:f>J3770+(K3770+L3770)/1440</x:f>
        <x:v>46315.4125</x:v>
      </x:c>
      <x:c r="N3770" s="13" t="n">
        <x:f>VLOOKUP(C3770,'MES orders'!$A$8:$H$127,5,FALSE)</x:f>
        <x:v>46311.666666666664</x:v>
      </x:c>
      <x:c r="O3770" s="16" t="n">
        <x:f>MAX(0,(M3770-N3770)*24)</x:f>
        <x:v>89.90000000002328</x:v>
      </x:c>
      <x:c r="P3770" s="9" t="str">
        <x:v>No</x:v>
      </x:c>
      <x:c r="Q3770" s="15" t="n">
        <x:v>45</x:v>
      </x:c>
      <x:c r="R3770" s="13" t="n">
        <x:f>J3770+Q3770/1440</x:f>
        <x:v>46315.4125</x:v>
      </x:c>
      <x:c r="S3770" s="2" t="str">
        <x:f>VLOOKUP(C3770,'MES orders'!$A$8:$H$127,6,FALSE)</x:f>
        <x:v>Normal</x:v>
      </x:c>
      <x:c r="T3770" s="9" t="str"/>
    </x:row>
    <x:row r="3771" ht="22" customHeight="1">
      <x:c r="A3771" s="2" t="str">
        <x:v>L00558-030</x:v>
      </x:c>
      <x:c r="B3771" s="2" t="str">
        <x:v>L00558</x:v>
      </x:c>
      <x:c r="C3771" s="2" t="str">
        <x:v>SO-26112</x:v>
      </x:c>
      <x:c r="D3771" s="2" t="str">
        <x:v>D-S-SS</x:v>
      </x:c>
      <x:c r="E3771" s="14" t="n">
        <x:v>25</x:v>
      </x:c>
      <x:c r="F3771" s="2" t="str">
        <x:v>Wash &amp; dry</x:v>
      </x:c>
      <x:c r="G3771" s="9" t="str">
        <x:v>WS-02</x:v>
      </x:c>
      <x:c r="H3771" s="15" t="n">
        <x:v>248</x:v>
      </x:c>
      <x:c r="I3771" s="9" t="str">
        <x:v>P01</x:v>
      </x:c>
      <x:c r="J3771" s="11" t="n">
        <x:v>46315.381944444445</x:v>
      </x:c>
      <x:c r="K3771" s="15" t="n">
        <x:v>12</x:v>
      </x:c>
      <x:c r="L3771" s="15" t="n">
        <x:v>9</x:v>
      </x:c>
      <x:c r="M3771" s="13" t="n">
        <x:f>J3771+(K3771+L3771)/1440</x:f>
        <x:v>46315.396527777775</x:v>
      </x:c>
      <x:c r="N3771" s="13" t="n">
        <x:f>VLOOKUP(C3771,'MES orders'!$A$8:$H$127,5,FALSE)</x:f>
        <x:v>46311.666666666664</x:v>
      </x:c>
      <x:c r="O3771" s="16" t="n">
        <x:f>MAX(0,(M3771-N3771)*24)</x:f>
        <x:v>89.51666666666279</x:v>
      </x:c>
      <x:c r="P3771" s="9" t="str">
        <x:v>No</x:v>
      </x:c>
      <x:c r="Q3771" s="15" t="n">
        <x:v>21</x:v>
      </x:c>
      <x:c r="R3771" s="13" t="n">
        <x:f>J3771+Q3771/1440</x:f>
        <x:v>46315.396527777775</x:v>
      </x:c>
      <x:c r="S3771" s="2" t="str">
        <x:f>VLOOKUP(C3771,'MES orders'!$A$8:$H$127,6,FALSE)</x:f>
        <x:v>Normal</x:v>
      </x:c>
      <x:c r="T3771" s="9" t="str"/>
    </x:row>
    <x:row r="3772" ht="22" customHeight="1">
      <x:c r="A3772" s="2" t="str">
        <x:v>L00559-020</x:v>
      </x:c>
      <x:c r="B3772" s="2" t="str">
        <x:v>L00559</x:v>
      </x:c>
      <x:c r="C3772" s="2" t="str">
        <x:v>SO-26112</x:v>
      </x:c>
      <x:c r="D3772" s="2" t="str">
        <x:v>D-S-SS</x:v>
      </x:c>
      <x:c r="E3772" s="14" t="n">
        <x:v>25</x:v>
      </x:c>
      <x:c r="F3772" s="2" t="str">
        <x:v>Deburr &amp; inspect</x:v>
      </x:c>
      <x:c r="G3772" s="9" t="str">
        <x:v>DB-01</x:v>
      </x:c>
      <x:c r="H3772" s="15" t="n">
        <x:v>356</x:v>
      </x:c>
      <x:c r="I3772" s="9" t="str">
        <x:v>P02</x:v>
      </x:c>
      <x:c r="J3772" s="11" t="n">
        <x:v>46315.38333333333</x:v>
      </x:c>
      <x:c r="K3772" s="15" t="n">
        <x:v>4</x:v>
      </x:c>
      <x:c r="L3772" s="15" t="n">
        <x:v>18</x:v>
      </x:c>
      <x:c r="M3772" s="13" t="n">
        <x:f>J3772+(K3772+L3772)/1440</x:f>
        <x:v>46315.39861111111</x:v>
      </x:c>
      <x:c r="N3772" s="13" t="n">
        <x:f>VLOOKUP(C3772,'MES orders'!$A$8:$H$127,5,FALSE)</x:f>
        <x:v>46311.666666666664</x:v>
      </x:c>
      <x:c r="O3772" s="16" t="n">
        <x:f>MAX(0,(M3772-N3772)*24)</x:f>
        <x:v>89.56666666665114</x:v>
      </x:c>
      <x:c r="P3772" s="9" t="str">
        <x:v>No</x:v>
      </x:c>
      <x:c r="Q3772" s="15" t="n">
        <x:v>22</x:v>
      </x:c>
      <x:c r="R3772" s="13" t="n">
        <x:f>J3772+Q3772/1440</x:f>
        <x:v>46315.39861111111</x:v>
      </x:c>
      <x:c r="S3772" s="2" t="str">
        <x:f>VLOOKUP(C3772,'MES orders'!$A$8:$H$127,6,FALSE)</x:f>
        <x:v>Normal</x:v>
      </x:c>
      <x:c r="T3772" s="9" t="str"/>
    </x:row>
    <x:row r="3773" ht="22" customHeight="1">
      <x:c r="A3773" s="2" t="str">
        <x:v>L00516-050</x:v>
      </x:c>
      <x:c r="B3773" s="2" t="str">
        <x:v>L00516</x:v>
      </x:c>
      <x:c r="C3773" s="2" t="str">
        <x:v>SO-26104</x:v>
      </x:c>
      <x:c r="D3773" s="2" t="str">
        <x:v>D-C-SS</x:v>
      </x:c>
      <x:c r="E3773" s="14" t="n">
        <x:v>15</x:v>
      </x:c>
      <x:c r="F3773" s="2" t="str">
        <x:v>Final leak / function test</x:v>
      </x:c>
      <x:c r="G3773" s="9" t="str">
        <x:v>QA-01</x:v>
      </x:c>
      <x:c r="H3773" s="15" t="n">
        <x:v>139</x:v>
      </x:c>
      <x:c r="I3773" s="9" t="str">
        <x:v>P11</x:v>
      </x:c>
      <x:c r="J3773" s="11" t="n">
        <x:v>46315.38402777778</x:v>
      </x:c>
      <x:c r="K3773" s="15" t="n">
        <x:v>10</x:v>
      </x:c>
      <x:c r="L3773" s="15" t="n">
        <x:v>11</x:v>
      </x:c>
      <x:c r="M3773" s="13" t="n">
        <x:f>J3773+(K3773+L3773)/1440</x:f>
        <x:v>46315.39861111111</x:v>
      </x:c>
      <x:c r="N3773" s="13" t="n">
        <x:f>VLOOKUP(C3773,'MES orders'!$A$8:$H$127,5,FALSE)</x:f>
        <x:v>46311.666666666664</x:v>
      </x:c>
      <x:c r="O3773" s="16" t="n">
        <x:f>MAX(0,(M3773-N3773)*24)</x:f>
        <x:v>89.56666666665114</x:v>
      </x:c>
      <x:c r="P3773" s="9" t="str">
        <x:v>No</x:v>
      </x:c>
      <x:c r="Q3773" s="15" t="n">
        <x:v>21</x:v>
      </x:c>
      <x:c r="R3773" s="13" t="n">
        <x:f>J3773+Q3773/1440</x:f>
        <x:v>46315.39861111111</x:v>
      </x:c>
      <x:c r="S3773" s="2" t="str">
        <x:f>VLOOKUP(C3773,'MES orders'!$A$8:$H$127,6,FALSE)</x:f>
        <x:v>Normal</x:v>
      </x:c>
      <x:c r="T3773" s="9" t="str"/>
    </x:row>
    <x:row r="3774" ht="22" customHeight="1">
      <x:c r="A3774" s="2" t="str">
        <x:v>L00519-030</x:v>
      </x:c>
      <x:c r="B3774" s="2" t="str">
        <x:v>L00519</x:v>
      </x:c>
      <x:c r="C3774" s="2" t="str">
        <x:v>SO-26104</x:v>
      </x:c>
      <x:c r="D3774" s="2" t="str">
        <x:v>D-C-SS</x:v>
      </x:c>
      <x:c r="E3774" s="14" t="n">
        <x:v>15</x:v>
      </x:c>
      <x:c r="F3774" s="2" t="str">
        <x:v>Wash &amp; dry</x:v>
      </x:c>
      <x:c r="G3774" s="9" t="str">
        <x:v>WS-01</x:v>
      </x:c>
      <x:c r="H3774" s="15" t="n">
        <x:v>348</x:v>
      </x:c>
      <x:c r="I3774" s="9" t="str">
        <x:v>P04</x:v>
      </x:c>
      <x:c r="J3774" s="11" t="n">
        <x:v>46315.38402777778</x:v>
      </x:c>
      <x:c r="K3774" s="15" t="n">
        <x:v>12</x:v>
      </x:c>
      <x:c r="L3774" s="15" t="n">
        <x:v>4</x:v>
      </x:c>
      <x:c r="M3774" s="13" t="n">
        <x:f>J3774+(K3774+L3774)/1440</x:f>
        <x:v>46315.39513888889</x:v>
      </x:c>
      <x:c r="N3774" s="13" t="n">
        <x:f>VLOOKUP(C3774,'MES orders'!$A$8:$H$127,5,FALSE)</x:f>
        <x:v>46311.666666666664</x:v>
      </x:c>
      <x:c r="O3774" s="16" t="n">
        <x:f>MAX(0,(M3774-N3774)*24)</x:f>
        <x:v>89.48333333339542</x:v>
      </x:c>
      <x:c r="P3774" s="9" t="str">
        <x:v>No</x:v>
      </x:c>
      <x:c r="Q3774" s="15" t="n">
        <x:v>16</x:v>
      </x:c>
      <x:c r="R3774" s="13" t="n">
        <x:f>J3774+Q3774/1440</x:f>
        <x:v>46315.39513888889</x:v>
      </x:c>
      <x:c r="S3774" s="2" t="str">
        <x:f>VLOOKUP(C3774,'MES orders'!$A$8:$H$127,6,FALSE)</x:f>
        <x:v>Normal</x:v>
      </x:c>
      <x:c r="T3774" s="9" t="str"/>
    </x:row>
    <x:row r="3775" ht="22" customHeight="1">
      <x:c r="A3775" s="2" t="str">
        <x:v>L00560-020</x:v>
      </x:c>
      <x:c r="B3775" s="2" t="str">
        <x:v>L00560</x:v>
      </x:c>
      <x:c r="C3775" s="2" t="str">
        <x:v>SO-26112</x:v>
      </x:c>
      <x:c r="D3775" s="2" t="str">
        <x:v>D-S-SS</x:v>
      </x:c>
      <x:c r="E3775" s="14" t="n">
        <x:v>25</x:v>
      </x:c>
      <x:c r="F3775" s="2" t="str">
        <x:v>Deburr &amp; inspect</x:v>
      </x:c>
      <x:c r="G3775" s="9" t="str">
        <x:v>DB-02</x:v>
      </x:c>
      <x:c r="H3775" s="15" t="n">
        <x:v>243</x:v>
      </x:c>
      <x:c r="I3775" s="9" t="str">
        <x:v>P03</x:v>
      </x:c>
      <x:c r="J3775" s="11" t="n">
        <x:v>46315.39166666667</x:v>
      </x:c>
      <x:c r="K3775" s="15" t="n">
        <x:v>4</x:v>
      </x:c>
      <x:c r="L3775" s="15" t="n">
        <x:v>18</x:v>
      </x:c>
      <x:c r="M3775" s="13" t="n">
        <x:f>J3775+(K3775+L3775)/1440</x:f>
        <x:v>46315.40694444445</x:v>
      </x:c>
      <x:c r="N3775" s="13" t="n">
        <x:f>VLOOKUP(C3775,'MES orders'!$A$8:$H$127,5,FALSE)</x:f>
        <x:v>46311.666666666664</x:v>
      </x:c>
      <x:c r="O3775" s="16" t="n">
        <x:f>MAX(0,(M3775-N3775)*24)</x:f>
        <x:v>89.7666666667792</x:v>
      </x:c>
      <x:c r="P3775" s="9" t="str">
        <x:v>No</x:v>
      </x:c>
      <x:c r="Q3775" s="15" t="n">
        <x:v>22</x:v>
      </x:c>
      <x:c r="R3775" s="13" t="n">
        <x:f>J3775+Q3775/1440</x:f>
        <x:v>46315.40694444445</x:v>
      </x:c>
      <x:c r="S3775" s="2" t="str">
        <x:f>VLOOKUP(C3775,'MES orders'!$A$8:$H$127,6,FALSE)</x:f>
        <x:v>Normal</x:v>
      </x:c>
      <x:c r="T3775" s="9" t="str"/>
    </x:row>
    <x:row r="3776" ht="22" customHeight="1">
      <x:c r="A3776" s="2" t="str">
        <x:v>L00519-040</x:v>
      </x:c>
      <x:c r="B3776" s="2" t="str">
        <x:v>L00519</x:v>
      </x:c>
      <x:c r="C3776" s="2" t="str">
        <x:v>SO-26104</x:v>
      </x:c>
      <x:c r="D3776" s="2" t="str">
        <x:v>D-C-SS</x:v>
      </x:c>
      <x:c r="E3776" s="14" t="n">
        <x:v>15</x:v>
      </x:c>
      <x:c r="F3776" s="2" t="str">
        <x:v>Mechanical assembly</x:v>
      </x:c>
      <x:c r="G3776" s="9" t="str">
        <x:v>AS-02</x:v>
      </x:c>
      <x:c r="H3776" s="15" t="n">
        <x:v>249</x:v>
      </x:c>
      <x:c r="I3776" s="9" t="str">
        <x:v>P04</x:v>
      </x:c>
      <x:c r="J3776" s="11" t="n">
        <x:v>46315.39513888889</x:v>
      </x:c>
      <x:c r="K3776" s="15" t="n">
        <x:v>8</x:v>
      </x:c>
      <x:c r="L3776" s="15" t="n">
        <x:v>22</x:v>
      </x:c>
      <x:c r="M3776" s="13" t="n">
        <x:f>J3776+(K3776+L3776)/1440</x:f>
        <x:v>46315.415972222225</x:v>
      </x:c>
      <x:c r="N3776" s="13" t="n">
        <x:f>VLOOKUP(C3776,'MES orders'!$A$8:$H$127,5,FALSE)</x:f>
        <x:v>46311.666666666664</x:v>
      </x:c>
      <x:c r="O3776" s="16" t="n">
        <x:f>MAX(0,(M3776-N3776)*24)</x:f>
        <x:v>89.98333333345363</x:v>
      </x:c>
      <x:c r="P3776" s="9" t="str">
        <x:v>No</x:v>
      </x:c>
      <x:c r="Q3776" s="15" t="n">
        <x:v>30</x:v>
      </x:c>
      <x:c r="R3776" s="13" t="n">
        <x:f>J3776+Q3776/1440</x:f>
        <x:v>46315.415972222225</x:v>
      </x:c>
      <x:c r="S3776" s="2" t="str">
        <x:f>VLOOKUP(C3776,'MES orders'!$A$8:$H$127,6,FALSE)</x:f>
        <x:v>Normal</x:v>
      </x:c>
      <x:c r="T3776" s="9" t="str"/>
    </x:row>
    <x:row r="3777" ht="22" customHeight="1">
      <x:c r="A3777" s="2" t="str">
        <x:v>L00559-030</x:v>
      </x:c>
      <x:c r="B3777" s="2" t="str">
        <x:v>L00559</x:v>
      </x:c>
      <x:c r="C3777" s="2" t="str">
        <x:v>SO-26112</x:v>
      </x:c>
      <x:c r="D3777" s="2" t="str">
        <x:v>D-S-SS</x:v>
      </x:c>
      <x:c r="E3777" s="14" t="n">
        <x:v>25</x:v>
      </x:c>
      <x:c r="F3777" s="2" t="str">
        <x:v>Wash &amp; dry</x:v>
      </x:c>
      <x:c r="G3777" s="9" t="str">
        <x:v>WS-02</x:v>
      </x:c>
      <x:c r="H3777" s="15" t="n">
        <x:v>249</x:v>
      </x:c>
      <x:c r="I3777" s="9" t="str">
        <x:v>P01</x:v>
      </x:c>
      <x:c r="J3777" s="11" t="n">
        <x:v>46315.39861111111</x:v>
      </x:c>
      <x:c r="K3777" s="15" t="n">
        <x:v>12</x:v>
      </x:c>
      <x:c r="L3777" s="15" t="n">
        <x:v>9</x:v>
      </x:c>
      <x:c r="M3777" s="13" t="n">
        <x:f>J3777+(K3777+L3777)/1440</x:f>
        <x:v>46315.41319444444</x:v>
      </x:c>
      <x:c r="N3777" s="13" t="n">
        <x:f>VLOOKUP(C3777,'MES orders'!$A$8:$H$127,5,FALSE)</x:f>
        <x:v>46311.666666666664</x:v>
      </x:c>
      <x:c r="O3777" s="16" t="n">
        <x:f>MAX(0,(M3777-N3777)*24)</x:f>
        <x:v>89.91666666656965</x:v>
      </x:c>
      <x:c r="P3777" s="9" t="str">
        <x:v>No</x:v>
      </x:c>
      <x:c r="Q3777" s="15" t="n">
        <x:v>21</x:v>
      </x:c>
      <x:c r="R3777" s="13" t="n">
        <x:f>J3777+Q3777/1440</x:f>
        <x:v>46315.41319444444</x:v>
      </x:c>
      <x:c r="S3777" s="2" t="str">
        <x:f>VLOOKUP(C3777,'MES orders'!$A$8:$H$127,6,FALSE)</x:f>
        <x:v>Normal</x:v>
      </x:c>
      <x:c r="T3777" s="9" t="str"/>
    </x:row>
    <x:row r="3778" ht="22" customHeight="1">
      <x:c r="A3778" s="2" t="str">
        <x:v>L00556-020</x:v>
      </x:c>
      <x:c r="B3778" s="2" t="str">
        <x:v>L00556</x:v>
      </x:c>
      <x:c r="C3778" s="2" t="str">
        <x:v>SO-26112</x:v>
      </x:c>
      <x:c r="D3778" s="2" t="str">
        <x:v>D-S-SS</x:v>
      </x:c>
      <x:c r="E3778" s="14" t="n">
        <x:v>25</x:v>
      </x:c>
      <x:c r="F3778" s="2" t="str">
        <x:v>Deburr &amp; inspect</x:v>
      </x:c>
      <x:c r="G3778" s="9" t="str">
        <x:v>DB-01</x:v>
      </x:c>
      <x:c r="H3778" s="15" t="n">
        <x:v>357</x:v>
      </x:c>
      <x:c r="I3778" s="9" t="str">
        <x:v>P06</x:v>
      </x:c>
      <x:c r="J3778" s="11" t="n">
        <x:v>46315.4</x:v>
      </x:c>
      <x:c r="K3778" s="15" t="n">
        <x:v>4</x:v>
      </x:c>
      <x:c r="L3778" s="15" t="n">
        <x:v>18</x:v>
      </x:c>
      <x:c r="M3778" s="13" t="n">
        <x:f>J3778+(K3778+L3778)/1440</x:f>
        <x:v>46315.41527777778</x:v>
      </x:c>
      <x:c r="N3778" s="13" t="n">
        <x:f>VLOOKUP(C3778,'MES orders'!$A$8:$H$127,5,FALSE)</x:f>
        <x:v>46311.666666666664</x:v>
      </x:c>
      <x:c r="O3778" s="16" t="n">
        <x:f>MAX(0,(M3778-N3778)*24)</x:f>
        <x:v>89.96666666673264</x:v>
      </x:c>
      <x:c r="P3778" s="9" t="str">
        <x:v>No</x:v>
      </x:c>
      <x:c r="Q3778" s="15" t="n">
        <x:v>22</x:v>
      </x:c>
      <x:c r="R3778" s="13" t="n">
        <x:f>J3778+Q3778/1440</x:f>
        <x:v>46315.41527777778</x:v>
      </x:c>
      <x:c r="S3778" s="2" t="str">
        <x:f>VLOOKUP(C3778,'MES orders'!$A$8:$H$127,6,FALSE)</x:f>
        <x:v>Normal</x:v>
      </x:c>
      <x:c r="T3778" s="9" t="str"/>
    </x:row>
    <x:row r="3779" ht="22" customHeight="1">
      <x:c r="A3779" s="2" t="str">
        <x:v>L00518-050</x:v>
      </x:c>
      <x:c r="B3779" s="2" t="str">
        <x:v>L00518</x:v>
      </x:c>
      <x:c r="C3779" s="2" t="str">
        <x:v>SO-26104</x:v>
      </x:c>
      <x:c r="D3779" s="2" t="str">
        <x:v>D-C-SS</x:v>
      </x:c>
      <x:c r="E3779" s="14" t="n">
        <x:v>15</x:v>
      </x:c>
      <x:c r="F3779" s="2" t="str">
        <x:v>Final leak / function test</x:v>
      </x:c>
      <x:c r="G3779" s="9" t="str">
        <x:v>QA-01</x:v>
      </x:c>
      <x:c r="H3779" s="15" t="n">
        <x:v>140</x:v>
      </x:c>
      <x:c r="I3779" s="9" t="str">
        <x:v>P11</x:v>
      </x:c>
      <x:c r="J3779" s="11" t="n">
        <x:v>46315.4</x:v>
      </x:c>
      <x:c r="K3779" s="15" t="n">
        <x:v>10</x:v>
      </x:c>
      <x:c r="L3779" s="15" t="n">
        <x:v>11</x:v>
      </x:c>
      <x:c r="M3779" s="13" t="n">
        <x:f>J3779+(K3779+L3779)/1440</x:f>
        <x:v>46315.41458333333</x:v>
      </x:c>
      <x:c r="N3779" s="13" t="n">
        <x:f>VLOOKUP(C3779,'MES orders'!$A$8:$H$127,5,FALSE)</x:f>
        <x:v>46311.666666666664</x:v>
      </x:c>
      <x:c r="O3779" s="16" t="n">
        <x:f>MAX(0,(M3779-N3779)*24)</x:f>
        <x:v>89.95000000001164</x:v>
      </x:c>
      <x:c r="P3779" s="9" t="str">
        <x:v>No</x:v>
      </x:c>
      <x:c r="Q3779" s="15" t="n">
        <x:v>21</x:v>
      </x:c>
      <x:c r="R3779" s="13" t="n">
        <x:f>J3779+Q3779/1440</x:f>
        <x:v>46315.41458333333</x:v>
      </x:c>
      <x:c r="S3779" s="2" t="str">
        <x:f>VLOOKUP(C3779,'MES orders'!$A$8:$H$127,6,FALSE)</x:f>
        <x:v>Normal</x:v>
      </x:c>
      <x:c r="T3779" s="9" t="str"/>
    </x:row>
    <x:row r="3780" ht="22" customHeight="1">
      <x:c r="A3780" s="2" t="str">
        <x:v>L00520-030</x:v>
      </x:c>
      <x:c r="B3780" s="2" t="str">
        <x:v>L00520</x:v>
      </x:c>
      <x:c r="C3780" s="2" t="str">
        <x:v>SO-26104</x:v>
      </x:c>
      <x:c r="D3780" s="2" t="str">
        <x:v>D-C-SS</x:v>
      </x:c>
      <x:c r="E3780" s="14" t="n">
        <x:v>15</x:v>
      </x:c>
      <x:c r="F3780" s="2" t="str">
        <x:v>Wash &amp; dry</x:v>
      </x:c>
      <x:c r="G3780" s="9" t="str">
        <x:v>WS-01</x:v>
      </x:c>
      <x:c r="H3780" s="15" t="n">
        <x:v>349</x:v>
      </x:c>
      <x:c r="I3780" s="9" t="str">
        <x:v>P05</x:v>
      </x:c>
      <x:c r="J3780" s="11" t="n">
        <x:v>46315.4</x:v>
      </x:c>
      <x:c r="K3780" s="15" t="n">
        <x:v>12</x:v>
      </x:c>
      <x:c r="L3780" s="15" t="n">
        <x:v>4</x:v>
      </x:c>
      <x:c r="M3780" s="13" t="n">
        <x:f>J3780+(K3780+L3780)/1440</x:f>
        <x:v>46315.41111111111</x:v>
      </x:c>
      <x:c r="N3780" s="13" t="n">
        <x:f>VLOOKUP(C3780,'MES orders'!$A$8:$H$127,5,FALSE)</x:f>
        <x:v>46311.666666666664</x:v>
      </x:c>
      <x:c r="O3780" s="16" t="n">
        <x:f>MAX(0,(M3780-N3780)*24)</x:f>
        <x:v>89.86666666675592</x:v>
      </x:c>
      <x:c r="P3780" s="9" t="str">
        <x:v>No</x:v>
      </x:c>
      <x:c r="Q3780" s="15" t="n">
        <x:v>16</x:v>
      </x:c>
      <x:c r="R3780" s="13" t="n">
        <x:f>J3780+Q3780/1440</x:f>
        <x:v>46315.41111111111</x:v>
      </x:c>
      <x:c r="S3780" s="2" t="str">
        <x:f>VLOOKUP(C3780,'MES orders'!$A$8:$H$127,6,FALSE)</x:f>
        <x:v>Normal</x:v>
      </x:c>
      <x:c r="T3780" s="9" t="str"/>
    </x:row>
    <x:row r="3781" ht="22" customHeight="1">
      <x:c r="A3781" s="2" t="str">
        <x:v>L00477-070</x:v>
      </x:c>
      <x:c r="B3781" s="2" t="str">
        <x:v>L00477</x:v>
      </x:c>
      <x:c r="C3781" s="2" t="str">
        <x:v>SO-26096</x:v>
      </x:c>
      <x:c r="D3781" s="2" t="str">
        <x:v>S-L-SS</x:v>
      </x:c>
      <x:c r="E3781" s="14" t="n">
        <x:v>20</x:v>
      </x:c>
      <x:c r="F3781" s="2" t="str">
        <x:v>Final assembly</x:v>
      </x:c>
      <x:c r="G3781" s="9" t="str">
        <x:v>AS-01</x:v>
      </x:c>
      <x:c r="H3781" s="15" t="n">
        <x:v>308</x:v>
      </x:c>
      <x:c r="I3781" s="9" t="str">
        <x:v>P05</x:v>
      </x:c>
      <x:c r="J3781" s="11" t="n">
        <x:v>46315.4375</x:v>
      </x:c>
      <x:c r="K3781" s="15" t="n">
        <x:v>5</x:v>
      </x:c>
      <x:c r="L3781" s="15" t="n">
        <x:v>22</x:v>
      </x:c>
      <x:c r="M3781" s="13" t="n">
        <x:f>J3781+(K3781+L3781)/1440</x:f>
        <x:v>46315.45625</x:v>
      </x:c>
      <x:c r="N3781" s="13" t="n">
        <x:f>VLOOKUP(C3781,'MES orders'!$A$8:$H$127,5,FALSE)</x:f>
        <x:v>46311.666666666664</x:v>
      </x:c>
      <x:c r="O3781" s="16" t="n">
        <x:f>MAX(0,(M3781-N3781)*24)</x:f>
        <x:v>90.95000000012806</x:v>
      </x:c>
      <x:c r="P3781" s="9" t="str">
        <x:v>No</x:v>
      </x:c>
      <x:c r="Q3781" s="15" t="n">
        <x:v>27</x:v>
      </x:c>
      <x:c r="R3781" s="13" t="n">
        <x:f>J3781+Q3781/1440</x:f>
        <x:v>46315.45625</x:v>
      </x:c>
      <x:c r="S3781" s="2" t="str">
        <x:f>VLOOKUP(C3781,'MES orders'!$A$8:$H$127,6,FALSE)</x:f>
        <x:v>Normal</x:v>
      </x:c>
      <x:c r="T3781" s="9" t="str"/>
    </x:row>
    <x:row r="3782" ht="22" customHeight="1">
      <x:c r="A3782" s="2" t="str">
        <x:v>L00520-040</x:v>
      </x:c>
      <x:c r="B3782" s="2" t="str">
        <x:v>L00520</x:v>
      </x:c>
      <x:c r="C3782" s="2" t="str">
        <x:v>SO-26104</x:v>
      </x:c>
      <x:c r="D3782" s="2" t="str">
        <x:v>D-C-SS</x:v>
      </x:c>
      <x:c r="E3782" s="14" t="n">
        <x:v>15</x:v>
      </x:c>
      <x:c r="F3782" s="2" t="str">
        <x:v>Mechanical assembly</x:v>
      </x:c>
      <x:c r="G3782" s="9" t="str">
        <x:v>AS-02</x:v>
      </x:c>
      <x:c r="H3782" s="15" t="n">
        <x:v>250</x:v>
      </x:c>
      <x:c r="I3782" s="9" t="str">
        <x:v>P04</x:v>
      </x:c>
      <x:c r="J3782" s="11" t="n">
        <x:v>46315.4375</x:v>
      </x:c>
      <x:c r="K3782" s="15" t="n">
        <x:v>8</x:v>
      </x:c>
      <x:c r="L3782" s="15" t="n">
        <x:v>22</x:v>
      </x:c>
      <x:c r="M3782" s="13" t="n">
        <x:f>J3782+(K3782+L3782)/1440</x:f>
        <x:v>46315.458333333336</x:v>
      </x:c>
      <x:c r="N3782" s="13" t="n">
        <x:f>VLOOKUP(C3782,'MES orders'!$A$8:$H$127,5,FALSE)</x:f>
        <x:v>46311.666666666664</x:v>
      </x:c>
      <x:c r="O3782" s="16" t="n">
        <x:f>MAX(0,(M3782-N3782)*24)</x:f>
        <x:v>91.00000000011642</x:v>
      </x:c>
      <x:c r="P3782" s="9" t="str">
        <x:v>No</x:v>
      </x:c>
      <x:c r="Q3782" s="15" t="n">
        <x:v>30</x:v>
      </x:c>
      <x:c r="R3782" s="13" t="n">
        <x:f>J3782+Q3782/1440</x:f>
        <x:v>46315.458333333336</x:v>
      </x:c>
      <x:c r="S3782" s="2" t="str">
        <x:f>VLOOKUP(C3782,'MES orders'!$A$8:$H$127,6,FALSE)</x:f>
        <x:v>Normal</x:v>
      </x:c>
      <x:c r="T3782" s="9" t="str"/>
    </x:row>
    <x:row r="3783" ht="22" customHeight="1">
      <x:c r="A3783" s="2" t="str">
        <x:v>L00478-060</x:v>
      </x:c>
      <x:c r="B3783" s="2" t="str">
        <x:v>L00478</x:v>
      </x:c>
      <x:c r="C3783" s="2" t="str">
        <x:v>SO-26096</x:v>
      </x:c>
      <x:c r="D3783" s="2" t="str">
        <x:v>S-L-SS</x:v>
      </x:c>
      <x:c r="E3783" s="14" t="n">
        <x:v>20</x:v>
      </x:c>
      <x:c r="F3783" s="2" t="str">
        <x:v>Sensor calibration</x:v>
      </x:c>
      <x:c r="G3783" s="9" t="str">
        <x:v>CAL-01</x:v>
      </x:c>
      <x:c r="H3783" s="15" t="n">
        <x:v>198</x:v>
      </x:c>
      <x:c r="I3783" s="9" t="str">
        <x:v>P09</x:v>
      </x:c>
      <x:c r="J3783" s="11" t="n">
        <x:v>46315.4375</x:v>
      </x:c>
      <x:c r="K3783" s="15" t="n">
        <x:v>10</x:v>
      </x:c>
      <x:c r="L3783" s="15" t="n">
        <x:v>35</x:v>
      </x:c>
      <x:c r="M3783" s="13" t="n">
        <x:f>J3783+(K3783+L3783)/1440</x:f>
        <x:v>46315.46875</x:v>
      </x:c>
      <x:c r="N3783" s="13" t="n">
        <x:f>VLOOKUP(C3783,'MES orders'!$A$8:$H$127,5,FALSE)</x:f>
        <x:v>46311.666666666664</x:v>
      </x:c>
      <x:c r="O3783" s="16" t="n">
        <x:f>MAX(0,(M3783-N3783)*24)</x:f>
        <x:v>91.25000000005821</x:v>
      </x:c>
      <x:c r="P3783" s="9" t="str">
        <x:v>No</x:v>
      </x:c>
      <x:c r="Q3783" s="15" t="n">
        <x:v>45</x:v>
      </x:c>
      <x:c r="R3783" s="13" t="n">
        <x:f>J3783+Q3783/1440</x:f>
        <x:v>46315.46875</x:v>
      </x:c>
      <x:c r="S3783" s="2" t="str">
        <x:f>VLOOKUP(C3783,'MES orders'!$A$8:$H$127,6,FALSE)</x:f>
        <x:v>Normal</x:v>
      </x:c>
      <x:c r="T3783" s="9" t="str"/>
    </x:row>
    <x:row r="3784" ht="22" customHeight="1">
      <x:c r="A3784" s="2" t="str">
        <x:v>L00519-050</x:v>
      </x:c>
      <x:c r="B3784" s="2" t="str">
        <x:v>L00519</x:v>
      </x:c>
      <x:c r="C3784" s="2" t="str">
        <x:v>SO-26104</x:v>
      </x:c>
      <x:c r="D3784" s="2" t="str">
        <x:v>D-C-SS</x:v>
      </x:c>
      <x:c r="E3784" s="14" t="n">
        <x:v>15</x:v>
      </x:c>
      <x:c r="F3784" s="2" t="str">
        <x:v>Final leak / function test</x:v>
      </x:c>
      <x:c r="G3784" s="9" t="str">
        <x:v>QA-01</x:v>
      </x:c>
      <x:c r="H3784" s="15" t="n">
        <x:v>141</x:v>
      </x:c>
      <x:c r="I3784" s="9" t="str">
        <x:v>P12</x:v>
      </x:c>
      <x:c r="J3784" s="11" t="n">
        <x:v>46315.4375</x:v>
      </x:c>
      <x:c r="K3784" s="15" t="n">
        <x:v>10</x:v>
      </x:c>
      <x:c r="L3784" s="15" t="n">
        <x:v>11</x:v>
      </x:c>
      <x:c r="M3784" s="13" t="n">
        <x:f>J3784+(K3784+L3784)/1440</x:f>
        <x:v>46315.45208333333</x:v>
      </x:c>
      <x:c r="N3784" s="13" t="n">
        <x:f>VLOOKUP(C3784,'MES orders'!$A$8:$H$127,5,FALSE)</x:f>
        <x:v>46311.666666666664</x:v>
      </x:c>
      <x:c r="O3784" s="16" t="n">
        <x:f>MAX(0,(M3784-N3784)*24)</x:f>
        <x:v>90.84999999997672</x:v>
      </x:c>
      <x:c r="P3784" s="9" t="str">
        <x:v>No</x:v>
      </x:c>
      <x:c r="Q3784" s="15" t="n">
        <x:v>21</x:v>
      </x:c>
      <x:c r="R3784" s="13" t="n">
        <x:f>J3784+Q3784/1440</x:f>
        <x:v>46315.45208333333</x:v>
      </x:c>
      <x:c r="S3784" s="2" t="str">
        <x:f>VLOOKUP(C3784,'MES orders'!$A$8:$H$127,6,FALSE)</x:f>
        <x:v>Normal</x:v>
      </x:c>
      <x:c r="T3784" s="9" t="str"/>
    </x:row>
    <x:row r="3785" ht="22" customHeight="1">
      <x:c r="A3785" s="2" t="str">
        <x:v>L00476-080</x:v>
      </x:c>
      <x:c r="B3785" s="2" t="str">
        <x:v>L00476</x:v>
      </x:c>
      <x:c r="C3785" s="2" t="str">
        <x:v>SO-26096</x:v>
      </x:c>
      <x:c r="D3785" s="2" t="str">
        <x:v>S-L-SS</x:v>
      </x:c>
      <x:c r="E3785" s="14" t="n">
        <x:v>20</x:v>
      </x:c>
      <x:c r="F3785" s="2" t="str">
        <x:v>Final leak / function test</x:v>
      </x:c>
      <x:c r="G3785" s="9" t="str">
        <x:v>QA-02</x:v>
      </x:c>
      <x:c r="H3785" s="15" t="n">
        <x:v>288</x:v>
      </x:c>
      <x:c r="I3785" s="9" t="str">
        <x:v>P11</x:v>
      </x:c>
      <x:c r="J3785" s="11" t="n">
        <x:v>46315.4375</x:v>
      </x:c>
      <x:c r="K3785" s="15" t="n">
        <x:v>10</x:v>
      </x:c>
      <x:c r="L3785" s="15" t="n">
        <x:v>24</x:v>
      </x:c>
      <x:c r="M3785" s="13" t="n">
        <x:f>J3785+(K3785+L3785)/1440</x:f>
        <x:v>46315.46111111111</x:v>
      </x:c>
      <x:c r="N3785" s="13" t="n">
        <x:f>VLOOKUP(C3785,'MES orders'!$A$8:$H$127,5,FALSE)</x:f>
        <x:v>46311.666666666664</x:v>
      </x:c>
      <x:c r="O3785" s="16" t="n">
        <x:f>MAX(0,(M3785-N3785)*24)</x:f>
        <x:v>91.06666666665114</x:v>
      </x:c>
      <x:c r="P3785" s="9" t="str">
        <x:v>No</x:v>
      </x:c>
      <x:c r="Q3785" s="15" t="n">
        <x:v>34</x:v>
      </x:c>
      <x:c r="R3785" s="13" t="n">
        <x:f>J3785+Q3785/1440</x:f>
        <x:v>46315.46111111111</x:v>
      </x:c>
      <x:c r="S3785" s="2" t="str">
        <x:f>VLOOKUP(C3785,'MES orders'!$A$8:$H$127,6,FALSE)</x:f>
        <x:v>Normal</x:v>
      </x:c>
      <x:c r="T3785" s="9" t="str"/>
    </x:row>
    <x:row r="3786" ht="22" customHeight="1">
      <x:c r="A3786" s="2" t="str">
        <x:v>L00556-030</x:v>
      </x:c>
      <x:c r="B3786" s="2" t="str">
        <x:v>L00556</x:v>
      </x:c>
      <x:c r="C3786" s="2" t="str">
        <x:v>SO-26112</x:v>
      </x:c>
      <x:c r="D3786" s="2" t="str">
        <x:v>D-S-SS</x:v>
      </x:c>
      <x:c r="E3786" s="14" t="n">
        <x:v>25</x:v>
      </x:c>
      <x:c r="F3786" s="2" t="str">
        <x:v>Wash &amp; dry</x:v>
      </x:c>
      <x:c r="G3786" s="9" t="str">
        <x:v>WS-01</x:v>
      </x:c>
      <x:c r="H3786" s="15" t="n">
        <x:v>350</x:v>
      </x:c>
      <x:c r="I3786" s="9" t="str">
        <x:v>P06</x:v>
      </x:c>
      <x:c r="J3786" s="11" t="n">
        <x:v>46315.4375</x:v>
      </x:c>
      <x:c r="K3786" s="15" t="n">
        <x:v>12</x:v>
      </x:c>
      <x:c r="L3786" s="15" t="n">
        <x:v>9</x:v>
      </x:c>
      <x:c r="M3786" s="13" t="n">
        <x:f>J3786+(K3786+L3786)/1440</x:f>
        <x:v>46315.45208333333</x:v>
      </x:c>
      <x:c r="N3786" s="13" t="n">
        <x:f>VLOOKUP(C3786,'MES orders'!$A$8:$H$127,5,FALSE)</x:f>
        <x:v>46311.666666666664</x:v>
      </x:c>
      <x:c r="O3786" s="16" t="n">
        <x:f>MAX(0,(M3786-N3786)*24)</x:f>
        <x:v>90.84999999997672</x:v>
      </x:c>
      <x:c r="P3786" s="9" t="str">
        <x:v>No</x:v>
      </x:c>
      <x:c r="Q3786" s="15" t="n">
        <x:v>21</x:v>
      </x:c>
      <x:c r="R3786" s="13" t="n">
        <x:f>J3786+Q3786/1440</x:f>
        <x:v>46315.45208333333</x:v>
      </x:c>
      <x:c r="S3786" s="2" t="str">
        <x:f>VLOOKUP(C3786,'MES orders'!$A$8:$H$127,6,FALSE)</x:f>
        <x:v>Normal</x:v>
      </x:c>
      <x:c r="T3786" s="9" t="str"/>
    </x:row>
    <x:row r="3787" ht="22" customHeight="1">
      <x:c r="A3787" s="2" t="str">
        <x:v>L00560-030</x:v>
      </x:c>
      <x:c r="B3787" s="2" t="str">
        <x:v>L00560</x:v>
      </x:c>
      <x:c r="C3787" s="2" t="str">
        <x:v>SO-26112</x:v>
      </x:c>
      <x:c r="D3787" s="2" t="str">
        <x:v>D-S-SS</x:v>
      </x:c>
      <x:c r="E3787" s="14" t="n">
        <x:v>25</x:v>
      </x:c>
      <x:c r="F3787" s="2" t="str">
        <x:v>Wash &amp; dry</x:v>
      </x:c>
      <x:c r="G3787" s="9" t="str">
        <x:v>WS-02</x:v>
      </x:c>
      <x:c r="H3787" s="15" t="n">
        <x:v>250</x:v>
      </x:c>
      <x:c r="I3787" s="9" t="str">
        <x:v>P01</x:v>
      </x:c>
      <x:c r="J3787" s="11" t="n">
        <x:v>46315.4375</x:v>
      </x:c>
      <x:c r="K3787" s="15" t="n">
        <x:v>12</x:v>
      </x:c>
      <x:c r="L3787" s="15" t="n">
        <x:v>9</x:v>
      </x:c>
      <x:c r="M3787" s="13" t="n">
        <x:f>J3787+(K3787+L3787)/1440</x:f>
        <x:v>46315.45208333333</x:v>
      </x:c>
      <x:c r="N3787" s="13" t="n">
        <x:f>VLOOKUP(C3787,'MES orders'!$A$8:$H$127,5,FALSE)</x:f>
        <x:v>46311.666666666664</x:v>
      </x:c>
      <x:c r="O3787" s="16" t="n">
        <x:f>MAX(0,(M3787-N3787)*24)</x:f>
        <x:v>90.84999999997672</x:v>
      </x:c>
      <x:c r="P3787" s="9" t="str">
        <x:v>No</x:v>
      </x:c>
      <x:c r="Q3787" s="15" t="n">
        <x:v>21</x:v>
      </x:c>
      <x:c r="R3787" s="13" t="n">
        <x:f>J3787+Q3787/1440</x:f>
        <x:v>46315.45208333333</x:v>
      </x:c>
      <x:c r="S3787" s="2" t="str">
        <x:f>VLOOKUP(C3787,'MES orders'!$A$8:$H$127,6,FALSE)</x:f>
        <x:v>Normal</x:v>
      </x:c>
      <x:c r="T3787" s="9" t="str"/>
    </x:row>
    <x:row r="3788" ht="22" customHeight="1">
      <x:c r="A3788" s="2" t="str">
        <x:v>L00556-040</x:v>
      </x:c>
      <x:c r="B3788" s="2" t="str">
        <x:v>L00556</x:v>
      </x:c>
      <x:c r="C3788" s="2" t="str">
        <x:v>SO-26112</x:v>
      </x:c>
      <x:c r="D3788" s="2" t="str">
        <x:v>D-S-SS</x:v>
      </x:c>
      <x:c r="E3788" s="14" t="n">
        <x:v>25</x:v>
      </x:c>
      <x:c r="F3788" s="2" t="str">
        <x:v>Mechanical assembly</x:v>
      </x:c>
      <x:c r="G3788" s="9" t="str">
        <x:v>AS-03</x:v>
      </x:c>
      <x:c r="H3788" s="15" t="n">
        <x:v>203</x:v>
      </x:c>
      <x:c r="I3788" s="9" t="str">
        <x:v>P06</x:v>
      </x:c>
      <x:c r="J3788" s="11" t="n">
        <x:v>46315.45208333333</x:v>
      </x:c>
      <x:c r="K3788" s="15" t="n">
        <x:v>8</x:v>
      </x:c>
      <x:c r="L3788" s="15" t="n">
        <x:v>45</x:v>
      </x:c>
      <x:c r="M3788" s="13" t="n">
        <x:f>J3788+(K3788+L3788)/1440</x:f>
        <x:v>46315.48888888889</x:v>
      </x:c>
      <x:c r="N3788" s="13" t="n">
        <x:f>VLOOKUP(C3788,'MES orders'!$A$8:$H$127,5,FALSE)</x:f>
        <x:v>46311.666666666664</x:v>
      </x:c>
      <x:c r="O3788" s="16" t="n">
        <x:f>MAX(0,(M3788-N3788)*24)</x:f>
        <x:v>91.73333333339542</x:v>
      </x:c>
      <x:c r="P3788" s="9" t="str">
        <x:v>No</x:v>
      </x:c>
      <x:c r="Q3788" s="15" t="n">
        <x:v>53</x:v>
      </x:c>
      <x:c r="R3788" s="13" t="n">
        <x:f>J3788+Q3788/1440</x:f>
        <x:v>46315.48888888889</x:v>
      </x:c>
      <x:c r="S3788" s="2" t="str">
        <x:f>VLOOKUP(C3788,'MES orders'!$A$8:$H$127,6,FALSE)</x:f>
        <x:v>Normal</x:v>
      </x:c>
      <x:c r="T3788" s="9" t="str"/>
    </x:row>
    <x:row r="3789" ht="22" customHeight="1">
      <x:c r="A3789" s="2" t="str">
        <x:v>L00477-080</x:v>
      </x:c>
      <x:c r="B3789" s="2" t="str">
        <x:v>L00477</x:v>
      </x:c>
      <x:c r="C3789" s="2" t="str">
        <x:v>SO-26096</x:v>
      </x:c>
      <x:c r="D3789" s="2" t="str">
        <x:v>S-L-SS</x:v>
      </x:c>
      <x:c r="E3789" s="14" t="n">
        <x:v>20</x:v>
      </x:c>
      <x:c r="F3789" s="2" t="str">
        <x:v>Final leak / function test</x:v>
      </x:c>
      <x:c r="G3789" s="9" t="str">
        <x:v>QA-03</x:v>
      </x:c>
      <x:c r="H3789" s="15" t="n">
        <x:v>162</x:v>
      </x:c>
      <x:c r="I3789" s="9" t="str">
        <x:v>P12</x:v>
      </x:c>
      <x:c r="J3789" s="11" t="n">
        <x:v>46315.45625</x:v>
      </x:c>
      <x:c r="K3789" s="15" t="n">
        <x:v>10</x:v>
      </x:c>
      <x:c r="L3789" s="15" t="n">
        <x:v>24</x:v>
      </x:c>
      <x:c r="M3789" s="13" t="n">
        <x:f>J3789+(K3789+L3789)/1440</x:f>
        <x:v>46315.47986111111</x:v>
      </x:c>
      <x:c r="N3789" s="13" t="n">
        <x:f>VLOOKUP(C3789,'MES orders'!$A$8:$H$127,5,FALSE)</x:f>
        <x:v>46311.666666666664</x:v>
      </x:c>
      <x:c r="O3789" s="16" t="n">
        <x:f>MAX(0,(M3789-N3789)*24)</x:f>
        <x:v>91.516666666721</x:v>
      </x:c>
      <x:c r="P3789" s="9" t="str">
        <x:v>No</x:v>
      </x:c>
      <x:c r="Q3789" s="15" t="n">
        <x:v>34</x:v>
      </x:c>
      <x:c r="R3789" s="13" t="n">
        <x:f>J3789+Q3789/1440</x:f>
        <x:v>46315.47986111111</x:v>
      </x:c>
      <x:c r="S3789" s="2" t="str">
        <x:f>VLOOKUP(C3789,'MES orders'!$A$8:$H$127,6,FALSE)</x:f>
        <x:v>Normal</x:v>
      </x:c>
      <x:c r="T3789" s="9" t="str"/>
    </x:row>
    <x:row r="3790" ht="22" customHeight="1">
      <x:c r="A3790" s="2" t="str">
        <x:v>L00557-040</x:v>
      </x:c>
      <x:c r="B3790" s="2" t="str">
        <x:v>L00557</x:v>
      </x:c>
      <x:c r="C3790" s="2" t="str">
        <x:v>SO-26112</x:v>
      </x:c>
      <x:c r="D3790" s="2" t="str">
        <x:v>D-S-SS</x:v>
      </x:c>
      <x:c r="E3790" s="14" t="n">
        <x:v>25</x:v>
      </x:c>
      <x:c r="F3790" s="2" t="str">
        <x:v>Mechanical assembly</x:v>
      </x:c>
      <x:c r="G3790" s="9" t="str">
        <x:v>AS-02</x:v>
      </x:c>
      <x:c r="H3790" s="15" t="n">
        <x:v>251</x:v>
      </x:c>
      <x:c r="I3790" s="9" t="str">
        <x:v>P04</x:v>
      </x:c>
      <x:c r="J3790" s="11" t="n">
        <x:v>46315.458333333336</x:v>
      </x:c>
      <x:c r="K3790" s="15" t="n">
        <x:v>8</x:v>
      </x:c>
      <x:c r="L3790" s="15" t="n">
        <x:v>45</x:v>
      </x:c>
      <x:c r="M3790" s="13" t="n">
        <x:f>J3790+(K3790+L3790)/1440</x:f>
        <x:v>46315.495138888895</x:v>
      </x:c>
      <x:c r="N3790" s="13" t="n">
        <x:f>VLOOKUP(C3790,'MES orders'!$A$8:$H$127,5,FALSE)</x:f>
        <x:v>46311.666666666664</x:v>
      </x:c>
      <x:c r="O3790" s="16" t="n">
        <x:f>MAX(0,(M3790-N3790)*24)</x:f>
        <x:v>91.88333333353512</x:v>
      </x:c>
      <x:c r="P3790" s="9" t="str">
        <x:v>No</x:v>
      </x:c>
      <x:c r="Q3790" s="15" t="n">
        <x:v>53</x:v>
      </x:c>
      <x:c r="R3790" s="13" t="n">
        <x:f>J3790+Q3790/1440</x:f>
        <x:v>46315.495138888895</x:v>
      </x:c>
      <x:c r="S3790" s="2" t="str">
        <x:f>VLOOKUP(C3790,'MES orders'!$A$8:$H$127,6,FALSE)</x:f>
        <x:v>Normal</x:v>
      </x:c>
      <x:c r="T3790" s="9" t="str"/>
    </x:row>
    <x:row r="3791" ht="22" customHeight="1">
      <x:c r="A3791" s="2" t="str">
        <x:v>L00520-050</x:v>
      </x:c>
      <x:c r="B3791" s="2" t="str">
        <x:v>L00520</x:v>
      </x:c>
      <x:c r="C3791" s="2" t="str">
        <x:v>SO-26104</x:v>
      </x:c>
      <x:c r="D3791" s="2" t="str">
        <x:v>D-C-SS</x:v>
      </x:c>
      <x:c r="E3791" s="14" t="n">
        <x:v>15</x:v>
      </x:c>
      <x:c r="F3791" s="2" t="str">
        <x:v>Final leak / function test</x:v>
      </x:c>
      <x:c r="G3791" s="9" t="str">
        <x:v>QA-01</x:v>
      </x:c>
      <x:c r="H3791" s="15" t="n">
        <x:v>142</x:v>
      </x:c>
      <x:c r="I3791" s="9" t="str">
        <x:v>P11</x:v>
      </x:c>
      <x:c r="J3791" s="11" t="n">
        <x:v>46315.46111111111</x:v>
      </x:c>
      <x:c r="K3791" s="15" t="n">
        <x:v>10</x:v>
      </x:c>
      <x:c r="L3791" s="15" t="n">
        <x:v>11</x:v>
      </x:c>
      <x:c r="M3791" s="13" t="n">
        <x:f>J3791+(K3791+L3791)/1440</x:f>
        <x:v>46315.47569444444</x:v>
      </x:c>
      <x:c r="N3791" s="13" t="n">
        <x:f>VLOOKUP(C3791,'MES orders'!$A$8:$H$127,5,FALSE)</x:f>
        <x:v>46311.666666666664</x:v>
      </x:c>
      <x:c r="O3791" s="16" t="n">
        <x:f>MAX(0,(M3791-N3791)*24)</x:f>
        <x:v>91.41666666656965</x:v>
      </x:c>
      <x:c r="P3791" s="9" t="str">
        <x:v>No</x:v>
      </x:c>
      <x:c r="Q3791" s="15" t="n">
        <x:v>21</x:v>
      </x:c>
      <x:c r="R3791" s="13" t="n">
        <x:f>J3791+Q3791/1440</x:f>
        <x:v>46315.47569444444</x:v>
      </x:c>
      <x:c r="S3791" s="2" t="str">
        <x:f>VLOOKUP(C3791,'MES orders'!$A$8:$H$127,6,FALSE)</x:f>
        <x:v>Normal</x:v>
      </x:c>
      <x:c r="T3791" s="9" t="str"/>
    </x:row>
    <x:row r="3792" ht="22" customHeight="1">
      <x:c r="A3792" s="2" t="str">
        <x:v>L00478-070</x:v>
      </x:c>
      <x:c r="B3792" s="2" t="str">
        <x:v>L00478</x:v>
      </x:c>
      <x:c r="C3792" s="2" t="str">
        <x:v>SO-26096</x:v>
      </x:c>
      <x:c r="D3792" s="2" t="str">
        <x:v>S-L-SS</x:v>
      </x:c>
      <x:c r="E3792" s="14" t="n">
        <x:v>20</x:v>
      </x:c>
      <x:c r="F3792" s="2" t="str">
        <x:v>Final assembly</x:v>
      </x:c>
      <x:c r="G3792" s="9" t="str">
        <x:v>AS-01</x:v>
      </x:c>
      <x:c r="H3792" s="15" t="n">
        <x:v>309</x:v>
      </x:c>
      <x:c r="I3792" s="9" t="str">
        <x:v>P05</x:v>
      </x:c>
      <x:c r="J3792" s="11" t="n">
        <x:v>46315.46875</x:v>
      </x:c>
      <x:c r="K3792" s="15" t="n">
        <x:v>5</x:v>
      </x:c>
      <x:c r="L3792" s="15" t="n">
        <x:v>22</x:v>
      </x:c>
      <x:c r="M3792" s="13" t="n">
        <x:f>J3792+(K3792+L3792)/1440</x:f>
        <x:v>46315.4875</x:v>
      </x:c>
      <x:c r="N3792" s="13" t="n">
        <x:f>VLOOKUP(C3792,'MES orders'!$A$8:$H$127,5,FALSE)</x:f>
        <x:v>46311.666666666664</x:v>
      </x:c>
      <x:c r="O3792" s="16" t="n">
        <x:f>MAX(0,(M3792-N3792)*24)</x:f>
        <x:v>91.70000000012806</x:v>
      </x:c>
      <x:c r="P3792" s="9" t="str">
        <x:v>No</x:v>
      </x:c>
      <x:c r="Q3792" s="15" t="n">
        <x:v>27</x:v>
      </x:c>
      <x:c r="R3792" s="13" t="n">
        <x:f>J3792+Q3792/1440</x:f>
        <x:v>46315.4875</x:v>
      </x:c>
      <x:c r="S3792" s="2" t="str">
        <x:f>VLOOKUP(C3792,'MES orders'!$A$8:$H$127,6,FALSE)</x:f>
        <x:v>Normal</x:v>
      </x:c>
      <x:c r="T3792" s="9" t="str"/>
    </x:row>
    <x:row r="3793" ht="22" customHeight="1">
      <x:c r="A3793" s="2" t="str">
        <x:v>L00479-060</x:v>
      </x:c>
      <x:c r="B3793" s="2" t="str">
        <x:v>L00479</x:v>
      </x:c>
      <x:c r="C3793" s="2" t="str">
        <x:v>SO-26096</x:v>
      </x:c>
      <x:c r="D3793" s="2" t="str">
        <x:v>S-L-SS</x:v>
      </x:c>
      <x:c r="E3793" s="14" t="n">
        <x:v>20</x:v>
      </x:c>
      <x:c r="F3793" s="2" t="str">
        <x:v>Sensor calibration</x:v>
      </x:c>
      <x:c r="G3793" s="9" t="str">
        <x:v>CAL-01</x:v>
      </x:c>
      <x:c r="H3793" s="15" t="n">
        <x:v>199</x:v>
      </x:c>
      <x:c r="I3793" s="9" t="str">
        <x:v>P09</x:v>
      </x:c>
      <x:c r="J3793" s="11" t="n">
        <x:v>46315.46875</x:v>
      </x:c>
      <x:c r="K3793" s="15" t="n">
        <x:v>10</x:v>
      </x:c>
      <x:c r="L3793" s="15" t="n">
        <x:v>35</x:v>
      </x:c>
      <x:c r="M3793" s="13" t="n">
        <x:f>J3793+(K3793+L3793)/1440</x:f>
        <x:v>46315.5</x:v>
      </x:c>
      <x:c r="N3793" s="13" t="n">
        <x:f>VLOOKUP(C3793,'MES orders'!$A$8:$H$127,5,FALSE)</x:f>
        <x:v>46311.666666666664</x:v>
      </x:c>
      <x:c r="O3793" s="16" t="n">
        <x:f>MAX(0,(M3793-N3793)*24)</x:f>
        <x:v>92.00000000005821</x:v>
      </x:c>
      <x:c r="P3793" s="9" t="str">
        <x:v>No</x:v>
      </x:c>
      <x:c r="Q3793" s="15" t="n">
        <x:v>45</x:v>
      </x:c>
      <x:c r="R3793" s="13" t="n">
        <x:f>J3793+Q3793/1440</x:f>
        <x:v>46315.5</x:v>
      </x:c>
      <x:c r="S3793" s="2" t="str">
        <x:f>VLOOKUP(C3793,'MES orders'!$A$8:$H$127,6,FALSE)</x:f>
        <x:v>Normal</x:v>
      </x:c>
      <x:c r="T3793" s="9" t="str"/>
    </x:row>
    <x:row r="3794" ht="22" customHeight="1">
      <x:c r="A3794" s="2" t="str">
        <x:v>L00478-080</x:v>
      </x:c>
      <x:c r="B3794" s="2" t="str">
        <x:v>L00478</x:v>
      </x:c>
      <x:c r="C3794" s="2" t="str">
        <x:v>SO-26096</x:v>
      </x:c>
      <x:c r="D3794" s="2" t="str">
        <x:v>S-L-SS</x:v>
      </x:c>
      <x:c r="E3794" s="14" t="n">
        <x:v>20</x:v>
      </x:c>
      <x:c r="F3794" s="2" t="str">
        <x:v>Final leak / function test</x:v>
      </x:c>
      <x:c r="G3794" s="9" t="str">
        <x:v>QA-02</x:v>
      </x:c>
      <x:c r="H3794" s="15" t="n">
        <x:v>289</x:v>
      </x:c>
      <x:c r="I3794" s="9" t="str">
        <x:v>P11</x:v>
      </x:c>
      <x:c r="J3794" s="11" t="n">
        <x:v>46315.4875</x:v>
      </x:c>
      <x:c r="K3794" s="15" t="n">
        <x:v>10</x:v>
      </x:c>
      <x:c r="L3794" s="15" t="n">
        <x:v>24</x:v>
      </x:c>
      <x:c r="M3794" s="13" t="n">
        <x:f>J3794+(K3794+L3794)/1440</x:f>
        <x:v>46315.51111111111</x:v>
      </x:c>
      <x:c r="N3794" s="13" t="n">
        <x:f>VLOOKUP(C3794,'MES orders'!$A$8:$H$127,5,FALSE)</x:f>
        <x:v>46311.666666666664</x:v>
      </x:c>
      <x:c r="O3794" s="16" t="n">
        <x:f>MAX(0,(M3794-N3794)*24)</x:f>
        <x:v>92.266666666721</x:v>
      </x:c>
      <x:c r="P3794" s="9" t="str">
        <x:v>No</x:v>
      </x:c>
      <x:c r="Q3794" s="15" t="n">
        <x:v>34</x:v>
      </x:c>
      <x:c r="R3794" s="13" t="n">
        <x:f>J3794+Q3794/1440</x:f>
        <x:v>46315.51111111111</x:v>
      </x:c>
      <x:c r="S3794" s="2" t="str">
        <x:f>VLOOKUP(C3794,'MES orders'!$A$8:$H$127,6,FALSE)</x:f>
        <x:v>Normal</x:v>
      </x:c>
      <x:c r="T3794" s="9" t="str"/>
    </x:row>
    <x:row r="3795" ht="22" customHeight="1">
      <x:c r="A3795" s="2" t="str">
        <x:v>L00558-040</x:v>
      </x:c>
      <x:c r="B3795" s="2" t="str">
        <x:v>L00558</x:v>
      </x:c>
      <x:c r="C3795" s="2" t="str">
        <x:v>SO-26112</x:v>
      </x:c>
      <x:c r="D3795" s="2" t="str">
        <x:v>D-S-SS</x:v>
      </x:c>
      <x:c r="E3795" s="14" t="n">
        <x:v>25</x:v>
      </x:c>
      <x:c r="F3795" s="2" t="str">
        <x:v>Mechanical assembly</x:v>
      </x:c>
      <x:c r="G3795" s="9" t="str">
        <x:v>AS-03</x:v>
      </x:c>
      <x:c r="H3795" s="15" t="n">
        <x:v>204</x:v>
      </x:c>
      <x:c r="I3795" s="9" t="str">
        <x:v>P06</x:v>
      </x:c>
      <x:c r="J3795" s="11" t="n">
        <x:v>46315.48888888889</x:v>
      </x:c>
      <x:c r="K3795" s="15" t="n">
        <x:v>8</x:v>
      </x:c>
      <x:c r="L3795" s="15" t="n">
        <x:v>45</x:v>
      </x:c>
      <x:c r="M3795" s="13" t="n">
        <x:f>J3795+(K3795+L3795)/1440</x:f>
        <x:v>46315.52569444445</x:v>
      </x:c>
      <x:c r="N3795" s="13" t="n">
        <x:f>VLOOKUP(C3795,'MES orders'!$A$8:$H$127,5,FALSE)</x:f>
        <x:v>46311.666666666664</x:v>
      </x:c>
      <x:c r="O3795" s="16" t="n">
        <x:f>MAX(0,(M3795-N3795)*24)</x:f>
        <x:v>92.61666666681413</x:v>
      </x:c>
      <x:c r="P3795" s="9" t="str">
        <x:v>No</x:v>
      </x:c>
      <x:c r="Q3795" s="15" t="n">
        <x:v>53</x:v>
      </x:c>
      <x:c r="R3795" s="13" t="n">
        <x:f>J3795+Q3795/1440</x:f>
        <x:v>46315.52569444445</x:v>
      </x:c>
      <x:c r="S3795" s="2" t="str">
        <x:f>VLOOKUP(C3795,'MES orders'!$A$8:$H$127,6,FALSE)</x:f>
        <x:v>Normal</x:v>
      </x:c>
      <x:c r="T3795" s="9" t="str"/>
    </x:row>
    <x:row r="3796" ht="22" customHeight="1">
      <x:c r="A3796" s="2" t="str">
        <x:v>L00556-050</x:v>
      </x:c>
      <x:c r="B3796" s="2" t="str">
        <x:v>L00556</x:v>
      </x:c>
      <x:c r="C3796" s="2" t="str">
        <x:v>SO-26112</x:v>
      </x:c>
      <x:c r="D3796" s="2" t="str">
        <x:v>D-S-SS</x:v>
      </x:c>
      <x:c r="E3796" s="14" t="n">
        <x:v>25</x:v>
      </x:c>
      <x:c r="F3796" s="2" t="str">
        <x:v>Final leak / function test</x:v>
      </x:c>
      <x:c r="G3796" s="9" t="str">
        <x:v>QA-01</x:v>
      </x:c>
      <x:c r="H3796" s="15" t="n">
        <x:v>143</x:v>
      </x:c>
      <x:c r="I3796" s="9" t="str">
        <x:v>P12</x:v>
      </x:c>
      <x:c r="J3796" s="11" t="n">
        <x:v>46315.48888888889</x:v>
      </x:c>
      <x:c r="K3796" s="15" t="n">
        <x:v>10</x:v>
      </x:c>
      <x:c r="L3796" s="15" t="n">
        <x:v>22</x:v>
      </x:c>
      <x:c r="M3796" s="13" t="n">
        <x:f>J3796+(K3796+L3796)/1440</x:f>
        <x:v>46315.51111111111</x:v>
      </x:c>
      <x:c r="N3796" s="13" t="n">
        <x:f>VLOOKUP(C3796,'MES orders'!$A$8:$H$127,5,FALSE)</x:f>
        <x:v>46311.666666666664</x:v>
      </x:c>
      <x:c r="O3796" s="16" t="n">
        <x:f>MAX(0,(M3796-N3796)*24)</x:f>
        <x:v>92.266666666721</x:v>
      </x:c>
      <x:c r="P3796" s="9" t="str">
        <x:v>No</x:v>
      </x:c>
      <x:c r="Q3796" s="15" t="n">
        <x:v>32</x:v>
      </x:c>
      <x:c r="R3796" s="13" t="n">
        <x:f>J3796+Q3796/1440</x:f>
        <x:v>46315.51111111111</x:v>
      </x:c>
      <x:c r="S3796" s="2" t="str">
        <x:f>VLOOKUP(C3796,'MES orders'!$A$8:$H$127,6,FALSE)</x:f>
        <x:v>Normal</x:v>
      </x:c>
      <x:c r="T3796" s="9" t="str"/>
    </x:row>
    <x:row r="3797" ht="22" customHeight="1">
      <x:c r="A3797" s="2" t="str">
        <x:v>L00559-040</x:v>
      </x:c>
      <x:c r="B3797" s="2" t="str">
        <x:v>L00559</x:v>
      </x:c>
      <x:c r="C3797" s="2" t="str">
        <x:v>SO-26112</x:v>
      </x:c>
      <x:c r="D3797" s="2" t="str">
        <x:v>D-S-SS</x:v>
      </x:c>
      <x:c r="E3797" s="14" t="n">
        <x:v>25</x:v>
      </x:c>
      <x:c r="F3797" s="2" t="str">
        <x:v>Mechanical assembly</x:v>
      </x:c>
      <x:c r="G3797" s="9" t="str">
        <x:v>AS-02</x:v>
      </x:c>
      <x:c r="H3797" s="15" t="n">
        <x:v>252</x:v>
      </x:c>
      <x:c r="I3797" s="9" t="str">
        <x:v>P04</x:v>
      </x:c>
      <x:c r="J3797" s="11" t="n">
        <x:v>46315.49513888889</x:v>
      </x:c>
      <x:c r="K3797" s="15" t="n">
        <x:v>8</x:v>
      </x:c>
      <x:c r="L3797" s="15" t="n">
        <x:v>45</x:v>
      </x:c>
      <x:c r="M3797" s="13" t="n">
        <x:f>J3797+(K3797+L3797)/1440</x:f>
        <x:v>46315.53194444445</x:v>
      </x:c>
      <x:c r="N3797" s="13" t="n">
        <x:f>VLOOKUP(C3797,'MES orders'!$A$8:$H$127,5,FALSE)</x:f>
        <x:v>46311.666666666664</x:v>
      </x:c>
      <x:c r="O3797" s="16" t="n">
        <x:f>MAX(0,(M3797-N3797)*24)</x:f>
        <x:v>92.7666666667792</x:v>
      </x:c>
      <x:c r="P3797" s="9" t="str">
        <x:v>No</x:v>
      </x:c>
      <x:c r="Q3797" s="15" t="n">
        <x:v>53</x:v>
      </x:c>
      <x:c r="R3797" s="13" t="n">
        <x:f>J3797+Q3797/1440</x:f>
        <x:v>46315.53194444445</x:v>
      </x:c>
      <x:c r="S3797" s="2" t="str">
        <x:f>VLOOKUP(C3797,'MES orders'!$A$8:$H$127,6,FALSE)</x:f>
        <x:v>Normal</x:v>
      </x:c>
      <x:c r="T3797" s="9" t="str"/>
    </x:row>
    <x:row r="3798" ht="22" customHeight="1">
      <x:c r="A3798" s="2" t="str">
        <x:v>L00479-070</x:v>
      </x:c>
      <x:c r="B3798" s="2" t="str">
        <x:v>L00479</x:v>
      </x:c>
      <x:c r="C3798" s="2" t="str">
        <x:v>SO-26096</x:v>
      </x:c>
      <x:c r="D3798" s="2" t="str">
        <x:v>S-L-SS</x:v>
      </x:c>
      <x:c r="E3798" s="14" t="n">
        <x:v>20</x:v>
      </x:c>
      <x:c r="F3798" s="2" t="str">
        <x:v>Final assembly</x:v>
      </x:c>
      <x:c r="G3798" s="9" t="str">
        <x:v>AS-01</x:v>
      </x:c>
      <x:c r="H3798" s="15" t="n">
        <x:v>310</x:v>
      </x:c>
      <x:c r="I3798" s="9" t="str">
        <x:v>P05</x:v>
      </x:c>
      <x:c r="J3798" s="11" t="n">
        <x:v>46315.5</x:v>
      </x:c>
      <x:c r="K3798" s="15" t="n">
        <x:v>5</x:v>
      </x:c>
      <x:c r="L3798" s="15" t="n">
        <x:v>22</x:v>
      </x:c>
      <x:c r="M3798" s="13" t="n">
        <x:f>J3798+(K3798+L3798)/1440</x:f>
        <x:v>46315.51875</x:v>
      </x:c>
      <x:c r="N3798" s="13" t="n">
        <x:f>VLOOKUP(C3798,'MES orders'!$A$8:$H$127,5,FALSE)</x:f>
        <x:v>46311.666666666664</x:v>
      </x:c>
      <x:c r="O3798" s="16" t="n">
        <x:f>MAX(0,(M3798-N3798)*24)</x:f>
        <x:v>92.45000000012806</x:v>
      </x:c>
      <x:c r="P3798" s="9" t="str">
        <x:v>No</x:v>
      </x:c>
      <x:c r="Q3798" s="15" t="n">
        <x:v>27</x:v>
      </x:c>
      <x:c r="R3798" s="13" t="n">
        <x:f>J3798+Q3798/1440</x:f>
        <x:v>46315.51875</x:v>
      </x:c>
      <x:c r="S3798" s="2" t="str">
        <x:f>VLOOKUP(C3798,'MES orders'!$A$8:$H$127,6,FALSE)</x:f>
        <x:v>Normal</x:v>
      </x:c>
      <x:c r="T3798" s="9" t="str"/>
    </x:row>
    <x:row r="3799" ht="22" customHeight="1">
      <x:c r="A3799" s="2" t="str">
        <x:v>L00480-060</x:v>
      </x:c>
      <x:c r="B3799" s="2" t="str">
        <x:v>L00480</x:v>
      </x:c>
      <x:c r="C3799" s="2" t="str">
        <x:v>SO-26096</x:v>
      </x:c>
      <x:c r="D3799" s="2" t="str">
        <x:v>S-L-SS</x:v>
      </x:c>
      <x:c r="E3799" s="14" t="n">
        <x:v>20</x:v>
      </x:c>
      <x:c r="F3799" s="2" t="str">
        <x:v>Sensor calibration</x:v>
      </x:c>
      <x:c r="G3799" s="9" t="str">
        <x:v>CAL-01</x:v>
      </x:c>
      <x:c r="H3799" s="15" t="n">
        <x:v>200</x:v>
      </x:c>
      <x:c r="I3799" s="9" t="str">
        <x:v>P09</x:v>
      </x:c>
      <x:c r="J3799" s="11" t="n">
        <x:v>46315.5</x:v>
      </x:c>
      <x:c r="K3799" s="15" t="n">
        <x:v>10</x:v>
      </x:c>
      <x:c r="L3799" s="15" t="n">
        <x:v>35</x:v>
      </x:c>
      <x:c r="M3799" s="13" t="n">
        <x:f>J3799+(K3799+L3799)/1440</x:f>
        <x:v>46315.53125</x:v>
      </x:c>
      <x:c r="N3799" s="13" t="n">
        <x:f>VLOOKUP(C3799,'MES orders'!$A$8:$H$127,5,FALSE)</x:f>
        <x:v>46311.666666666664</x:v>
      </x:c>
      <x:c r="O3799" s="16" t="n">
        <x:f>MAX(0,(M3799-N3799)*24)</x:f>
        <x:v>92.75000000005821</x:v>
      </x:c>
      <x:c r="P3799" s="9" t="str">
        <x:v>No</x:v>
      </x:c>
      <x:c r="Q3799" s="15" t="n">
        <x:v>45</x:v>
      </x:c>
      <x:c r="R3799" s="13" t="n">
        <x:f>J3799+Q3799/1440</x:f>
        <x:v>46315.53125</x:v>
      </x:c>
      <x:c r="S3799" s="2" t="str">
        <x:f>VLOOKUP(C3799,'MES orders'!$A$8:$H$127,6,FALSE)</x:f>
        <x:v>Normal</x:v>
      </x:c>
      <x:c r="T3799" s="9" t="str"/>
    </x:row>
    <x:row r="3800" ht="22" customHeight="1">
      <x:c r="A3800" s="2" t="str">
        <x:v>L00557-050</x:v>
      </x:c>
      <x:c r="B3800" s="2" t="str">
        <x:v>L00557</x:v>
      </x:c>
      <x:c r="C3800" s="2" t="str">
        <x:v>SO-26112</x:v>
      </x:c>
      <x:c r="D3800" s="2" t="str">
        <x:v>D-S-SS</x:v>
      </x:c>
      <x:c r="E3800" s="14" t="n">
        <x:v>25</x:v>
      </x:c>
      <x:c r="F3800" s="2" t="str">
        <x:v>Final leak / function test</x:v>
      </x:c>
      <x:c r="G3800" s="9" t="str">
        <x:v>QA-01</x:v>
      </x:c>
      <x:c r="H3800" s="15" t="n">
        <x:v>144</x:v>
      </x:c>
      <x:c r="I3800" s="9" t="str">
        <x:v>P12</x:v>
      </x:c>
      <x:c r="J3800" s="11" t="n">
        <x:v>46315.51111111111</x:v>
      </x:c>
      <x:c r="K3800" s="15" t="n">
        <x:v>10</x:v>
      </x:c>
      <x:c r="L3800" s="15" t="n">
        <x:v>22</x:v>
      </x:c>
      <x:c r="M3800" s="13" t="n">
        <x:f>J3800+(K3800+L3800)/1440</x:f>
        <x:v>46315.53333333333</x:v>
      </x:c>
      <x:c r="N3800" s="13" t="n">
        <x:f>VLOOKUP(C3800,'MES orders'!$A$8:$H$127,5,FALSE)</x:f>
        <x:v>46311.666666666664</x:v>
      </x:c>
      <x:c r="O3800" s="16" t="n">
        <x:f>MAX(0,(M3800-N3800)*24)</x:f>
        <x:v>92.80000000004657</x:v>
      </x:c>
      <x:c r="P3800" s="9" t="str">
        <x:v>No</x:v>
      </x:c>
      <x:c r="Q3800" s="15" t="n">
        <x:v>32</x:v>
      </x:c>
      <x:c r="R3800" s="13" t="n">
        <x:f>J3800+Q3800/1440</x:f>
        <x:v>46315.53333333333</x:v>
      </x:c>
      <x:c r="S3800" s="2" t="str">
        <x:f>VLOOKUP(C3800,'MES orders'!$A$8:$H$127,6,FALSE)</x:f>
        <x:v>Normal</x:v>
      </x:c>
      <x:c r="T3800" s="9" t="str"/>
    </x:row>
    <x:row r="3801" ht="22" customHeight="1">
      <x:c r="A3801" s="2" t="str">
        <x:v>L00479-080</x:v>
      </x:c>
      <x:c r="B3801" s="2" t="str">
        <x:v>L00479</x:v>
      </x:c>
      <x:c r="C3801" s="2" t="str">
        <x:v>SO-26096</x:v>
      </x:c>
      <x:c r="D3801" s="2" t="str">
        <x:v>S-L-SS</x:v>
      </x:c>
      <x:c r="E3801" s="14" t="n">
        <x:v>20</x:v>
      </x:c>
      <x:c r="F3801" s="2" t="str">
        <x:v>Final leak / function test</x:v>
      </x:c>
      <x:c r="G3801" s="9" t="str">
        <x:v>QA-02</x:v>
      </x:c>
      <x:c r="H3801" s="15" t="n">
        <x:v>290</x:v>
      </x:c>
      <x:c r="I3801" s="9" t="str">
        <x:v>P11</x:v>
      </x:c>
      <x:c r="J3801" s="11" t="n">
        <x:v>46315.51875</x:v>
      </x:c>
      <x:c r="K3801" s="15" t="n">
        <x:v>10</x:v>
      </x:c>
      <x:c r="L3801" s="15" t="n">
        <x:v>24</x:v>
      </x:c>
      <x:c r="M3801" s="13" t="n">
        <x:f>J3801+(K3801+L3801)/1440</x:f>
        <x:v>46315.54236111111</x:v>
      </x:c>
      <x:c r="N3801" s="13" t="n">
        <x:f>VLOOKUP(C3801,'MES orders'!$A$8:$H$127,5,FALSE)</x:f>
        <x:v>46311.666666666664</x:v>
      </x:c>
      <x:c r="O3801" s="16" t="n">
        <x:f>MAX(0,(M3801-N3801)*24)</x:f>
        <x:v>93.016666666721</x:v>
      </x:c>
      <x:c r="P3801" s="9" t="str">
        <x:v>No</x:v>
      </x:c>
      <x:c r="Q3801" s="15" t="n">
        <x:v>34</x:v>
      </x:c>
      <x:c r="R3801" s="13" t="n">
        <x:f>J3801+Q3801/1440</x:f>
        <x:v>46315.54236111111</x:v>
      </x:c>
      <x:c r="S3801" s="2" t="str">
        <x:f>VLOOKUP(C3801,'MES orders'!$A$8:$H$127,6,FALSE)</x:f>
        <x:v>Normal</x:v>
      </x:c>
      <x:c r="T3801" s="9" t="str"/>
    </x:row>
    <x:row r="3802" ht="22" customHeight="1">
      <x:c r="A3802" s="2" t="str">
        <x:v>L00560-040</x:v>
      </x:c>
      <x:c r="B3802" s="2" t="str">
        <x:v>L00560</x:v>
      </x:c>
      <x:c r="C3802" s="2" t="str">
        <x:v>SO-26112</x:v>
      </x:c>
      <x:c r="D3802" s="2" t="str">
        <x:v>D-S-SS</x:v>
      </x:c>
      <x:c r="E3802" s="14" t="n">
        <x:v>25</x:v>
      </x:c>
      <x:c r="F3802" s="2" t="str">
        <x:v>Mechanical assembly</x:v>
      </x:c>
      <x:c r="G3802" s="9" t="str">
        <x:v>AS-03</x:v>
      </x:c>
      <x:c r="H3802" s="15" t="n">
        <x:v>205</x:v>
      </x:c>
      <x:c r="I3802" s="9" t="str">
        <x:v>P06</x:v>
      </x:c>
      <x:c r="J3802" s="11" t="n">
        <x:v>46315.52569444444</x:v>
      </x:c>
      <x:c r="K3802" s="15" t="n">
        <x:v>8</x:v>
      </x:c>
      <x:c r="L3802" s="15" t="n">
        <x:v>45</x:v>
      </x:c>
      <x:c r="M3802" s="13" t="n">
        <x:f>J3802+(K3802+L3802)/1440</x:f>
        <x:v>46315.5625</x:v>
      </x:c>
      <x:c r="N3802" s="13" t="n">
        <x:f>VLOOKUP(C3802,'MES orders'!$A$8:$H$127,5,FALSE)</x:f>
        <x:v>46311.666666666664</x:v>
      </x:c>
      <x:c r="O3802" s="16" t="n">
        <x:f>MAX(0,(M3802-N3802)*24)</x:f>
        <x:v>93.50000000005821</x:v>
      </x:c>
      <x:c r="P3802" s="9" t="str">
        <x:v>No</x:v>
      </x:c>
      <x:c r="Q3802" s="15" t="n">
        <x:v>53</x:v>
      </x:c>
      <x:c r="R3802" s="13" t="n">
        <x:f>J3802+Q3802/1440</x:f>
        <x:v>46315.5625</x:v>
      </x:c>
      <x:c r="S3802" s="2" t="str">
        <x:f>VLOOKUP(C3802,'MES orders'!$A$8:$H$127,6,FALSE)</x:f>
        <x:v>Normal</x:v>
      </x:c>
      <x:c r="T3802" s="9" t="str"/>
    </x:row>
    <x:row r="3803" ht="22" customHeight="1">
      <x:c r="A3803" s="2" t="str">
        <x:v>L00480-070</x:v>
      </x:c>
      <x:c r="B3803" s="2" t="str">
        <x:v>L00480</x:v>
      </x:c>
      <x:c r="C3803" s="2" t="str">
        <x:v>SO-26096</x:v>
      </x:c>
      <x:c r="D3803" s="2" t="str">
        <x:v>S-L-SS</x:v>
      </x:c>
      <x:c r="E3803" s="14" t="n">
        <x:v>20</x:v>
      </x:c>
      <x:c r="F3803" s="2" t="str">
        <x:v>Final assembly</x:v>
      </x:c>
      <x:c r="G3803" s="9" t="str">
        <x:v>AS-01</x:v>
      </x:c>
      <x:c r="H3803" s="15" t="n">
        <x:v>311</x:v>
      </x:c>
      <x:c r="I3803" s="9" t="str">
        <x:v>P05</x:v>
      </x:c>
      <x:c r="J3803" s="11" t="n">
        <x:v>46315.53125</x:v>
      </x:c>
      <x:c r="K3803" s="15" t="n">
        <x:v>5</x:v>
      </x:c>
      <x:c r="L3803" s="15" t="n">
        <x:v>22</x:v>
      </x:c>
      <x:c r="M3803" s="13" t="n">
        <x:f>J3803+(K3803+L3803)/1440</x:f>
        <x:v>46315.55</x:v>
      </x:c>
      <x:c r="N3803" s="13" t="n">
        <x:f>VLOOKUP(C3803,'MES orders'!$A$8:$H$127,5,FALSE)</x:f>
        <x:v>46311.666666666664</x:v>
      </x:c>
      <x:c r="O3803" s="16" t="n">
        <x:f>MAX(0,(M3803-N3803)*24)</x:f>
        <x:v>93.20000000012806</x:v>
      </x:c>
      <x:c r="P3803" s="9" t="str">
        <x:v>No</x:v>
      </x:c>
      <x:c r="Q3803" s="15" t="n">
        <x:v>27</x:v>
      </x:c>
      <x:c r="R3803" s="13" t="n">
        <x:f>J3803+Q3803/1440</x:f>
        <x:v>46315.55</x:v>
      </x:c>
      <x:c r="S3803" s="2" t="str">
        <x:f>VLOOKUP(C3803,'MES orders'!$A$8:$H$127,6,FALSE)</x:f>
        <x:v>Normal</x:v>
      </x:c>
      <x:c r="T3803" s="9" t="str"/>
    </x:row>
    <x:row r="3804" ht="22" customHeight="1">
      <x:c r="A3804" s="2" t="str">
        <x:v>L00558-050</x:v>
      </x:c>
      <x:c r="B3804" s="2" t="str">
        <x:v>L00558</x:v>
      </x:c>
      <x:c r="C3804" s="2" t="str">
        <x:v>SO-26112</x:v>
      </x:c>
      <x:c r="D3804" s="2" t="str">
        <x:v>D-S-SS</x:v>
      </x:c>
      <x:c r="E3804" s="14" t="n">
        <x:v>25</x:v>
      </x:c>
      <x:c r="F3804" s="2" t="str">
        <x:v>Final leak / function test</x:v>
      </x:c>
      <x:c r="G3804" s="9" t="str">
        <x:v>QA-01</x:v>
      </x:c>
      <x:c r="H3804" s="15" t="n">
        <x:v>145</x:v>
      </x:c>
      <x:c r="I3804" s="9" t="str">
        <x:v>P12</x:v>
      </x:c>
      <x:c r="J3804" s="11" t="n">
        <x:v>46315.53333333333</x:v>
      </x:c>
      <x:c r="K3804" s="15" t="n">
        <x:v>10</x:v>
      </x:c>
      <x:c r="L3804" s="15" t="n">
        <x:v>22</x:v>
      </x:c>
      <x:c r="M3804" s="13" t="n">
        <x:f>J3804+(K3804+L3804)/1440</x:f>
        <x:v>46315.555555555555</x:v>
      </x:c>
      <x:c r="N3804" s="13" t="n">
        <x:f>VLOOKUP(C3804,'MES orders'!$A$8:$H$127,5,FALSE)</x:f>
        <x:v>46311.666666666664</x:v>
      </x:c>
      <x:c r="O3804" s="16" t="n">
        <x:f>MAX(0,(M3804-N3804)*24)</x:f>
        <x:v>93.33333333337214</x:v>
      </x:c>
      <x:c r="P3804" s="9" t="str">
        <x:v>No</x:v>
      </x:c>
      <x:c r="Q3804" s="15" t="n">
        <x:v>32</x:v>
      </x:c>
      <x:c r="R3804" s="13" t="n">
        <x:f>J3804+Q3804/1440</x:f>
        <x:v>46315.555555555555</x:v>
      </x:c>
      <x:c r="S3804" s="2" t="str">
        <x:f>VLOOKUP(C3804,'MES orders'!$A$8:$H$127,6,FALSE)</x:f>
        <x:v>Normal</x:v>
      </x:c>
      <x:c r="T3804" s="9" t="str"/>
    </x:row>
    <x:row r="3805" ht="22" customHeight="1">
      <x:c r="A3805" s="2" t="str">
        <x:v>L00480-080</x:v>
      </x:c>
      <x:c r="B3805" s="2" t="str">
        <x:v>L00480</x:v>
      </x:c>
      <x:c r="C3805" s="2" t="str">
        <x:v>SO-26096</x:v>
      </x:c>
      <x:c r="D3805" s="2" t="str">
        <x:v>S-L-SS</x:v>
      </x:c>
      <x:c r="E3805" s="14" t="n">
        <x:v>20</x:v>
      </x:c>
      <x:c r="F3805" s="2" t="str">
        <x:v>Final leak / function test</x:v>
      </x:c>
      <x:c r="G3805" s="9" t="str">
        <x:v>QA-02</x:v>
      </x:c>
      <x:c r="H3805" s="15" t="n">
        <x:v>291</x:v>
      </x:c>
      <x:c r="I3805" s="9" t="str">
        <x:v>P11</x:v>
      </x:c>
      <x:c r="J3805" s="11" t="n">
        <x:v>46315.55</x:v>
      </x:c>
      <x:c r="K3805" s="15" t="n">
        <x:v>10</x:v>
      </x:c>
      <x:c r="L3805" s="15" t="n">
        <x:v>24</x:v>
      </x:c>
      <x:c r="M3805" s="13" t="n">
        <x:f>J3805+(K3805+L3805)/1440</x:f>
        <x:v>46315.57361111111</x:v>
      </x:c>
      <x:c r="N3805" s="13" t="n">
        <x:f>VLOOKUP(C3805,'MES orders'!$A$8:$H$127,5,FALSE)</x:f>
        <x:v>46311.666666666664</x:v>
      </x:c>
      <x:c r="O3805" s="16" t="n">
        <x:f>MAX(0,(M3805-N3805)*24)</x:f>
        <x:v>93.766666666721</x:v>
      </x:c>
      <x:c r="P3805" s="9" t="str">
        <x:v>No</x:v>
      </x:c>
      <x:c r="Q3805" s="15" t="n">
        <x:v>34</x:v>
      </x:c>
      <x:c r="R3805" s="13" t="n">
        <x:f>J3805+Q3805/1440</x:f>
        <x:v>46315.57361111111</x:v>
      </x:c>
      <x:c r="S3805" s="2" t="str">
        <x:f>VLOOKUP(C3805,'MES orders'!$A$8:$H$127,6,FALSE)</x:f>
        <x:v>Normal</x:v>
      </x:c>
      <x:c r="T3805" s="9" t="str"/>
    </x:row>
    <x:row r="3806" ht="22" customHeight="1">
      <x:c r="A3806" s="2" t="str">
        <x:v>L00559-050</x:v>
      </x:c>
      <x:c r="B3806" s="2" t="str">
        <x:v>L00559</x:v>
      </x:c>
      <x:c r="C3806" s="2" t="str">
        <x:v>SO-26112</x:v>
      </x:c>
      <x:c r="D3806" s="2" t="str">
        <x:v>D-S-SS</x:v>
      </x:c>
      <x:c r="E3806" s="14" t="n">
        <x:v>25</x:v>
      </x:c>
      <x:c r="F3806" s="2" t="str">
        <x:v>Final leak / function test</x:v>
      </x:c>
      <x:c r="G3806" s="9" t="str">
        <x:v>QA-01</x:v>
      </x:c>
      <x:c r="H3806" s="15" t="n">
        <x:v>146</x:v>
      </x:c>
      <x:c r="I3806" s="9" t="str">
        <x:v>P12</x:v>
      </x:c>
      <x:c r="J3806" s="11" t="n">
        <x:v>46315.555555555555</x:v>
      </x:c>
      <x:c r="K3806" s="15" t="n">
        <x:v>10</x:v>
      </x:c>
      <x:c r="L3806" s="15" t="n">
        <x:v>22</x:v>
      </x:c>
      <x:c r="M3806" s="13" t="n">
        <x:f>J3806+(K3806+L3806)/1440</x:f>
        <x:v>46315.57777777778</x:v>
      </x:c>
      <x:c r="N3806" s="13" t="n">
        <x:f>VLOOKUP(C3806,'MES orders'!$A$8:$H$127,5,FALSE)</x:f>
        <x:v>46311.666666666664</x:v>
      </x:c>
      <x:c r="O3806" s="16" t="n">
        <x:f>MAX(0,(M3806-N3806)*24)</x:f>
        <x:v>93.86666666669771</x:v>
      </x:c>
      <x:c r="P3806" s="9" t="str">
        <x:v>No</x:v>
      </x:c>
      <x:c r="Q3806" s="15" t="n">
        <x:v>32</x:v>
      </x:c>
      <x:c r="R3806" s="13" t="n">
        <x:f>J3806+Q3806/1440</x:f>
        <x:v>46315.57777777778</x:v>
      </x:c>
      <x:c r="S3806" s="2" t="str">
        <x:f>VLOOKUP(C3806,'MES orders'!$A$8:$H$127,6,FALSE)</x:f>
        <x:v>Normal</x:v>
      </x:c>
      <x:c r="T3806" s="9" t="str"/>
    </x:row>
    <x:row r="3807" ht="22" customHeight="1">
      <x:c r="A3807" s="2" t="str">
        <x:v>L00560-050</x:v>
      </x:c>
      <x:c r="B3807" s="2" t="str">
        <x:v>L00560</x:v>
      </x:c>
      <x:c r="C3807" s="2" t="str">
        <x:v>SO-26112</x:v>
      </x:c>
      <x:c r="D3807" s="2" t="str">
        <x:v>D-S-SS</x:v>
      </x:c>
      <x:c r="E3807" s="14" t="n">
        <x:v>25</x:v>
      </x:c>
      <x:c r="F3807" s="2" t="str">
        <x:v>Final leak / function test</x:v>
      </x:c>
      <x:c r="G3807" s="9" t="str">
        <x:v>QA-01</x:v>
      </x:c>
      <x:c r="H3807" s="15" t="n">
        <x:v>147</x:v>
      </x:c>
      <x:c r="I3807" s="9" t="str">
        <x:v>P23</x:v>
      </x:c>
      <x:c r="J3807" s="11" t="n">
        <x:v>46315.583333333336</x:v>
      </x:c>
      <x:c r="K3807" s="15" t="n">
        <x:v>10</x:v>
      </x:c>
      <x:c r="L3807" s="15" t="n">
        <x:v>22</x:v>
      </x:c>
      <x:c r="M3807" s="13" t="n">
        <x:f>J3807+(K3807+L3807)/1440</x:f>
        <x:v>46315.60555555556</x:v>
      </x:c>
      <x:c r="N3807" s="13" t="n">
        <x:f>VLOOKUP(C3807,'MES orders'!$A$8:$H$127,5,FALSE)</x:f>
        <x:v>46311.666666666664</x:v>
      </x:c>
      <x:c r="O3807" s="16" t="n">
        <x:f>MAX(0,(M3807-N3807)*24)</x:f>
        <x:v>94.53333333344199</x:v>
      </x:c>
      <x:c r="P3807" s="9" t="str">
        <x:v>No</x:v>
      </x:c>
      <x:c r="Q3807" s="15" t="n">
        <x:v>32</x:v>
      </x:c>
      <x:c r="R3807" s="13" t="n">
        <x:f>J3807+Q3807/1440</x:f>
        <x:v>46315.60555555556</x:v>
      </x:c>
      <x:c r="S3807" s="2" t="str">
        <x:f>VLOOKUP(C3807,'MES orders'!$A$8:$H$127,6,FALSE)</x:f>
        <x:v>Normal</x:v>
      </x:c>
      <x:c r="T3807" s="9" t="str"/>
    </x:row>
  </x:sheetData>
  <x:conditionalFormatting sqref="O8:O3807">
    <x:cfRule type="cellIs" dxfId="0" priority="1" operator="greaterThan">
      <x:formula>0</x:formula>
    </x:cfRule>
  </x:conditionalFormatting>
  <x:conditionalFormatting sqref="P8:P3807">
    <x:cfRule type="containsText" dxfId="1" priority="2" operator="containsText" text="Yes"/>
  </x:conditionalFormatting>
  <x:dataValidations count="2">
    <x:dataValidation type="list" sqref="P8:P3807">
      <x:formula1>"Yes,No"</x:formula1>
    </x:dataValidation>
    <x:dataValidation type="list" sqref="I8:I3807">
      <x:formula1>'Skills'!$A$8:$A$31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78305cd03843a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Qualification matrix</x:v>
      </x:c>
      <x:c r="B2" s="2"/>
      <x:c r="C2" s="2"/>
      <x:c r="D2" s="2"/>
      <x:c r="E2" s="2"/>
      <x:c r="F2" s="2"/>
      <x:c r="G2" s="2"/>
      <x:c r="H2" s="2"/>
    </x:row>
    <x:row r="3" ht="22" customHeight="1">
      <x:c r="A3" s="4" t="str">
        <x:v>Owned by production planning · Yes means authorized for that activity · All people are fictional.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2"/>
      <x:c r="B6" s="2"/>
      <x:c r="C6" s="2"/>
      <x:c r="D6" s="2"/>
      <x:c r="E6" s="2"/>
      <x:c r="F6" s="2"/>
      <x:c r="G6" s="2"/>
      <x:c r="H6" s="2"/>
    </x:row>
    <x:row r="7" ht="34" customHeight="1">
      <x:c r="A7" s="8" t="str">
        <x:v>Person</x:v>
      </x:c>
      <x:c r="B7" s="8" t="str">
        <x:v>Name</x:v>
      </x:c>
      <x:c r="C7" s="8" t="str">
        <x:v>Setup</x:v>
      </x:c>
      <x:c r="D7" s="8" t="str">
        <x:v>Mechanical</x:v>
      </x:c>
      <x:c r="E7" s="8" t="str">
        <x:v>Precision</x:v>
      </x:c>
      <x:c r="F7" s="8" t="str">
        <x:v>Electrical</x:v>
      </x:c>
      <x:c r="G7" s="8" t="str">
        <x:v>Calibration</x:v>
      </x:c>
      <x:c r="H7" s="8" t="str">
        <x:v>Testing</x:v>
      </x:c>
    </x:row>
    <x:row r="8" ht="22" customHeight="1">
      <x:c r="A8" s="2" t="str">
        <x:v>P01</x:v>
      </x:c>
      <x:c r="B8" s="2" t="str">
        <x:v>Alex Aster</x:v>
      </x:c>
      <x:c r="C8" s="17" t="str">
        <x:v>Yes</x:v>
      </x:c>
      <x:c r="D8" s="17" t="str">
        <x:v>Yes</x:v>
      </x:c>
      <x:c r="E8" s="17" t="str">
        <x:v>No</x:v>
      </x:c>
      <x:c r="F8" s="17" t="str">
        <x:v>No</x:v>
      </x:c>
      <x:c r="G8" s="17" t="str">
        <x:v>No</x:v>
      </x:c>
      <x:c r="H8" s="17" t="str">
        <x:v>No</x:v>
      </x:c>
    </x:row>
    <x:row r="9" ht="22" customHeight="1">
      <x:c r="A9" s="2" t="str">
        <x:v>P02</x:v>
      </x:c>
      <x:c r="B9" s="2" t="str">
        <x:v>Blair Aster</x:v>
      </x:c>
      <x:c r="C9" s="17" t="str">
        <x:v>Yes</x:v>
      </x:c>
      <x:c r="D9" s="17" t="str">
        <x:v>Yes</x:v>
      </x:c>
      <x:c r="E9" s="17" t="str">
        <x:v>No</x:v>
      </x:c>
      <x:c r="F9" s="17" t="str">
        <x:v>No</x:v>
      </x:c>
      <x:c r="G9" s="17" t="str">
        <x:v>No</x:v>
      </x:c>
      <x:c r="H9" s="17" t="str">
        <x:v>No</x:v>
      </x:c>
    </x:row>
    <x:row r="10" ht="22" customHeight="1">
      <x:c r="A10" s="2" t="str">
        <x:v>P03</x:v>
      </x:c>
      <x:c r="B10" s="2" t="str">
        <x:v>Casey Aster</x:v>
      </x:c>
      <x:c r="C10" s="17" t="str">
        <x:v>Yes</x:v>
      </x:c>
      <x:c r="D10" s="17" t="str">
        <x:v>Yes</x:v>
      </x:c>
      <x:c r="E10" s="17" t="str">
        <x:v>No</x:v>
      </x:c>
      <x:c r="F10" s="17" t="str">
        <x:v>No</x:v>
      </x:c>
      <x:c r="G10" s="17" t="str">
        <x:v>No</x:v>
      </x:c>
      <x:c r="H10" s="17" t="str">
        <x:v>No</x:v>
      </x:c>
    </x:row>
    <x:row r="11" ht="22" customHeight="1">
      <x:c r="A11" s="2" t="str">
        <x:v>P04</x:v>
      </x:c>
      <x:c r="B11" s="2" t="str">
        <x:v>Drew Aster</x:v>
      </x:c>
      <x:c r="C11" s="17" t="str">
        <x:v>No</x:v>
      </x:c>
      <x:c r="D11" s="17" t="str">
        <x:v>Yes</x:v>
      </x:c>
      <x:c r="E11" s="17" t="str">
        <x:v>No</x:v>
      </x:c>
      <x:c r="F11" s="17" t="str">
        <x:v>No</x:v>
      </x:c>
      <x:c r="G11" s="17" t="str">
        <x:v>No</x:v>
      </x:c>
      <x:c r="H11" s="17" t="str">
        <x:v>No</x:v>
      </x:c>
    </x:row>
    <x:row r="12" ht="22" customHeight="1">
      <x:c r="A12" s="2" t="str">
        <x:v>P05</x:v>
      </x:c>
      <x:c r="B12" s="2" t="str">
        <x:v>Ellis Aster</x:v>
      </x:c>
      <x:c r="C12" s="17" t="str">
        <x:v>No</x:v>
      </x:c>
      <x:c r="D12" s="17" t="str">
        <x:v>Yes</x:v>
      </x:c>
      <x:c r="E12" s="17" t="str">
        <x:v>Yes</x:v>
      </x:c>
      <x:c r="F12" s="17" t="str">
        <x:v>No</x:v>
      </x:c>
      <x:c r="G12" s="17" t="str">
        <x:v>No</x:v>
      </x:c>
      <x:c r="H12" s="17" t="str">
        <x:v>No</x:v>
      </x:c>
    </x:row>
    <x:row r="13" ht="22" customHeight="1">
      <x:c r="A13" s="2" t="str">
        <x:v>P06</x:v>
      </x:c>
      <x:c r="B13" s="2" t="str">
        <x:v>Finley Aster</x:v>
      </x:c>
      <x:c r="C13" s="17" t="str">
        <x:v>No</x:v>
      </x:c>
      <x:c r="D13" s="17" t="str">
        <x:v>Yes</x:v>
      </x:c>
      <x:c r="E13" s="17" t="str">
        <x:v>Yes</x:v>
      </x:c>
      <x:c r="F13" s="17" t="str">
        <x:v>No</x:v>
      </x:c>
      <x:c r="G13" s="17" t="str">
        <x:v>No</x:v>
      </x:c>
      <x:c r="H13" s="17" t="str">
        <x:v>No</x:v>
      </x:c>
    </x:row>
    <x:row r="14" ht="22" customHeight="1">
      <x:c r="A14" s="2" t="str">
        <x:v>P07</x:v>
      </x:c>
      <x:c r="B14" s="2" t="str">
        <x:v>Harper Aster</x:v>
      </x:c>
      <x:c r="C14" s="17" t="str">
        <x:v>No</x:v>
      </x:c>
      <x:c r="D14" s="17" t="str">
        <x:v>Yes</x:v>
      </x:c>
      <x:c r="E14" s="17" t="str">
        <x:v>No</x:v>
      </x:c>
      <x:c r="F14" s="17" t="str">
        <x:v>Yes</x:v>
      </x:c>
      <x:c r="G14" s="17" t="str">
        <x:v>No</x:v>
      </x:c>
      <x:c r="H14" s="17" t="str">
        <x:v>No</x:v>
      </x:c>
    </x:row>
    <x:row r="15" ht="22" customHeight="1">
      <x:c r="A15" s="2" t="str">
        <x:v>P08</x:v>
      </x:c>
      <x:c r="B15" s="2" t="str">
        <x:v>Jamie Aster</x:v>
      </x:c>
      <x:c r="C15" s="17" t="str">
        <x:v>No</x:v>
      </x:c>
      <x:c r="D15" s="17" t="str">
        <x:v>Yes</x:v>
      </x:c>
      <x:c r="E15" s="17" t="str">
        <x:v>Yes</x:v>
      </x:c>
      <x:c r="F15" s="17" t="str">
        <x:v>Yes</x:v>
      </x:c>
      <x:c r="G15" s="17" t="str">
        <x:v>No</x:v>
      </x:c>
      <x:c r="H15" s="17" t="str">
        <x:v>No</x:v>
      </x:c>
    </x:row>
    <x:row r="16" ht="22" customHeight="1">
      <x:c r="A16" s="2" t="str">
        <x:v>P09</x:v>
      </x:c>
      <x:c r="B16" s="2" t="str">
        <x:v>Jules Aster</x:v>
      </x:c>
      <x:c r="C16" s="17" t="str">
        <x:v>No</x:v>
      </x:c>
      <x:c r="D16" s="17" t="str">
        <x:v>Yes</x:v>
      </x:c>
      <x:c r="E16" s="17" t="str">
        <x:v>Yes</x:v>
      </x:c>
      <x:c r="F16" s="17" t="str">
        <x:v>Yes</x:v>
      </x:c>
      <x:c r="G16" s="17" t="str">
        <x:v>Yes</x:v>
      </x:c>
      <x:c r="H16" s="17" t="str">
        <x:v>No</x:v>
      </x:c>
    </x:row>
    <x:row r="17" ht="22" customHeight="1">
      <x:c r="A17" s="2" t="str">
        <x:v>P10</x:v>
      </x:c>
      <x:c r="B17" s="2" t="str">
        <x:v>Kit Aster</x:v>
      </x:c>
      <x:c r="C17" s="17" t="str">
        <x:v>No</x:v>
      </x:c>
      <x:c r="D17" s="17" t="str">
        <x:v>Yes</x:v>
      </x:c>
      <x:c r="E17" s="17" t="str">
        <x:v>No</x:v>
      </x:c>
      <x:c r="F17" s="17" t="str">
        <x:v>No</x:v>
      </x:c>
      <x:c r="G17" s="17" t="str">
        <x:v>Yes</x:v>
      </x:c>
      <x:c r="H17" s="17" t="str">
        <x:v>Yes</x:v>
      </x:c>
    </x:row>
    <x:row r="18" ht="22" customHeight="1">
      <x:c r="A18" s="2" t="str">
        <x:v>P11</x:v>
      </x:c>
      <x:c r="B18" s="2" t="str">
        <x:v>Morgan Aster</x:v>
      </x:c>
      <x:c r="C18" s="17" t="str">
        <x:v>No</x:v>
      </x:c>
      <x:c r="D18" s="17" t="str">
        <x:v>Yes</x:v>
      </x:c>
      <x:c r="E18" s="17" t="str">
        <x:v>No</x:v>
      </x:c>
      <x:c r="F18" s="17" t="str">
        <x:v>No</x:v>
      </x:c>
      <x:c r="G18" s="17" t="str">
        <x:v>No</x:v>
      </x:c>
      <x:c r="H18" s="17" t="str">
        <x:v>Yes</x:v>
      </x:c>
    </x:row>
    <x:row r="19" ht="22" customHeight="1">
      <x:c r="A19" s="2" t="str">
        <x:v>P12</x:v>
      </x:c>
      <x:c r="B19" s="2" t="str">
        <x:v>Noel Aster</x:v>
      </x:c>
      <x:c r="C19" s="17" t="str">
        <x:v>No</x:v>
      </x:c>
      <x:c r="D19" s="17" t="str">
        <x:v>Yes</x:v>
      </x:c>
      <x:c r="E19" s="17" t="str">
        <x:v>No</x:v>
      </x:c>
      <x:c r="F19" s="17" t="str">
        <x:v>No</x:v>
      </x:c>
      <x:c r="G19" s="17" t="str">
        <x:v>No</x:v>
      </x:c>
      <x:c r="H19" s="17" t="str">
        <x:v>Yes</x:v>
      </x:c>
    </x:row>
    <x:row r="20" ht="22" customHeight="1">
      <x:c r="A20" s="2" t="str">
        <x:v>P13</x:v>
      </x:c>
      <x:c r="B20" s="2" t="str">
        <x:v>Alex Vale</x:v>
      </x:c>
      <x:c r="C20" s="17" t="str">
        <x:v>Yes</x:v>
      </x:c>
      <x:c r="D20" s="17" t="str">
        <x:v>Yes</x:v>
      </x:c>
      <x:c r="E20" s="17" t="str">
        <x:v>No</x:v>
      </x:c>
      <x:c r="F20" s="17" t="str">
        <x:v>No</x:v>
      </x:c>
      <x:c r="G20" s="17" t="str">
        <x:v>No</x:v>
      </x:c>
      <x:c r="H20" s="17" t="str">
        <x:v>No</x:v>
      </x:c>
    </x:row>
    <x:row r="21" ht="22" customHeight="1">
      <x:c r="A21" s="2" t="str">
        <x:v>P14</x:v>
      </x:c>
      <x:c r="B21" s="2" t="str">
        <x:v>Blair Vale</x:v>
      </x:c>
      <x:c r="C21" s="17" t="str">
        <x:v>Yes</x:v>
      </x:c>
      <x:c r="D21" s="17" t="str">
        <x:v>Yes</x:v>
      </x:c>
      <x:c r="E21" s="17" t="str">
        <x:v>No</x:v>
      </x:c>
      <x:c r="F21" s="17" t="str">
        <x:v>No</x:v>
      </x:c>
      <x:c r="G21" s="17" t="str">
        <x:v>No</x:v>
      </x:c>
      <x:c r="H21" s="17" t="str">
        <x:v>No</x:v>
      </x:c>
    </x:row>
    <x:row r="22" ht="22" customHeight="1">
      <x:c r="A22" s="2" t="str">
        <x:v>P15</x:v>
      </x:c>
      <x:c r="B22" s="2" t="str">
        <x:v>Casey Vale</x:v>
      </x:c>
      <x:c r="C22" s="17" t="str">
        <x:v>Yes</x:v>
      </x:c>
      <x:c r="D22" s="17" t="str">
        <x:v>Yes</x:v>
      </x:c>
      <x:c r="E22" s="17" t="str">
        <x:v>No</x:v>
      </x:c>
      <x:c r="F22" s="17" t="str">
        <x:v>No</x:v>
      </x:c>
      <x:c r="G22" s="17" t="str">
        <x:v>No</x:v>
      </x:c>
      <x:c r="H22" s="17" t="str">
        <x:v>No</x:v>
      </x:c>
    </x:row>
    <x:row r="23" ht="22" customHeight="1">
      <x:c r="A23" s="2" t="str">
        <x:v>P16</x:v>
      </x:c>
      <x:c r="B23" s="2" t="str">
        <x:v>Drew Vale</x:v>
      </x:c>
      <x:c r="C23" s="17" t="str">
        <x:v>No</x:v>
      </x:c>
      <x:c r="D23" s="17" t="str">
        <x:v>Yes</x:v>
      </x:c>
      <x:c r="E23" s="17" t="str">
        <x:v>No</x:v>
      </x:c>
      <x:c r="F23" s="17" t="str">
        <x:v>No</x:v>
      </x:c>
      <x:c r="G23" s="17" t="str">
        <x:v>No</x:v>
      </x:c>
      <x:c r="H23" s="17" t="str">
        <x:v>No</x:v>
      </x:c>
    </x:row>
    <x:row r="24" ht="22" customHeight="1">
      <x:c r="A24" s="2" t="str">
        <x:v>P17</x:v>
      </x:c>
      <x:c r="B24" s="2" t="str">
        <x:v>Ellis Vale</x:v>
      </x:c>
      <x:c r="C24" s="17" t="str">
        <x:v>No</x:v>
      </x:c>
      <x:c r="D24" s="17" t="str">
        <x:v>Yes</x:v>
      </x:c>
      <x:c r="E24" s="17" t="str">
        <x:v>Yes</x:v>
      </x:c>
      <x:c r="F24" s="17" t="str">
        <x:v>No</x:v>
      </x:c>
      <x:c r="G24" s="17" t="str">
        <x:v>No</x:v>
      </x:c>
      <x:c r="H24" s="17" t="str">
        <x:v>No</x:v>
      </x:c>
    </x:row>
    <x:row r="25" ht="22" customHeight="1">
      <x:c r="A25" s="2" t="str">
        <x:v>P18</x:v>
      </x:c>
      <x:c r="B25" s="2" t="str">
        <x:v>Finley Vale</x:v>
      </x:c>
      <x:c r="C25" s="17" t="str">
        <x:v>No</x:v>
      </x:c>
      <x:c r="D25" s="17" t="str">
        <x:v>Yes</x:v>
      </x:c>
      <x:c r="E25" s="17" t="str">
        <x:v>Yes</x:v>
      </x:c>
      <x:c r="F25" s="17" t="str">
        <x:v>No</x:v>
      </x:c>
      <x:c r="G25" s="17" t="str">
        <x:v>No</x:v>
      </x:c>
      <x:c r="H25" s="17" t="str">
        <x:v>No</x:v>
      </x:c>
    </x:row>
    <x:row r="26" ht="22" customHeight="1">
      <x:c r="A26" s="2" t="str">
        <x:v>P19</x:v>
      </x:c>
      <x:c r="B26" s="2" t="str">
        <x:v>Harper Vale</x:v>
      </x:c>
      <x:c r="C26" s="17" t="str">
        <x:v>No</x:v>
      </x:c>
      <x:c r="D26" s="17" t="str">
        <x:v>Yes</x:v>
      </x:c>
      <x:c r="E26" s="17" t="str">
        <x:v>No</x:v>
      </x:c>
      <x:c r="F26" s="17" t="str">
        <x:v>Yes</x:v>
      </x:c>
      <x:c r="G26" s="17" t="str">
        <x:v>No</x:v>
      </x:c>
      <x:c r="H26" s="17" t="str">
        <x:v>No</x:v>
      </x:c>
    </x:row>
    <x:row r="27" ht="22" customHeight="1">
      <x:c r="A27" s="2" t="str">
        <x:v>P20</x:v>
      </x:c>
      <x:c r="B27" s="2" t="str">
        <x:v>Jamie Vale</x:v>
      </x:c>
      <x:c r="C27" s="17" t="str">
        <x:v>No</x:v>
      </x:c>
      <x:c r="D27" s="17" t="str">
        <x:v>Yes</x:v>
      </x:c>
      <x:c r="E27" s="17" t="str">
        <x:v>Yes</x:v>
      </x:c>
      <x:c r="F27" s="17" t="str">
        <x:v>Yes</x:v>
      </x:c>
      <x:c r="G27" s="17" t="str">
        <x:v>No</x:v>
      </x:c>
      <x:c r="H27" s="17" t="str">
        <x:v>No</x:v>
      </x:c>
    </x:row>
    <x:row r="28" ht="22" customHeight="1">
      <x:c r="A28" s="2" t="str">
        <x:v>P21</x:v>
      </x:c>
      <x:c r="B28" s="2" t="str">
        <x:v>Jules Vale</x:v>
      </x:c>
      <x:c r="C28" s="17" t="str">
        <x:v>No</x:v>
      </x:c>
      <x:c r="D28" s="17" t="str">
        <x:v>Yes</x:v>
      </x:c>
      <x:c r="E28" s="17" t="str">
        <x:v>Yes</x:v>
      </x:c>
      <x:c r="F28" s="17" t="str">
        <x:v>Yes</x:v>
      </x:c>
      <x:c r="G28" s="17" t="str">
        <x:v>Yes</x:v>
      </x:c>
      <x:c r="H28" s="17" t="str">
        <x:v>No</x:v>
      </x:c>
    </x:row>
    <x:row r="29" ht="22" customHeight="1">
      <x:c r="A29" s="2" t="str">
        <x:v>P22</x:v>
      </x:c>
      <x:c r="B29" s="2" t="str">
        <x:v>Kit Vale</x:v>
      </x:c>
      <x:c r="C29" s="17" t="str">
        <x:v>No</x:v>
      </x:c>
      <x:c r="D29" s="17" t="str">
        <x:v>Yes</x:v>
      </x:c>
      <x:c r="E29" s="17" t="str">
        <x:v>No</x:v>
      </x:c>
      <x:c r="F29" s="17" t="str">
        <x:v>No</x:v>
      </x:c>
      <x:c r="G29" s="17" t="str">
        <x:v>Yes</x:v>
      </x:c>
      <x:c r="H29" s="17" t="str">
        <x:v>Yes</x:v>
      </x:c>
    </x:row>
    <x:row r="30" ht="22" customHeight="1">
      <x:c r="A30" s="2" t="str">
        <x:v>P23</x:v>
      </x:c>
      <x:c r="B30" s="2" t="str">
        <x:v>Morgan Vale</x:v>
      </x:c>
      <x:c r="C30" s="17" t="str">
        <x:v>No</x:v>
      </x:c>
      <x:c r="D30" s="17" t="str">
        <x:v>Yes</x:v>
      </x:c>
      <x:c r="E30" s="17" t="str">
        <x:v>No</x:v>
      </x:c>
      <x:c r="F30" s="17" t="str">
        <x:v>No</x:v>
      </x:c>
      <x:c r="G30" s="17" t="str">
        <x:v>No</x:v>
      </x:c>
      <x:c r="H30" s="17" t="str">
        <x:v>Yes</x:v>
      </x:c>
    </x:row>
    <x:row r="31" ht="22" customHeight="1">
      <x:c r="A31" s="2" t="str">
        <x:v>P24</x:v>
      </x:c>
      <x:c r="B31" s="2" t="str">
        <x:v>Noel Vale</x:v>
      </x:c>
      <x:c r="C31" s="17" t="str">
        <x:v>No</x:v>
      </x:c>
      <x:c r="D31" s="17" t="str">
        <x:v>Yes</x:v>
      </x:c>
      <x:c r="E31" s="17" t="str">
        <x:v>No</x:v>
      </x:c>
      <x:c r="F31" s="17" t="str">
        <x:v>No</x:v>
      </x:c>
      <x:c r="G31" s="17" t="str">
        <x:v>No</x:v>
      </x:c>
      <x:c r="H31" s="17" t="str">
        <x:v>Yes</x:v>
      </x:c>
    </x:row>
  </x:sheetData>
  <x:conditionalFormatting sqref="C8:H31">
    <x:cfRule type="containsText" dxfId="2" priority="1" operator="containsText" text="Yes"/>
  </x:conditionalFormatting>
  <x:dataValidations count="1">
    <x:dataValidation type="list" sqref="C8:H3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7f0aaa8210478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9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Shift roster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 t="str">
        <x:v>MES attendance snapshot · Monday to Friday · 05–16 Oct 2026 · One person cannot cover two simultaneous activities.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4" customHeight="1">
      <x:c r="A7" s="8" t="str">
        <x:v>Person</x:v>
      </x:c>
      <x:c r="B7" s="8" t="str">
        <x:v>Name</x:v>
      </x:c>
      <x:c r="C7" s="8" t="str">
        <x:v>Team</x:v>
      </x:c>
      <x:c r="D7" s="8" t="str">
        <x:v>Shift</x:v>
      </x:c>
      <x:c r="E7" s="8" t="str">
        <x:v>Shift start</x:v>
      </x:c>
      <x:c r="F7" s="8" t="str">
        <x:v>Shift end</x:v>
      </x:c>
      <x:c r="G7" s="8" t="str">
        <x:v>Break start</x:v>
      </x:c>
      <x:c r="H7" s="8" t="str">
        <x:v>Break end</x:v>
      </x:c>
      <x:c r="I7" s="8" t="str">
        <x:v>Attendance</x:v>
      </x:c>
      <x:c r="J7" s="8" t="str">
        <x:v>Net hours / day</x:v>
      </x:c>
    </x:row>
    <x:row r="8" ht="22" customHeight="1">
      <x:c r="A8" s="2" t="str">
        <x:v>P01</x:v>
      </x:c>
      <x:c r="B8" s="2" t="str">
        <x:v>Alex Aster</x:v>
      </x:c>
      <x:c r="C8" s="2" t="str">
        <x:v>Machining</x:v>
      </x:c>
      <x:c r="D8" s="2" t="str">
        <x:v>Early shift</x:v>
      </x:c>
      <x:c r="E8" s="19" t="n">
        <x:v>0.25</x:v>
      </x:c>
      <x:c r="F8" s="19" t="n">
        <x:v>0.5833333333333334</x:v>
      </x:c>
      <x:c r="G8" s="19" t="n">
        <x:v>0.4166666666666667</x:v>
      </x:c>
      <x:c r="H8" s="19" t="n">
        <x:v>0.4375</x:v>
      </x:c>
      <x:c r="I8" s="2" t="str">
        <x:v>Present</x:v>
      </x:c>
      <x:c r="J8" s="16" t="n">
        <x:f>(F8-E8-H8+G8)*24</x:f>
        <x:v>7.500000000000002</x:v>
      </x:c>
    </x:row>
    <x:row r="9" ht="22" customHeight="1">
      <x:c r="A9" s="2" t="str">
        <x:v>P02</x:v>
      </x:c>
      <x:c r="B9" s="2" t="str">
        <x:v>Blair Aster</x:v>
      </x:c>
      <x:c r="C9" s="2" t="str">
        <x:v>Machining</x:v>
      </x:c>
      <x:c r="D9" s="2" t="str">
        <x:v>Early shift</x:v>
      </x:c>
      <x:c r="E9" s="19" t="n">
        <x:v>0.25</x:v>
      </x:c>
      <x:c r="F9" s="19" t="n">
        <x:v>0.5833333333333334</x:v>
      </x:c>
      <x:c r="G9" s="19" t="n">
        <x:v>0.4166666666666667</x:v>
      </x:c>
      <x:c r="H9" s="19" t="n">
        <x:v>0.4375</x:v>
      </x:c>
      <x:c r="I9" s="2" t="str">
        <x:v>Present</x:v>
      </x:c>
      <x:c r="J9" s="16" t="n">
        <x:f>(F9-E9-H9+G9)*24</x:f>
        <x:v>7.500000000000002</x:v>
      </x:c>
    </x:row>
    <x:row r="10" ht="22" customHeight="1">
      <x:c r="A10" s="2" t="str">
        <x:v>P03</x:v>
      </x:c>
      <x:c r="B10" s="2" t="str">
        <x:v>Casey Aster</x:v>
      </x:c>
      <x:c r="C10" s="2" t="str">
        <x:v>Machining</x:v>
      </x:c>
      <x:c r="D10" s="2" t="str">
        <x:v>Early shift</x:v>
      </x:c>
      <x:c r="E10" s="19" t="n">
        <x:v>0.25</x:v>
      </x:c>
      <x:c r="F10" s="19" t="n">
        <x:v>0.5833333333333334</x:v>
      </x:c>
      <x:c r="G10" s="19" t="n">
        <x:v>0.4166666666666667</x:v>
      </x:c>
      <x:c r="H10" s="19" t="n">
        <x:v>0.4375</x:v>
      </x:c>
      <x:c r="I10" s="2" t="str">
        <x:v>Present</x:v>
      </x:c>
      <x:c r="J10" s="16" t="n">
        <x:f>(F10-E10-H10+G10)*24</x:f>
        <x:v>7.500000000000002</x:v>
      </x:c>
    </x:row>
    <x:row r="11" ht="22" customHeight="1">
      <x:c r="A11" s="2" t="str">
        <x:v>P04</x:v>
      </x:c>
      <x:c r="B11" s="2" t="str">
        <x:v>Drew Aster</x:v>
      </x:c>
      <x:c r="C11" s="2" t="str">
        <x:v>Assembly</x:v>
      </x:c>
      <x:c r="D11" s="2" t="str">
        <x:v>Early shift</x:v>
      </x:c>
      <x:c r="E11" s="19" t="n">
        <x:v>0.25</x:v>
      </x:c>
      <x:c r="F11" s="19" t="n">
        <x:v>0.5833333333333334</x:v>
      </x:c>
      <x:c r="G11" s="19" t="n">
        <x:v>0.4166666666666667</x:v>
      </x:c>
      <x:c r="H11" s="19" t="n">
        <x:v>0.4375</x:v>
      </x:c>
      <x:c r="I11" s="2" t="str">
        <x:v>Present</x:v>
      </x:c>
      <x:c r="J11" s="16" t="n">
        <x:f>(F11-E11-H11+G11)*24</x:f>
        <x:v>7.500000000000002</x:v>
      </x:c>
    </x:row>
    <x:row r="12" ht="22" customHeight="1">
      <x:c r="A12" s="2" t="str">
        <x:v>P05</x:v>
      </x:c>
      <x:c r="B12" s="2" t="str">
        <x:v>Ellis Aster</x:v>
      </x:c>
      <x:c r="C12" s="2" t="str">
        <x:v>Assembly</x:v>
      </x:c>
      <x:c r="D12" s="2" t="str">
        <x:v>Early shift</x:v>
      </x:c>
      <x:c r="E12" s="19" t="n">
        <x:v>0.25</x:v>
      </x:c>
      <x:c r="F12" s="19" t="n">
        <x:v>0.5833333333333334</x:v>
      </x:c>
      <x:c r="G12" s="19" t="n">
        <x:v>0.4166666666666667</x:v>
      </x:c>
      <x:c r="H12" s="19" t="n">
        <x:v>0.4375</x:v>
      </x:c>
      <x:c r="I12" s="2" t="str">
        <x:v>Present</x:v>
      </x:c>
      <x:c r="J12" s="16" t="n">
        <x:f>(F12-E12-H12+G12)*24</x:f>
        <x:v>7.500000000000002</x:v>
      </x:c>
    </x:row>
    <x:row r="13" ht="22" customHeight="1">
      <x:c r="A13" s="2" t="str">
        <x:v>P06</x:v>
      </x:c>
      <x:c r="B13" s="2" t="str">
        <x:v>Finley Aster</x:v>
      </x:c>
      <x:c r="C13" s="2" t="str">
        <x:v>Assembly</x:v>
      </x:c>
      <x:c r="D13" s="2" t="str">
        <x:v>Early shift</x:v>
      </x:c>
      <x:c r="E13" s="19" t="n">
        <x:v>0.25</x:v>
      </x:c>
      <x:c r="F13" s="19" t="n">
        <x:v>0.5833333333333334</x:v>
      </x:c>
      <x:c r="G13" s="19" t="n">
        <x:v>0.4166666666666667</x:v>
      </x:c>
      <x:c r="H13" s="19" t="n">
        <x:v>0.4375</x:v>
      </x:c>
      <x:c r="I13" s="2" t="str">
        <x:v>Present</x:v>
      </x:c>
      <x:c r="J13" s="16" t="n">
        <x:f>(F13-E13-H13+G13)*24</x:f>
        <x:v>7.500000000000002</x:v>
      </x:c>
    </x:row>
    <x:row r="14" ht="22" customHeight="1">
      <x:c r="A14" s="2" t="str">
        <x:v>P07</x:v>
      </x:c>
      <x:c r="B14" s="2" t="str">
        <x:v>Harper Aster</x:v>
      </x:c>
      <x:c r="C14" s="2" t="str">
        <x:v>Assembly</x:v>
      </x:c>
      <x:c r="D14" s="2" t="str">
        <x:v>Early shift</x:v>
      </x:c>
      <x:c r="E14" s="19" t="n">
        <x:v>0.25</x:v>
      </x:c>
      <x:c r="F14" s="19" t="n">
        <x:v>0.5833333333333334</x:v>
      </x:c>
      <x:c r="G14" s="19" t="n">
        <x:v>0.4166666666666667</x:v>
      </x:c>
      <x:c r="H14" s="19" t="n">
        <x:v>0.4375</x:v>
      </x:c>
      <x:c r="I14" s="2" t="str">
        <x:v>Present</x:v>
      </x:c>
      <x:c r="J14" s="16" t="n">
        <x:f>(F14-E14-H14+G14)*24</x:f>
        <x:v>7.500000000000002</x:v>
      </x:c>
    </x:row>
    <x:row r="15" ht="22" customHeight="1">
      <x:c r="A15" s="2" t="str">
        <x:v>P08</x:v>
      </x:c>
      <x:c r="B15" s="2" t="str">
        <x:v>Jamie Aster</x:v>
      </x:c>
      <x:c r="C15" s="2" t="str">
        <x:v>Assembly</x:v>
      </x:c>
      <x:c r="D15" s="2" t="str">
        <x:v>Early shift</x:v>
      </x:c>
      <x:c r="E15" s="19" t="n">
        <x:v>0.25</x:v>
      </x:c>
      <x:c r="F15" s="19" t="n">
        <x:v>0.5833333333333334</x:v>
      </x:c>
      <x:c r="G15" s="19" t="n">
        <x:v>0.4166666666666667</x:v>
      </x:c>
      <x:c r="H15" s="19" t="n">
        <x:v>0.4375</x:v>
      </x:c>
      <x:c r="I15" s="2" t="str">
        <x:v>Present</x:v>
      </x:c>
      <x:c r="J15" s="16" t="n">
        <x:f>(F15-E15-H15+G15)*24</x:f>
        <x:v>7.500000000000002</x:v>
      </x:c>
    </x:row>
    <x:row r="16" ht="22" customHeight="1">
      <x:c r="A16" s="2" t="str">
        <x:v>P09</x:v>
      </x:c>
      <x:c r="B16" s="2" t="str">
        <x:v>Jules Aster</x:v>
      </x:c>
      <x:c r="C16" s="2" t="str">
        <x:v>Assembly</x:v>
      </x:c>
      <x:c r="D16" s="2" t="str">
        <x:v>Early shift</x:v>
      </x:c>
      <x:c r="E16" s="19" t="n">
        <x:v>0.25</x:v>
      </x:c>
      <x:c r="F16" s="19" t="n">
        <x:v>0.5833333333333334</x:v>
      </x:c>
      <x:c r="G16" s="19" t="n">
        <x:v>0.4166666666666667</x:v>
      </x:c>
      <x:c r="H16" s="19" t="n">
        <x:v>0.4375</x:v>
      </x:c>
      <x:c r="I16" s="2" t="str">
        <x:v>Present</x:v>
      </x:c>
      <x:c r="J16" s="16" t="n">
        <x:f>(F16-E16-H16+G16)*24</x:f>
        <x:v>7.500000000000002</x:v>
      </x:c>
    </x:row>
    <x:row r="17" ht="22" customHeight="1">
      <x:c r="A17" s="2" t="str">
        <x:v>P10</x:v>
      </x:c>
      <x:c r="B17" s="2" t="str">
        <x:v>Kit Aster</x:v>
      </x:c>
      <x:c r="C17" s="2" t="str">
        <x:v>Quality</x:v>
      </x:c>
      <x:c r="D17" s="2" t="str">
        <x:v>Early shift</x:v>
      </x:c>
      <x:c r="E17" s="19" t="n">
        <x:v>0.25</x:v>
      </x:c>
      <x:c r="F17" s="19" t="n">
        <x:v>0.5833333333333334</x:v>
      </x:c>
      <x:c r="G17" s="19" t="n">
        <x:v>0.4166666666666667</x:v>
      </x:c>
      <x:c r="H17" s="19" t="n">
        <x:v>0.4375</x:v>
      </x:c>
      <x:c r="I17" s="2" t="str">
        <x:v>Present</x:v>
      </x:c>
      <x:c r="J17" s="16" t="n">
        <x:f>(F17-E17-H17+G17)*24</x:f>
        <x:v>7.500000000000002</x:v>
      </x:c>
    </x:row>
    <x:row r="18" ht="22" customHeight="1">
      <x:c r="A18" s="2" t="str">
        <x:v>P11</x:v>
      </x:c>
      <x:c r="B18" s="2" t="str">
        <x:v>Morgan Aster</x:v>
      </x:c>
      <x:c r="C18" s="2" t="str">
        <x:v>Quality</x:v>
      </x:c>
      <x:c r="D18" s="2" t="str">
        <x:v>Early shift</x:v>
      </x:c>
      <x:c r="E18" s="19" t="n">
        <x:v>0.25</x:v>
      </x:c>
      <x:c r="F18" s="19" t="n">
        <x:v>0.5833333333333334</x:v>
      </x:c>
      <x:c r="G18" s="19" t="n">
        <x:v>0.4166666666666667</x:v>
      </x:c>
      <x:c r="H18" s="19" t="n">
        <x:v>0.4375</x:v>
      </x:c>
      <x:c r="I18" s="2" t="str">
        <x:v>Present</x:v>
      </x:c>
      <x:c r="J18" s="16" t="n">
        <x:f>(F18-E18-H18+G18)*24</x:f>
        <x:v>7.500000000000002</x:v>
      </x:c>
    </x:row>
    <x:row r="19" ht="22" customHeight="1">
      <x:c r="A19" s="2" t="str">
        <x:v>P12</x:v>
      </x:c>
      <x:c r="B19" s="2" t="str">
        <x:v>Noel Aster</x:v>
      </x:c>
      <x:c r="C19" s="2" t="str">
        <x:v>Quality</x:v>
      </x:c>
      <x:c r="D19" s="2" t="str">
        <x:v>Early shift</x:v>
      </x:c>
      <x:c r="E19" s="19" t="n">
        <x:v>0.25</x:v>
      </x:c>
      <x:c r="F19" s="19" t="n">
        <x:v>0.5833333333333334</x:v>
      </x:c>
      <x:c r="G19" s="19" t="n">
        <x:v>0.4166666666666667</x:v>
      </x:c>
      <x:c r="H19" s="19" t="n">
        <x:v>0.4375</x:v>
      </x:c>
      <x:c r="I19" s="2" t="str">
        <x:v>Present</x:v>
      </x:c>
      <x:c r="J19" s="16" t="n">
        <x:f>(F19-E19-H19+G19)*24</x:f>
        <x:v>7.500000000000002</x:v>
      </x:c>
    </x:row>
    <x:row r="20" ht="22" customHeight="1">
      <x:c r="A20" s="2" t="str">
        <x:v>P13</x:v>
      </x:c>
      <x:c r="B20" s="2" t="str">
        <x:v>Alex Vale</x:v>
      </x:c>
      <x:c r="C20" s="2" t="str">
        <x:v>Machining</x:v>
      </x:c>
      <x:c r="D20" s="2" t="str">
        <x:v>Late shift</x:v>
      </x:c>
      <x:c r="E20" s="19" t="n">
        <x:v>0.5833333333333334</x:v>
      </x:c>
      <x:c r="F20" s="19" t="n">
        <x:v>0.9166666666666666</x:v>
      </x:c>
      <x:c r="G20" s="19" t="n">
        <x:v>0.75</x:v>
      </x:c>
      <x:c r="H20" s="19" t="n">
        <x:v>0.7708333333333334</x:v>
      </x:c>
      <x:c r="I20" s="2" t="str">
        <x:v>Present</x:v>
      </x:c>
      <x:c r="J20" s="16" t="n">
        <x:f>(F20-E20-H20+G20)*24</x:f>
        <x:v>7.499999999999997</x:v>
      </x:c>
    </x:row>
    <x:row r="21" ht="22" customHeight="1">
      <x:c r="A21" s="2" t="str">
        <x:v>P14</x:v>
      </x:c>
      <x:c r="B21" s="2" t="str">
        <x:v>Blair Vale</x:v>
      </x:c>
      <x:c r="C21" s="2" t="str">
        <x:v>Machining</x:v>
      </x:c>
      <x:c r="D21" s="2" t="str">
        <x:v>Late shift</x:v>
      </x:c>
      <x:c r="E21" s="19" t="n">
        <x:v>0.5833333333333334</x:v>
      </x:c>
      <x:c r="F21" s="19" t="n">
        <x:v>0.9166666666666666</x:v>
      </x:c>
      <x:c r="G21" s="19" t="n">
        <x:v>0.75</x:v>
      </x:c>
      <x:c r="H21" s="19" t="n">
        <x:v>0.7708333333333334</x:v>
      </x:c>
      <x:c r="I21" s="2" t="str">
        <x:v>Present</x:v>
      </x:c>
      <x:c r="J21" s="16" t="n">
        <x:f>(F21-E21-H21+G21)*24</x:f>
        <x:v>7.499999999999997</x:v>
      </x:c>
    </x:row>
    <x:row r="22" ht="22" customHeight="1">
      <x:c r="A22" s="2" t="str">
        <x:v>P15</x:v>
      </x:c>
      <x:c r="B22" s="2" t="str">
        <x:v>Casey Vale</x:v>
      </x:c>
      <x:c r="C22" s="2" t="str">
        <x:v>Machining</x:v>
      </x:c>
      <x:c r="D22" s="2" t="str">
        <x:v>Late shift</x:v>
      </x:c>
      <x:c r="E22" s="19" t="n">
        <x:v>0.5833333333333334</x:v>
      </x:c>
      <x:c r="F22" s="19" t="n">
        <x:v>0.9166666666666666</x:v>
      </x:c>
      <x:c r="G22" s="19" t="n">
        <x:v>0.75</x:v>
      </x:c>
      <x:c r="H22" s="19" t="n">
        <x:v>0.7708333333333334</x:v>
      </x:c>
      <x:c r="I22" s="2" t="str">
        <x:v>Present</x:v>
      </x:c>
      <x:c r="J22" s="16" t="n">
        <x:f>(F22-E22-H22+G22)*24</x:f>
        <x:v>7.499999999999997</x:v>
      </x:c>
    </x:row>
    <x:row r="23" ht="22" customHeight="1">
      <x:c r="A23" s="2" t="str">
        <x:v>P16</x:v>
      </x:c>
      <x:c r="B23" s="2" t="str">
        <x:v>Drew Vale</x:v>
      </x:c>
      <x:c r="C23" s="2" t="str">
        <x:v>Assembly</x:v>
      </x:c>
      <x:c r="D23" s="2" t="str">
        <x:v>Late shift</x:v>
      </x:c>
      <x:c r="E23" s="19" t="n">
        <x:v>0.5833333333333334</x:v>
      </x:c>
      <x:c r="F23" s="19" t="n">
        <x:v>0.9166666666666666</x:v>
      </x:c>
      <x:c r="G23" s="19" t="n">
        <x:v>0.75</x:v>
      </x:c>
      <x:c r="H23" s="19" t="n">
        <x:v>0.7708333333333334</x:v>
      </x:c>
      <x:c r="I23" s="2" t="str">
        <x:v>Present</x:v>
      </x:c>
      <x:c r="J23" s="16" t="n">
        <x:f>(F23-E23-H23+G23)*24</x:f>
        <x:v>7.499999999999997</x:v>
      </x:c>
    </x:row>
    <x:row r="24" ht="22" customHeight="1">
      <x:c r="A24" s="2" t="str">
        <x:v>P17</x:v>
      </x:c>
      <x:c r="B24" s="2" t="str">
        <x:v>Ellis Vale</x:v>
      </x:c>
      <x:c r="C24" s="2" t="str">
        <x:v>Assembly</x:v>
      </x:c>
      <x:c r="D24" s="2" t="str">
        <x:v>Late shift</x:v>
      </x:c>
      <x:c r="E24" s="19" t="n">
        <x:v>0.5833333333333334</x:v>
      </x:c>
      <x:c r="F24" s="19" t="n">
        <x:v>0.9166666666666666</x:v>
      </x:c>
      <x:c r="G24" s="19" t="n">
        <x:v>0.75</x:v>
      </x:c>
      <x:c r="H24" s="19" t="n">
        <x:v>0.7708333333333334</x:v>
      </x:c>
      <x:c r="I24" s="2" t="str">
        <x:v>Present</x:v>
      </x:c>
      <x:c r="J24" s="16" t="n">
        <x:f>(F24-E24-H24+G24)*24</x:f>
        <x:v>7.499999999999997</x:v>
      </x:c>
    </x:row>
    <x:row r="25" ht="22" customHeight="1">
      <x:c r="A25" s="2" t="str">
        <x:v>P18</x:v>
      </x:c>
      <x:c r="B25" s="2" t="str">
        <x:v>Finley Vale</x:v>
      </x:c>
      <x:c r="C25" s="2" t="str">
        <x:v>Assembly</x:v>
      </x:c>
      <x:c r="D25" s="2" t="str">
        <x:v>Late shift</x:v>
      </x:c>
      <x:c r="E25" s="19" t="n">
        <x:v>0.5833333333333334</x:v>
      </x:c>
      <x:c r="F25" s="19" t="n">
        <x:v>0.9166666666666666</x:v>
      </x:c>
      <x:c r="G25" s="19" t="n">
        <x:v>0.75</x:v>
      </x:c>
      <x:c r="H25" s="19" t="n">
        <x:v>0.7708333333333334</x:v>
      </x:c>
      <x:c r="I25" s="2" t="str">
        <x:v>Present</x:v>
      </x:c>
      <x:c r="J25" s="16" t="n">
        <x:f>(F25-E25-H25+G25)*24</x:f>
        <x:v>7.499999999999997</x:v>
      </x:c>
    </x:row>
    <x:row r="26" ht="22" customHeight="1">
      <x:c r="A26" s="2" t="str">
        <x:v>P19</x:v>
      </x:c>
      <x:c r="B26" s="2" t="str">
        <x:v>Harper Vale</x:v>
      </x:c>
      <x:c r="C26" s="2" t="str">
        <x:v>Assembly</x:v>
      </x:c>
      <x:c r="D26" s="2" t="str">
        <x:v>Late shift</x:v>
      </x:c>
      <x:c r="E26" s="19" t="n">
        <x:v>0.5833333333333334</x:v>
      </x:c>
      <x:c r="F26" s="19" t="n">
        <x:v>0.9166666666666666</x:v>
      </x:c>
      <x:c r="G26" s="19" t="n">
        <x:v>0.75</x:v>
      </x:c>
      <x:c r="H26" s="19" t="n">
        <x:v>0.7708333333333334</x:v>
      </x:c>
      <x:c r="I26" s="2" t="str">
        <x:v>Present</x:v>
      </x:c>
      <x:c r="J26" s="16" t="n">
        <x:f>(F26-E26-H26+G26)*24</x:f>
        <x:v>7.499999999999997</x:v>
      </x:c>
    </x:row>
    <x:row r="27" ht="22" customHeight="1">
      <x:c r="A27" s="2" t="str">
        <x:v>P20</x:v>
      </x:c>
      <x:c r="B27" s="2" t="str">
        <x:v>Jamie Vale</x:v>
      </x:c>
      <x:c r="C27" s="2" t="str">
        <x:v>Assembly</x:v>
      </x:c>
      <x:c r="D27" s="2" t="str">
        <x:v>Late shift</x:v>
      </x:c>
      <x:c r="E27" s="19" t="n">
        <x:v>0.5833333333333334</x:v>
      </x:c>
      <x:c r="F27" s="19" t="n">
        <x:v>0.9166666666666666</x:v>
      </x:c>
      <x:c r="G27" s="19" t="n">
        <x:v>0.75</x:v>
      </x:c>
      <x:c r="H27" s="19" t="n">
        <x:v>0.7708333333333334</x:v>
      </x:c>
      <x:c r="I27" s="2" t="str">
        <x:v>Present</x:v>
      </x:c>
      <x:c r="J27" s="16" t="n">
        <x:f>(F27-E27-H27+G27)*24</x:f>
        <x:v>7.499999999999997</x:v>
      </x:c>
    </x:row>
    <x:row r="28" ht="22" customHeight="1">
      <x:c r="A28" s="2" t="str">
        <x:v>P21</x:v>
      </x:c>
      <x:c r="B28" s="2" t="str">
        <x:v>Jules Vale</x:v>
      </x:c>
      <x:c r="C28" s="2" t="str">
        <x:v>Assembly</x:v>
      </x:c>
      <x:c r="D28" s="2" t="str">
        <x:v>Late shift</x:v>
      </x:c>
      <x:c r="E28" s="19" t="n">
        <x:v>0.5833333333333334</x:v>
      </x:c>
      <x:c r="F28" s="19" t="n">
        <x:v>0.9166666666666666</x:v>
      </x:c>
      <x:c r="G28" s="19" t="n">
        <x:v>0.75</x:v>
      </x:c>
      <x:c r="H28" s="19" t="n">
        <x:v>0.7708333333333334</x:v>
      </x:c>
      <x:c r="I28" s="2" t="str">
        <x:v>Present</x:v>
      </x:c>
      <x:c r="J28" s="16" t="n">
        <x:f>(F28-E28-H28+G28)*24</x:f>
        <x:v>7.499999999999997</x:v>
      </x:c>
    </x:row>
    <x:row r="29" ht="22" customHeight="1">
      <x:c r="A29" s="2" t="str">
        <x:v>P22</x:v>
      </x:c>
      <x:c r="B29" s="2" t="str">
        <x:v>Kit Vale</x:v>
      </x:c>
      <x:c r="C29" s="2" t="str">
        <x:v>Quality</x:v>
      </x:c>
      <x:c r="D29" s="2" t="str">
        <x:v>Late shift</x:v>
      </x:c>
      <x:c r="E29" s="19" t="n">
        <x:v>0.5833333333333334</x:v>
      </x:c>
      <x:c r="F29" s="19" t="n">
        <x:v>0.9166666666666666</x:v>
      </x:c>
      <x:c r="G29" s="19" t="n">
        <x:v>0.75</x:v>
      </x:c>
      <x:c r="H29" s="19" t="n">
        <x:v>0.7708333333333334</x:v>
      </x:c>
      <x:c r="I29" s="2" t="str">
        <x:v>Present</x:v>
      </x:c>
      <x:c r="J29" s="16" t="n">
        <x:f>(F29-E29-H29+G29)*24</x:f>
        <x:v>7.499999999999997</x:v>
      </x:c>
    </x:row>
    <x:row r="30" ht="22" customHeight="1">
      <x:c r="A30" s="2" t="str">
        <x:v>P23</x:v>
      </x:c>
      <x:c r="B30" s="2" t="str">
        <x:v>Morgan Vale</x:v>
      </x:c>
      <x:c r="C30" s="2" t="str">
        <x:v>Quality</x:v>
      </x:c>
      <x:c r="D30" s="2" t="str">
        <x:v>Late shift</x:v>
      </x:c>
      <x:c r="E30" s="19" t="n">
        <x:v>0.5833333333333334</x:v>
      </x:c>
      <x:c r="F30" s="19" t="n">
        <x:v>0.9166666666666666</x:v>
      </x:c>
      <x:c r="G30" s="19" t="n">
        <x:v>0.75</x:v>
      </x:c>
      <x:c r="H30" s="19" t="n">
        <x:v>0.7708333333333334</x:v>
      </x:c>
      <x:c r="I30" s="2" t="str">
        <x:v>Present</x:v>
      </x:c>
      <x:c r="J30" s="16" t="n">
        <x:f>(F30-E30-H30+G30)*24</x:f>
        <x:v>7.499999999999997</x:v>
      </x:c>
    </x:row>
    <x:row r="31" ht="22" customHeight="1">
      <x:c r="A31" s="2" t="str">
        <x:v>P24</x:v>
      </x:c>
      <x:c r="B31" s="2" t="str">
        <x:v>Noel Vale</x:v>
      </x:c>
      <x:c r="C31" s="2" t="str">
        <x:v>Quality</x:v>
      </x:c>
      <x:c r="D31" s="2" t="str">
        <x:v>Late shift</x:v>
      </x:c>
      <x:c r="E31" s="19" t="n">
        <x:v>0.5833333333333334</x:v>
      </x:c>
      <x:c r="F31" s="19" t="n">
        <x:v>0.9166666666666666</x:v>
      </x:c>
      <x:c r="G31" s="19" t="n">
        <x:v>0.75</x:v>
      </x:c>
      <x:c r="H31" s="19" t="n">
        <x:v>0.7708333333333334</x:v>
      </x:c>
      <x:c r="I31" s="2" t="str">
        <x:v>Present</x:v>
      </x:c>
      <x:c r="J31" s="16" t="n">
        <x:f>(F31-E31-H31+G31)*24</x:f>
        <x:v>7.499999999999997</x:v>
      </x:c>
    </x:row>
  </x:sheetData>
  <x:pageMargins left="0.7" right="0.7" top="0.75" bottom="0.75" header="0.3" footer="0.3"/>
  <x:tableParts count="1">
    <x:tablePart xmlns:r="http://schemas.openxmlformats.org/officeDocument/2006/relationships" r:id="R3af085d8dbf04d0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8" hidden="0" customWidth="1"/>
    <x:col min="4" max="4" width="18" hidden="0" customWidth="1"/>
    <x:col min="5" max="5" width="24" hidden="0" customWidth="1"/>
    <x:col min="6" max="6" width="16" hidden="0" customWidth="1"/>
    <x:col min="7" max="7" width="18" hidden="0" customWidth="1"/>
    <x:col min="8" max="8" width="3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MES order snapshot</x:v>
      </x:c>
      <x:c r="B2" s="2"/>
      <x:c r="C2" s="2"/>
      <x:c r="D2" s="2"/>
      <x:c r="E2" s="2"/>
      <x:c r="F2" s="2"/>
      <x:c r="G2" s="2"/>
      <x:c r="H2" s="2"/>
    </x:row>
    <x:row r="3" ht="22" customHeight="1">
      <x:c r="A3" s="4" t="str">
        <x:v>Source: Northstar MES seed, revision 0 · This export is a fixed source snapshot. Refresh deliberately after MES changes.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2"/>
      <x:c r="B6" s="2"/>
      <x:c r="C6" s="2"/>
      <x:c r="D6" s="2"/>
      <x:c r="E6" s="2"/>
      <x:c r="F6" s="2"/>
      <x:c r="G6" s="2"/>
      <x:c r="H6" s="2"/>
    </x:row>
    <x:row r="7" ht="34" customHeight="1">
      <x:c r="A7" s="8" t="str">
        <x:v>Order</x:v>
      </x:c>
      <x:c r="B7" s="8" t="str">
        <x:v>Customer</x:v>
      </x:c>
      <x:c r="C7" s="8" t="str">
        <x:v>Article</x:v>
      </x:c>
      <x:c r="D7" s="8" t="str">
        <x:v>Quantity (pcs)</x:v>
      </x:c>
      <x:c r="E7" s="8" t="str">
        <x:v>Ship due</x:v>
      </x:c>
      <x:c r="F7" s="8" t="str">
        <x:v>Priority</x:v>
      </x:c>
      <x:c r="G7" s="8" t="str">
        <x:v>MES status</x:v>
      </x:c>
      <x:c r="H7" s="8" t="str">
        <x:v>Delivery note</x:v>
      </x:c>
    </x:row>
    <x:row r="8" ht="22" customHeight="1">
      <x:c r="A8" s="2" t="str">
        <x:v>SO-26001</x:v>
      </x:c>
      <x:c r="B8" s="2" t="str">
        <x:v>OEM 01</x:v>
      </x:c>
      <x:c r="C8" s="2" t="str">
        <x:v>D-C-AL</x:v>
      </x:c>
      <x:c r="D8" s="2" t="n">
        <x:v>25</x:v>
      </x:c>
      <x:c r="E8" s="13" t="n">
        <x:v>46302.666666666664</x:v>
      </x:c>
      <x:c r="F8" s="2" t="str">
        <x:v>Urgent</x:v>
      </x:c>
      <x:c r="G8" s="2" t="str">
        <x:v>Complete</x:v>
      </x:c>
      <x:c r="H8" s="2" t="str">
        <x:v>Ship all lots together</x:v>
      </x:c>
    </x:row>
    <x:row r="9" ht="22" customHeight="1">
      <x:c r="A9" s="2" t="str">
        <x:v>SO-26002</x:v>
      </x:c>
      <x:c r="B9" s="2" t="str">
        <x:v>OEM 02</x:v>
      </x:c>
      <x:c r="C9" s="2" t="str">
        <x:v>R-C-SS</x:v>
      </x:c>
      <x:c r="D9" s="2" t="n">
        <x:v>25</x:v>
      </x:c>
      <x:c r="E9" s="13" t="n">
        <x:v>46303.666666666664</x:v>
      </x:c>
      <x:c r="F9" s="2" t="str">
        <x:v>Normal</x:v>
      </x:c>
      <x:c r="G9" s="2" t="str">
        <x:v>Released</x:v>
      </x:c>
      <x:c r="H9" s="2" t="str"/>
    </x:row>
    <x:row r="10" ht="22" customHeight="1">
      <x:c r="A10" s="2" t="str">
        <x:v>SO-26003</x:v>
      </x:c>
      <x:c r="B10" s="2" t="str">
        <x:v>OEM 03</x:v>
      </x:c>
      <x:c r="C10" s="2" t="str">
        <x:v>S-S-AL</x:v>
      </x:c>
      <x:c r="D10" s="2" t="n">
        <x:v>75</x:v>
      </x:c>
      <x:c r="E10" s="13" t="n">
        <x:v>46304.666666666664</x:v>
      </x:c>
      <x:c r="F10" s="2" t="str">
        <x:v>Normal</x:v>
      </x:c>
      <x:c r="G10" s="2" t="str">
        <x:v>Released</x:v>
      </x:c>
      <x:c r="H10" s="2" t="str"/>
    </x:row>
    <x:row r="11" ht="22" customHeight="1">
      <x:c r="A11" s="2" t="str">
        <x:v>SO-26004</x:v>
      </x:c>
      <x:c r="B11" s="2" t="str">
        <x:v>OEM 04</x:v>
      </x:c>
      <x:c r="C11" s="2" t="str">
        <x:v>D-S-SS</x:v>
      </x:c>
      <x:c r="D11" s="2" t="n">
        <x:v>50</x:v>
      </x:c>
      <x:c r="E11" s="13" t="n">
        <x:v>46307.666666666664</x:v>
      </x:c>
      <x:c r="F11" s="2" t="str">
        <x:v>Normal</x:v>
      </x:c>
      <x:c r="G11" s="2" t="str">
        <x:v>Released</x:v>
      </x:c>
      <x:c r="H11" s="2" t="str">
        <x:v>Ship all lots together</x:v>
      </x:c>
    </x:row>
    <x:row r="12" ht="22" customHeight="1">
      <x:c r="A12" s="2" t="str">
        <x:v>SO-26005</x:v>
      </x:c>
      <x:c r="B12" s="2" t="str">
        <x:v>OEM 05</x:v>
      </x:c>
      <x:c r="C12" s="2" t="str">
        <x:v>R-L-AL</x:v>
      </x:c>
      <x:c r="D12" s="2" t="n">
        <x:v>50</x:v>
      </x:c>
      <x:c r="E12" s="13" t="n">
        <x:v>46308.666666666664</x:v>
      </x:c>
      <x:c r="F12" s="2" t="str">
        <x:v>Normal</x:v>
      </x:c>
      <x:c r="G12" s="2" t="str">
        <x:v>Released</x:v>
      </x:c>
      <x:c r="H12" s="2" t="str"/>
    </x:row>
    <x:row r="13" ht="22" customHeight="1">
      <x:c r="A13" s="2" t="str">
        <x:v>SO-26006</x:v>
      </x:c>
      <x:c r="B13" s="2" t="str">
        <x:v>OEM 06</x:v>
      </x:c>
      <x:c r="C13" s="2" t="str">
        <x:v>S-L-SS</x:v>
      </x:c>
      <x:c r="D13" s="2" t="n">
        <x:v>50</x:v>
      </x:c>
      <x:c r="E13" s="13" t="n">
        <x:v>46309.666666666664</x:v>
      </x:c>
      <x:c r="F13" s="2" t="str">
        <x:v>Normal</x:v>
      </x:c>
      <x:c r="G13" s="2" t="str">
        <x:v>Released</x:v>
      </x:c>
      <x:c r="H13" s="2" t="str"/>
    </x:row>
    <x:row r="14" ht="22" customHeight="1">
      <x:c r="A14" s="2" t="str">
        <x:v>SO-26007</x:v>
      </x:c>
      <x:c r="B14" s="2" t="str">
        <x:v>OEM 07</x:v>
      </x:c>
      <x:c r="C14" s="2" t="str">
        <x:v>R-C-AL</x:v>
      </x:c>
      <x:c r="D14" s="2" t="n">
        <x:v>25</x:v>
      </x:c>
      <x:c r="E14" s="13" t="n">
        <x:v>46310.666666666664</x:v>
      </x:c>
      <x:c r="F14" s="2" t="str">
        <x:v>Normal</x:v>
      </x:c>
      <x:c r="G14" s="2" t="str">
        <x:v>Released</x:v>
      </x:c>
      <x:c r="H14" s="2" t="str">
        <x:v>Ship all lots together</x:v>
      </x:c>
    </x:row>
    <x:row r="15" ht="22" customHeight="1">
      <x:c r="A15" s="2" t="str">
        <x:v>SO-26008</x:v>
      </x:c>
      <x:c r="B15" s="2" t="str">
        <x:v>OEM 08</x:v>
      </x:c>
      <x:c r="C15" s="2" t="str">
        <x:v>S-C-SS</x:v>
      </x:c>
      <x:c r="D15" s="2" t="n">
        <x:v>125</x:v>
      </x:c>
      <x:c r="E15" s="13" t="n">
        <x:v>46311.666666666664</x:v>
      </x:c>
      <x:c r="F15" s="2" t="str">
        <x:v>High</x:v>
      </x:c>
      <x:c r="G15" s="2" t="str">
        <x:v>Released</x:v>
      </x:c>
      <x:c r="H15" s="2" t="str"/>
    </x:row>
    <x:row r="16" ht="22" customHeight="1">
      <x:c r="A16" s="2" t="str">
        <x:v>SO-26009</x:v>
      </x:c>
      <x:c r="B16" s="2" t="str">
        <x:v>OEM 09</x:v>
      </x:c>
      <x:c r="C16" s="2" t="str">
        <x:v>D-S-AL</x:v>
      </x:c>
      <x:c r="D16" s="2" t="n">
        <x:v>25</x:v>
      </x:c>
      <x:c r="E16" s="13" t="n">
        <x:v>46302.666666666664</x:v>
      </x:c>
      <x:c r="F16" s="2" t="str">
        <x:v>Normal</x:v>
      </x:c>
      <x:c r="G16" s="2" t="str">
        <x:v>In progress</x:v>
      </x:c>
      <x:c r="H16" s="2" t="str"/>
    </x:row>
    <x:row r="17" ht="22" customHeight="1">
      <x:c r="A17" s="2" t="str">
        <x:v>SO-26010</x:v>
      </x:c>
      <x:c r="B17" s="2" t="str">
        <x:v>OEM 10</x:v>
      </x:c>
      <x:c r="C17" s="2" t="str">
        <x:v>R-S-SS</x:v>
      </x:c>
      <x:c r="D17" s="2" t="n">
        <x:v>125</x:v>
      </x:c>
      <x:c r="E17" s="13" t="n">
        <x:v>46303.666666666664</x:v>
      </x:c>
      <x:c r="F17" s="2" t="str">
        <x:v>Normal</x:v>
      </x:c>
      <x:c r="G17" s="2" t="str">
        <x:v>Released</x:v>
      </x:c>
      <x:c r="H17" s="2" t="str">
        <x:v>Ship all lots together</x:v>
      </x:c>
    </x:row>
    <x:row r="18" ht="22" customHeight="1">
      <x:c r="A18" s="2" t="str">
        <x:v>SO-26011</x:v>
      </x:c>
      <x:c r="B18" s="2" t="str">
        <x:v>OEM 11</x:v>
      </x:c>
      <x:c r="C18" s="2" t="str">
        <x:v>S-L-AL</x:v>
      </x:c>
      <x:c r="D18" s="2" t="n">
        <x:v>100</x:v>
      </x:c>
      <x:c r="E18" s="13" t="n">
        <x:v>46304.666666666664</x:v>
      </x:c>
      <x:c r="F18" s="2" t="str">
        <x:v>Normal</x:v>
      </x:c>
      <x:c r="G18" s="2" t="str">
        <x:v>Released</x:v>
      </x:c>
      <x:c r="H18" s="2" t="str"/>
    </x:row>
    <x:row r="19" ht="22" customHeight="1">
      <x:c r="A19" s="2" t="str">
        <x:v>SO-26012</x:v>
      </x:c>
      <x:c r="B19" s="2" t="str">
        <x:v>OEM 12</x:v>
      </x:c>
      <x:c r="C19" s="2" t="str">
        <x:v>D-L-SS</x:v>
      </x:c>
      <x:c r="D19" s="2" t="n">
        <x:v>25</x:v>
      </x:c>
      <x:c r="E19" s="13" t="n">
        <x:v>46307.666666666664</x:v>
      </x:c>
      <x:c r="F19" s="2" t="str">
        <x:v>Normal</x:v>
      </x:c>
      <x:c r="G19" s="2" t="str">
        <x:v>Released</x:v>
      </x:c>
      <x:c r="H19" s="2" t="str"/>
    </x:row>
    <x:row r="20" ht="22" customHeight="1">
      <x:c r="A20" s="2" t="str">
        <x:v>SO-26013</x:v>
      </x:c>
      <x:c r="B20" s="2" t="str">
        <x:v>OEM 01</x:v>
      </x:c>
      <x:c r="C20" s="2" t="str">
        <x:v>S-C-AL</x:v>
      </x:c>
      <x:c r="D20" s="2" t="n">
        <x:v>25</x:v>
      </x:c>
      <x:c r="E20" s="13" t="n">
        <x:v>46308.666666666664</x:v>
      </x:c>
      <x:c r="F20" s="2" t="str">
        <x:v>Normal</x:v>
      </x:c>
      <x:c r="G20" s="2" t="str">
        <x:v>Released</x:v>
      </x:c>
      <x:c r="H20" s="2" t="str">
        <x:v>Ship all lots together</x:v>
      </x:c>
    </x:row>
    <x:row r="21" ht="22" customHeight="1">
      <x:c r="A21" s="2" t="str">
        <x:v>SO-26014</x:v>
      </x:c>
      <x:c r="B21" s="2" t="str">
        <x:v>OEM 02</x:v>
      </x:c>
      <x:c r="C21" s="2" t="str">
        <x:v>D-C-SS</x:v>
      </x:c>
      <x:c r="D21" s="2" t="n">
        <x:v>25</x:v>
      </x:c>
      <x:c r="E21" s="13" t="n">
        <x:v>46309.666666666664</x:v>
      </x:c>
      <x:c r="F21" s="2" t="str">
        <x:v>Normal</x:v>
      </x:c>
      <x:c r="G21" s="2" t="str">
        <x:v>Released</x:v>
      </x:c>
      <x:c r="H21" s="2" t="str"/>
    </x:row>
    <x:row r="22" ht="22" customHeight="1">
      <x:c r="A22" s="2" t="str">
        <x:v>SO-26015</x:v>
      </x:c>
      <x:c r="B22" s="2" t="str">
        <x:v>OEM 03</x:v>
      </x:c>
      <x:c r="C22" s="2" t="str">
        <x:v>R-S-AL</x:v>
      </x:c>
      <x:c r="D22" s="2" t="n">
        <x:v>50</x:v>
      </x:c>
      <x:c r="E22" s="13" t="n">
        <x:v>46310.666666666664</x:v>
      </x:c>
      <x:c r="F22" s="2" t="str">
        <x:v>High</x:v>
      </x:c>
      <x:c r="G22" s="2" t="str">
        <x:v>Released</x:v>
      </x:c>
      <x:c r="H22" s="2" t="str"/>
    </x:row>
    <x:row r="23" ht="22" customHeight="1">
      <x:c r="A23" s="2" t="str">
        <x:v>SO-26016</x:v>
      </x:c>
      <x:c r="B23" s="2" t="str">
        <x:v>OEM 04</x:v>
      </x:c>
      <x:c r="C23" s="2" t="str">
        <x:v>S-S-SS</x:v>
      </x:c>
      <x:c r="D23" s="2" t="n">
        <x:v>50</x:v>
      </x:c>
      <x:c r="E23" s="13" t="n">
        <x:v>46311.666666666664</x:v>
      </x:c>
      <x:c r="F23" s="2" t="str">
        <x:v>Normal</x:v>
      </x:c>
      <x:c r="G23" s="2" t="str">
        <x:v>Released</x:v>
      </x:c>
      <x:c r="H23" s="2" t="str">
        <x:v>Ship all lots together</x:v>
      </x:c>
    </x:row>
    <x:row r="24" ht="22" customHeight="1">
      <x:c r="A24" s="2" t="str">
        <x:v>SO-26017</x:v>
      </x:c>
      <x:c r="B24" s="2" t="str">
        <x:v>OEM 05</x:v>
      </x:c>
      <x:c r="C24" s="2" t="str">
        <x:v>D-L-AL</x:v>
      </x:c>
      <x:c r="D24" s="2" t="n">
        <x:v>125</x:v>
      </x:c>
      <x:c r="E24" s="13" t="n">
        <x:v>46302.666666666664</x:v>
      </x:c>
      <x:c r="F24" s="2" t="str">
        <x:v>Normal</x:v>
      </x:c>
      <x:c r="G24" s="2" t="str">
        <x:v>In progress</x:v>
      </x:c>
      <x:c r="H24" s="2" t="str"/>
    </x:row>
    <x:row r="25" ht="22" customHeight="1">
      <x:c r="A25" s="2" t="str">
        <x:v>SO-26018</x:v>
      </x:c>
      <x:c r="B25" s="2" t="str">
        <x:v>OEM 06</x:v>
      </x:c>
      <x:c r="C25" s="2" t="str">
        <x:v>R-L-SS</x:v>
      </x:c>
      <x:c r="D25" s="2" t="n">
        <x:v>125</x:v>
      </x:c>
      <x:c r="E25" s="13" t="n">
        <x:v>46303.666666666664</x:v>
      </x:c>
      <x:c r="F25" s="2" t="str">
        <x:v>Normal</x:v>
      </x:c>
      <x:c r="G25" s="2" t="str">
        <x:v>Released</x:v>
      </x:c>
      <x:c r="H25" s="2" t="str"/>
    </x:row>
    <x:row r="26" ht="22" customHeight="1">
      <x:c r="A26" s="2" t="str">
        <x:v>SO-26019</x:v>
      </x:c>
      <x:c r="B26" s="2" t="str">
        <x:v>OEM 07</x:v>
      </x:c>
      <x:c r="C26" s="2" t="str">
        <x:v>D-C-AL</x:v>
      </x:c>
      <x:c r="D26" s="2" t="n">
        <x:v>25</x:v>
      </x:c>
      <x:c r="E26" s="13" t="n">
        <x:v>46304.666666666664</x:v>
      </x:c>
      <x:c r="F26" s="2" t="str">
        <x:v>Normal</x:v>
      </x:c>
      <x:c r="G26" s="2" t="str">
        <x:v>Released</x:v>
      </x:c>
      <x:c r="H26" s="2" t="str">
        <x:v>Ship all lots together</x:v>
      </x:c>
    </x:row>
    <x:row r="27" ht="22" customHeight="1">
      <x:c r="A27" s="2" t="str">
        <x:v>SO-26020</x:v>
      </x:c>
      <x:c r="B27" s="2" t="str">
        <x:v>OEM 08</x:v>
      </x:c>
      <x:c r="C27" s="2" t="str">
        <x:v>R-C-SS</x:v>
      </x:c>
      <x:c r="D27" s="2" t="n">
        <x:v>125</x:v>
      </x:c>
      <x:c r="E27" s="13" t="n">
        <x:v>46307.666666666664</x:v>
      </x:c>
      <x:c r="F27" s="2" t="str">
        <x:v>Normal</x:v>
      </x:c>
      <x:c r="G27" s="2" t="str">
        <x:v>Released</x:v>
      </x:c>
      <x:c r="H27" s="2" t="str"/>
    </x:row>
    <x:row r="28" ht="22" customHeight="1">
      <x:c r="A28" s="2" t="str">
        <x:v>SO-26021</x:v>
      </x:c>
      <x:c r="B28" s="2" t="str">
        <x:v>OEM 09</x:v>
      </x:c>
      <x:c r="C28" s="2" t="str">
        <x:v>S-S-AL</x:v>
      </x:c>
      <x:c r="D28" s="2" t="n">
        <x:v>50</x:v>
      </x:c>
      <x:c r="E28" s="13" t="n">
        <x:v>46308.666666666664</x:v>
      </x:c>
      <x:c r="F28" s="2" t="str">
        <x:v>Normal</x:v>
      </x:c>
      <x:c r="G28" s="2" t="str">
        <x:v>Released</x:v>
      </x:c>
      <x:c r="H28" s="2" t="str"/>
    </x:row>
    <x:row r="29" ht="22" customHeight="1">
      <x:c r="A29" s="2" t="str">
        <x:v>SO-26022</x:v>
      </x:c>
      <x:c r="B29" s="2" t="str">
        <x:v>OEM 10</x:v>
      </x:c>
      <x:c r="C29" s="2" t="str">
        <x:v>D-S-SS</x:v>
      </x:c>
      <x:c r="D29" s="2" t="n">
        <x:v>125</x:v>
      </x:c>
      <x:c r="E29" s="13" t="n">
        <x:v>46309.666666666664</x:v>
      </x:c>
      <x:c r="F29" s="2" t="str">
        <x:v>High</x:v>
      </x:c>
      <x:c r="G29" s="2" t="str">
        <x:v>Released</x:v>
      </x:c>
      <x:c r="H29" s="2" t="str">
        <x:v>Ship all lots together</x:v>
      </x:c>
    </x:row>
    <x:row r="30" ht="22" customHeight="1">
      <x:c r="A30" s="2" t="str">
        <x:v>SO-26023</x:v>
      </x:c>
      <x:c r="B30" s="2" t="str">
        <x:v>OEM 11</x:v>
      </x:c>
      <x:c r="C30" s="2" t="str">
        <x:v>R-L-AL</x:v>
      </x:c>
      <x:c r="D30" s="2" t="n">
        <x:v>100</x:v>
      </x:c>
      <x:c r="E30" s="13" t="n">
        <x:v>46310.666666666664</x:v>
      </x:c>
      <x:c r="F30" s="2" t="str">
        <x:v>Normal</x:v>
      </x:c>
      <x:c r="G30" s="2" t="str">
        <x:v>Released</x:v>
      </x:c>
      <x:c r="H30" s="2" t="str"/>
    </x:row>
    <x:row r="31" ht="22" customHeight="1">
      <x:c r="A31" s="2" t="str">
        <x:v>SO-26024</x:v>
      </x:c>
      <x:c r="B31" s="2" t="str">
        <x:v>OEM 12</x:v>
      </x:c>
      <x:c r="C31" s="2" t="str">
        <x:v>S-L-SS</x:v>
      </x:c>
      <x:c r="D31" s="2" t="n">
        <x:v>50</x:v>
      </x:c>
      <x:c r="E31" s="13" t="n">
        <x:v>46311.666666666664</x:v>
      </x:c>
      <x:c r="F31" s="2" t="str">
        <x:v>Urgent</x:v>
      </x:c>
      <x:c r="G31" s="2" t="str">
        <x:v>Released</x:v>
      </x:c>
      <x:c r="H31" s="2" t="str"/>
    </x:row>
    <x:row r="32" ht="22" customHeight="1">
      <x:c r="A32" s="2" t="str">
        <x:v>SO-26025</x:v>
      </x:c>
      <x:c r="B32" s="2" t="str">
        <x:v>OEM 01</x:v>
      </x:c>
      <x:c r="C32" s="2" t="str">
        <x:v>R-C-AL</x:v>
      </x:c>
      <x:c r="D32" s="2" t="n">
        <x:v>100</x:v>
      </x:c>
      <x:c r="E32" s="13" t="n">
        <x:v>46302.666666666664</x:v>
      </x:c>
      <x:c r="F32" s="2" t="str">
        <x:v>Normal</x:v>
      </x:c>
      <x:c r="G32" s="2" t="str">
        <x:v>In progress</x:v>
      </x:c>
      <x:c r="H32" s="2" t="str">
        <x:v>Ship all lots together</x:v>
      </x:c>
    </x:row>
    <x:row r="33" ht="22" customHeight="1">
      <x:c r="A33" s="2" t="str">
        <x:v>SO-26026</x:v>
      </x:c>
      <x:c r="B33" s="2" t="str">
        <x:v>OEM 02</x:v>
      </x:c>
      <x:c r="C33" s="2" t="str">
        <x:v>S-C-SS</x:v>
      </x:c>
      <x:c r="D33" s="2" t="n">
        <x:v>125</x:v>
      </x:c>
      <x:c r="E33" s="13" t="n">
        <x:v>46303.666666666664</x:v>
      </x:c>
      <x:c r="F33" s="2" t="str">
        <x:v>Normal</x:v>
      </x:c>
      <x:c r="G33" s="2" t="str">
        <x:v>Released</x:v>
      </x:c>
      <x:c r="H33" s="2" t="str"/>
    </x:row>
    <x:row r="34" ht="22" customHeight="1">
      <x:c r="A34" s="2" t="str">
        <x:v>SO-26027</x:v>
      </x:c>
      <x:c r="B34" s="2" t="str">
        <x:v>OEM 03</x:v>
      </x:c>
      <x:c r="C34" s="2" t="str">
        <x:v>D-S-AL</x:v>
      </x:c>
      <x:c r="D34" s="2" t="n">
        <x:v>75</x:v>
      </x:c>
      <x:c r="E34" s="13" t="n">
        <x:v>46304.666666666664</x:v>
      </x:c>
      <x:c r="F34" s="2" t="str">
        <x:v>Normal</x:v>
      </x:c>
      <x:c r="G34" s="2" t="str">
        <x:v>Released</x:v>
      </x:c>
      <x:c r="H34" s="2" t="str"/>
    </x:row>
    <x:row r="35" ht="22" customHeight="1">
      <x:c r="A35" s="2" t="str">
        <x:v>SO-26028</x:v>
      </x:c>
      <x:c r="B35" s="2" t="str">
        <x:v>OEM 04</x:v>
      </x:c>
      <x:c r="C35" s="2" t="str">
        <x:v>R-S-SS</x:v>
      </x:c>
      <x:c r="D35" s="2" t="n">
        <x:v>25</x:v>
      </x:c>
      <x:c r="E35" s="13" t="n">
        <x:v>46307.666666666664</x:v>
      </x:c>
      <x:c r="F35" s="2" t="str">
        <x:v>Normal</x:v>
      </x:c>
      <x:c r="G35" s="2" t="str">
        <x:v>Released</x:v>
      </x:c>
      <x:c r="H35" s="2" t="str">
        <x:v>Ship all lots together</x:v>
      </x:c>
    </x:row>
    <x:row r="36" ht="22" customHeight="1">
      <x:c r="A36" s="2" t="str">
        <x:v>SO-26029</x:v>
      </x:c>
      <x:c r="B36" s="2" t="str">
        <x:v>OEM 05</x:v>
      </x:c>
      <x:c r="C36" s="2" t="str">
        <x:v>S-L-AL</x:v>
      </x:c>
      <x:c r="D36" s="2" t="n">
        <x:v>50</x:v>
      </x:c>
      <x:c r="E36" s="13" t="n">
        <x:v>46308.666666666664</x:v>
      </x:c>
      <x:c r="F36" s="2" t="str">
        <x:v>High</x:v>
      </x:c>
      <x:c r="G36" s="2" t="str">
        <x:v>Released</x:v>
      </x:c>
      <x:c r="H36" s="2" t="str"/>
    </x:row>
    <x:row r="37" ht="22" customHeight="1">
      <x:c r="A37" s="2" t="str">
        <x:v>SO-26030</x:v>
      </x:c>
      <x:c r="B37" s="2" t="str">
        <x:v>OEM 06</x:v>
      </x:c>
      <x:c r="C37" s="2" t="str">
        <x:v>D-L-SS</x:v>
      </x:c>
      <x:c r="D37" s="2" t="n">
        <x:v>100</x:v>
      </x:c>
      <x:c r="E37" s="13" t="n">
        <x:v>46309.666666666664</x:v>
      </x:c>
      <x:c r="F37" s="2" t="str">
        <x:v>Normal</x:v>
      </x:c>
      <x:c r="G37" s="2" t="str">
        <x:v>Released</x:v>
      </x:c>
      <x:c r="H37" s="2" t="str"/>
    </x:row>
    <x:row r="38" ht="22" customHeight="1">
      <x:c r="A38" s="2" t="str">
        <x:v>SO-26031</x:v>
      </x:c>
      <x:c r="B38" s="2" t="str">
        <x:v>OEM 07</x:v>
      </x:c>
      <x:c r="C38" s="2" t="str">
        <x:v>S-C-AL</x:v>
      </x:c>
      <x:c r="D38" s="2" t="n">
        <x:v>75</x:v>
      </x:c>
      <x:c r="E38" s="13" t="n">
        <x:v>46310.666666666664</x:v>
      </x:c>
      <x:c r="F38" s="2" t="str">
        <x:v>Normal</x:v>
      </x:c>
      <x:c r="G38" s="2" t="str">
        <x:v>Released</x:v>
      </x:c>
      <x:c r="H38" s="2" t="str">
        <x:v>Ship all lots together</x:v>
      </x:c>
    </x:row>
    <x:row r="39" ht="22" customHeight="1">
      <x:c r="A39" s="2" t="str">
        <x:v>SO-26032</x:v>
      </x:c>
      <x:c r="B39" s="2" t="str">
        <x:v>OEM 08</x:v>
      </x:c>
      <x:c r="C39" s="2" t="str">
        <x:v>D-C-SS</x:v>
      </x:c>
      <x:c r="D39" s="2" t="n">
        <x:v>75</x:v>
      </x:c>
      <x:c r="E39" s="13" t="n">
        <x:v>46311.666666666664</x:v>
      </x:c>
      <x:c r="F39" s="2" t="str">
        <x:v>Normal</x:v>
      </x:c>
      <x:c r="G39" s="2" t="str">
        <x:v>Released</x:v>
      </x:c>
      <x:c r="H39" s="2" t="str"/>
    </x:row>
    <x:row r="40" ht="22" customHeight="1">
      <x:c r="A40" s="2" t="str">
        <x:v>SO-26033</x:v>
      </x:c>
      <x:c r="B40" s="2" t="str">
        <x:v>OEM 09</x:v>
      </x:c>
      <x:c r="C40" s="2" t="str">
        <x:v>R-S-AL</x:v>
      </x:c>
      <x:c r="D40" s="2" t="n">
        <x:v>50</x:v>
      </x:c>
      <x:c r="E40" s="13" t="n">
        <x:v>46302.666666666664</x:v>
      </x:c>
      <x:c r="F40" s="2" t="str">
        <x:v>Normal</x:v>
      </x:c>
      <x:c r="G40" s="2" t="str">
        <x:v>Released</x:v>
      </x:c>
      <x:c r="H40" s="2" t="str"/>
    </x:row>
    <x:row r="41" ht="22" customHeight="1">
      <x:c r="A41" s="2" t="str">
        <x:v>SO-26034</x:v>
      </x:c>
      <x:c r="B41" s="2" t="str">
        <x:v>OEM 10</x:v>
      </x:c>
      <x:c r="C41" s="2" t="str">
        <x:v>S-S-SS</x:v>
      </x:c>
      <x:c r="D41" s="2" t="n">
        <x:v>50</x:v>
      </x:c>
      <x:c r="E41" s="13" t="n">
        <x:v>46303.666666666664</x:v>
      </x:c>
      <x:c r="F41" s="2" t="str">
        <x:v>Normal</x:v>
      </x:c>
      <x:c r="G41" s="2" t="str">
        <x:v>Released</x:v>
      </x:c>
      <x:c r="H41" s="2" t="str">
        <x:v>Ship all lots together</x:v>
      </x:c>
    </x:row>
    <x:row r="42" ht="22" customHeight="1">
      <x:c r="A42" s="2" t="str">
        <x:v>SO-26035</x:v>
      </x:c>
      <x:c r="B42" s="2" t="str">
        <x:v>OEM 11</x:v>
      </x:c>
      <x:c r="C42" s="2" t="str">
        <x:v>D-L-AL</x:v>
      </x:c>
      <x:c r="D42" s="2" t="n">
        <x:v>75</x:v>
      </x:c>
      <x:c r="E42" s="13" t="n">
        <x:v>46304.666666666664</x:v>
      </x:c>
      <x:c r="F42" s="2" t="str">
        <x:v>Normal</x:v>
      </x:c>
      <x:c r="G42" s="2" t="str">
        <x:v>Released</x:v>
      </x:c>
      <x:c r="H42" s="2" t="str"/>
    </x:row>
    <x:row r="43" ht="22" customHeight="1">
      <x:c r="A43" s="2" t="str">
        <x:v>SO-26036</x:v>
      </x:c>
      <x:c r="B43" s="2" t="str">
        <x:v>OEM 12</x:v>
      </x:c>
      <x:c r="C43" s="2" t="str">
        <x:v>R-L-SS</x:v>
      </x:c>
      <x:c r="D43" s="2" t="n">
        <x:v>25</x:v>
      </x:c>
      <x:c r="E43" s="13" t="n">
        <x:v>46307.666666666664</x:v>
      </x:c>
      <x:c r="F43" s="2" t="str">
        <x:v>High</x:v>
      </x:c>
      <x:c r="G43" s="2" t="str">
        <x:v>Released</x:v>
      </x:c>
      <x:c r="H43" s="2" t="str"/>
    </x:row>
    <x:row r="44" ht="22" customHeight="1">
      <x:c r="A44" s="2" t="str">
        <x:v>SO-26037</x:v>
      </x:c>
      <x:c r="B44" s="2" t="str">
        <x:v>OEM 01</x:v>
      </x:c>
      <x:c r="C44" s="2" t="str">
        <x:v>D-C-AL</x:v>
      </x:c>
      <x:c r="D44" s="2" t="n">
        <x:v>25</x:v>
      </x:c>
      <x:c r="E44" s="13" t="n">
        <x:v>46308.666666666664</x:v>
      </x:c>
      <x:c r="F44" s="2" t="str">
        <x:v>Normal</x:v>
      </x:c>
      <x:c r="G44" s="2" t="str">
        <x:v>Released</x:v>
      </x:c>
      <x:c r="H44" s="2" t="str">
        <x:v>Ship all lots together</x:v>
      </x:c>
    </x:row>
    <x:row r="45" ht="22" customHeight="1">
      <x:c r="A45" s="2" t="str">
        <x:v>SO-26038</x:v>
      </x:c>
      <x:c r="B45" s="2" t="str">
        <x:v>OEM 02</x:v>
      </x:c>
      <x:c r="C45" s="2" t="str">
        <x:v>R-C-SS</x:v>
      </x:c>
      <x:c r="D45" s="2" t="n">
        <x:v>100</x:v>
      </x:c>
      <x:c r="E45" s="13" t="n">
        <x:v>46309.666666666664</x:v>
      </x:c>
      <x:c r="F45" s="2" t="str">
        <x:v>Normal</x:v>
      </x:c>
      <x:c r="G45" s="2" t="str">
        <x:v>Released</x:v>
      </x:c>
      <x:c r="H45" s="2" t="str"/>
    </x:row>
    <x:row r="46" ht="22" customHeight="1">
      <x:c r="A46" s="2" t="str">
        <x:v>SO-26039</x:v>
      </x:c>
      <x:c r="B46" s="2" t="str">
        <x:v>OEM 03</x:v>
      </x:c>
      <x:c r="C46" s="2" t="str">
        <x:v>S-S-AL</x:v>
      </x:c>
      <x:c r="D46" s="2" t="n">
        <x:v>25</x:v>
      </x:c>
      <x:c r="E46" s="13" t="n">
        <x:v>46310.666666666664</x:v>
      </x:c>
      <x:c r="F46" s="2" t="str">
        <x:v>Normal</x:v>
      </x:c>
      <x:c r="G46" s="2" t="str">
        <x:v>Released</x:v>
      </x:c>
      <x:c r="H46" s="2" t="str"/>
    </x:row>
    <x:row r="47" ht="22" customHeight="1">
      <x:c r="A47" s="2" t="str">
        <x:v>SO-26040</x:v>
      </x:c>
      <x:c r="B47" s="2" t="str">
        <x:v>OEM 04</x:v>
      </x:c>
      <x:c r="C47" s="2" t="str">
        <x:v>D-S-SS</x:v>
      </x:c>
      <x:c r="D47" s="2" t="n">
        <x:v>75</x:v>
      </x:c>
      <x:c r="E47" s="13" t="n">
        <x:v>46311.666666666664</x:v>
      </x:c>
      <x:c r="F47" s="2" t="str">
        <x:v>Normal</x:v>
      </x:c>
      <x:c r="G47" s="2" t="str">
        <x:v>Released</x:v>
      </x:c>
      <x:c r="H47" s="2" t="str">
        <x:v>Ship all lots together</x:v>
      </x:c>
    </x:row>
    <x:row r="48" ht="22" customHeight="1">
      <x:c r="A48" s="2" t="str">
        <x:v>SO-26041</x:v>
      </x:c>
      <x:c r="B48" s="2" t="str">
        <x:v>OEM 05</x:v>
      </x:c>
      <x:c r="C48" s="2" t="str">
        <x:v>R-L-AL</x:v>
      </x:c>
      <x:c r="D48" s="2" t="n">
        <x:v>75</x:v>
      </x:c>
      <x:c r="E48" s="13" t="n">
        <x:v>46302.666666666664</x:v>
      </x:c>
      <x:c r="F48" s="2" t="str">
        <x:v>Normal</x:v>
      </x:c>
      <x:c r="G48" s="2" t="str">
        <x:v>Released</x:v>
      </x:c>
      <x:c r="H48" s="2" t="str"/>
    </x:row>
    <x:row r="49" ht="22" customHeight="1">
      <x:c r="A49" s="2" t="str">
        <x:v>SO-26042</x:v>
      </x:c>
      <x:c r="B49" s="2" t="str">
        <x:v>OEM 06</x:v>
      </x:c>
      <x:c r="C49" s="2" t="str">
        <x:v>S-L-SS</x:v>
      </x:c>
      <x:c r="D49" s="2" t="n">
        <x:v>125</x:v>
      </x:c>
      <x:c r="E49" s="13" t="n">
        <x:v>46303.666666666664</x:v>
      </x:c>
      <x:c r="F49" s="2" t="str">
        <x:v>Normal</x:v>
      </x:c>
      <x:c r="G49" s="2" t="str">
        <x:v>Released</x:v>
      </x:c>
      <x:c r="H49" s="2" t="str"/>
    </x:row>
    <x:row r="50" ht="22" customHeight="1">
      <x:c r="A50" s="2" t="str">
        <x:v>SO-26043</x:v>
      </x:c>
      <x:c r="B50" s="2" t="str">
        <x:v>OEM 07</x:v>
      </x:c>
      <x:c r="C50" s="2" t="str">
        <x:v>R-C-AL</x:v>
      </x:c>
      <x:c r="D50" s="2" t="n">
        <x:v>75</x:v>
      </x:c>
      <x:c r="E50" s="13" t="n">
        <x:v>46304.666666666664</x:v>
      </x:c>
      <x:c r="F50" s="2" t="str">
        <x:v>High</x:v>
      </x:c>
      <x:c r="G50" s="2" t="str">
        <x:v>Released</x:v>
      </x:c>
      <x:c r="H50" s="2" t="str">
        <x:v>Ship all lots together</x:v>
      </x:c>
    </x:row>
    <x:row r="51" ht="22" customHeight="1">
      <x:c r="A51" s="2" t="str">
        <x:v>SO-26044</x:v>
      </x:c>
      <x:c r="B51" s="2" t="str">
        <x:v>OEM 08</x:v>
      </x:c>
      <x:c r="C51" s="2" t="str">
        <x:v>S-C-SS</x:v>
      </x:c>
      <x:c r="D51" s="2" t="n">
        <x:v>25</x:v>
      </x:c>
      <x:c r="E51" s="13" t="n">
        <x:v>46307.666666666664</x:v>
      </x:c>
      <x:c r="F51" s="2" t="str">
        <x:v>Normal</x:v>
      </x:c>
      <x:c r="G51" s="2" t="str">
        <x:v>Released</x:v>
      </x:c>
      <x:c r="H51" s="2" t="str"/>
    </x:row>
    <x:row r="52" ht="22" customHeight="1">
      <x:c r="A52" s="2" t="str">
        <x:v>SO-26045</x:v>
      </x:c>
      <x:c r="B52" s="2" t="str">
        <x:v>OEM 09</x:v>
      </x:c>
      <x:c r="C52" s="2" t="str">
        <x:v>D-S-AL</x:v>
      </x:c>
      <x:c r="D52" s="2" t="n">
        <x:v>100</x:v>
      </x:c>
      <x:c r="E52" s="13" t="n">
        <x:v>46308.666666666664</x:v>
      </x:c>
      <x:c r="F52" s="2" t="str">
        <x:v>Normal</x:v>
      </x:c>
      <x:c r="G52" s="2" t="str">
        <x:v>Released</x:v>
      </x:c>
      <x:c r="H52" s="2" t="str"/>
    </x:row>
    <x:row r="53" ht="22" customHeight="1">
      <x:c r="A53" s="2" t="str">
        <x:v>SO-26046</x:v>
      </x:c>
      <x:c r="B53" s="2" t="str">
        <x:v>OEM 10</x:v>
      </x:c>
      <x:c r="C53" s="2" t="str">
        <x:v>R-S-SS</x:v>
      </x:c>
      <x:c r="D53" s="2" t="n">
        <x:v>125</x:v>
      </x:c>
      <x:c r="E53" s="13" t="n">
        <x:v>46309.666666666664</x:v>
      </x:c>
      <x:c r="F53" s="2" t="str">
        <x:v>Normal</x:v>
      </x:c>
      <x:c r="G53" s="2" t="str">
        <x:v>Released</x:v>
      </x:c>
      <x:c r="H53" s="2" t="str">
        <x:v>Ship all lots together</x:v>
      </x:c>
    </x:row>
    <x:row r="54" ht="22" customHeight="1">
      <x:c r="A54" s="2" t="str">
        <x:v>SO-26047</x:v>
      </x:c>
      <x:c r="B54" s="2" t="str">
        <x:v>OEM 11</x:v>
      </x:c>
      <x:c r="C54" s="2" t="str">
        <x:v>S-L-AL</x:v>
      </x:c>
      <x:c r="D54" s="2" t="n">
        <x:v>25</x:v>
      </x:c>
      <x:c r="E54" s="13" t="n">
        <x:v>46310.666666666664</x:v>
      </x:c>
      <x:c r="F54" s="2" t="str">
        <x:v>Urgent</x:v>
      </x:c>
      <x:c r="G54" s="2" t="str">
        <x:v>Released</x:v>
      </x:c>
      <x:c r="H54" s="2" t="str"/>
    </x:row>
    <x:row r="55" ht="22" customHeight="1">
      <x:c r="A55" s="2" t="str">
        <x:v>SO-26048</x:v>
      </x:c>
      <x:c r="B55" s="2" t="str">
        <x:v>OEM 12</x:v>
      </x:c>
      <x:c r="C55" s="2" t="str">
        <x:v>D-L-SS</x:v>
      </x:c>
      <x:c r="D55" s="2" t="n">
        <x:v>100</x:v>
      </x:c>
      <x:c r="E55" s="13" t="n">
        <x:v>46311.666666666664</x:v>
      </x:c>
      <x:c r="F55" s="2" t="str">
        <x:v>Normal</x:v>
      </x:c>
      <x:c r="G55" s="2" t="str">
        <x:v>Released</x:v>
      </x:c>
      <x:c r="H55" s="2" t="str"/>
    </x:row>
    <x:row r="56" ht="22" customHeight="1">
      <x:c r="A56" s="2" t="str">
        <x:v>SO-26049</x:v>
      </x:c>
      <x:c r="B56" s="2" t="str">
        <x:v>OEM 01</x:v>
      </x:c>
      <x:c r="C56" s="2" t="str">
        <x:v>S-C-AL</x:v>
      </x:c>
      <x:c r="D56" s="2" t="n">
        <x:v>25</x:v>
      </x:c>
      <x:c r="E56" s="13" t="n">
        <x:v>46302.666666666664</x:v>
      </x:c>
      <x:c r="F56" s="2" t="str">
        <x:v>Normal</x:v>
      </x:c>
      <x:c r="G56" s="2" t="str">
        <x:v>Released</x:v>
      </x:c>
      <x:c r="H56" s="2" t="str">
        <x:v>Ship all lots together</x:v>
      </x:c>
    </x:row>
    <x:row r="57" ht="22" customHeight="1">
      <x:c r="A57" s="2" t="str">
        <x:v>SO-26050</x:v>
      </x:c>
      <x:c r="B57" s="2" t="str">
        <x:v>OEM 02</x:v>
      </x:c>
      <x:c r="C57" s="2" t="str">
        <x:v>D-C-SS</x:v>
      </x:c>
      <x:c r="D57" s="2" t="n">
        <x:v>125</x:v>
      </x:c>
      <x:c r="E57" s="13" t="n">
        <x:v>46303.666666666664</x:v>
      </x:c>
      <x:c r="F57" s="2" t="str">
        <x:v>High</x:v>
      </x:c>
      <x:c r="G57" s="2" t="str">
        <x:v>Released</x:v>
      </x:c>
      <x:c r="H57" s="2" t="str"/>
    </x:row>
    <x:row r="58" ht="22" customHeight="1">
      <x:c r="A58" s="2" t="str">
        <x:v>SO-26051</x:v>
      </x:c>
      <x:c r="B58" s="2" t="str">
        <x:v>OEM 03</x:v>
      </x:c>
      <x:c r="C58" s="2" t="str">
        <x:v>R-S-AL</x:v>
      </x:c>
      <x:c r="D58" s="2" t="n">
        <x:v>75</x:v>
      </x:c>
      <x:c r="E58" s="13" t="n">
        <x:v>46304.666666666664</x:v>
      </x:c>
      <x:c r="F58" s="2" t="str">
        <x:v>Normal</x:v>
      </x:c>
      <x:c r="G58" s="2" t="str">
        <x:v>Released</x:v>
      </x:c>
      <x:c r="H58" s="2" t="str"/>
    </x:row>
    <x:row r="59" ht="22" customHeight="1">
      <x:c r="A59" s="2" t="str">
        <x:v>SO-26052</x:v>
      </x:c>
      <x:c r="B59" s="2" t="str">
        <x:v>OEM 04</x:v>
      </x:c>
      <x:c r="C59" s="2" t="str">
        <x:v>S-S-SS</x:v>
      </x:c>
      <x:c r="D59" s="2" t="n">
        <x:v>125</x:v>
      </x:c>
      <x:c r="E59" s="13" t="n">
        <x:v>46307.666666666664</x:v>
      </x:c>
      <x:c r="F59" s="2" t="str">
        <x:v>Normal</x:v>
      </x:c>
      <x:c r="G59" s="2" t="str">
        <x:v>Released</x:v>
      </x:c>
      <x:c r="H59" s="2" t="str">
        <x:v>Ship all lots together</x:v>
      </x:c>
    </x:row>
    <x:row r="60" ht="22" customHeight="1">
      <x:c r="A60" s="2" t="str">
        <x:v>SO-26053</x:v>
      </x:c>
      <x:c r="B60" s="2" t="str">
        <x:v>OEM 05</x:v>
      </x:c>
      <x:c r="C60" s="2" t="str">
        <x:v>D-L-AL</x:v>
      </x:c>
      <x:c r="D60" s="2" t="n">
        <x:v>75</x:v>
      </x:c>
      <x:c r="E60" s="13" t="n">
        <x:v>46308.666666666664</x:v>
      </x:c>
      <x:c r="F60" s="2" t="str">
        <x:v>Normal</x:v>
      </x:c>
      <x:c r="G60" s="2" t="str">
        <x:v>Released</x:v>
      </x:c>
      <x:c r="H60" s="2" t="str"/>
    </x:row>
    <x:row r="61" ht="22" customHeight="1">
      <x:c r="A61" s="2" t="str">
        <x:v>SO-26054</x:v>
      </x:c>
      <x:c r="B61" s="2" t="str">
        <x:v>OEM 06</x:v>
      </x:c>
      <x:c r="C61" s="2" t="str">
        <x:v>R-L-SS</x:v>
      </x:c>
      <x:c r="D61" s="2" t="n">
        <x:v>125</x:v>
      </x:c>
      <x:c r="E61" s="13" t="n">
        <x:v>46309.666666666664</x:v>
      </x:c>
      <x:c r="F61" s="2" t="str">
        <x:v>Normal</x:v>
      </x:c>
      <x:c r="G61" s="2" t="str">
        <x:v>Released</x:v>
      </x:c>
      <x:c r="H61" s="2" t="str"/>
    </x:row>
    <x:row r="62" ht="22" customHeight="1">
      <x:c r="A62" s="2" t="str">
        <x:v>SO-26055</x:v>
      </x:c>
      <x:c r="B62" s="2" t="str">
        <x:v>OEM 07</x:v>
      </x:c>
      <x:c r="C62" s="2" t="str">
        <x:v>D-C-AL</x:v>
      </x:c>
      <x:c r="D62" s="2" t="n">
        <x:v>50</x:v>
      </x:c>
      <x:c r="E62" s="13" t="n">
        <x:v>46310.666666666664</x:v>
      </x:c>
      <x:c r="F62" s="2" t="str">
        <x:v>Normal</x:v>
      </x:c>
      <x:c r="G62" s="2" t="str">
        <x:v>Released</x:v>
      </x:c>
      <x:c r="H62" s="2" t="str">
        <x:v>Ship all lots together</x:v>
      </x:c>
    </x:row>
    <x:row r="63" ht="22" customHeight="1">
      <x:c r="A63" s="2" t="str">
        <x:v>SO-26056</x:v>
      </x:c>
      <x:c r="B63" s="2" t="str">
        <x:v>OEM 08</x:v>
      </x:c>
      <x:c r="C63" s="2" t="str">
        <x:v>R-C-SS</x:v>
      </x:c>
      <x:c r="D63" s="2" t="n">
        <x:v>25</x:v>
      </x:c>
      <x:c r="E63" s="13" t="n">
        <x:v>46311.666666666664</x:v>
      </x:c>
      <x:c r="F63" s="2" t="str">
        <x:v>Normal</x:v>
      </x:c>
      <x:c r="G63" s="2" t="str">
        <x:v>Released</x:v>
      </x:c>
      <x:c r="H63" s="2" t="str"/>
    </x:row>
    <x:row r="64" ht="22" customHeight="1">
      <x:c r="A64" s="2" t="str">
        <x:v>SO-26057</x:v>
      </x:c>
      <x:c r="B64" s="2" t="str">
        <x:v>OEM 09</x:v>
      </x:c>
      <x:c r="C64" s="2" t="str">
        <x:v>S-S-AL</x:v>
      </x:c>
      <x:c r="D64" s="2" t="n">
        <x:v>25</x:v>
      </x:c>
      <x:c r="E64" s="13" t="n">
        <x:v>46302.666666666664</x:v>
      </x:c>
      <x:c r="F64" s="2" t="str">
        <x:v>High</x:v>
      </x:c>
      <x:c r="G64" s="2" t="str">
        <x:v>Complete</x:v>
      </x:c>
      <x:c r="H64" s="2" t="str"/>
    </x:row>
    <x:row r="65" ht="22" customHeight="1">
      <x:c r="A65" s="2" t="str">
        <x:v>SO-26058</x:v>
      </x:c>
      <x:c r="B65" s="2" t="str">
        <x:v>OEM 10</x:v>
      </x:c>
      <x:c r="C65" s="2" t="str">
        <x:v>D-S-SS</x:v>
      </x:c>
      <x:c r="D65" s="2" t="n">
        <x:v>50</x:v>
      </x:c>
      <x:c r="E65" s="13" t="n">
        <x:v>46303.666666666664</x:v>
      </x:c>
      <x:c r="F65" s="2" t="str">
        <x:v>Normal</x:v>
      </x:c>
      <x:c r="G65" s="2" t="str">
        <x:v>Released</x:v>
      </x:c>
      <x:c r="H65" s="2" t="str">
        <x:v>Ship all lots together</x:v>
      </x:c>
    </x:row>
    <x:row r="66" ht="22" customHeight="1">
      <x:c r="A66" s="2" t="str">
        <x:v>SO-26059</x:v>
      </x:c>
      <x:c r="B66" s="2" t="str">
        <x:v>OEM 11</x:v>
      </x:c>
      <x:c r="C66" s="2" t="str">
        <x:v>R-L-AL</x:v>
      </x:c>
      <x:c r="D66" s="2" t="n">
        <x:v>75</x:v>
      </x:c>
      <x:c r="E66" s="13" t="n">
        <x:v>46304.666666666664</x:v>
      </x:c>
      <x:c r="F66" s="2" t="str">
        <x:v>Normal</x:v>
      </x:c>
      <x:c r="G66" s="2" t="str">
        <x:v>Released</x:v>
      </x:c>
      <x:c r="H66" s="2" t="str"/>
    </x:row>
    <x:row r="67" ht="22" customHeight="1">
      <x:c r="A67" s="2" t="str">
        <x:v>SO-26060</x:v>
      </x:c>
      <x:c r="B67" s="2" t="str">
        <x:v>OEM 12</x:v>
      </x:c>
      <x:c r="C67" s="2" t="str">
        <x:v>S-L-SS</x:v>
      </x:c>
      <x:c r="D67" s="2" t="n">
        <x:v>25</x:v>
      </x:c>
      <x:c r="E67" s="13" t="n">
        <x:v>46307.666666666664</x:v>
      </x:c>
      <x:c r="F67" s="2" t="str">
        <x:v>Normal</x:v>
      </x:c>
      <x:c r="G67" s="2" t="str">
        <x:v>Released</x:v>
      </x:c>
      <x:c r="H67" s="2" t="str"/>
    </x:row>
    <x:row r="68" ht="22" customHeight="1">
      <x:c r="A68" s="2" t="str">
        <x:v>SO-26061</x:v>
      </x:c>
      <x:c r="B68" s="2" t="str">
        <x:v>OEM 01</x:v>
      </x:c>
      <x:c r="C68" s="2" t="str">
        <x:v>R-C-AL</x:v>
      </x:c>
      <x:c r="D68" s="2" t="n">
        <x:v>50</x:v>
      </x:c>
      <x:c r="E68" s="13" t="n">
        <x:v>46308.666666666664</x:v>
      </x:c>
      <x:c r="F68" s="2" t="str">
        <x:v>Normal</x:v>
      </x:c>
      <x:c r="G68" s="2" t="str">
        <x:v>Released</x:v>
      </x:c>
      <x:c r="H68" s="2" t="str">
        <x:v>Ship all lots together</x:v>
      </x:c>
    </x:row>
    <x:row r="69" ht="22" customHeight="1">
      <x:c r="A69" s="2" t="str">
        <x:v>SO-26062</x:v>
      </x:c>
      <x:c r="B69" s="2" t="str">
        <x:v>OEM 02</x:v>
      </x:c>
      <x:c r="C69" s="2" t="str">
        <x:v>S-C-SS</x:v>
      </x:c>
      <x:c r="D69" s="2" t="n">
        <x:v>25</x:v>
      </x:c>
      <x:c r="E69" s="13" t="n">
        <x:v>46309.666666666664</x:v>
      </x:c>
      <x:c r="F69" s="2" t="str">
        <x:v>Normal</x:v>
      </x:c>
      <x:c r="G69" s="2" t="str">
        <x:v>Released</x:v>
      </x:c>
      <x:c r="H69" s="2" t="str"/>
    </x:row>
    <x:row r="70" ht="22" customHeight="1">
      <x:c r="A70" s="2" t="str">
        <x:v>SO-26063</x:v>
      </x:c>
      <x:c r="B70" s="2" t="str">
        <x:v>OEM 03</x:v>
      </x:c>
      <x:c r="C70" s="2" t="str">
        <x:v>D-S-AL</x:v>
      </x:c>
      <x:c r="D70" s="2" t="n">
        <x:v>100</x:v>
      </x:c>
      <x:c r="E70" s="13" t="n">
        <x:v>46310.666666666664</x:v>
      </x:c>
      <x:c r="F70" s="2" t="str">
        <x:v>Normal</x:v>
      </x:c>
      <x:c r="G70" s="2" t="str">
        <x:v>Released</x:v>
      </x:c>
      <x:c r="H70" s="2" t="str"/>
    </x:row>
    <x:row r="71" ht="22" customHeight="1">
      <x:c r="A71" s="2" t="str">
        <x:v>SO-26064</x:v>
      </x:c>
      <x:c r="B71" s="2" t="str">
        <x:v>OEM 04</x:v>
      </x:c>
      <x:c r="C71" s="2" t="str">
        <x:v>R-S-SS</x:v>
      </x:c>
      <x:c r="D71" s="2" t="n">
        <x:v>75</x:v>
      </x:c>
      <x:c r="E71" s="13" t="n">
        <x:v>46311.666666666664</x:v>
      </x:c>
      <x:c r="F71" s="2" t="str">
        <x:v>High</x:v>
      </x:c>
      <x:c r="G71" s="2" t="str">
        <x:v>Released</x:v>
      </x:c>
      <x:c r="H71" s="2" t="str">
        <x:v>Ship all lots together</x:v>
      </x:c>
    </x:row>
    <x:row r="72" ht="22" customHeight="1">
      <x:c r="A72" s="2" t="str">
        <x:v>SO-26065</x:v>
      </x:c>
      <x:c r="B72" s="2" t="str">
        <x:v>OEM 05</x:v>
      </x:c>
      <x:c r="C72" s="2" t="str">
        <x:v>S-L-AL</x:v>
      </x:c>
      <x:c r="D72" s="2" t="n">
        <x:v>100</x:v>
      </x:c>
      <x:c r="E72" s="13" t="n">
        <x:v>46302.666666666664</x:v>
      </x:c>
      <x:c r="F72" s="2" t="str">
        <x:v>Normal</x:v>
      </x:c>
      <x:c r="G72" s="2" t="str">
        <x:v>Released</x:v>
      </x:c>
      <x:c r="H72" s="2" t="str"/>
    </x:row>
    <x:row r="73" ht="22" customHeight="1">
      <x:c r="A73" s="2" t="str">
        <x:v>SO-26066</x:v>
      </x:c>
      <x:c r="B73" s="2" t="str">
        <x:v>OEM 06</x:v>
      </x:c>
      <x:c r="C73" s="2" t="str">
        <x:v>D-L-SS</x:v>
      </x:c>
      <x:c r="D73" s="2" t="n">
        <x:v>75</x:v>
      </x:c>
      <x:c r="E73" s="13" t="n">
        <x:v>46303.666666666664</x:v>
      </x:c>
      <x:c r="F73" s="2" t="str">
        <x:v>Normal</x:v>
      </x:c>
      <x:c r="G73" s="2" t="str">
        <x:v>Released</x:v>
      </x:c>
      <x:c r="H73" s="2" t="str"/>
    </x:row>
    <x:row r="74" ht="22" customHeight="1">
      <x:c r="A74" s="2" t="str">
        <x:v>SO-26067</x:v>
      </x:c>
      <x:c r="B74" s="2" t="str">
        <x:v>OEM 07</x:v>
      </x:c>
      <x:c r="C74" s="2" t="str">
        <x:v>S-C-AL</x:v>
      </x:c>
      <x:c r="D74" s="2" t="n">
        <x:v>50</x:v>
      </x:c>
      <x:c r="E74" s="13" t="n">
        <x:v>46304.666666666664</x:v>
      </x:c>
      <x:c r="F74" s="2" t="str">
        <x:v>Normal</x:v>
      </x:c>
      <x:c r="G74" s="2" t="str">
        <x:v>Released</x:v>
      </x:c>
      <x:c r="H74" s="2" t="str">
        <x:v>Ship all lots together</x:v>
      </x:c>
    </x:row>
    <x:row r="75" ht="22" customHeight="1">
      <x:c r="A75" s="2" t="str">
        <x:v>SO-26068</x:v>
      </x:c>
      <x:c r="B75" s="2" t="str">
        <x:v>OEM 08</x:v>
      </x:c>
      <x:c r="C75" s="2" t="str">
        <x:v>D-C-SS</x:v>
      </x:c>
      <x:c r="D75" s="2" t="n">
        <x:v>75</x:v>
      </x:c>
      <x:c r="E75" s="13" t="n">
        <x:v>46307.666666666664</x:v>
      </x:c>
      <x:c r="F75" s="2" t="str">
        <x:v>Normal</x:v>
      </x:c>
      <x:c r="G75" s="2" t="str">
        <x:v>Released</x:v>
      </x:c>
      <x:c r="H75" s="2" t="str"/>
    </x:row>
    <x:row r="76" ht="22" customHeight="1">
      <x:c r="A76" s="2" t="str">
        <x:v>SO-26069</x:v>
      </x:c>
      <x:c r="B76" s="2" t="str">
        <x:v>OEM 09</x:v>
      </x:c>
      <x:c r="C76" s="2" t="str">
        <x:v>R-S-AL</x:v>
      </x:c>
      <x:c r="D76" s="2" t="n">
        <x:v>75</x:v>
      </x:c>
      <x:c r="E76" s="13" t="n">
        <x:v>46308.666666666664</x:v>
      </x:c>
      <x:c r="F76" s="2" t="str">
        <x:v>Normal</x:v>
      </x:c>
      <x:c r="G76" s="2" t="str">
        <x:v>Released</x:v>
      </x:c>
      <x:c r="H76" s="2" t="str"/>
    </x:row>
    <x:row r="77" ht="22" customHeight="1">
      <x:c r="A77" s="2" t="str">
        <x:v>SO-26070</x:v>
      </x:c>
      <x:c r="B77" s="2" t="str">
        <x:v>OEM 10</x:v>
      </x:c>
      <x:c r="C77" s="2" t="str">
        <x:v>S-S-SS</x:v>
      </x:c>
      <x:c r="D77" s="2" t="n">
        <x:v>50</x:v>
      </x:c>
      <x:c r="E77" s="13" t="n">
        <x:v>46309.666666666664</x:v>
      </x:c>
      <x:c r="F77" s="2" t="str">
        <x:v>Urgent</x:v>
      </x:c>
      <x:c r="G77" s="2" t="str">
        <x:v>Released</x:v>
      </x:c>
      <x:c r="H77" s="2" t="str">
        <x:v>Ship all lots together</x:v>
      </x:c>
    </x:row>
    <x:row r="78" ht="22" customHeight="1">
      <x:c r="A78" s="2" t="str">
        <x:v>SO-26071</x:v>
      </x:c>
      <x:c r="B78" s="2" t="str">
        <x:v>OEM 11</x:v>
      </x:c>
      <x:c r="C78" s="2" t="str">
        <x:v>D-L-AL</x:v>
      </x:c>
      <x:c r="D78" s="2" t="n">
        <x:v>75</x:v>
      </x:c>
      <x:c r="E78" s="13" t="n">
        <x:v>46310.666666666664</x:v>
      </x:c>
      <x:c r="F78" s="2" t="str">
        <x:v>High</x:v>
      </x:c>
      <x:c r="G78" s="2" t="str">
        <x:v>Released</x:v>
      </x:c>
      <x:c r="H78" s="2" t="str"/>
    </x:row>
    <x:row r="79" ht="22" customHeight="1">
      <x:c r="A79" s="2" t="str">
        <x:v>SO-26072</x:v>
      </x:c>
      <x:c r="B79" s="2" t="str">
        <x:v>OEM 12</x:v>
      </x:c>
      <x:c r="C79" s="2" t="str">
        <x:v>R-L-SS</x:v>
      </x:c>
      <x:c r="D79" s="2" t="n">
        <x:v>25</x:v>
      </x:c>
      <x:c r="E79" s="13" t="n">
        <x:v>46311.666666666664</x:v>
      </x:c>
      <x:c r="F79" s="2" t="str">
        <x:v>Normal</x:v>
      </x:c>
      <x:c r="G79" s="2" t="str">
        <x:v>Released</x:v>
      </x:c>
      <x:c r="H79" s="2" t="str"/>
    </x:row>
    <x:row r="80" ht="22" customHeight="1">
      <x:c r="A80" s="2" t="str">
        <x:v>SO-26073</x:v>
      </x:c>
      <x:c r="B80" s="2" t="str">
        <x:v>OEM 01</x:v>
      </x:c>
      <x:c r="C80" s="2" t="str">
        <x:v>D-C-AL</x:v>
      </x:c>
      <x:c r="D80" s="2" t="n">
        <x:v>125</x:v>
      </x:c>
      <x:c r="E80" s="13" t="n">
        <x:v>46302.666666666664</x:v>
      </x:c>
      <x:c r="F80" s="2" t="str">
        <x:v>Normal</x:v>
      </x:c>
      <x:c r="G80" s="2" t="str">
        <x:v>Released</x:v>
      </x:c>
      <x:c r="H80" s="2" t="str">
        <x:v>Ship all lots together</x:v>
      </x:c>
    </x:row>
    <x:row r="81" ht="22" customHeight="1">
      <x:c r="A81" s="2" t="str">
        <x:v>SO-26074</x:v>
      </x:c>
      <x:c r="B81" s="2" t="str">
        <x:v>OEM 02</x:v>
      </x:c>
      <x:c r="C81" s="2" t="str">
        <x:v>R-C-SS</x:v>
      </x:c>
      <x:c r="D81" s="2" t="n">
        <x:v>50</x:v>
      </x:c>
      <x:c r="E81" s="13" t="n">
        <x:v>46303.666666666664</x:v>
      </x:c>
      <x:c r="F81" s="2" t="str">
        <x:v>Normal</x:v>
      </x:c>
      <x:c r="G81" s="2" t="str">
        <x:v>Released</x:v>
      </x:c>
      <x:c r="H81" s="2" t="str"/>
    </x:row>
    <x:row r="82" ht="22" customHeight="1">
      <x:c r="A82" s="2" t="str">
        <x:v>SO-26075</x:v>
      </x:c>
      <x:c r="B82" s="2" t="str">
        <x:v>OEM 03</x:v>
      </x:c>
      <x:c r="C82" s="2" t="str">
        <x:v>S-S-AL</x:v>
      </x:c>
      <x:c r="D82" s="2" t="n">
        <x:v>125</x:v>
      </x:c>
      <x:c r="E82" s="13" t="n">
        <x:v>46304.666666666664</x:v>
      </x:c>
      <x:c r="F82" s="2" t="str">
        <x:v>Normal</x:v>
      </x:c>
      <x:c r="G82" s="2" t="str">
        <x:v>Released</x:v>
      </x:c>
      <x:c r="H82" s="2" t="str"/>
    </x:row>
    <x:row r="83" ht="22" customHeight="1">
      <x:c r="A83" s="2" t="str">
        <x:v>SO-26076</x:v>
      </x:c>
      <x:c r="B83" s="2" t="str">
        <x:v>OEM 04</x:v>
      </x:c>
      <x:c r="C83" s="2" t="str">
        <x:v>D-S-SS</x:v>
      </x:c>
      <x:c r="D83" s="2" t="n">
        <x:v>50</x:v>
      </x:c>
      <x:c r="E83" s="13" t="n">
        <x:v>46307.666666666664</x:v>
      </x:c>
      <x:c r="F83" s="2" t="str">
        <x:v>Normal</x:v>
      </x:c>
      <x:c r="G83" s="2" t="str">
        <x:v>Released</x:v>
      </x:c>
      <x:c r="H83" s="2" t="str">
        <x:v>Ship all lots together</x:v>
      </x:c>
    </x:row>
    <x:row r="84" ht="22" customHeight="1">
      <x:c r="A84" s="2" t="str">
        <x:v>SO-26077</x:v>
      </x:c>
      <x:c r="B84" s="2" t="str">
        <x:v>OEM 05</x:v>
      </x:c>
      <x:c r="C84" s="2" t="str">
        <x:v>R-L-AL</x:v>
      </x:c>
      <x:c r="D84" s="2" t="n">
        <x:v>50</x:v>
      </x:c>
      <x:c r="E84" s="13" t="n">
        <x:v>46308.666666666664</x:v>
      </x:c>
      <x:c r="F84" s="2" t="str">
        <x:v>Normal</x:v>
      </x:c>
      <x:c r="G84" s="2" t="str">
        <x:v>Released</x:v>
      </x:c>
      <x:c r="H84" s="2" t="str"/>
    </x:row>
    <x:row r="85" ht="22" customHeight="1">
      <x:c r="A85" s="2" t="str">
        <x:v>SO-26078</x:v>
      </x:c>
      <x:c r="B85" s="2" t="str">
        <x:v>OEM 06</x:v>
      </x:c>
      <x:c r="C85" s="2" t="str">
        <x:v>S-L-SS</x:v>
      </x:c>
      <x:c r="D85" s="2" t="n">
        <x:v>100</x:v>
      </x:c>
      <x:c r="E85" s="13" t="n">
        <x:v>46309.666666666664</x:v>
      </x:c>
      <x:c r="F85" s="2" t="str">
        <x:v>High</x:v>
      </x:c>
      <x:c r="G85" s="2" t="str">
        <x:v>Released</x:v>
      </x:c>
      <x:c r="H85" s="2" t="str"/>
    </x:row>
    <x:row r="86" ht="22" customHeight="1">
      <x:c r="A86" s="2" t="str">
        <x:v>SO-26079</x:v>
      </x:c>
      <x:c r="B86" s="2" t="str">
        <x:v>OEM 07</x:v>
      </x:c>
      <x:c r="C86" s="2" t="str">
        <x:v>R-C-AL</x:v>
      </x:c>
      <x:c r="D86" s="2" t="n">
        <x:v>100</x:v>
      </x:c>
      <x:c r="E86" s="13" t="n">
        <x:v>46310.666666666664</x:v>
      </x:c>
      <x:c r="F86" s="2" t="str">
        <x:v>Normal</x:v>
      </x:c>
      <x:c r="G86" s="2" t="str">
        <x:v>Released</x:v>
      </x:c>
      <x:c r="H86" s="2" t="str">
        <x:v>Ship all lots together</x:v>
      </x:c>
    </x:row>
    <x:row r="87" ht="22" customHeight="1">
      <x:c r="A87" s="2" t="str">
        <x:v>SO-26080</x:v>
      </x:c>
      <x:c r="B87" s="2" t="str">
        <x:v>OEM 08</x:v>
      </x:c>
      <x:c r="C87" s="2" t="str">
        <x:v>S-C-SS</x:v>
      </x:c>
      <x:c r="D87" s="2" t="n">
        <x:v>75</x:v>
      </x:c>
      <x:c r="E87" s="13" t="n">
        <x:v>46311.666666666664</x:v>
      </x:c>
      <x:c r="F87" s="2" t="str">
        <x:v>Normal</x:v>
      </x:c>
      <x:c r="G87" s="2" t="str">
        <x:v>Released</x:v>
      </x:c>
      <x:c r="H87" s="2" t="str"/>
    </x:row>
    <x:row r="88" ht="22" customHeight="1">
      <x:c r="A88" s="2" t="str">
        <x:v>SO-26081</x:v>
      </x:c>
      <x:c r="B88" s="2" t="str">
        <x:v>OEM 09</x:v>
      </x:c>
      <x:c r="C88" s="2" t="str">
        <x:v>D-S-AL</x:v>
      </x:c>
      <x:c r="D88" s="2" t="n">
        <x:v>125</x:v>
      </x:c>
      <x:c r="E88" s="13" t="n">
        <x:v>46302.666666666664</x:v>
      </x:c>
      <x:c r="F88" s="2" t="str">
        <x:v>Normal</x:v>
      </x:c>
      <x:c r="G88" s="2" t="str">
        <x:v>Released</x:v>
      </x:c>
      <x:c r="H88" s="2" t="str"/>
    </x:row>
    <x:row r="89" ht="22" customHeight="1">
      <x:c r="A89" s="2" t="str">
        <x:v>SO-26082</x:v>
      </x:c>
      <x:c r="B89" s="2" t="str">
        <x:v>OEM 10</x:v>
      </x:c>
      <x:c r="C89" s="2" t="str">
        <x:v>R-S-SS</x:v>
      </x:c>
      <x:c r="D89" s="2" t="n">
        <x:v>50</x:v>
      </x:c>
      <x:c r="E89" s="13" t="n">
        <x:v>46303.666666666664</x:v>
      </x:c>
      <x:c r="F89" s="2" t="str">
        <x:v>Normal</x:v>
      </x:c>
      <x:c r="G89" s="2" t="str">
        <x:v>Released</x:v>
      </x:c>
      <x:c r="H89" s="2" t="str">
        <x:v>Ship all lots together</x:v>
      </x:c>
    </x:row>
    <x:row r="90" ht="22" customHeight="1">
      <x:c r="A90" s="2" t="str">
        <x:v>SO-26083</x:v>
      </x:c>
      <x:c r="B90" s="2" t="str">
        <x:v>OEM 11</x:v>
      </x:c>
      <x:c r="C90" s="2" t="str">
        <x:v>S-L-AL</x:v>
      </x:c>
      <x:c r="D90" s="2" t="n">
        <x:v>75</x:v>
      </x:c>
      <x:c r="E90" s="13" t="n">
        <x:v>46304.666666666664</x:v>
      </x:c>
      <x:c r="F90" s="2" t="str">
        <x:v>Normal</x:v>
      </x:c>
      <x:c r="G90" s="2" t="str">
        <x:v>Released</x:v>
      </x:c>
      <x:c r="H90" s="2" t="str"/>
    </x:row>
    <x:row r="91" ht="22" customHeight="1">
      <x:c r="A91" s="2" t="str">
        <x:v>SO-26084</x:v>
      </x:c>
      <x:c r="B91" s="2" t="str">
        <x:v>OEM 12</x:v>
      </x:c>
      <x:c r="C91" s="2" t="str">
        <x:v>D-L-SS</x:v>
      </x:c>
      <x:c r="D91" s="2" t="n">
        <x:v>25</x:v>
      </x:c>
      <x:c r="E91" s="13" t="n">
        <x:v>46307.666666666664</x:v>
      </x:c>
      <x:c r="F91" s="2" t="str">
        <x:v>Normal</x:v>
      </x:c>
      <x:c r="G91" s="2" t="str">
        <x:v>Released</x:v>
      </x:c>
      <x:c r="H91" s="2" t="str"/>
    </x:row>
    <x:row r="92" ht="22" customHeight="1">
      <x:c r="A92" s="2" t="str">
        <x:v>SO-26085</x:v>
      </x:c>
      <x:c r="B92" s="2" t="str">
        <x:v>OEM 01</x:v>
      </x:c>
      <x:c r="C92" s="2" t="str">
        <x:v>S-C-AL</x:v>
      </x:c>
      <x:c r="D92" s="2" t="n">
        <x:v>50</x:v>
      </x:c>
      <x:c r="E92" s="13" t="n">
        <x:v>46308.666666666664</x:v>
      </x:c>
      <x:c r="F92" s="2" t="str">
        <x:v>High</x:v>
      </x:c>
      <x:c r="G92" s="2" t="str">
        <x:v>Released</x:v>
      </x:c>
      <x:c r="H92" s="2" t="str">
        <x:v>Ship all lots together</x:v>
      </x:c>
    </x:row>
    <x:row r="93" ht="22" customHeight="1">
      <x:c r="A93" s="2" t="str">
        <x:v>SO-26086</x:v>
      </x:c>
      <x:c r="B93" s="2" t="str">
        <x:v>OEM 02</x:v>
      </x:c>
      <x:c r="C93" s="2" t="str">
        <x:v>D-C-SS</x:v>
      </x:c>
      <x:c r="D93" s="2" t="n">
        <x:v>25</x:v>
      </x:c>
      <x:c r="E93" s="13" t="n">
        <x:v>46309.666666666664</x:v>
      </x:c>
      <x:c r="F93" s="2" t="str">
        <x:v>Normal</x:v>
      </x:c>
      <x:c r="G93" s="2" t="str">
        <x:v>Released</x:v>
      </x:c>
      <x:c r="H93" s="2" t="str"/>
    </x:row>
    <x:row r="94" ht="22" customHeight="1">
      <x:c r="A94" s="2" t="str">
        <x:v>SO-26087</x:v>
      </x:c>
      <x:c r="B94" s="2" t="str">
        <x:v>OEM 03</x:v>
      </x:c>
      <x:c r="C94" s="2" t="str">
        <x:v>R-S-AL</x:v>
      </x:c>
      <x:c r="D94" s="2" t="n">
        <x:v>75</x:v>
      </x:c>
      <x:c r="E94" s="13" t="n">
        <x:v>46310.666666666664</x:v>
      </x:c>
      <x:c r="F94" s="2" t="str">
        <x:v>Normal</x:v>
      </x:c>
      <x:c r="G94" s="2" t="str">
        <x:v>Released</x:v>
      </x:c>
      <x:c r="H94" s="2" t="str"/>
    </x:row>
    <x:row r="95" ht="22" customHeight="1">
      <x:c r="A95" s="2" t="str">
        <x:v>SO-26088</x:v>
      </x:c>
      <x:c r="B95" s="2" t="str">
        <x:v>OEM 04</x:v>
      </x:c>
      <x:c r="C95" s="2" t="str">
        <x:v>S-S-SS</x:v>
      </x:c>
      <x:c r="D95" s="2" t="n">
        <x:v>100</x:v>
      </x:c>
      <x:c r="E95" s="13" t="n">
        <x:v>46311.666666666664</x:v>
      </x:c>
      <x:c r="F95" s="2" t="str">
        <x:v>Normal</x:v>
      </x:c>
      <x:c r="G95" s="2" t="str">
        <x:v>Released</x:v>
      </x:c>
      <x:c r="H95" s="2" t="str">
        <x:v>Ship all lots together</x:v>
      </x:c>
    </x:row>
    <x:row r="96" ht="22" customHeight="1">
      <x:c r="A96" s="2" t="str">
        <x:v>SO-26089</x:v>
      </x:c>
      <x:c r="B96" s="2" t="str">
        <x:v>OEM 05</x:v>
      </x:c>
      <x:c r="C96" s="2" t="str">
        <x:v>D-L-AL</x:v>
      </x:c>
      <x:c r="D96" s="2" t="n">
        <x:v>75</x:v>
      </x:c>
      <x:c r="E96" s="13" t="n">
        <x:v>46302.666666666664</x:v>
      </x:c>
      <x:c r="F96" s="2" t="str">
        <x:v>Normal</x:v>
      </x:c>
      <x:c r="G96" s="2" t="str">
        <x:v>Released</x:v>
      </x:c>
      <x:c r="H96" s="2" t="str"/>
    </x:row>
    <x:row r="97" ht="22" customHeight="1">
      <x:c r="A97" s="2" t="str">
        <x:v>SO-26090</x:v>
      </x:c>
      <x:c r="B97" s="2" t="str">
        <x:v>OEM 06</x:v>
      </x:c>
      <x:c r="C97" s="2" t="str">
        <x:v>R-L-SS</x:v>
      </x:c>
      <x:c r="D97" s="2" t="n">
        <x:v>25</x:v>
      </x:c>
      <x:c r="E97" s="13" t="n">
        <x:v>46303.666666666664</x:v>
      </x:c>
      <x:c r="F97" s="2" t="str">
        <x:v>Normal</x:v>
      </x:c>
      <x:c r="G97" s="2" t="str">
        <x:v>Released</x:v>
      </x:c>
      <x:c r="H97" s="2" t="str"/>
    </x:row>
    <x:row r="98" ht="22" customHeight="1">
      <x:c r="A98" s="2" t="str">
        <x:v>SO-26091</x:v>
      </x:c>
      <x:c r="B98" s="2" t="str">
        <x:v>OEM 07</x:v>
      </x:c>
      <x:c r="C98" s="2" t="str">
        <x:v>D-C-AL</x:v>
      </x:c>
      <x:c r="D98" s="2" t="n">
        <x:v>50</x:v>
      </x:c>
      <x:c r="E98" s="13" t="n">
        <x:v>46304.666666666664</x:v>
      </x:c>
      <x:c r="F98" s="2" t="str">
        <x:v>Normal</x:v>
      </x:c>
      <x:c r="G98" s="2" t="str">
        <x:v>Released</x:v>
      </x:c>
      <x:c r="H98" s="2" t="str">
        <x:v>Ship all lots together</x:v>
      </x:c>
    </x:row>
    <x:row r="99" ht="22" customHeight="1">
      <x:c r="A99" s="2" t="str">
        <x:v>SO-26092</x:v>
      </x:c>
      <x:c r="B99" s="2" t="str">
        <x:v>OEM 08</x:v>
      </x:c>
      <x:c r="C99" s="2" t="str">
        <x:v>R-C-SS</x:v>
      </x:c>
      <x:c r="D99" s="2" t="n">
        <x:v>125</x:v>
      </x:c>
      <x:c r="E99" s="13" t="n">
        <x:v>46307.666666666664</x:v>
      </x:c>
      <x:c r="F99" s="2" t="str">
        <x:v>High</x:v>
      </x:c>
      <x:c r="G99" s="2" t="str">
        <x:v>Released</x:v>
      </x:c>
      <x:c r="H99" s="2" t="str"/>
    </x:row>
    <x:row r="100" ht="22" customHeight="1">
      <x:c r="A100" s="2" t="str">
        <x:v>SO-26093</x:v>
      </x:c>
      <x:c r="B100" s="2" t="str">
        <x:v>OEM 09</x:v>
      </x:c>
      <x:c r="C100" s="2" t="str">
        <x:v>S-S-AL</x:v>
      </x:c>
      <x:c r="D100" s="2" t="n">
        <x:v>75</x:v>
      </x:c>
      <x:c r="E100" s="13" t="n">
        <x:v>46308.666666666664</x:v>
      </x:c>
      <x:c r="F100" s="2" t="str">
        <x:v>Urgent</x:v>
      </x:c>
      <x:c r="G100" s="2" t="str">
        <x:v>Released</x:v>
      </x:c>
      <x:c r="H100" s="2" t="str"/>
    </x:row>
    <x:row r="101" ht="22" customHeight="1">
      <x:c r="A101" s="2" t="str">
        <x:v>SO-26094</x:v>
      </x:c>
      <x:c r="B101" s="2" t="str">
        <x:v>OEM 10</x:v>
      </x:c>
      <x:c r="C101" s="2" t="str">
        <x:v>D-S-SS</x:v>
      </x:c>
      <x:c r="D101" s="2" t="n">
        <x:v>50</x:v>
      </x:c>
      <x:c r="E101" s="13" t="n">
        <x:v>46309.666666666664</x:v>
      </x:c>
      <x:c r="F101" s="2" t="str">
        <x:v>Normal</x:v>
      </x:c>
      <x:c r="G101" s="2" t="str">
        <x:v>Released</x:v>
      </x:c>
      <x:c r="H101" s="2" t="str">
        <x:v>Ship all lots together</x:v>
      </x:c>
    </x:row>
    <x:row r="102" ht="22" customHeight="1">
      <x:c r="A102" s="2" t="str">
        <x:v>SO-26095</x:v>
      </x:c>
      <x:c r="B102" s="2" t="str">
        <x:v>OEM 11</x:v>
      </x:c>
      <x:c r="C102" s="2" t="str">
        <x:v>R-L-AL</x:v>
      </x:c>
      <x:c r="D102" s="2" t="n">
        <x:v>100</x:v>
      </x:c>
      <x:c r="E102" s="13" t="n">
        <x:v>46310.666666666664</x:v>
      </x:c>
      <x:c r="F102" s="2" t="str">
        <x:v>Normal</x:v>
      </x:c>
      <x:c r="G102" s="2" t="str">
        <x:v>Released</x:v>
      </x:c>
      <x:c r="H102" s="2" t="str"/>
    </x:row>
    <x:row r="103" ht="22" customHeight="1">
      <x:c r="A103" s="2" t="str">
        <x:v>SO-26096</x:v>
      </x:c>
      <x:c r="B103" s="2" t="str">
        <x:v>OEM 12</x:v>
      </x:c>
      <x:c r="C103" s="2" t="str">
        <x:v>S-L-SS</x:v>
      </x:c>
      <x:c r="D103" s="2" t="n">
        <x:v>100</x:v>
      </x:c>
      <x:c r="E103" s="13" t="n">
        <x:v>46311.666666666664</x:v>
      </x:c>
      <x:c r="F103" s="2" t="str">
        <x:v>Normal</x:v>
      </x:c>
      <x:c r="G103" s="2" t="str">
        <x:v>Released</x:v>
      </x:c>
      <x:c r="H103" s="2" t="str"/>
    </x:row>
    <x:row r="104" ht="22" customHeight="1">
      <x:c r="A104" s="2" t="str">
        <x:v>SO-26097</x:v>
      </x:c>
      <x:c r="B104" s="2" t="str">
        <x:v>OEM 01</x:v>
      </x:c>
      <x:c r="C104" s="2" t="str">
        <x:v>R-C-AL</x:v>
      </x:c>
      <x:c r="D104" s="2" t="n">
        <x:v>100</x:v>
      </x:c>
      <x:c r="E104" s="13" t="n">
        <x:v>46302.666666666664</x:v>
      </x:c>
      <x:c r="F104" s="2" t="str">
        <x:v>Normal</x:v>
      </x:c>
      <x:c r="G104" s="2" t="str">
        <x:v>Released</x:v>
      </x:c>
      <x:c r="H104" s="2" t="str">
        <x:v>Ship all lots together</x:v>
      </x:c>
    </x:row>
    <x:row r="105" ht="22" customHeight="1">
      <x:c r="A105" s="2" t="str">
        <x:v>SO-26098</x:v>
      </x:c>
      <x:c r="B105" s="2" t="str">
        <x:v>OEM 02</x:v>
      </x:c>
      <x:c r="C105" s="2" t="str">
        <x:v>S-C-SS</x:v>
      </x:c>
      <x:c r="D105" s="2" t="n">
        <x:v>50</x:v>
      </x:c>
      <x:c r="E105" s="13" t="n">
        <x:v>46303.666666666664</x:v>
      </x:c>
      <x:c r="F105" s="2" t="str">
        <x:v>Normal</x:v>
      </x:c>
      <x:c r="G105" s="2" t="str">
        <x:v>Released</x:v>
      </x:c>
      <x:c r="H105" s="2" t="str"/>
    </x:row>
    <x:row r="106" ht="22" customHeight="1">
      <x:c r="A106" s="2" t="str">
        <x:v>SO-26099</x:v>
      </x:c>
      <x:c r="B106" s="2" t="str">
        <x:v>OEM 03</x:v>
      </x:c>
      <x:c r="C106" s="2" t="str">
        <x:v>D-S-AL</x:v>
      </x:c>
      <x:c r="D106" s="2" t="n">
        <x:v>75</x:v>
      </x:c>
      <x:c r="E106" s="13" t="n">
        <x:v>46304.666666666664</x:v>
      </x:c>
      <x:c r="F106" s="2" t="str">
        <x:v>High</x:v>
      </x:c>
      <x:c r="G106" s="2" t="str">
        <x:v>Released</x:v>
      </x:c>
      <x:c r="H106" s="2" t="str"/>
    </x:row>
    <x:row r="107" ht="22" customHeight="1">
      <x:c r="A107" s="2" t="str">
        <x:v>SO-26100</x:v>
      </x:c>
      <x:c r="B107" s="2" t="str">
        <x:v>OEM 04</x:v>
      </x:c>
      <x:c r="C107" s="2" t="str">
        <x:v>R-S-SS</x:v>
      </x:c>
      <x:c r="D107" s="2" t="n">
        <x:v>50</x:v>
      </x:c>
      <x:c r="E107" s="13" t="n">
        <x:v>46307.666666666664</x:v>
      </x:c>
      <x:c r="F107" s="2" t="str">
        <x:v>Normal</x:v>
      </x:c>
      <x:c r="G107" s="2" t="str">
        <x:v>Released</x:v>
      </x:c>
      <x:c r="H107" s="2" t="str">
        <x:v>Ship all lots together</x:v>
      </x:c>
    </x:row>
    <x:row r="108" ht="22" customHeight="1">
      <x:c r="A108" s="2" t="str">
        <x:v>SO-26101</x:v>
      </x:c>
      <x:c r="B108" s="2" t="str">
        <x:v>OEM 05</x:v>
      </x:c>
      <x:c r="C108" s="2" t="str">
        <x:v>S-L-AL</x:v>
      </x:c>
      <x:c r="D108" s="2" t="n">
        <x:v>50</x:v>
      </x:c>
      <x:c r="E108" s="13" t="n">
        <x:v>46308.666666666664</x:v>
      </x:c>
      <x:c r="F108" s="2" t="str">
        <x:v>Normal</x:v>
      </x:c>
      <x:c r="G108" s="2" t="str">
        <x:v>Released</x:v>
      </x:c>
      <x:c r="H108" s="2" t="str"/>
    </x:row>
    <x:row r="109" ht="22" customHeight="1">
      <x:c r="A109" s="2" t="str">
        <x:v>SO-26102</x:v>
      </x:c>
      <x:c r="B109" s="2" t="str">
        <x:v>OEM 06</x:v>
      </x:c>
      <x:c r="C109" s="2" t="str">
        <x:v>D-L-SS</x:v>
      </x:c>
      <x:c r="D109" s="2" t="n">
        <x:v>125</x:v>
      </x:c>
      <x:c r="E109" s="13" t="n">
        <x:v>46309.666666666664</x:v>
      </x:c>
      <x:c r="F109" s="2" t="str">
        <x:v>Normal</x:v>
      </x:c>
      <x:c r="G109" s="2" t="str">
        <x:v>Released</x:v>
      </x:c>
      <x:c r="H109" s="2" t="str"/>
    </x:row>
    <x:row r="110" ht="22" customHeight="1">
      <x:c r="A110" s="2" t="str">
        <x:v>SO-26103</x:v>
      </x:c>
      <x:c r="B110" s="2" t="str">
        <x:v>OEM 07</x:v>
      </x:c>
      <x:c r="C110" s="2" t="str">
        <x:v>S-C-AL</x:v>
      </x:c>
      <x:c r="D110" s="2" t="n">
        <x:v>125</x:v>
      </x:c>
      <x:c r="E110" s="13" t="n">
        <x:v>46310.666666666664</x:v>
      </x:c>
      <x:c r="F110" s="2" t="str">
        <x:v>Normal</x:v>
      </x:c>
      <x:c r="G110" s="2" t="str">
        <x:v>Released</x:v>
      </x:c>
      <x:c r="H110" s="2" t="str">
        <x:v>Ship all lots together</x:v>
      </x:c>
    </x:row>
    <x:row r="111" ht="22" customHeight="1">
      <x:c r="A111" s="2" t="str">
        <x:v>SO-26104</x:v>
      </x:c>
      <x:c r="B111" s="2" t="str">
        <x:v>OEM 08</x:v>
      </x:c>
      <x:c r="C111" s="2" t="str">
        <x:v>D-C-SS</x:v>
      </x:c>
      <x:c r="D111" s="2" t="n">
        <x:v>75</x:v>
      </x:c>
      <x:c r="E111" s="13" t="n">
        <x:v>46311.666666666664</x:v>
      </x:c>
      <x:c r="F111" s="2" t="str">
        <x:v>Normal</x:v>
      </x:c>
      <x:c r="G111" s="2" t="str">
        <x:v>Released</x:v>
      </x:c>
      <x:c r="H111" s="2" t="str"/>
    </x:row>
    <x:row r="112" ht="22" customHeight="1">
      <x:c r="A112" s="2" t="str">
        <x:v>SO-26105</x:v>
      </x:c>
      <x:c r="B112" s="2" t="str">
        <x:v>OEM 09</x:v>
      </x:c>
      <x:c r="C112" s="2" t="str">
        <x:v>R-S-AL</x:v>
      </x:c>
      <x:c r="D112" s="2" t="n">
        <x:v>125</x:v>
      </x:c>
      <x:c r="E112" s="13" t="n">
        <x:v>46302.666666666664</x:v>
      </x:c>
      <x:c r="F112" s="2" t="str">
        <x:v>Normal</x:v>
      </x:c>
      <x:c r="G112" s="2" t="str">
        <x:v>Released</x:v>
      </x:c>
      <x:c r="H112" s="2" t="str"/>
    </x:row>
    <x:row r="113" ht="22" customHeight="1">
      <x:c r="A113" s="2" t="str">
        <x:v>SO-26106</x:v>
      </x:c>
      <x:c r="B113" s="2" t="str">
        <x:v>OEM 10</x:v>
      </x:c>
      <x:c r="C113" s="2" t="str">
        <x:v>S-S-SS</x:v>
      </x:c>
      <x:c r="D113" s="2" t="n">
        <x:v>100</x:v>
      </x:c>
      <x:c r="E113" s="13" t="n">
        <x:v>46303.666666666664</x:v>
      </x:c>
      <x:c r="F113" s="2" t="str">
        <x:v>High</x:v>
      </x:c>
      <x:c r="G113" s="2" t="str">
        <x:v>Released</x:v>
      </x:c>
      <x:c r="H113" s="2" t="str">
        <x:v>Ship all lots together</x:v>
      </x:c>
    </x:row>
    <x:row r="114" ht="22" customHeight="1">
      <x:c r="A114" s="2" t="str">
        <x:v>SO-26107</x:v>
      </x:c>
      <x:c r="B114" s="2" t="str">
        <x:v>OEM 11</x:v>
      </x:c>
      <x:c r="C114" s="2" t="str">
        <x:v>D-L-AL</x:v>
      </x:c>
      <x:c r="D114" s="2" t="n">
        <x:v>125</x:v>
      </x:c>
      <x:c r="E114" s="13" t="n">
        <x:v>46304.666666666664</x:v>
      </x:c>
      <x:c r="F114" s="2" t="str">
        <x:v>Normal</x:v>
      </x:c>
      <x:c r="G114" s="2" t="str">
        <x:v>Released</x:v>
      </x:c>
      <x:c r="H114" s="2" t="str"/>
    </x:row>
    <x:row r="115" ht="22" customHeight="1">
      <x:c r="A115" s="2" t="str">
        <x:v>SO-26108</x:v>
      </x:c>
      <x:c r="B115" s="2" t="str">
        <x:v>OEM 12</x:v>
      </x:c>
      <x:c r="C115" s="2" t="str">
        <x:v>R-L-SS</x:v>
      </x:c>
      <x:c r="D115" s="2" t="n">
        <x:v>100</x:v>
      </x:c>
      <x:c r="E115" s="13" t="n">
        <x:v>46307.666666666664</x:v>
      </x:c>
      <x:c r="F115" s="2" t="str">
        <x:v>Normal</x:v>
      </x:c>
      <x:c r="G115" s="2" t="str">
        <x:v>Released</x:v>
      </x:c>
      <x:c r="H115" s="2" t="str"/>
    </x:row>
    <x:row r="116" ht="22" customHeight="1">
      <x:c r="A116" s="2" t="str">
        <x:v>SO-26109</x:v>
      </x:c>
      <x:c r="B116" s="2" t="str">
        <x:v>OEM 01</x:v>
      </x:c>
      <x:c r="C116" s="2" t="str">
        <x:v>D-C-AL</x:v>
      </x:c>
      <x:c r="D116" s="2" t="n">
        <x:v>75</x:v>
      </x:c>
      <x:c r="E116" s="13" t="n">
        <x:v>46308.666666666664</x:v>
      </x:c>
      <x:c r="F116" s="2" t="str">
        <x:v>Normal</x:v>
      </x:c>
      <x:c r="G116" s="2" t="str">
        <x:v>Released</x:v>
      </x:c>
      <x:c r="H116" s="2" t="str">
        <x:v>Ship all lots together</x:v>
      </x:c>
    </x:row>
    <x:row r="117" ht="22" customHeight="1">
      <x:c r="A117" s="2" t="str">
        <x:v>SO-26110</x:v>
      </x:c>
      <x:c r="B117" s="2" t="str">
        <x:v>OEM 02</x:v>
      </x:c>
      <x:c r="C117" s="2" t="str">
        <x:v>R-C-SS</x:v>
      </x:c>
      <x:c r="D117" s="2" t="n">
        <x:v>50</x:v>
      </x:c>
      <x:c r="E117" s="13" t="n">
        <x:v>46309.666666666664</x:v>
      </x:c>
      <x:c r="F117" s="2" t="str">
        <x:v>Normal</x:v>
      </x:c>
      <x:c r="G117" s="2" t="str">
        <x:v>Released</x:v>
      </x:c>
      <x:c r="H117" s="2" t="str"/>
    </x:row>
    <x:row r="118" ht="22" customHeight="1">
      <x:c r="A118" s="2" t="str">
        <x:v>SO-26111</x:v>
      </x:c>
      <x:c r="B118" s="2" t="str">
        <x:v>OEM 03</x:v>
      </x:c>
      <x:c r="C118" s="2" t="str">
        <x:v>S-S-AL</x:v>
      </x:c>
      <x:c r="D118" s="2" t="n">
        <x:v>50</x:v>
      </x:c>
      <x:c r="E118" s="13" t="n">
        <x:v>46310.666666666664</x:v>
      </x:c>
      <x:c r="F118" s="2" t="str">
        <x:v>Normal</x:v>
      </x:c>
      <x:c r="G118" s="2" t="str">
        <x:v>Released</x:v>
      </x:c>
      <x:c r="H118" s="2" t="str"/>
    </x:row>
    <x:row r="119" ht="22" customHeight="1">
      <x:c r="A119" s="2" t="str">
        <x:v>SO-26112</x:v>
      </x:c>
      <x:c r="B119" s="2" t="str">
        <x:v>OEM 04</x:v>
      </x:c>
      <x:c r="C119" s="2" t="str">
        <x:v>D-S-SS</x:v>
      </x:c>
      <x:c r="D119" s="2" t="n">
        <x:v>125</x:v>
      </x:c>
      <x:c r="E119" s="13" t="n">
        <x:v>46311.666666666664</x:v>
      </x:c>
      <x:c r="F119" s="2" t="str">
        <x:v>Normal</x:v>
      </x:c>
      <x:c r="G119" s="2" t="str">
        <x:v>Released</x:v>
      </x:c>
      <x:c r="H119" s="2" t="str">
        <x:v>Ship all lots together</x:v>
      </x:c>
    </x:row>
    <x:row r="120" ht="22" customHeight="1">
      <x:c r="A120" s="2" t="str">
        <x:v>SO-26113</x:v>
      </x:c>
      <x:c r="B120" s="2" t="str">
        <x:v>OEM 05</x:v>
      </x:c>
      <x:c r="C120" s="2" t="str">
        <x:v>R-L-AL</x:v>
      </x:c>
      <x:c r="D120" s="2" t="n">
        <x:v>100</x:v>
      </x:c>
      <x:c r="E120" s="13" t="n">
        <x:v>46302.666666666664</x:v>
      </x:c>
      <x:c r="F120" s="2" t="str">
        <x:v>High</x:v>
      </x:c>
      <x:c r="G120" s="2" t="str">
        <x:v>In progress</x:v>
      </x:c>
      <x:c r="H120" s="2" t="str"/>
    </x:row>
    <x:row r="121" ht="22" customHeight="1">
      <x:c r="A121" s="2" t="str">
        <x:v>SO-26114</x:v>
      </x:c>
      <x:c r="B121" s="2" t="str">
        <x:v>OEM 06</x:v>
      </x:c>
      <x:c r="C121" s="2" t="str">
        <x:v>S-L-SS</x:v>
      </x:c>
      <x:c r="D121" s="2" t="n">
        <x:v>25</x:v>
      </x:c>
      <x:c r="E121" s="13" t="n">
        <x:v>46303.666666666664</x:v>
      </x:c>
      <x:c r="F121" s="2" t="str">
        <x:v>Normal</x:v>
      </x:c>
      <x:c r="G121" s="2" t="str">
        <x:v>Released</x:v>
      </x:c>
      <x:c r="H121" s="2" t="str"/>
    </x:row>
    <x:row r="122" ht="22" customHeight="1">
      <x:c r="A122" s="2" t="str">
        <x:v>SO-26115</x:v>
      </x:c>
      <x:c r="B122" s="2" t="str">
        <x:v>OEM 07</x:v>
      </x:c>
      <x:c r="C122" s="2" t="str">
        <x:v>R-C-AL</x:v>
      </x:c>
      <x:c r="D122" s="2" t="n">
        <x:v>25</x:v>
      </x:c>
      <x:c r="E122" s="13" t="n">
        <x:v>46304.666666666664</x:v>
      </x:c>
      <x:c r="F122" s="2" t="str">
        <x:v>Normal</x:v>
      </x:c>
      <x:c r="G122" s="2" t="str">
        <x:v>Released</x:v>
      </x:c>
      <x:c r="H122" s="2" t="str">
        <x:v>Ship all lots together</x:v>
      </x:c>
    </x:row>
    <x:row r="123" ht="22" customHeight="1">
      <x:c r="A123" s="2" t="str">
        <x:v>SO-26116</x:v>
      </x:c>
      <x:c r="B123" s="2" t="str">
        <x:v>OEM 08</x:v>
      </x:c>
      <x:c r="C123" s="2" t="str">
        <x:v>S-C-SS</x:v>
      </x:c>
      <x:c r="D123" s="2" t="n">
        <x:v>25</x:v>
      </x:c>
      <x:c r="E123" s="13" t="n">
        <x:v>46307.666666666664</x:v>
      </x:c>
      <x:c r="F123" s="2" t="str">
        <x:v>Urgent</x:v>
      </x:c>
      <x:c r="G123" s="2" t="str">
        <x:v>Released</x:v>
      </x:c>
      <x:c r="H123" s="2" t="str"/>
    </x:row>
    <x:row r="124" ht="22" customHeight="1">
      <x:c r="A124" s="2" t="str">
        <x:v>SO-26117</x:v>
      </x:c>
      <x:c r="B124" s="2" t="str">
        <x:v>OEM 09</x:v>
      </x:c>
      <x:c r="C124" s="2" t="str">
        <x:v>D-S-AL</x:v>
      </x:c>
      <x:c r="D124" s="2" t="n">
        <x:v>50</x:v>
      </x:c>
      <x:c r="E124" s="13" t="n">
        <x:v>46308.666666666664</x:v>
      </x:c>
      <x:c r="F124" s="2" t="str">
        <x:v>Normal</x:v>
      </x:c>
      <x:c r="G124" s="2" t="str">
        <x:v>Released</x:v>
      </x:c>
      <x:c r="H124" s="2" t="str"/>
    </x:row>
    <x:row r="125" ht="22" customHeight="1">
      <x:c r="A125" s="2" t="str">
        <x:v>SO-26118</x:v>
      </x:c>
      <x:c r="B125" s="2" t="str">
        <x:v>OEM 10</x:v>
      </x:c>
      <x:c r="C125" s="2" t="str">
        <x:v>R-S-SS</x:v>
      </x:c>
      <x:c r="D125" s="2" t="n">
        <x:v>50</x:v>
      </x:c>
      <x:c r="E125" s="13" t="n">
        <x:v>46309.666666666664</x:v>
      </x:c>
      <x:c r="F125" s="2" t="str">
        <x:v>Normal</x:v>
      </x:c>
      <x:c r="G125" s="2" t="str">
        <x:v>Released</x:v>
      </x:c>
      <x:c r="H125" s="2" t="str">
        <x:v>Ship all lots together</x:v>
      </x:c>
    </x:row>
    <x:row r="126" ht="22" customHeight="1">
      <x:c r="A126" s="2" t="str">
        <x:v>SO-26119</x:v>
      </x:c>
      <x:c r="B126" s="2" t="str">
        <x:v>OEM 11</x:v>
      </x:c>
      <x:c r="C126" s="2" t="str">
        <x:v>S-L-AL</x:v>
      </x:c>
      <x:c r="D126" s="2" t="n">
        <x:v>100</x:v>
      </x:c>
      <x:c r="E126" s="13" t="n">
        <x:v>46310.666666666664</x:v>
      </x:c>
      <x:c r="F126" s="2" t="str">
        <x:v>Normal</x:v>
      </x:c>
      <x:c r="G126" s="2" t="str">
        <x:v>Released</x:v>
      </x:c>
      <x:c r="H126" s="2" t="str"/>
    </x:row>
    <x:row r="127" ht="22" customHeight="1">
      <x:c r="A127" s="2" t="str">
        <x:v>SO-26120</x:v>
      </x:c>
      <x:c r="B127" s="2" t="str">
        <x:v>OEM 12</x:v>
      </x:c>
      <x:c r="C127" s="2" t="str">
        <x:v>D-L-SS</x:v>
      </x:c>
      <x:c r="D127" s="2" t="n">
        <x:v>125</x:v>
      </x:c>
      <x:c r="E127" s="13" t="n">
        <x:v>46311.666666666664</x:v>
      </x:c>
      <x:c r="F127" s="2" t="str">
        <x:v>High</x:v>
      </x:c>
      <x:c r="G127" s="2" t="str">
        <x:v>Released</x:v>
      </x:c>
      <x:c r="H127" s="2" t="str"/>
    </x:row>
  </x:sheetData>
  <x:pageMargins left="0.7" right="0.7" top="0.75" bottom="0.75" header="0.3" footer="0.3"/>
  <x:tableParts count="1">
    <x:tablePart xmlns:r="http://schemas.openxmlformats.org/officeDocument/2006/relationships" r:id="Rf0b5dc844bf44a3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30" hidden="0" customWidth="1"/>
    <x:col min="3" max="3" width="24" hidden="0" customWidth="1"/>
    <x:col min="4" max="4" width="19" hidden="0" customWidth="1"/>
    <x:col min="5" max="5" width="24" hidden="0" customWidth="1"/>
    <x:col min="6" max="6" width="25" hidden="0" customWidth="1"/>
    <x:col min="7" max="7" width="4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3" t="str">
        <x:v>Material availability</x:v>
      </x:c>
      <x:c r="B2" s="2"/>
      <x:c r="C2" s="2"/>
      <x:c r="D2" s="2"/>
      <x:c r="E2" s="2"/>
      <x:c r="F2" s="2"/>
      <x:c r="G2" s="2"/>
    </x:row>
    <x:row r="3" ht="22" customHeight="1">
      <x:c r="A3" s="4" t="str">
        <x:v>MES opening balance and confirmed receipts · Quantities are pieces · No automatic replenishment or procurement.</x:v>
      </x:c>
      <x:c r="B3" s="2"/>
      <x:c r="C3" s="2"/>
      <x:c r="D3" s="2"/>
      <x:c r="E3" s="2"/>
      <x:c r="F3" s="2"/>
      <x:c r="G3" s="2"/>
    </x:row>
    <x:row r="4" ht="22" customHeight="1">
      <x:c r="A4" s="2"/>
      <x:c r="B4" s="2"/>
      <x:c r="C4" s="2"/>
      <x:c r="D4" s="2"/>
      <x:c r="E4" s="2"/>
      <x:c r="F4" s="2"/>
      <x:c r="G4" s="2"/>
    </x:row>
    <x:row r="5" ht="22" customHeight="1">
      <x:c r="A5" s="2"/>
      <x:c r="B5" s="2"/>
      <x:c r="C5" s="2"/>
      <x:c r="D5" s="2"/>
      <x:c r="E5" s="2"/>
      <x:c r="F5" s="2"/>
      <x:c r="G5" s="2"/>
    </x:row>
    <x:row r="6" ht="22" customHeight="1">
      <x:c r="A6" s="2"/>
      <x:c r="B6" s="2"/>
      <x:c r="C6" s="2"/>
      <x:c r="D6" s="2"/>
      <x:c r="E6" s="2"/>
      <x:c r="F6" s="2"/>
      <x:c r="G6" s="2"/>
    </x:row>
    <x:row r="7" ht="34" customHeight="1">
      <x:c r="A7" s="8" t="str">
        <x:v>Material</x:v>
      </x:c>
      <x:c r="B7" s="8" t="str">
        <x:v>Description</x:v>
      </x:c>
      <x:c r="C7" s="8" t="str">
        <x:v>Supply type</x:v>
      </x:c>
      <x:c r="D7" s="8" t="str">
        <x:v>Quantity (pcs)</x:v>
      </x:c>
      <x:c r="E7" s="8" t="str">
        <x:v>Available from</x:v>
      </x:c>
      <x:c r="F7" s="8" t="str">
        <x:v>Location / receipt</x:v>
      </x:c>
      <x:c r="G7" s="8" t="str">
        <x:v>Note</x:v>
      </x:c>
    </x:row>
    <x:row r="8" ht="22" customHeight="1">
      <x:c r="A8" s="2" t="str">
        <x:v>BODY-AL</x:v>
      </x:c>
      <x:c r="B8" s="2" t="str">
        <x:v>Aluminium body blanks</x:v>
      </x:c>
      <x:c r="C8" s="2" t="str">
        <x:v>Opening stock</x:v>
      </x:c>
      <x:c r="D8" s="2" t="n">
        <x:v>8500</x:v>
      </x:c>
      <x:c r="E8" s="13" t="n">
        <x:v>46300.25</x:v>
      </x:c>
      <x:c r="F8" s="2" t="str">
        <x:v>Stores A</x:v>
      </x:c>
      <x:c r="G8" s="2" t="str">
        <x:v>Usable stock before the plan starts</x:v>
      </x:c>
    </x:row>
    <x:row r="9" ht="22" customHeight="1">
      <x:c r="A9" s="2" t="str">
        <x:v>BODY-SS</x:v>
      </x:c>
      <x:c r="B9" s="2" t="str">
        <x:v>Stainless body blanks</x:v>
      </x:c>
      <x:c r="C9" s="2" t="str">
        <x:v>Opening stock</x:v>
      </x:c>
      <x:c r="D9" s="2" t="n">
        <x:v>7500</x:v>
      </x:c>
      <x:c r="E9" s="13" t="n">
        <x:v>46300.25</x:v>
      </x:c>
      <x:c r="F9" s="2" t="str">
        <x:v>Stores A</x:v>
      </x:c>
      <x:c r="G9" s="2" t="str">
        <x:v>Usable stock before the plan starts</x:v>
      </x:c>
    </x:row>
    <x:row r="10" ht="22" customHeight="1">
      <x:c r="A10" s="2" t="str">
        <x:v>SEAL-KIT</x:v>
      </x:c>
      <x:c r="B10" s="2" t="str">
        <x:v>Seal and closure kit</x:v>
      </x:c>
      <x:c r="C10" s="2" t="str">
        <x:v>Opening stock</x:v>
      </x:c>
      <x:c r="D10" s="2" t="n">
        <x:v>8000</x:v>
      </x:c>
      <x:c r="E10" s="13" t="n">
        <x:v>46300.25</x:v>
      </x:c>
      <x:c r="F10" s="2" t="str">
        <x:v>Stores B</x:v>
      </x:c>
      <x:c r="G10" s="2" t="str">
        <x:v>Usable stock before the plan starts</x:v>
      </x:c>
    </x:row>
    <x:row r="11" ht="22" customHeight="1">
      <x:c r="A11" s="2" t="str">
        <x:v>VALVE-KIT</x:v>
      </x:c>
      <x:c r="B11" s="2" t="str">
        <x:v>Control valve kit</x:v>
      </x:c>
      <x:c r="C11" s="2" t="str">
        <x:v>Opening stock</x:v>
      </x:c>
      <x:c r="D11" s="2" t="n">
        <x:v>6000</x:v>
      </x:c>
      <x:c r="E11" s="13" t="n">
        <x:v>46300.25</x:v>
      </x:c>
      <x:c r="F11" s="2" t="str">
        <x:v>Stores B</x:v>
      </x:c>
      <x:c r="G11" s="2" t="str">
        <x:v>Usable stock before the plan starts</x:v>
      </x:c>
    </x:row>
    <x:row r="12" ht="22" customHeight="1">
      <x:c r="A12" s="2" t="str">
        <x:v>SENSOR-KIT</x:v>
      </x:c>
      <x:c r="B12" s="2" t="str">
        <x:v>Sensor and cable kit</x:v>
      </x:c>
      <x:c r="C12" s="2" t="str">
        <x:v>Opening stock</x:v>
      </x:c>
      <x:c r="D12" s="2" t="n">
        <x:v>600</x:v>
      </x:c>
      <x:c r="E12" s="13" t="n">
        <x:v>46300.25</x:v>
      </x:c>
      <x:c r="F12" s="2" t="str">
        <x:v>Stores B</x:v>
      </x:c>
      <x:c r="G12" s="2" t="str">
        <x:v>Usable stock before the plan starts</x:v>
      </x:c>
    </x:row>
    <x:row r="13" ht="22" customHeight="1">
      <x:c r="A13" s="2" t="str">
        <x:v>SENSOR-KIT</x:v>
      </x:c>
      <x:c r="B13" s="2" t="str">
        <x:v>Sensor and cable kit</x:v>
      </x:c>
      <x:c r="C13" s="2" t="str">
        <x:v>Confirmed receipt</x:v>
      </x:c>
      <x:c r="D13" s="2" t="n">
        <x:v>4000</x:v>
      </x:c>
      <x:c r="E13" s="13" t="n">
        <x:v>46302.416666666664</x:v>
      </x:c>
      <x:c r="F13" s="2" t="str">
        <x:v>IN-1001</x:v>
      </x:c>
      <x:c r="G13" s="2" t="str">
        <x:v>Supplier-confirmed Wednesday delivery</x:v>
      </x:c>
    </x:row>
    <x:row r="14" ht="22" customHeight="1">
      <x:c r="A14" s="2" t="str">
        <x:v>SEAL-KIT</x:v>
      </x:c>
      <x:c r="B14" s="2" t="str">
        <x:v>Seal and closure kit</x:v>
      </x:c>
      <x:c r="C14" s="2" t="str">
        <x:v>Confirmed receipt</x:v>
      </x:c>
      <x:c r="D14" s="2" t="n">
        <x:v>8000</x:v>
      </x:c>
      <x:c r="E14" s="13" t="n">
        <x:v>46301.333333333336</x:v>
      </x:c>
      <x:c r="F14" s="2" t="str">
        <x:v>IN-1002</x:v>
      </x:c>
      <x:c r="G14" s="2" t="str">
        <x:v>Weekly replenishment</x:v>
      </x:c>
    </x:row>
    <x:row r="15" ht="22" customHeight="1">
      <x:c r="A15" s="2" t="str">
        <x:v>VALVE-KIT</x:v>
      </x:c>
      <x:c r="B15" s="2" t="str">
        <x:v>Control valve kit</x:v>
      </x:c>
      <x:c r="C15" s="2" t="str">
        <x:v>Confirmed receipt</x:v>
      </x:c>
      <x:c r="D15" s="2" t="n">
        <x:v>6000</x:v>
      </x:c>
      <x:c r="E15" s="13" t="n">
        <x:v>46303.291666666664</x:v>
      </x:c>
      <x:c r="F15" s="2" t="str">
        <x:v>IN-1003</x:v>
      </x:c>
      <x:c r="G15" s="2" t="str">
        <x:v>Reserved inbound shipment</x:v>
      </x:c>
    </x:row>
  </x:sheetData>
  <x:pageMargins left="0.7" right="0.7" top="0.75" bottom="0.75" header="0.3" footer="0.3"/>
  <x:tableParts count="1">
    <x:tablePart xmlns:r="http://schemas.openxmlformats.org/officeDocument/2006/relationships" r:id="Rbba33440d8a640d0"/>
  </x:tableParts>
</x:worksheet>
</file>